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NO NAME/IB Preparation/Beispiel M&amp;A Valuation/Mrdjan/"/>
    </mc:Choice>
  </mc:AlternateContent>
  <xr:revisionPtr revIDLastSave="0" documentId="13_ncr:1_{0A4B3D83-7062-1D40-9916-BC0145D7DA91}" xr6:coauthVersionLast="40" xr6:coauthVersionMax="40" xr10:uidLastSave="{00000000-0000-0000-0000-000000000000}"/>
  <bookViews>
    <workbookView xWindow="0" yWindow="460" windowWidth="28780" windowHeight="18080" tabRatio="919" xr2:uid="{00000000-000D-0000-FFFF-FFFF00000000}"/>
  </bookViews>
  <sheets>
    <sheet name="Project Title" sheetId="1" r:id="rId1"/>
    <sheet name="Summary" sheetId="37" r:id="rId2"/>
    <sheet name="1. Valuations&gt;&gt;&gt;" sheetId="3" r:id="rId3"/>
    <sheet name="1.1 Multiple Valuation" sheetId="7" r:id="rId4"/>
    <sheet name="1.2 DCF Analysis" sheetId="34" r:id="rId5"/>
    <sheet name="2. Input Parameters&gt;&gt;&gt;" sheetId="8" r:id="rId6"/>
    <sheet name="2.1 WACC" sheetId="9" r:id="rId7"/>
    <sheet name="2.2 Stock &amp; Index Data" sheetId="16" r:id="rId8"/>
    <sheet name="2.3 Assumptions Pfizer" sheetId="36" r:id="rId9"/>
    <sheet name="3. Financial Statements&gt;&gt;&gt;" sheetId="18" r:id="rId10"/>
    <sheet name="3.1 Income Statements" sheetId="25" r:id="rId11"/>
    <sheet name="3.2 Balance Sheets" sheetId="31" r:id="rId12"/>
    <sheet name="3.3 CF Statements" sheetId="30" r:id="rId13"/>
    <sheet name="3.4 Trading Multiples Bloomberg" sheetId="32" r:id="rId14"/>
    <sheet name="3.5 US GDP Growth Rate" sheetId="28" r:id="rId15"/>
    <sheet name="3.6 US Inflation Growth Rate" sheetId="35" r:id="rId16"/>
  </sheets>
  <externalReferences>
    <externalReference r:id="rId17"/>
  </externalReferences>
  <definedNames>
    <definedName name="ScenarioSelection">'[1]Table of Contents'!$J$1:$J$3</definedName>
  </definedNames>
  <calcPr calcId="191029"/>
</workbook>
</file>

<file path=xl/calcChain.xml><?xml version="1.0" encoding="utf-8"?>
<calcChain xmlns="http://schemas.openxmlformats.org/spreadsheetml/2006/main">
  <c r="J30" i="34" l="1"/>
  <c r="E8" i="7"/>
  <c r="M16" i="36" l="1"/>
  <c r="L16" i="36"/>
  <c r="K16" i="36"/>
  <c r="J16" i="36"/>
  <c r="I16" i="36"/>
  <c r="V21" i="36"/>
  <c r="U21" i="36"/>
  <c r="T21" i="36"/>
  <c r="S21" i="36"/>
  <c r="R21" i="36"/>
  <c r="S16" i="36"/>
  <c r="T16" i="36"/>
  <c r="U16" i="36"/>
  <c r="V16" i="36"/>
  <c r="S17" i="36"/>
  <c r="T17" i="36"/>
  <c r="U17" i="36"/>
  <c r="V17" i="36"/>
  <c r="R17" i="36"/>
  <c r="R16" i="36"/>
  <c r="S15" i="36"/>
  <c r="T15" i="36"/>
  <c r="U15" i="36"/>
  <c r="V15" i="36"/>
  <c r="R15" i="36"/>
  <c r="S14" i="36"/>
  <c r="T14" i="36"/>
  <c r="U14" i="36"/>
  <c r="V14" i="36"/>
  <c r="R14" i="36"/>
  <c r="F15" i="36"/>
  <c r="G15" i="36"/>
  <c r="H15" i="36"/>
  <c r="E15" i="36"/>
  <c r="D17" i="36" l="1"/>
  <c r="U18" i="36"/>
  <c r="U22" i="36" s="1"/>
  <c r="U23" i="36" s="1"/>
  <c r="H17" i="36"/>
  <c r="H16" i="36"/>
  <c r="F18" i="36"/>
  <c r="F17" i="36"/>
  <c r="G16" i="36"/>
  <c r="D18" i="36"/>
  <c r="E17" i="36"/>
  <c r="F16" i="36"/>
  <c r="H18" i="36"/>
  <c r="D16" i="36"/>
  <c r="E16" i="36"/>
  <c r="G18" i="36"/>
  <c r="G17" i="36"/>
  <c r="R18" i="36"/>
  <c r="R19" i="36" s="1"/>
  <c r="S18" i="36"/>
  <c r="S22" i="36" s="1"/>
  <c r="S23" i="36" s="1"/>
  <c r="E18" i="36"/>
  <c r="M26" i="36"/>
  <c r="L26" i="36"/>
  <c r="M22" i="36"/>
  <c r="K25" i="36"/>
  <c r="L22" i="36"/>
  <c r="T18" i="36"/>
  <c r="T22" i="36" s="1"/>
  <c r="T23" i="36" s="1"/>
  <c r="V18" i="36"/>
  <c r="J22" i="36"/>
  <c r="L25" i="36"/>
  <c r="J26" i="36"/>
  <c r="K22" i="36"/>
  <c r="I25" i="36"/>
  <c r="M25" i="36"/>
  <c r="K26" i="36"/>
  <c r="J25" i="36"/>
  <c r="I22" i="36"/>
  <c r="I26" i="36"/>
  <c r="U19" i="36" l="1"/>
  <c r="I18" i="36"/>
  <c r="S19" i="36"/>
  <c r="R22" i="36"/>
  <c r="R23" i="36" s="1"/>
  <c r="L18" i="36"/>
  <c r="T19" i="36"/>
  <c r="K18" i="36"/>
  <c r="J18" i="36"/>
  <c r="M18" i="36"/>
  <c r="V22" i="36"/>
  <c r="V23" i="36" s="1"/>
  <c r="V19" i="36"/>
  <c r="D32" i="28" l="1"/>
  <c r="F46" i="34" s="1"/>
  <c r="G41" i="35"/>
  <c r="F45" i="34" s="1"/>
  <c r="F41" i="35"/>
  <c r="L39" i="34"/>
  <c r="K7" i="34"/>
  <c r="M14" i="34"/>
  <c r="J7" i="34"/>
  <c r="I7" i="34"/>
  <c r="L7" i="34"/>
  <c r="M7" i="34"/>
  <c r="M10" i="34" s="1"/>
  <c r="I18" i="34"/>
  <c r="I14" i="34"/>
  <c r="J18" i="34"/>
  <c r="J14" i="34"/>
  <c r="J16" i="34" s="1"/>
  <c r="K18" i="34"/>
  <c r="K14" i="34"/>
  <c r="L18" i="34"/>
  <c r="L14" i="34"/>
  <c r="L15" i="34" s="1"/>
  <c r="M18" i="34"/>
  <c r="M12" i="34"/>
  <c r="M25" i="34" s="1"/>
  <c r="J12" i="34"/>
  <c r="J25" i="34" s="1"/>
  <c r="I12" i="34"/>
  <c r="I25" i="34" s="1"/>
  <c r="K12" i="34"/>
  <c r="K25" i="34" s="1"/>
  <c r="L12" i="34"/>
  <c r="L25" i="34" s="1"/>
  <c r="I27" i="34"/>
  <c r="J27" i="34"/>
  <c r="K27" i="34"/>
  <c r="L27" i="34"/>
  <c r="M27" i="34"/>
  <c r="M28" i="34" s="1"/>
  <c r="I30" i="34"/>
  <c r="K30" i="34"/>
  <c r="L30" i="34"/>
  <c r="M30" i="34"/>
  <c r="F35" i="34"/>
  <c r="M16" i="34"/>
  <c r="I15" i="34"/>
  <c r="M9" i="34"/>
  <c r="P8" i="34"/>
  <c r="Q8" i="34"/>
  <c r="R8" i="34"/>
  <c r="S8" i="34"/>
  <c r="O8" i="34"/>
  <c r="J9" i="34"/>
  <c r="K9" i="34"/>
  <c r="L9" i="34"/>
  <c r="I9" i="34"/>
  <c r="J8" i="34"/>
  <c r="K8" i="34"/>
  <c r="L8" i="34"/>
  <c r="M8" i="34"/>
  <c r="I8" i="34"/>
  <c r="I8" i="7"/>
  <c r="D51" i="7"/>
  <c r="J9" i="7"/>
  <c r="F52" i="7" s="1"/>
  <c r="H8" i="7"/>
  <c r="C63" i="7"/>
  <c r="C64" i="7"/>
  <c r="J10" i="7"/>
  <c r="F53" i="7" s="1"/>
  <c r="J11" i="7"/>
  <c r="F54" i="7"/>
  <c r="J12" i="7"/>
  <c r="F55" i="7" s="1"/>
  <c r="J8" i="7"/>
  <c r="F51" i="7" s="1"/>
  <c r="G51" i="7" s="1"/>
  <c r="C9" i="7"/>
  <c r="C38" i="7" s="1"/>
  <c r="I9" i="7"/>
  <c r="D52" i="7" s="1"/>
  <c r="C10" i="7"/>
  <c r="C39" i="7" s="1"/>
  <c r="I10" i="7"/>
  <c r="D53" i="7" s="1"/>
  <c r="C11" i="7"/>
  <c r="C40" i="7" s="1"/>
  <c r="I11" i="7"/>
  <c r="D54" i="7"/>
  <c r="C12" i="7"/>
  <c r="C41" i="7" s="1"/>
  <c r="I12" i="7"/>
  <c r="D55" i="7" s="1"/>
  <c r="C8" i="7"/>
  <c r="C37" i="7" s="1"/>
  <c r="G8" i="7"/>
  <c r="F37" i="7"/>
  <c r="K9" i="7"/>
  <c r="H38" i="7" s="1"/>
  <c r="K10" i="7"/>
  <c r="H39" i="7"/>
  <c r="K11" i="7"/>
  <c r="H40" i="7" s="1"/>
  <c r="K12" i="7"/>
  <c r="H41" i="7"/>
  <c r="H9" i="7"/>
  <c r="D38" i="7" s="1"/>
  <c r="G9" i="7"/>
  <c r="F38" i="7" s="1"/>
  <c r="H10" i="7"/>
  <c r="D39" i="7"/>
  <c r="G10" i="7"/>
  <c r="H11" i="7"/>
  <c r="G11" i="7"/>
  <c r="F40" i="7"/>
  <c r="H12" i="7"/>
  <c r="D41" i="7" s="1"/>
  <c r="G12" i="7"/>
  <c r="F41" i="7" s="1"/>
  <c r="K8" i="7"/>
  <c r="H37" i="7" s="1"/>
  <c r="D37" i="7"/>
  <c r="C23" i="7"/>
  <c r="L8" i="7"/>
  <c r="F23" i="7" s="1"/>
  <c r="E9" i="7"/>
  <c r="E13" i="7" s="1"/>
  <c r="F9" i="7"/>
  <c r="E10" i="7"/>
  <c r="C25" i="7"/>
  <c r="F10" i="7"/>
  <c r="D25" i="7" s="1"/>
  <c r="E11" i="7"/>
  <c r="C26" i="7" s="1"/>
  <c r="F11" i="7"/>
  <c r="D26" i="7" s="1"/>
  <c r="E12" i="7"/>
  <c r="C27" i="7"/>
  <c r="F12" i="7"/>
  <c r="D27" i="7" s="1"/>
  <c r="F8" i="7"/>
  <c r="D23" i="7" s="1"/>
  <c r="L10" i="7"/>
  <c r="F25" i="7"/>
  <c r="L11" i="7"/>
  <c r="F26" i="7"/>
  <c r="L12" i="7"/>
  <c r="F27" i="7" s="1"/>
  <c r="L9" i="7"/>
  <c r="L15" i="7" s="1"/>
  <c r="K15" i="7"/>
  <c r="J16" i="7"/>
  <c r="J14" i="7"/>
  <c r="D12" i="7"/>
  <c r="D11" i="7"/>
  <c r="D10" i="7"/>
  <c r="D9" i="7"/>
  <c r="D8" i="7"/>
  <c r="E15" i="7"/>
  <c r="K13" i="7"/>
  <c r="B7" i="32"/>
  <c r="B32" i="32"/>
  <c r="B56" i="32"/>
  <c r="B10" i="28"/>
  <c r="B80" i="32"/>
  <c r="B104" i="32"/>
  <c r="C24" i="7" l="1"/>
  <c r="C28" i="7" s="1"/>
  <c r="K29" i="34"/>
  <c r="F56" i="7"/>
  <c r="D16" i="7"/>
  <c r="F13" i="7"/>
  <c r="G16" i="7"/>
  <c r="H43" i="7"/>
  <c r="F15" i="7"/>
  <c r="C14" i="7"/>
  <c r="J13" i="7"/>
  <c r="I14" i="7"/>
  <c r="I16" i="7"/>
  <c r="J15" i="7"/>
  <c r="G27" i="7"/>
  <c r="G26" i="7"/>
  <c r="E25" i="7"/>
  <c r="J38" i="7"/>
  <c r="K38" i="7" s="1"/>
  <c r="G52" i="7"/>
  <c r="D13" i="7"/>
  <c r="I13" i="7"/>
  <c r="H14" i="7"/>
  <c r="I15" i="7"/>
  <c r="E26" i="7"/>
  <c r="E16" i="7"/>
  <c r="H13" i="7"/>
  <c r="D56" i="7"/>
  <c r="D15" i="7"/>
  <c r="K14" i="7"/>
  <c r="K16" i="7"/>
  <c r="F16" i="7"/>
  <c r="L13" i="7"/>
  <c r="F24" i="7"/>
  <c r="H24" i="7" s="1"/>
  <c r="D24" i="7"/>
  <c r="G13" i="7"/>
  <c r="D58" i="7"/>
  <c r="E27" i="7"/>
  <c r="E23" i="7"/>
  <c r="G23" i="7"/>
  <c r="C54" i="7"/>
  <c r="E54" i="7" s="1"/>
  <c r="C51" i="7"/>
  <c r="E51" i="7" s="1"/>
  <c r="E37" i="7"/>
  <c r="G37" i="7" s="1"/>
  <c r="C52" i="7"/>
  <c r="C43" i="7"/>
  <c r="C42" i="7"/>
  <c r="C44" i="7"/>
  <c r="E38" i="7"/>
  <c r="C53" i="7"/>
  <c r="E53" i="7" s="1"/>
  <c r="E39" i="7"/>
  <c r="H52" i="7"/>
  <c r="H27" i="7"/>
  <c r="H26" i="7"/>
  <c r="H25" i="7"/>
  <c r="F30" i="7"/>
  <c r="C55" i="7"/>
  <c r="E55" i="7" s="1"/>
  <c r="E41" i="7"/>
  <c r="G41" i="7" s="1"/>
  <c r="C16" i="7"/>
  <c r="G14" i="7"/>
  <c r="L14" i="7"/>
  <c r="H42" i="7"/>
  <c r="C13" i="7"/>
  <c r="D14" i="7"/>
  <c r="C15" i="7"/>
  <c r="H16" i="7"/>
  <c r="G15" i="7"/>
  <c r="H15" i="7"/>
  <c r="L16" i="7"/>
  <c r="H44" i="7"/>
  <c r="I41" i="7"/>
  <c r="D40" i="7"/>
  <c r="D43" i="7" s="1"/>
  <c r="F39" i="7"/>
  <c r="J41" i="7"/>
  <c r="K41" i="7" s="1"/>
  <c r="J40" i="7"/>
  <c r="K40" i="7" s="1"/>
  <c r="J39" i="7"/>
  <c r="K39" i="7" s="1"/>
  <c r="D57" i="7"/>
  <c r="F58" i="7"/>
  <c r="G55" i="7"/>
  <c r="H55" i="7" s="1"/>
  <c r="I55" i="7" s="1"/>
  <c r="G54" i="7"/>
  <c r="H54" i="7" s="1"/>
  <c r="I54" i="7" s="1"/>
  <c r="G53" i="7"/>
  <c r="H53" i="7" s="1"/>
  <c r="I21" i="34"/>
  <c r="J10" i="34"/>
  <c r="F57" i="7"/>
  <c r="L29" i="34"/>
  <c r="I53" i="7"/>
  <c r="N27" i="34"/>
  <c r="O27" i="34" s="1"/>
  <c r="P27" i="34" s="1"/>
  <c r="C29" i="7"/>
  <c r="G25" i="7"/>
  <c r="E14" i="7"/>
  <c r="F14" i="7"/>
  <c r="C30" i="7"/>
  <c r="F28" i="7"/>
  <c r="J15" i="34"/>
  <c r="I19" i="34"/>
  <c r="M19" i="34"/>
  <c r="L10" i="34"/>
  <c r="L21" i="34"/>
  <c r="L28" i="34"/>
  <c r="J26" i="34"/>
  <c r="K26" i="34"/>
  <c r="F47" i="34"/>
  <c r="I29" i="34"/>
  <c r="L19" i="34"/>
  <c r="K10" i="34"/>
  <c r="O28" i="34"/>
  <c r="K28" i="34"/>
  <c r="J29" i="34"/>
  <c r="J28" i="34"/>
  <c r="L16" i="34"/>
  <c r="K15" i="34"/>
  <c r="K16" i="34"/>
  <c r="K21" i="34"/>
  <c r="K19" i="34"/>
  <c r="I22" i="34"/>
  <c r="R43" i="34"/>
  <c r="O43" i="34"/>
  <c r="P43" i="34"/>
  <c r="F49" i="34"/>
  <c r="S43" i="34"/>
  <c r="N30" i="34"/>
  <c r="M26" i="34"/>
  <c r="L26" i="34"/>
  <c r="J21" i="34"/>
  <c r="J19" i="34"/>
  <c r="M21" i="34"/>
  <c r="M15" i="34"/>
  <c r="Q43" i="34"/>
  <c r="M29" i="34"/>
  <c r="I28" i="34"/>
  <c r="L22" i="34"/>
  <c r="L33" i="34" l="1"/>
  <c r="N7" i="34"/>
  <c r="O7" i="34" s="1"/>
  <c r="D42" i="7"/>
  <c r="N25" i="34"/>
  <c r="O25" i="34" s="1"/>
  <c r="D44" i="7"/>
  <c r="F29" i="7"/>
  <c r="K43" i="7"/>
  <c r="L10" i="37"/>
  <c r="D30" i="7"/>
  <c r="D29" i="7"/>
  <c r="G24" i="7"/>
  <c r="G30" i="7" s="1"/>
  <c r="E24" i="7"/>
  <c r="E30" i="7" s="1"/>
  <c r="D28" i="7"/>
  <c r="E40" i="7"/>
  <c r="G40" i="7" s="1"/>
  <c r="I40" i="7" s="1"/>
  <c r="J10" i="37"/>
  <c r="G58" i="7"/>
  <c r="J42" i="7"/>
  <c r="I33" i="34"/>
  <c r="M10" i="37"/>
  <c r="S10" i="37" s="1"/>
  <c r="K44" i="7"/>
  <c r="I52" i="7"/>
  <c r="H58" i="7"/>
  <c r="H56" i="7"/>
  <c r="H57" i="7" s="1"/>
  <c r="G28" i="7"/>
  <c r="J44" i="7"/>
  <c r="I24" i="7"/>
  <c r="I26" i="7"/>
  <c r="I25" i="7"/>
  <c r="I27" i="7"/>
  <c r="K42" i="7"/>
  <c r="K10" i="37" s="1"/>
  <c r="Q10" i="37" s="1"/>
  <c r="I10" i="37"/>
  <c r="O10" i="37" s="1"/>
  <c r="F42" i="7"/>
  <c r="F44" i="7"/>
  <c r="E28" i="7"/>
  <c r="E29" i="7"/>
  <c r="H30" i="7"/>
  <c r="H29" i="7"/>
  <c r="H28" i="7"/>
  <c r="G56" i="7"/>
  <c r="G57" i="7" s="1"/>
  <c r="G39" i="7"/>
  <c r="I39" i="7" s="1"/>
  <c r="J43" i="7"/>
  <c r="G38" i="7"/>
  <c r="E42" i="7"/>
  <c r="E44" i="7"/>
  <c r="E43" i="7"/>
  <c r="C58" i="7"/>
  <c r="C56" i="7"/>
  <c r="C57" i="7" s="1"/>
  <c r="E52" i="7"/>
  <c r="F43" i="7"/>
  <c r="N18" i="34"/>
  <c r="S19" i="34" s="1"/>
  <c r="O26" i="34"/>
  <c r="P25" i="34"/>
  <c r="O30" i="34"/>
  <c r="P30" i="34"/>
  <c r="Q30" i="34"/>
  <c r="R30" i="34"/>
  <c r="S30" i="34"/>
  <c r="M23" i="34"/>
  <c r="M33" i="34"/>
  <c r="M22" i="34"/>
  <c r="K23" i="34"/>
  <c r="K33" i="34"/>
  <c r="L23" i="34"/>
  <c r="K22" i="34"/>
  <c r="O19" i="34"/>
  <c r="P19" i="34"/>
  <c r="S10" i="34"/>
  <c r="M15" i="36" s="1"/>
  <c r="O10" i="34"/>
  <c r="I15" i="36" s="1"/>
  <c r="W14" i="36" s="1"/>
  <c r="N12" i="34"/>
  <c r="O12" i="34" s="1"/>
  <c r="P12" i="34" s="1"/>
  <c r="Q12" i="34" s="1"/>
  <c r="R12" i="34" s="1"/>
  <c r="S12" i="34" s="1"/>
  <c r="Q10" i="34"/>
  <c r="K15" i="36" s="1"/>
  <c r="O9" i="34"/>
  <c r="N14" i="34"/>
  <c r="O14" i="34" s="1"/>
  <c r="P7" i="34"/>
  <c r="Q7" i="34" s="1"/>
  <c r="R7" i="34" s="1"/>
  <c r="S7" i="34" s="1"/>
  <c r="R10" i="34"/>
  <c r="L15" i="36" s="1"/>
  <c r="P10" i="34"/>
  <c r="J15" i="36" s="1"/>
  <c r="P28" i="34"/>
  <c r="Q27" i="34"/>
  <c r="J33" i="34"/>
  <c r="J22" i="34"/>
  <c r="J23" i="34"/>
  <c r="P10" i="37" l="1"/>
  <c r="G29" i="7"/>
  <c r="E58" i="7"/>
  <c r="E56" i="7"/>
  <c r="E57" i="7" s="1"/>
  <c r="I12" i="37"/>
  <c r="O12" i="37" s="1"/>
  <c r="M12" i="37"/>
  <c r="L12" i="37"/>
  <c r="J12" i="37"/>
  <c r="I29" i="7"/>
  <c r="I28" i="7"/>
  <c r="K12" i="37" s="1"/>
  <c r="I30" i="7"/>
  <c r="R10" i="37"/>
  <c r="R19" i="34"/>
  <c r="G44" i="7"/>
  <c r="G43" i="7"/>
  <c r="I38" i="7"/>
  <c r="G42" i="7"/>
  <c r="I58" i="7"/>
  <c r="J11" i="37"/>
  <c r="I56" i="7"/>
  <c r="I11" i="37"/>
  <c r="O11" i="37" s="1"/>
  <c r="M11" i="37"/>
  <c r="L11" i="37"/>
  <c r="Q19" i="34"/>
  <c r="X14" i="36"/>
  <c r="Y14" i="36" s="1"/>
  <c r="P9" i="34"/>
  <c r="Q25" i="34"/>
  <c r="P26" i="34"/>
  <c r="Q28" i="34"/>
  <c r="R27" i="34"/>
  <c r="O15" i="34"/>
  <c r="P14" i="34"/>
  <c r="O16" i="34"/>
  <c r="W17" i="36"/>
  <c r="W16" i="36" s="1"/>
  <c r="W15" i="36"/>
  <c r="O18" i="34"/>
  <c r="O21" i="34" s="1"/>
  <c r="S11" i="37" l="1"/>
  <c r="S12" i="37"/>
  <c r="K11" i="37"/>
  <c r="Q11" i="37" s="1"/>
  <c r="I57" i="7"/>
  <c r="I44" i="7"/>
  <c r="I42" i="7"/>
  <c r="I43" i="7"/>
  <c r="X15" i="36"/>
  <c r="P11" i="37"/>
  <c r="R12" i="37"/>
  <c r="P12" i="37"/>
  <c r="Q12" i="37"/>
  <c r="X17" i="36"/>
  <c r="X16" i="36" s="1"/>
  <c r="W18" i="36"/>
  <c r="W22" i="36" s="1"/>
  <c r="W23" i="36" s="1"/>
  <c r="O22" i="34"/>
  <c r="O33" i="34"/>
  <c r="G41" i="34" s="1"/>
  <c r="O41" i="34" s="1"/>
  <c r="O23" i="34"/>
  <c r="R28" i="34"/>
  <c r="S27" i="34"/>
  <c r="S28" i="34" s="1"/>
  <c r="P15" i="34"/>
  <c r="Q14" i="34"/>
  <c r="P16" i="34"/>
  <c r="P18" i="34"/>
  <c r="P21" i="34" s="1"/>
  <c r="Q9" i="34"/>
  <c r="Q30" i="36"/>
  <c r="I17" i="36"/>
  <c r="R25" i="34"/>
  <c r="Q26" i="34"/>
  <c r="Y15" i="36"/>
  <c r="Y17" i="36"/>
  <c r="Z14" i="36"/>
  <c r="R11" i="37" l="1"/>
  <c r="W19" i="36"/>
  <c r="P33" i="34"/>
  <c r="H41" i="34" s="1"/>
  <c r="P41" i="34" s="1"/>
  <c r="P23" i="34"/>
  <c r="P22" i="34"/>
  <c r="Z17" i="36"/>
  <c r="Z15" i="36"/>
  <c r="AA14" i="36"/>
  <c r="Y16" i="36"/>
  <c r="R9" i="34"/>
  <c r="Q16" i="34"/>
  <c r="Q15" i="34"/>
  <c r="R14" i="34"/>
  <c r="Q18" i="34"/>
  <c r="Q21" i="34" s="1"/>
  <c r="S25" i="34"/>
  <c r="S26" i="34" s="1"/>
  <c r="R26" i="34"/>
  <c r="J17" i="36"/>
  <c r="X18" i="36"/>
  <c r="Q22" i="34" l="1"/>
  <c r="Q33" i="34"/>
  <c r="I41" i="34" s="1"/>
  <c r="Q41" i="34" s="1"/>
  <c r="Q23" i="34"/>
  <c r="R15" i="34"/>
  <c r="R16" i="34"/>
  <c r="S14" i="34"/>
  <c r="R18" i="34"/>
  <c r="R21" i="34" s="1"/>
  <c r="Z16" i="36"/>
  <c r="S9" i="34"/>
  <c r="K17" i="36"/>
  <c r="Y18" i="36"/>
  <c r="AA15" i="36"/>
  <c r="AA17" i="36"/>
  <c r="X19" i="36"/>
  <c r="X22" i="36"/>
  <c r="X23" i="36" s="1"/>
  <c r="R23" i="34" l="1"/>
  <c r="R33" i="34"/>
  <c r="J41" i="34" s="1"/>
  <c r="R41" i="34" s="1"/>
  <c r="R22" i="34"/>
  <c r="AA16" i="36"/>
  <c r="M17" i="36" s="1"/>
  <c r="Y19" i="36"/>
  <c r="Y22" i="36"/>
  <c r="Y23" i="36" s="1"/>
  <c r="S16" i="34"/>
  <c r="S21" i="34"/>
  <c r="S15" i="34"/>
  <c r="S18" i="34"/>
  <c r="L17" i="36"/>
  <c r="Z18" i="36"/>
  <c r="Z19" i="36" l="1"/>
  <c r="Z22" i="36"/>
  <c r="Z23" i="36" s="1"/>
  <c r="S22" i="34"/>
  <c r="S33" i="34"/>
  <c r="K41" i="34" s="1"/>
  <c r="S23" i="34"/>
  <c r="AA18" i="36"/>
  <c r="F44" i="34" l="1"/>
  <c r="F48" i="34" s="1"/>
  <c r="F50" i="34" s="1"/>
  <c r="S41" i="34"/>
  <c r="AA19" i="36"/>
  <c r="AA22" i="36"/>
  <c r="AA23" i="36" s="1"/>
  <c r="F52" i="34" l="1"/>
  <c r="K9" i="37" s="1"/>
  <c r="F54" i="34" l="1"/>
  <c r="G56" i="34" s="1"/>
  <c r="G54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</author>
  </authors>
  <commentList>
    <comment ref="I21" authorId="0" shapeId="0" xr:uid="{6EA94E53-A0CC-4DCE-BB4A-4C03C6D873C9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Based on the EV/EBITDA and EBITDA (2) from Bloomberg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</author>
  </authors>
  <commentList>
    <comment ref="N27" authorId="0" shapeId="0" xr:uid="{738A0ADB-1E0C-4F25-9960-AC53B92C3625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Based on the strong and continous volatility in the Net Working Capital, we decided to assume a relatively constant rate for the future, to have a better basis for our analysis</t>
        </r>
      </text>
    </comment>
    <comment ref="J29" authorId="0" shapeId="0" xr:uid="{78C9F2F9-47DD-44C5-A30D-FB720B303A8E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Due to an extraordinary increase in Net Working Capital, we left out the change from 1997-1998 and take the average of the other actual periods and form an average in % to have a more realistic growth rate
</t>
        </r>
      </text>
    </comment>
    <comment ref="I30" authorId="0" shapeId="0" xr:uid="{220C34EA-A570-49AD-8175-6D78B9124A57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Here we took the Property Plant and Equipment Net value; depending on how the values develop, we should potentially change to the normal P&amp;PE values (missing after 1997, therefore we would have to get them again!)</t>
        </r>
      </text>
    </comment>
    <comment ref="N30" authorId="0" shapeId="0" xr:uid="{DDCE7F79-3B7A-4045-B575-A54A7EDEB987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Due to an extremely volatile development of CAPX over a historical period, we decided to use the Median, with an adequate value.</t>
        </r>
      </text>
    </comment>
    <comment ref="F47" authorId="0" shapeId="0" xr:uid="{1A104FD7-6ECA-4390-88B9-C7C3A900DD8A}">
      <text>
        <r>
          <rPr>
            <b/>
            <sz val="8"/>
            <color indexed="81"/>
            <rFont val="Tahoma"/>
            <family val="2"/>
          </rPr>
          <t>Marc:</t>
        </r>
        <r>
          <rPr>
            <sz val="8"/>
            <color indexed="81"/>
            <rFont val="Tahoma"/>
            <family val="2"/>
          </rPr>
          <t xml:space="preserve">
Pfizer Inc. has on a historcally basis tendency to outperform the GDP Growth rate, therefore GDP growth rate average is increaingly weighted</t>
        </r>
      </text>
    </comment>
  </commentList>
</comments>
</file>

<file path=xl/sharedStrings.xml><?xml version="1.0" encoding="utf-8"?>
<sst xmlns="http://schemas.openxmlformats.org/spreadsheetml/2006/main" count="3965" uniqueCount="664">
  <si>
    <t>Finance and Economics of M&amp;A</t>
  </si>
  <si>
    <t>Acquisition of Pharmacia Corporation by Pfizer Inc.</t>
  </si>
  <si>
    <t>by</t>
  </si>
  <si>
    <t>Marc Schwarz</t>
  </si>
  <si>
    <t>EBS Universität für Wirtschaft und Recht</t>
  </si>
  <si>
    <t>Spring Term 2018</t>
  </si>
  <si>
    <t>In Millions of USD except Per Share</t>
  </si>
  <si>
    <t>FY 1999</t>
  </si>
  <si>
    <t>FY 2000</t>
  </si>
  <si>
    <t>FY 2001</t>
  </si>
  <si>
    <t>FY 2002</t>
  </si>
  <si>
    <t>12 Months Ending</t>
  </si>
  <si>
    <t>12/31/1999</t>
  </si>
  <si>
    <t>12/31/2000</t>
  </si>
  <si>
    <t>12/31/2001</t>
  </si>
  <si>
    <t>12/31/2002</t>
  </si>
  <si>
    <t>Revenue</t>
  </si>
  <si>
    <t xml:space="preserve">  - Cost of Revenue</t>
  </si>
  <si>
    <t>Gross Profit</t>
  </si>
  <si>
    <t xml:space="preserve">  - Operating Expenses</t>
  </si>
  <si>
    <t xml:space="preserve">  - Income Tax Expense (Benefit)</t>
  </si>
  <si>
    <t xml:space="preserve">  - Other Adjustments</t>
  </si>
  <si>
    <t>Reference Items</t>
  </si>
  <si>
    <t>Accounting Standard</t>
  </si>
  <si>
    <t>US GAAP</t>
  </si>
  <si>
    <t>EBITDA</t>
  </si>
  <si>
    <t>EBITDA Margin (T12M)</t>
  </si>
  <si>
    <t>Gross Margin</t>
  </si>
  <si>
    <t>Operating Margin</t>
  </si>
  <si>
    <t>Profit Margin</t>
  </si>
  <si>
    <t>Sales per Employee</t>
  </si>
  <si>
    <t>Dividends per Share</t>
  </si>
  <si>
    <t>Total Cash Common Dividends</t>
  </si>
  <si>
    <t>Capitalized Interest Expense</t>
  </si>
  <si>
    <t>—</t>
  </si>
  <si>
    <t>Depreciation Expense</t>
  </si>
  <si>
    <t>Source: Bloomberg</t>
  </si>
  <si>
    <t>FY 1998</t>
  </si>
  <si>
    <t>12/31/1998</t>
  </si>
  <si>
    <t xml:space="preserve">  + Inventories</t>
  </si>
  <si>
    <t>Total Current Assets</t>
  </si>
  <si>
    <t xml:space="preserve">    - Accumulated Depreciation</t>
  </si>
  <si>
    <t>Total Assets</t>
  </si>
  <si>
    <t>Liabilities &amp; Shareholders' Equity</t>
  </si>
  <si>
    <t>Total Current Liabilities</t>
  </si>
  <si>
    <t>Total Liabilities</t>
  </si>
  <si>
    <t xml:space="preserve">  + Share Capital &amp; APIC</t>
  </si>
  <si>
    <t>Total Equity</t>
  </si>
  <si>
    <t>Total Liabilities &amp; Equity</t>
  </si>
  <si>
    <t>Shares Outstanding</t>
  </si>
  <si>
    <t>Number of Treasury Shares</t>
  </si>
  <si>
    <t>Pension Obligations</t>
  </si>
  <si>
    <t>Capital Leases - Total</t>
  </si>
  <si>
    <t>Options Granted During Period</t>
  </si>
  <si>
    <t>Options Outstanding at Period End</t>
  </si>
  <si>
    <t>Net Debt</t>
  </si>
  <si>
    <t>Net Debt to Equity</t>
  </si>
  <si>
    <t>Tangible Common Equity Ratio</t>
  </si>
  <si>
    <t>Current Ratio</t>
  </si>
  <si>
    <t>Cash Conversion Cycle</t>
  </si>
  <si>
    <t>Number of Employees</t>
  </si>
  <si>
    <t xml:space="preserve">  + Net Income</t>
  </si>
  <si>
    <t xml:space="preserve">  + Depreciation &amp; Amortization</t>
  </si>
  <si>
    <t xml:space="preserve">  + Other Investing Activities</t>
  </si>
  <si>
    <t>Cash from Financing Activities</t>
  </si>
  <si>
    <t xml:space="preserve">  + Dividends Paid</t>
  </si>
  <si>
    <t xml:space="preserve">  + Other Financing Activities</t>
  </si>
  <si>
    <t>Net Changes in Cash</t>
  </si>
  <si>
    <t>Trailing 12M EBITDA Margin</t>
  </si>
  <si>
    <t>Cash Paid for Taxes</t>
  </si>
  <si>
    <t>Cash Paid for Interest</t>
  </si>
  <si>
    <t>Free Cash Flow</t>
  </si>
  <si>
    <t>Free Cash Flow to Firm</t>
  </si>
  <si>
    <t>Free Cash Flow to Equity</t>
  </si>
  <si>
    <t>Free Cash Flow per Basic Share</t>
  </si>
  <si>
    <t>Price to Free Cash Flow</t>
  </si>
  <si>
    <t>Cash Flow to Net Income</t>
  </si>
  <si>
    <t>Date</t>
  </si>
  <si>
    <t>Dividends Paid</t>
  </si>
  <si>
    <t>Volume</t>
  </si>
  <si>
    <t>Last Price</t>
  </si>
  <si>
    <t>History Pharmacia LLC (748957Q US) in USD</t>
  </si>
  <si>
    <t>History Pfizer in USD</t>
  </si>
  <si>
    <t>History S&amp;P 500 in USD</t>
  </si>
  <si>
    <t>Pfizer Inc (PFE US) - Standardized</t>
  </si>
  <si>
    <t>FY 1997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</si>
  <si>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</si>
  <si>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</si>
  <si>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</si>
  <si>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</si>
  <si>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</si>
  <si>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</si>
  <si>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</si>
  <si>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</si>
  <si>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</si>
  <si>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</si>
  <si>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</si>
  <si>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</si>
  <si>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</si>
  <si>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</si>
  <si>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</si>
  <si>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12/31/1997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</si>
  <si>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</si>
  <si>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</si>
  <si>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</si>
  <si>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</si>
  <si>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</si>
  <si>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</si>
  <si>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</si>
  <si>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</si>
  <si>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</si>
  <si>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</si>
  <si>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</si>
  <si>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</si>
  <si>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</si>
  <si>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</si>
  <si>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</si>
  <si>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 xml:space="preserve">  + Cash, Cash Equivalents &amp; STI</t>
  </si>
  <si>
    <t xml:space="preserve">    + Cash &amp; Cash Equivalents</t>
  </si>
  <si>
    <t xml:space="preserve">    + ST Investments</t>
  </si>
  <si>
    <t xml:space="preserve">  + Accounts &amp; Notes Receiv</t>
  </si>
  <si>
    <t xml:space="preserve">    + Accounts Receivable, Net</t>
  </si>
  <si>
    <t xml:space="preserve">    + Notes Receivable, Net</t>
  </si>
  <si>
    <t xml:space="preserve">    + Raw Materials</t>
  </si>
  <si>
    <t xml:space="preserve">    + Work In Process</t>
  </si>
  <si>
    <t xml:space="preserve">    + Finished Goods</t>
  </si>
  <si>
    <t xml:space="preserve">    + Other Inventory</t>
  </si>
  <si>
    <t xml:space="preserve">  + Other ST Assets</t>
  </si>
  <si>
    <t xml:space="preserve">    + Derivative &amp; Hedging Assets</t>
  </si>
  <si>
    <t xml:space="preserve">    + Assets Held-for-Sale</t>
  </si>
  <si>
    <t xml:space="preserve">    + Deferred Tax Assets</t>
  </si>
  <si>
    <t xml:space="preserve">    + Discontinued Operations</t>
  </si>
  <si>
    <t xml:space="preserve">    + Misc ST Assets</t>
  </si>
  <si>
    <t xml:space="preserve">  + Property, Plant &amp; Equip, Net</t>
  </si>
  <si>
    <t xml:space="preserve">  Geographic Segments</t>
  </si>
  <si>
    <t xml:space="preserve">    United States</t>
  </si>
  <si>
    <t xml:space="preserve">    Developed Europe</t>
  </si>
  <si>
    <t xml:space="preserve">    Emerging Markets</t>
  </si>
  <si>
    <t xml:space="preserve">    Developed Rest of World</t>
  </si>
  <si>
    <t xml:space="preserve">    + Property, Plant &amp; Equip</t>
  </si>
  <si>
    <t xml:space="preserve">  + LT Investments &amp; Receivables</t>
  </si>
  <si>
    <t xml:space="preserve">    + LT Investments</t>
  </si>
  <si>
    <t xml:space="preserve">  + Other LT Assets</t>
  </si>
  <si>
    <t xml:space="preserve">    + Total Intangible Assets</t>
  </si>
  <si>
    <t xml:space="preserve">    + Goodwill</t>
  </si>
  <si>
    <t xml:space="preserve">  Product/Brand Segments</t>
  </si>
  <si>
    <t xml:space="preserve">    Pfizer's Innovative  Health</t>
  </si>
  <si>
    <t xml:space="preserve">    Pfizer's Essential Health</t>
  </si>
  <si>
    <t xml:space="preserve">    Global Vaccines, Oncology and Consumer Healthcare</t>
  </si>
  <si>
    <t xml:space="preserve">    Global Established Pharmaceutical</t>
  </si>
  <si>
    <t xml:space="preserve">    Global Innovative Pharmaceutical</t>
  </si>
  <si>
    <t xml:space="preserve">    Consumer, Capsugel and Pfizer CentreSource</t>
  </si>
  <si>
    <t xml:space="preserve">    Animal Health And Consumer Health</t>
  </si>
  <si>
    <t xml:space="preserve">    Other</t>
  </si>
  <si>
    <t xml:space="preserve">    Pfizer CentreSource</t>
  </si>
  <si>
    <t xml:space="preserve">    Diversified</t>
  </si>
  <si>
    <t xml:space="preserve">      Primary Care</t>
  </si>
  <si>
    <t xml:space="preserve">      Established Products&amp;Emerging Market</t>
  </si>
  <si>
    <t xml:space="preserve">      Specialty Care And Oncology</t>
  </si>
  <si>
    <t xml:space="preserve">    + Other Intangible Assets</t>
  </si>
  <si>
    <t xml:space="preserve">    + Prepaid Pension Costs</t>
  </si>
  <si>
    <t xml:space="preserve">    + Misc LT Assets</t>
  </si>
  <si>
    <t>Total Noncurrent Assets</t>
  </si>
  <si>
    <t xml:space="preserve">    Discontinued operations/Held for sale</t>
  </si>
  <si>
    <t xml:space="preserve">    Animal Health</t>
  </si>
  <si>
    <t xml:space="preserve">    Corporate/Other</t>
  </si>
  <si>
    <t xml:space="preserve">    Biopharmaceutical</t>
  </si>
  <si>
    <t xml:space="preserve">  + Payables &amp; Accruals</t>
  </si>
  <si>
    <t xml:space="preserve">    + Accounts Payable</t>
  </si>
  <si>
    <t xml:space="preserve">    + Accrued Taxes</t>
  </si>
  <si>
    <t xml:space="preserve">    + Interest &amp; Dividends Payable</t>
  </si>
  <si>
    <t xml:space="preserve">    + Other Payables &amp; Accruals</t>
  </si>
  <si>
    <t xml:space="preserve">  + ST Debt</t>
  </si>
  <si>
    <t xml:space="preserve">    + ST Borrowings</t>
  </si>
  <si>
    <t xml:space="preserve">    + ST Capital Leases</t>
  </si>
  <si>
    <t xml:space="preserve">    + Current Portion of LT Debt</t>
  </si>
  <si>
    <t xml:space="preserve">  + Other ST Liabilities</t>
  </si>
  <si>
    <t xml:space="preserve">    + Deferred Revenue</t>
  </si>
  <si>
    <t xml:space="preserve">    + Derivatives &amp; Hedging</t>
  </si>
  <si>
    <t xml:space="preserve">    + Misc ST Liabilities</t>
  </si>
  <si>
    <t xml:space="preserve">  + LT Debt</t>
  </si>
  <si>
    <t xml:space="preserve">    + LT Borrowings</t>
  </si>
  <si>
    <t xml:space="preserve">    + LT Capital Leases</t>
  </si>
  <si>
    <t xml:space="preserve">  + Other LT Liabilities</t>
  </si>
  <si>
    <t xml:space="preserve">    + Accrued Liabilities</t>
  </si>
  <si>
    <t xml:space="preserve">    + Pension Liabilities</t>
  </si>
  <si>
    <t xml:space="preserve">    + Deferred Tax Liabilities</t>
  </si>
  <si>
    <t xml:space="preserve">    + Misc LT Liabilities</t>
  </si>
  <si>
    <t>Total Noncurrent Liabilities</t>
  </si>
  <si>
    <t xml:space="preserve">  + Preferred Equity and Hybrid Capital</t>
  </si>
  <si>
    <t xml:space="preserve">    + Common Stock</t>
  </si>
  <si>
    <t xml:space="preserve">    + Additional Paid in Capital</t>
  </si>
  <si>
    <t xml:space="preserve">  - Treasury Stock</t>
  </si>
  <si>
    <t xml:space="preserve">  + Retained Earnings</t>
  </si>
  <si>
    <t xml:space="preserve">  + Other Equity</t>
  </si>
  <si>
    <t>Equity Before Minority Interest</t>
  </si>
  <si>
    <t xml:space="preserve">  + Minority/Non Controlling Interest</t>
  </si>
  <si>
    <t>Future Minimum Operating Lease Obligations</t>
  </si>
  <si>
    <t>Pfizer Inc (PFE US) - Adjusted</t>
  </si>
  <si>
    <t xml:space="preserve">    + Sales &amp; Services Revenue</t>
  </si>
  <si>
    <t xml:space="preserve">    + Cost of Goods &amp; Services</t>
  </si>
  <si>
    <t xml:space="preserve">  + Other Operating Income</t>
  </si>
  <si>
    <t xml:space="preserve">    + Selling, General &amp; Admin</t>
  </si>
  <si>
    <t xml:space="preserve">    + Research &amp; Development</t>
  </si>
  <si>
    <t xml:space="preserve">    + Other Operating Expense</t>
  </si>
  <si>
    <t>Operating Income (Loss)</t>
  </si>
  <si>
    <t xml:space="preserve">  - Non-Operating (Income) Loss</t>
  </si>
  <si>
    <t xml:space="preserve">    + Interest Expense, Net</t>
  </si>
  <si>
    <t xml:space="preserve">    + Interest Expense</t>
  </si>
  <si>
    <t xml:space="preserve">    - Interest Income</t>
  </si>
  <si>
    <t xml:space="preserve">    + Foreign Exch (Gain) Loss</t>
  </si>
  <si>
    <t xml:space="preserve">    + Other Non-Op (Income) Loss</t>
  </si>
  <si>
    <t>Pretax Income (Loss), Adjusted</t>
  </si>
  <si>
    <t xml:space="preserve">  - Abnormal Losses (Gains)</t>
  </si>
  <si>
    <t xml:space="preserve">    + Acquired In-Process R&amp;D</t>
  </si>
  <si>
    <t xml:space="preserve">    + Merger/Acquisition Expense</t>
  </si>
  <si>
    <t xml:space="preserve">    + Disposal of Assets</t>
  </si>
  <si>
    <t xml:space="preserve">    + Early Extinguishment of Debt</t>
  </si>
  <si>
    <t xml:space="preserve">    + Asset Write-Down</t>
  </si>
  <si>
    <t xml:space="preserve">    + Impairment of Intangibles</t>
  </si>
  <si>
    <t xml:space="preserve">    + Legal Settlement</t>
  </si>
  <si>
    <t xml:space="preserve">    + Restructuring</t>
  </si>
  <si>
    <t xml:space="preserve">    + Other Abnormal Items</t>
  </si>
  <si>
    <t>Pretax Income (Loss), GAAP</t>
  </si>
  <si>
    <t xml:space="preserve">    + Current Income Tax</t>
  </si>
  <si>
    <t xml:space="preserve">    + Deferred Income Tax</t>
  </si>
  <si>
    <t>Income (Loss) from Cont Ops</t>
  </si>
  <si>
    <t xml:space="preserve">  - Net Extraordinary Losses (Gains)</t>
  </si>
  <si>
    <t xml:space="preserve">    + XO &amp; Accounting Changes</t>
  </si>
  <si>
    <t>Income (Loss) Incl. MI</t>
  </si>
  <si>
    <t xml:space="preserve">  - Minority Interest</t>
  </si>
  <si>
    <t>Net Income, GAAP</t>
  </si>
  <si>
    <t xml:space="preserve">  - Preferred Dividends</t>
  </si>
  <si>
    <t>Net Income Avail to Common, GAAP</t>
  </si>
  <si>
    <t>Net Income Avail to Common, Adj</t>
  </si>
  <si>
    <t xml:space="preserve">  Net Abnormal Losses (Gains)</t>
  </si>
  <si>
    <t xml:space="preserve">  Net Extraordinary Losses (Gains)</t>
  </si>
  <si>
    <t>Basic Weighted Avg Shares</t>
  </si>
  <si>
    <t>Basic EPS, GAAP</t>
  </si>
  <si>
    <t>Basic EPS from Cont Ops</t>
  </si>
  <si>
    <t>Basic EPS from Cont Ops, Adjusted</t>
  </si>
  <si>
    <t>Diluted Weighted Avg Shares</t>
  </si>
  <si>
    <t>Diluted EPS, GAAP</t>
  </si>
  <si>
    <t>Diluted EPS from Cont Ops</t>
  </si>
  <si>
    <t>Diluted EPS from Cont Ops, Adjusted</t>
  </si>
  <si>
    <t>EBITA</t>
  </si>
  <si>
    <t>EBIT</t>
  </si>
  <si>
    <t>Rental Expense</t>
  </si>
  <si>
    <t>Last 12M</t>
  </si>
  <si>
    <t>Cash from Operating Activities</t>
  </si>
  <si>
    <t xml:space="preserve">    Reconciling Items</t>
  </si>
  <si>
    <t xml:space="preserve">      Purchase Accounting Adjustments</t>
  </si>
  <si>
    <t xml:space="preserve">      Corporate</t>
  </si>
  <si>
    <t xml:space="preserve">      Other Unallocated</t>
  </si>
  <si>
    <t xml:space="preserve">      Certain significant items</t>
  </si>
  <si>
    <t xml:space="preserve">      Acquisition-related costs</t>
  </si>
  <si>
    <t xml:space="preserve">    Other Business Activites</t>
  </si>
  <si>
    <t xml:space="preserve">    Global Vaccines, Oncology &amp; Consumer Healthcare</t>
  </si>
  <si>
    <t xml:space="preserve">    Global Innovative Pharmaceuticals</t>
  </si>
  <si>
    <t xml:space="preserve">    Global Established Pharmaceuticals</t>
  </si>
  <si>
    <t xml:space="preserve">    Nutrition</t>
  </si>
  <si>
    <t xml:space="preserve">    Primary Care</t>
  </si>
  <si>
    <t xml:space="preserve">    Established Products&amp;Emerging Market</t>
  </si>
  <si>
    <t xml:space="preserve">    Specialty Care And Oncology</t>
  </si>
  <si>
    <t xml:space="preserve">  + Non-Cash Items</t>
  </si>
  <si>
    <t xml:space="preserve">    + Stock-Based Compensation</t>
  </si>
  <si>
    <t xml:space="preserve">    + Deferred Income Taxes</t>
  </si>
  <si>
    <t xml:space="preserve">    + Other Non-Cash Adj</t>
  </si>
  <si>
    <t xml:space="preserve">  + Chg in Non-Cash Work Cap</t>
  </si>
  <si>
    <t xml:space="preserve">    + (Inc) Dec in Accts Receiv</t>
  </si>
  <si>
    <t xml:space="preserve">    + (Inc) Dec in Inventories</t>
  </si>
  <si>
    <t xml:space="preserve">    + Inc (Dec) in Accts Payable</t>
  </si>
  <si>
    <t xml:space="preserve">    + Inc (Dec) in Other</t>
  </si>
  <si>
    <t xml:space="preserve">  + Net Cash From Disc Ops</t>
  </si>
  <si>
    <t>Cash from Investing Activities</t>
  </si>
  <si>
    <t xml:space="preserve">  + Change in Fixed &amp; Intang</t>
  </si>
  <si>
    <t xml:space="preserve">    + Disp in Fixed &amp; Intang</t>
  </si>
  <si>
    <t xml:space="preserve">    + Disp of Fixed Prod Assets</t>
  </si>
  <si>
    <t xml:space="preserve">    + Disp of Intangible Assets</t>
  </si>
  <si>
    <t xml:space="preserve">    + Acq of Fixed &amp; Intang</t>
  </si>
  <si>
    <t xml:space="preserve">    + Acq of Fixed Prod Assets</t>
  </si>
  <si>
    <t xml:space="preserve">    + Acq of Intangible Assets</t>
  </si>
  <si>
    <t xml:space="preserve">  + Net Change in LT Investment</t>
  </si>
  <si>
    <t xml:space="preserve">    + Dec in LT Investment</t>
  </si>
  <si>
    <t xml:space="preserve">    + Inc in LT Investment</t>
  </si>
  <si>
    <t xml:space="preserve">  + Net Cash From Acq &amp; Div</t>
  </si>
  <si>
    <t xml:space="preserve">    + Cash from Divestitures</t>
  </si>
  <si>
    <t xml:space="preserve">    + Cash for Acq of Subs</t>
  </si>
  <si>
    <t xml:space="preserve">    + Cash for JVs</t>
  </si>
  <si>
    <t xml:space="preserve">  + Cash From (Repayment) Debt</t>
  </si>
  <si>
    <t xml:space="preserve">    + Cash From (Repay) ST Debt</t>
  </si>
  <si>
    <t xml:space="preserve">    + Cash From LT Debt</t>
  </si>
  <si>
    <t xml:space="preserve">    + Repayments of LT Debt</t>
  </si>
  <si>
    <t xml:space="preserve">  + Cash (Repurchase) of Equity</t>
  </si>
  <si>
    <t xml:space="preserve">    + Increase in Capital Stock</t>
  </si>
  <si>
    <t xml:space="preserve">    + Decrease in Capital Stock</t>
  </si>
  <si>
    <t xml:space="preserve">  Effect of Foreign Exchange Rates</t>
  </si>
  <si>
    <t>Net Cash Paid for Acquisitions</t>
  </si>
  <si>
    <t>WACC</t>
  </si>
  <si>
    <t>PFE US Equity</t>
  </si>
  <si>
    <t>PX_LAST</t>
  </si>
  <si>
    <t>BEST_CUR_EV_TO_EBITDA</t>
  </si>
  <si>
    <t>CURR_ENTP_VAL</t>
  </si>
  <si>
    <t>CUR_MKT_CAP</t>
  </si>
  <si>
    <t>PE_RATIO</t>
  </si>
  <si>
    <t>5_YEAR_AVERAGE_ADJUSTED_ROE</t>
  </si>
  <si>
    <t>SALES_REV_TURN</t>
  </si>
  <si>
    <t>BEST_EPS</t>
  </si>
  <si>
    <t>EQY_DVD_YLD_12M</t>
  </si>
  <si>
    <t>EQY_SH_OUT</t>
  </si>
  <si>
    <t>CHG_PCT_1D</t>
  </si>
  <si>
    <t>CHG_PCT_1M</t>
  </si>
  <si>
    <t>BEST_PX_BPS_RATIO</t>
  </si>
  <si>
    <t>IS_ADJUSTED_EBITDA_AS_REPORTED</t>
  </si>
  <si>
    <t>BEST_DIV_YLD</t>
  </si>
  <si>
    <t>#N/A N/A</t>
  </si>
  <si>
    <t>LLY US Equity</t>
  </si>
  <si>
    <t>JNJ US Equity</t>
  </si>
  <si>
    <t>MRK US Equity</t>
  </si>
  <si>
    <t>BMY US Equity</t>
  </si>
  <si>
    <t>Price per Share</t>
  </si>
  <si>
    <t>in Millions of USD except per share</t>
  </si>
  <si>
    <t>Market</t>
  </si>
  <si>
    <t>Capitalization</t>
  </si>
  <si>
    <t>Enterprise</t>
  </si>
  <si>
    <t>Value</t>
  </si>
  <si>
    <t>Enterprise Value/EBITDA</t>
  </si>
  <si>
    <t>Bookvalue of Equity</t>
  </si>
  <si>
    <t>Diluted EPS</t>
  </si>
  <si>
    <t>P/E Ratio</t>
  </si>
  <si>
    <t>Price/Book Ratio</t>
  </si>
  <si>
    <t>Pfizer Inc.</t>
  </si>
  <si>
    <t>Eli Lilly and Co</t>
  </si>
  <si>
    <t>Johnson &amp; Johnson</t>
  </si>
  <si>
    <t>Merck &amp; Co.</t>
  </si>
  <si>
    <t>Bristol-Myers Squibb</t>
  </si>
  <si>
    <t>1. Value Multiples based on Cash Flows</t>
  </si>
  <si>
    <t>Enterprise Value</t>
  </si>
  <si>
    <t>Average (excl. Pfizer)</t>
  </si>
  <si>
    <t>1st Quartile (excl. Pfizer)</t>
  </si>
  <si>
    <t>Median (excl. Pfizer)</t>
  </si>
  <si>
    <t>3rd Quartile (excl. Pfizer)</t>
  </si>
  <si>
    <t>WACC_COST_EQUITY</t>
  </si>
  <si>
    <t>WACC_COST_DEBT</t>
  </si>
  <si>
    <t>Median Peer Group</t>
  </si>
  <si>
    <t>Bloomberg (as of 16.04.2018)</t>
  </si>
  <si>
    <t>EV Pfizer (Calculated)</t>
  </si>
  <si>
    <t>EBITDA (1)</t>
  </si>
  <si>
    <t>EBITDA (2)</t>
  </si>
  <si>
    <t>EV/EBITDA (1)</t>
  </si>
  <si>
    <t>EV/EBITDA (2)</t>
  </si>
  <si>
    <t xml:space="preserve">EV Pfizer </t>
  </si>
  <si>
    <t>2. Multiples Based on Assets</t>
  </si>
  <si>
    <t>MV of Equity</t>
  </si>
  <si>
    <t>Price/Book Ratio (1)</t>
  </si>
  <si>
    <t>Price/Book Ratio (2)</t>
  </si>
  <si>
    <t xml:space="preserve">Bookvalue of Debt Pfizer FY2001 </t>
  </si>
  <si>
    <t>Cash and Equivalents FY 2001</t>
  </si>
  <si>
    <t>BV Equity based on P/B (1)</t>
  </si>
  <si>
    <t>EV Nike based on P/B (2)</t>
  </si>
  <si>
    <t>3. Price Multiples based on Cash Flows</t>
  </si>
  <si>
    <t>P/E (1)</t>
  </si>
  <si>
    <t>P/E (2)</t>
  </si>
  <si>
    <t>Market Share Price (2)</t>
  </si>
  <si>
    <t>Market Value of Equity</t>
  </si>
  <si>
    <t>EV Pfizer</t>
  </si>
  <si>
    <t>Pfizer Inc (Pfizer US) Trading Multiples</t>
  </si>
  <si>
    <t>Ticker</t>
  </si>
  <si>
    <t>Company</t>
  </si>
  <si>
    <t>Start Date</t>
  </si>
  <si>
    <t>End Date</t>
  </si>
  <si>
    <t>Periodicity</t>
  </si>
  <si>
    <t>Currency</t>
  </si>
  <si>
    <t>USD</t>
  </si>
  <si>
    <t>Filing Status Mnemonic</t>
  </si>
  <si>
    <t>MR</t>
  </si>
  <si>
    <t>Filing</t>
  </si>
  <si>
    <t>Most Recent</t>
  </si>
  <si>
    <t>Units</t>
  </si>
  <si>
    <t>Field</t>
  </si>
  <si>
    <t>Mnemonic</t>
  </si>
  <si>
    <t>Current</t>
  </si>
  <si>
    <t>Original</t>
  </si>
  <si>
    <t>Reclassified/Restated</t>
  </si>
  <si>
    <t>Equity</t>
  </si>
  <si>
    <t>Cost of Equity</t>
  </si>
  <si>
    <t>Weight of Equity</t>
  </si>
  <si>
    <t>WACC_WEIGHT_OF_EQUITY</t>
  </si>
  <si>
    <t>+ Debt</t>
  </si>
  <si>
    <t>Cost of Debt</t>
  </si>
  <si>
    <t>Weight of Debt</t>
  </si>
  <si>
    <t>WACC_WEIGHT_OF_DEBT</t>
  </si>
  <si>
    <t>+ Preferred Equity</t>
  </si>
  <si>
    <t>Cost of Pref. Equity</t>
  </si>
  <si>
    <t>WACC_COST_PFD</t>
  </si>
  <si>
    <t>Weight of Pref. Equity</t>
  </si>
  <si>
    <t>WACC_WEIGHT_OF_PREFERRED_EQUITY</t>
  </si>
  <si>
    <t>Capital Structure</t>
  </si>
  <si>
    <t>+ Historical Market Cap</t>
  </si>
  <si>
    <t>HISTORICAL_MARKET_CAP</t>
  </si>
  <si>
    <t>+ Short Term Debt</t>
  </si>
  <si>
    <t>BS_ST_BORROW</t>
  </si>
  <si>
    <t>+ Long Term Debt</t>
  </si>
  <si>
    <t>BS_LT_BORROW</t>
  </si>
  <si>
    <t>+ Preferred Equity and Hybrid Capital</t>
  </si>
  <si>
    <t>BS_PFD_EQTY_&amp;_HYBRID_CPTL</t>
  </si>
  <si>
    <t>Total Capital</t>
  </si>
  <si>
    <t>WACC_TOTAL_CAPITAL</t>
  </si>
  <si>
    <t>EVA</t>
  </si>
  <si>
    <t>+ Net Op. Profit</t>
  </si>
  <si>
    <t>WACC_NET_OPER_PROFIT</t>
  </si>
  <si>
    <t>- Cash Op. Taxes</t>
  </si>
  <si>
    <t>WACC_CASH_OPER_TAXES</t>
  </si>
  <si>
    <t>+ NOPAT</t>
  </si>
  <si>
    <t>WACC_NOPAT</t>
  </si>
  <si>
    <t>Total Invested Capital</t>
  </si>
  <si>
    <t>WACC_TOTAL_INV_CAPITAL</t>
  </si>
  <si>
    <t>- Capital Charge</t>
  </si>
  <si>
    <t>WACC_CAPITAL_CHARGE</t>
  </si>
  <si>
    <t>Economic Value Added</t>
  </si>
  <si>
    <t>WACC_ECON_VALUE_ADDED</t>
  </si>
  <si>
    <t>ROIC</t>
  </si>
  <si>
    <t>WACC_RETURN_ON_INV_CAPITAL</t>
  </si>
  <si>
    <t>EVA Spread</t>
  </si>
  <si>
    <t>WACC_EVA_SPREAD</t>
  </si>
  <si>
    <t>Terminal Value</t>
  </si>
  <si>
    <t>FY 1996</t>
  </si>
  <si>
    <t>FY 1995</t>
  </si>
  <si>
    <t>FY 1994</t>
  </si>
  <si>
    <t>12/31/1996</t>
  </si>
  <si>
    <t>12/31/1995</t>
  </si>
  <si>
    <t>12/31/1994</t>
  </si>
  <si>
    <t>CF_NET_INC</t>
  </si>
  <si>
    <t>CF_DEPR_AMORT</t>
  </si>
  <si>
    <t>NON_CASH_ITEMS_DETAILED</t>
  </si>
  <si>
    <t>CF_STOCK_BASED_COMPENSATION</t>
  </si>
  <si>
    <t>CF_DEF_INC_TAX</t>
  </si>
  <si>
    <t>OTHER_NON_CASH_ADJ_LESS_DETAILED</t>
  </si>
  <si>
    <t>CF_CHNG_NON_CASH_WORK_CAP</t>
  </si>
  <si>
    <t>CF_ACCT_RCV_UNBILLED_REV</t>
  </si>
  <si>
    <t>CF_CHANGE_IN_INVENTORIES</t>
  </si>
  <si>
    <t>CF_CHANGE_IN_ACCOUNTS_PAYABLE</t>
  </si>
  <si>
    <t>INC_DEC_IN_OT_OP_AST_LIAB_DETAIL</t>
  </si>
  <si>
    <t>CF_NET_CASH_DISCONT_OPS_OPER</t>
  </si>
  <si>
    <t>CF_CASH_FROM_OPER</t>
  </si>
  <si>
    <t>CHG_IN_FXD_&amp;_INTANG_AST_DETAILED</t>
  </si>
  <si>
    <t>DISP_FXD_&amp;_INTANGIBLES_DETAILED</t>
  </si>
  <si>
    <t>CF_DISPOSAL_OF_FIXED_PROD_ASSETS</t>
  </si>
  <si>
    <t>CF_DISPOSAL_OF_INTANGIBLE_ASSETS</t>
  </si>
  <si>
    <t>ACQUIS_FXD_&amp;_INTANG_DETAILED</t>
  </si>
  <si>
    <t>CF_PURCHASE_OF_FIXED_PROD_ASSETS</t>
  </si>
  <si>
    <t>CF_ACQUISITION_OF_INTANG_ASSETS</t>
  </si>
  <si>
    <t>NET_CHG_IN_LT_INVEST_DETAILED</t>
  </si>
  <si>
    <t>CF_DECR_INVEST</t>
  </si>
  <si>
    <t>CF_INCR_INVEST</t>
  </si>
  <si>
    <t>CF_NT_CSH_RCVD_PD_FOR_ACQUIS_DIV</t>
  </si>
  <si>
    <t>CF_CASH_FOR_DIVESTITURES</t>
  </si>
  <si>
    <t>CF_CASH_FOR_ACQUIS_SUBSIDIARIES</t>
  </si>
  <si>
    <t>CF_CASH_FOR_JOINT_VENTURES_ASSOC</t>
  </si>
  <si>
    <t>OTHER_INVESTING_ACT_DETAILED</t>
  </si>
  <si>
    <t>CF_CASH_FROM_INV_ACT</t>
  </si>
  <si>
    <t>CF_DVD_PAID</t>
  </si>
  <si>
    <t>PROC_FR_REPAYMNTS_BOR_DETAILED</t>
  </si>
  <si>
    <t>CF_NET_CHG_IN_ST_DBT_&amp;_CPTL_LEAS</t>
  </si>
  <si>
    <t>CF_PROC_LT_DEBT_&amp;_CAPITAL_LEASE</t>
  </si>
  <si>
    <t>CF_PYMT_LT_DEBT_&amp;_CAPITAL_LEASE</t>
  </si>
  <si>
    <t>PROC_FR_REPURCH_EQTY_DETAILED</t>
  </si>
  <si>
    <t>CF_INCR_CAP_STOCK</t>
  </si>
  <si>
    <t>CF_DECR_CAP_STOCK</t>
  </si>
  <si>
    <t>CF_OTHER_FINANCING_ACT_EXCL_FX</t>
  </si>
  <si>
    <t>CFF_ACTIVITIES_DETAILED</t>
  </si>
  <si>
    <t>CF_EFFECT_FOREIGN_EXCHANGES</t>
  </si>
  <si>
    <t>CF_NET_CHNG_CASH</t>
  </si>
  <si>
    <t>CF_CASH_PAID_FOR_TAX</t>
  </si>
  <si>
    <t>CF_ACT_CASH_PAID_FOR_INT_DEBT</t>
  </si>
  <si>
    <t>Pfizer Inc (Pfizer US) DCF Valuation</t>
  </si>
  <si>
    <t>Revenues</t>
  </si>
  <si>
    <t>(+) Other Operating Income</t>
  </si>
  <si>
    <t>(-) Operating Expenses</t>
  </si>
  <si>
    <t>Revenue Growth (y-o-y)</t>
  </si>
  <si>
    <t>Depreciation &amp; Amortization</t>
  </si>
  <si>
    <t>Operating Income</t>
  </si>
  <si>
    <t>Operating Income Margin</t>
  </si>
  <si>
    <t>Operating Income Growth</t>
  </si>
  <si>
    <t>Taxes</t>
  </si>
  <si>
    <t>Average Tax Rate</t>
  </si>
  <si>
    <t>Net Income</t>
  </si>
  <si>
    <t>Net Income Margin</t>
  </si>
  <si>
    <t>Net Income Growth</t>
  </si>
  <si>
    <t>(+) Depreciation &amp; Amortization</t>
  </si>
  <si>
    <t>(-) Change in Net Working Capital</t>
  </si>
  <si>
    <t>(-) CAPEX</t>
  </si>
  <si>
    <t>FY 1997 A</t>
  </si>
  <si>
    <t>FY 1998 A</t>
  </si>
  <si>
    <t>FY 1999 A</t>
  </si>
  <si>
    <t xml:space="preserve">FY 2000 A </t>
  </si>
  <si>
    <t>FY 2001 A</t>
  </si>
  <si>
    <t>Est. Growth Rates</t>
  </si>
  <si>
    <t>FY 2002 E</t>
  </si>
  <si>
    <t>FY 2003 E</t>
  </si>
  <si>
    <t>FY 2004 E</t>
  </si>
  <si>
    <t>FY 2005 E</t>
  </si>
  <si>
    <t>FY 2006 E</t>
  </si>
  <si>
    <t xml:space="preserve">Net Working Capital </t>
  </si>
  <si>
    <t>%-Change D&amp;A</t>
  </si>
  <si>
    <t>%-Change in Net Working Capital</t>
  </si>
  <si>
    <t>FY 1987</t>
  </si>
  <si>
    <t>FY 1988</t>
  </si>
  <si>
    <t>FY 1989</t>
  </si>
  <si>
    <t>FY 1990</t>
  </si>
  <si>
    <t>FY 1991</t>
  </si>
  <si>
    <t>FY 1992</t>
  </si>
  <si>
    <t>FY 1993</t>
  </si>
  <si>
    <t>12/31/1987</t>
  </si>
  <si>
    <t>12/31/1988</t>
  </si>
  <si>
    <t>12/31/1989</t>
  </si>
  <si>
    <t>12/31/1990</t>
  </si>
  <si>
    <t>12/31/1991</t>
  </si>
  <si>
    <t>12/31/1992</t>
  </si>
  <si>
    <t>12/31/1993</t>
  </si>
  <si>
    <t>C&amp;CE_AND_STI_DETAILED</t>
  </si>
  <si>
    <t xml:space="preserve">    Growth (YoY)</t>
  </si>
  <si>
    <t>BS_CASH_NEAR_CASH_ITEM</t>
  </si>
  <si>
    <t>BS_MKT_SEC_OTHER_ST_INVEST</t>
  </si>
  <si>
    <t>BS_ACCT_NOTE_RCV</t>
  </si>
  <si>
    <t>BS_INVENTORIES</t>
  </si>
  <si>
    <t>INVTRY_RAW_MATERIALS</t>
  </si>
  <si>
    <t>INVTRY_IN_PROGRESS</t>
  </si>
  <si>
    <t>INVTRY_FINISHED_GOODS</t>
  </si>
  <si>
    <t>OTHER_CURRENT_ASSETS_DETAILED</t>
  </si>
  <si>
    <t>BS_CUR_ASSET_REPORT</t>
  </si>
  <si>
    <t>BS_NET_FIX_ASSET</t>
  </si>
  <si>
    <t>BS_GROSS_FIX_ASSET</t>
  </si>
  <si>
    <t>BS_ACCUM_DEPR</t>
  </si>
  <si>
    <t>BS_LT_INVEST</t>
  </si>
  <si>
    <t>BS_OTHER_ASSETS_DEF_CHRG_OTHER</t>
  </si>
  <si>
    <t>BS_DISCLOSED_INTANGIBLES</t>
  </si>
  <si>
    <t>OTHER_NONCURRENT_ASSETS_DETAILED</t>
  </si>
  <si>
    <t>BS_TOT_NON_CUR_ASSET</t>
  </si>
  <si>
    <t>BS_TOT_ASSET</t>
  </si>
  <si>
    <t>ACCT_PAYABLE_&amp;_ACCRUALS_DETAILED</t>
  </si>
  <si>
    <t>BS_ACCT_PAYABLE</t>
  </si>
  <si>
    <t>OTHER_CURRENT_LIABS_SUB_DETAILED</t>
  </si>
  <si>
    <t>OTHER_CURRENT_LIABS_DETAILED</t>
  </si>
  <si>
    <t>BS_CUR_LIAB</t>
  </si>
  <si>
    <t>OTHER_NONCUR_LIABS_SUB_DETAILED</t>
  </si>
  <si>
    <t>OTHER_NONCURRENT_LIABS_DETAILED</t>
  </si>
  <si>
    <t>NON_CUR_LIAB</t>
  </si>
  <si>
    <t>BS_TOT_LIAB2</t>
  </si>
  <si>
    <t>BS_SH_CAP_AND_APIC</t>
  </si>
  <si>
    <t>BS_AMT_OF_TSY_STOCK</t>
  </si>
  <si>
    <t>OTHER_INS_RES_TO_SHRHLDR_EQY</t>
  </si>
  <si>
    <t>EQTY_BEF_MINORITY_INT_DETAILED</t>
  </si>
  <si>
    <t>MINORITY_NONCONTROLLING_INTEREST</t>
  </si>
  <si>
    <t>TOTAL_EQUITY</t>
  </si>
  <si>
    <t>TOT_LIAB_AND_EQY</t>
  </si>
  <si>
    <t>ACCOUNTING_STANDARD</t>
  </si>
  <si>
    <t>BS_SH_OUT</t>
  </si>
  <si>
    <t>BS_NUM_OF_TSY_SH</t>
  </si>
  <si>
    <t>NET_DEBT</t>
  </si>
  <si>
    <t>NET_DEBT_TO_SHRHLDR_EQTY</t>
  </si>
  <si>
    <t>TCE_RATIO</t>
  </si>
  <si>
    <t>CUR_RATIO</t>
  </si>
  <si>
    <t>CASH_CONVERSION_CYCLE</t>
  </si>
  <si>
    <t>NUM_OF_EMPLOYEES</t>
  </si>
  <si>
    <t>NWC 1996</t>
  </si>
  <si>
    <t>Projected Cash Flows</t>
  </si>
  <si>
    <t>Discounted Cash Flows</t>
  </si>
  <si>
    <t>Present Value of Free Cash Flow</t>
  </si>
  <si>
    <t>Discounting Period</t>
  </si>
  <si>
    <t>Discounting Factor</t>
  </si>
  <si>
    <t>Security</t>
  </si>
  <si>
    <t xml:space="preserve">GDPGAUSA Index                                                  </t>
  </si>
  <si>
    <t>Period</t>
  </si>
  <si>
    <t>Y</t>
  </si>
  <si>
    <t>PX_MID</t>
  </si>
  <si>
    <t>Present Value of Pfizer Inc.</t>
  </si>
  <si>
    <t>Free cash flow terminal year</t>
  </si>
  <si>
    <t>Perpetuity growth rate</t>
  </si>
  <si>
    <t>Discount Factor</t>
  </si>
  <si>
    <t>PV of Terminal Value</t>
  </si>
  <si>
    <t>Enterprise Value (EV)</t>
  </si>
  <si>
    <t>Share Price (in $)</t>
  </si>
  <si>
    <t>Source: own calculations</t>
  </si>
  <si>
    <t>CPI-All Urban Consumers (Current Series)</t>
  </si>
  <si>
    <t>12-Month Percent Change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</si>
  <si>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</si>
  <si>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</si>
  <si>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</si>
  <si>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</si>
  <si>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</si>
  <si>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</si>
  <si>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</si>
  <si>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</si>
  <si>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</si>
  <si>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</si>
  <si>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</si>
  <si>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</si>
  <si>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1995 to 2018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</si>
  <si>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</si>
  <si>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</si>
  <si>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</si>
  <si>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</si>
  <si>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</si>
  <si>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</si>
  <si>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</si>
  <si>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</si>
  <si>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</si>
  <si>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</si>
  <si>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</si>
  <si>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</si>
  <si>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</si>
  <si>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</si>
  <si>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</si>
  <si>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Source:https://data.bls.gov/pdq/SurveyOutputServlet</t>
  </si>
  <si>
    <t>Inflation rate (as of 12/2001)</t>
  </si>
  <si>
    <t>GDP growth rate (as of 12/2001)</t>
  </si>
  <si>
    <t>Average Inflation Rate United States of America 2001</t>
  </si>
  <si>
    <t>Average used for calculations</t>
  </si>
  <si>
    <t>M&amp;A</t>
  </si>
  <si>
    <t>Assumptions</t>
  </si>
  <si>
    <t>Actual</t>
  </si>
  <si>
    <t>Operating assumptions - Stable growth</t>
    <phoneticPr fontId="0" type="noConversion"/>
  </si>
  <si>
    <t>Income statement</t>
  </si>
  <si>
    <t>Sales growth</t>
  </si>
  <si>
    <t>NA</t>
  </si>
  <si>
    <t>COGS as % of sales</t>
  </si>
  <si>
    <t>SG&amp;A, Others as % of sales</t>
    <phoneticPr fontId="0" type="noConversion"/>
  </si>
  <si>
    <t>R&amp;D as % of sales</t>
  </si>
  <si>
    <t>Effective tax rate</t>
  </si>
  <si>
    <t>Balance Sheet</t>
  </si>
  <si>
    <t>NC-WC as % of sales</t>
  </si>
  <si>
    <t>Cash Flow Statement</t>
  </si>
  <si>
    <t>D&amp;A as % of sales</t>
    <phoneticPr fontId="0" type="noConversion"/>
  </si>
  <si>
    <t>Capex as % of sales</t>
    <phoneticPr fontId="0" type="noConversion"/>
  </si>
  <si>
    <t>Income Statement</t>
  </si>
  <si>
    <t>Sales</t>
  </si>
  <si>
    <t>Cost of sales</t>
  </si>
  <si>
    <t>R&amp;D expenses</t>
  </si>
  <si>
    <t>% margin</t>
  </si>
  <si>
    <t>Depreciation &amp; amortization*</t>
  </si>
  <si>
    <t>Pfizer Inc. US</t>
  </si>
  <si>
    <t>SG&amp;A</t>
  </si>
  <si>
    <t>Pfizer Inc (Pfizer US) Summary of Results</t>
  </si>
  <si>
    <t>Expected Enterprise Value based on Method:</t>
  </si>
  <si>
    <t>Min</t>
  </si>
  <si>
    <t>25th</t>
  </si>
  <si>
    <t>Median</t>
  </si>
  <si>
    <t>75th</t>
  </si>
  <si>
    <t>Max</t>
  </si>
  <si>
    <t>Multiples based on Assets</t>
  </si>
  <si>
    <t>Value Multiples based on Cash Flow</t>
  </si>
  <si>
    <t>Discounted Cash Flow Method (Base/Base Case)</t>
  </si>
  <si>
    <t xml:space="preserve">Price Multiples based on Cash Flow </t>
  </si>
  <si>
    <t>Min Point</t>
  </si>
  <si>
    <t>25th Point</t>
  </si>
  <si>
    <t>Median Point</t>
  </si>
  <si>
    <t>75th Point</t>
  </si>
  <si>
    <t>Max Point</t>
  </si>
  <si>
    <t>Comparable Pharma Companies</t>
  </si>
  <si>
    <t>In Millions of USD</t>
  </si>
  <si>
    <t>in Millions of USD</t>
  </si>
  <si>
    <t>Standalone Valuation of Pfizer Pre-Merger</t>
  </si>
  <si>
    <t>Projected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</si>
</sst>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\ _€_-;\-* #,##0.00\ _€_-;_-* &quot;-&quot;??\ _€_-;_-@_-"/>
    <numFmt numFmtId="164" formatCode="#,##0.0"/>
    <numFmt numFmtId="165" formatCode="dd\.mm\.yyyy"/>
    <numFmt numFmtId="166" formatCode="0.000"/>
    <numFmt numFmtId="167" formatCode="#0.0"/>
    <numFmt numFmtId="168" formatCode="0.0000000"/>
    <numFmt numFmtId="169" formatCode="0&quot;E&quot;"/>
    <numFmt numFmtId="170" formatCode="0&quot;A&quot;"/>
    <numFmt numFmtId="171" formatCode="#,##0.0_);\ \(#,##0.0\);\-"/>
    <numFmt numFmtId="172" formatCode="0.0%"/>
    <numFmt numFmtId="173" formatCode="#,##0.0%;\ \(#,##0.0\)%;\-"/>
  </numFmts>
  <fonts count="5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63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8"/>
      <color theme="3" tint="0.3999755851924192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2"/>
      <color indexed="8"/>
      <name val="Arial"/>
      <family val="2"/>
    </font>
    <font>
      <b/>
      <sz val="11"/>
      <color rgb="FFFFC000"/>
      <name val="Calibri"/>
      <family val="2"/>
      <scheme val="minor"/>
    </font>
    <font>
      <b/>
      <sz val="11"/>
      <color theme="0"/>
      <name val="Arial"/>
      <family val="2"/>
    </font>
    <font>
      <b/>
      <sz val="12"/>
      <name val="Arial"/>
      <family val="2"/>
    </font>
    <font>
      <sz val="10"/>
      <color theme="4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i/>
      <sz val="9"/>
      <color indexed="8"/>
      <name val="Arial"/>
      <family val="2"/>
    </font>
    <font>
      <b/>
      <sz val="12"/>
      <color rgb="FF002060"/>
      <name val="Calibri"/>
      <family val="2"/>
      <scheme val="minor"/>
    </font>
    <font>
      <sz val="9"/>
      <name val="Calibri"/>
      <family val="3"/>
      <charset val="134"/>
      <scheme val="minor"/>
    </font>
    <font>
      <b/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theme="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34998626667073579"/>
      </right>
      <top style="medium">
        <color theme="0" tint="-0.499984740745262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auto="1"/>
      </bottom>
      <diagonal/>
    </border>
    <border>
      <left/>
      <right/>
      <top style="medium">
        <color theme="0" tint="-0.34998626667073579"/>
      </top>
      <bottom style="thick">
        <color auto="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auto="1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/>
      <bottom style="thin">
        <color theme="0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34998626667073579"/>
      </right>
      <top/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/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499984740745262"/>
      </bottom>
      <diagonal/>
    </border>
    <border>
      <left/>
      <right/>
      <top style="medium">
        <color theme="0" tint="-0.34998626667073579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medium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499984740745262"/>
      </top>
      <bottom style="medium">
        <color theme="0" tint="-0.34998626667073579"/>
      </bottom>
      <diagonal/>
    </border>
    <border>
      <left/>
      <right/>
      <top style="medium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</borders>
  <cellStyleXfs count="30">
    <xf numFmtId="0" fontId="0" fillId="0" borderId="0"/>
    <xf numFmtId="0" fontId="5" fillId="4" borderId="0"/>
    <xf numFmtId="0" fontId="6" fillId="4" borderId="1" applyNumberFormat="0" applyProtection="0">
      <alignment horizontal="left" vertical="center" readingOrder="1"/>
    </xf>
    <xf numFmtId="0" fontId="7" fillId="5" borderId="0" applyNumberFormat="0" applyBorder="0" applyProtection="0">
      <alignment horizontal="center"/>
    </xf>
    <xf numFmtId="0" fontId="8" fillId="4" borderId="2">
      <alignment horizontal="left"/>
    </xf>
    <xf numFmtId="0" fontId="8" fillId="4" borderId="2">
      <alignment horizontal="right"/>
    </xf>
    <xf numFmtId="0" fontId="8" fillId="4" borderId="3">
      <alignment horizontal="left"/>
    </xf>
    <xf numFmtId="0" fontId="8" fillId="4" borderId="3">
      <alignment horizontal="right"/>
    </xf>
    <xf numFmtId="0" fontId="9" fillId="5" borderId="4"/>
    <xf numFmtId="164" fontId="9" fillId="5" borderId="5">
      <alignment horizontal="right"/>
    </xf>
    <xf numFmtId="0" fontId="10" fillId="5" borderId="4"/>
    <xf numFmtId="164" fontId="11" fillId="5" borderId="5">
      <alignment horizontal="right"/>
    </xf>
    <xf numFmtId="3" fontId="9" fillId="5" borderId="5">
      <alignment horizontal="right"/>
    </xf>
    <xf numFmtId="4" fontId="9" fillId="5" borderId="5">
      <alignment horizontal="right"/>
    </xf>
    <xf numFmtId="3" fontId="11" fillId="5" borderId="5">
      <alignment horizontal="right"/>
    </xf>
    <xf numFmtId="4" fontId="11" fillId="5" borderId="5">
      <alignment horizontal="right"/>
    </xf>
    <xf numFmtId="0" fontId="12" fillId="6" borderId="6" applyNumberFormat="0" applyAlignment="0" applyProtection="0"/>
    <xf numFmtId="0" fontId="13" fillId="5" borderId="4"/>
    <xf numFmtId="164" fontId="12" fillId="5" borderId="5">
      <alignment horizontal="right"/>
    </xf>
    <xf numFmtId="3" fontId="9" fillId="8" borderId="5">
      <alignment horizontal="right"/>
    </xf>
    <xf numFmtId="164" fontId="11" fillId="8" borderId="5">
      <alignment horizontal="right"/>
    </xf>
    <xf numFmtId="164" fontId="9" fillId="8" borderId="5">
      <alignment horizontal="right"/>
    </xf>
    <xf numFmtId="164" fontId="12" fillId="8" borderId="5">
      <alignment horizontal="right"/>
    </xf>
    <xf numFmtId="4" fontId="11" fillId="8" borderId="5">
      <alignment horizontal="right"/>
    </xf>
    <xf numFmtId="9" fontId="14" fillId="0" borderId="0" applyFont="0" applyFill="0" applyBorder="0" applyAlignment="0" applyProtection="0"/>
    <xf numFmtId="0" fontId="10" fillId="5" borderId="4"/>
    <xf numFmtId="43" fontId="14" fillId="0" borderId="0" applyFont="0" applyFill="0" applyBorder="0" applyAlignment="0" applyProtection="0"/>
    <xf numFmtId="22" fontId="20" fillId="0" borderId="0"/>
    <xf numFmtId="172" fontId="39" fillId="9" borderId="42"/>
    <xf numFmtId="171" fontId="39" fillId="9" borderId="42"/>
  </cellStyleXfs>
  <cellXfs count="419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ont="1" applyFill="1"/>
    <xf numFmtId="0" fontId="0" fillId="3" borderId="0" xfId="0" applyFill="1"/>
    <xf numFmtId="0" fontId="4" fillId="2" borderId="0" xfId="0" applyFont="1" applyFill="1"/>
    <xf numFmtId="16" fontId="0" fillId="2" borderId="0" xfId="0" applyNumberFormat="1" applyFill="1"/>
    <xf numFmtId="0" fontId="5" fillId="4" borderId="0" xfId="1" applyNumberFormat="1" applyFont="1" applyFill="1" applyBorder="1" applyAlignment="1" applyProtection="1"/>
    <xf numFmtId="0" fontId="7" fillId="5" borderId="0" xfId="3" applyFont="1" applyFill="1" applyAlignment="1">
      <alignment horizontal="center"/>
    </xf>
    <xf numFmtId="0" fontId="8" fillId="4" borderId="2" xfId="4" applyNumberFormat="1" applyFont="1" applyFill="1" applyBorder="1" applyAlignment="1" applyProtection="1">
      <alignment horizontal="left"/>
    </xf>
    <xf numFmtId="0" fontId="8" fillId="4" borderId="2" xfId="5" applyNumberFormat="1" applyFont="1" applyFill="1" applyBorder="1" applyAlignment="1" applyProtection="1">
      <alignment horizontal="right"/>
    </xf>
    <xf numFmtId="0" fontId="8" fillId="4" borderId="3" xfId="6">
      <alignment horizontal="left"/>
    </xf>
    <xf numFmtId="0" fontId="8" fillId="4" borderId="3" xfId="7" applyNumberFormat="1" applyFont="1" applyFill="1" applyBorder="1" applyAlignment="1" applyProtection="1">
      <alignment horizontal="right"/>
    </xf>
    <xf numFmtId="0" fontId="9" fillId="5" borderId="4" xfId="8" applyNumberFormat="1" applyFont="1" applyFill="1" applyBorder="1" applyAlignment="1" applyProtection="1"/>
    <xf numFmtId="164" fontId="9" fillId="5" borderId="5" xfId="9" applyNumberFormat="1" applyFont="1" applyFill="1" applyBorder="1" applyAlignment="1" applyProtection="1">
      <alignment horizontal="right"/>
    </xf>
    <xf numFmtId="0" fontId="10" fillId="5" borderId="4" xfId="10" applyNumberFormat="1" applyFont="1" applyFill="1" applyBorder="1" applyAlignment="1" applyProtection="1"/>
    <xf numFmtId="164" fontId="11" fillId="5" borderId="5" xfId="11" applyNumberFormat="1" applyFont="1" applyFill="1" applyBorder="1" applyAlignment="1" applyProtection="1">
      <alignment horizontal="right"/>
    </xf>
    <xf numFmtId="3" fontId="9" fillId="5" borderId="5" xfId="12" applyNumberFormat="1" applyFont="1" applyFill="1" applyBorder="1" applyAlignment="1" applyProtection="1">
      <alignment horizontal="right"/>
    </xf>
    <xf numFmtId="4" fontId="9" fillId="5" borderId="5" xfId="13" applyNumberFormat="1" applyFont="1" applyFill="1" applyBorder="1" applyAlignment="1" applyProtection="1">
      <alignment horizontal="right"/>
    </xf>
    <xf numFmtId="3" fontId="11" fillId="5" borderId="5" xfId="14" applyNumberFormat="1" applyFont="1" applyFill="1" applyBorder="1" applyAlignment="1" applyProtection="1">
      <alignment horizontal="right"/>
    </xf>
    <xf numFmtId="4" fontId="11" fillId="5" borderId="5" xfId="15" applyNumberFormat="1" applyFont="1" applyFill="1" applyBorder="1" applyAlignment="1" applyProtection="1">
      <alignment horizontal="right"/>
    </xf>
    <xf numFmtId="0" fontId="12" fillId="6" borderId="6" xfId="16" applyFont="1" applyFill="1" applyBorder="1"/>
    <xf numFmtId="0" fontId="6" fillId="4" borderId="1" xfId="2" applyFont="1" applyFill="1" applyBorder="1" applyAlignment="1">
      <alignment horizontal="left" vertical="center" readingOrder="1"/>
    </xf>
    <xf numFmtId="0" fontId="13" fillId="5" borderId="4" xfId="17" applyNumberFormat="1" applyFont="1" applyFill="1" applyBorder="1" applyAlignment="1" applyProtection="1"/>
    <xf numFmtId="164" fontId="12" fillId="5" borderId="5" xfId="18" applyNumberFormat="1" applyFont="1" applyFill="1" applyBorder="1" applyAlignment="1" applyProtection="1">
      <alignment horizontal="right"/>
    </xf>
    <xf numFmtId="0" fontId="0" fillId="7" borderId="0" xfId="0" applyFill="1"/>
    <xf numFmtId="0" fontId="1" fillId="7" borderId="0" xfId="0" applyFont="1" applyFill="1"/>
    <xf numFmtId="14" fontId="0" fillId="3" borderId="0" xfId="0" applyNumberFormat="1" applyFill="1"/>
    <xf numFmtId="3" fontId="9" fillId="8" borderId="5" xfId="19" applyNumberFormat="1" applyFont="1" applyFill="1" applyBorder="1" applyAlignment="1" applyProtection="1">
      <alignment horizontal="right"/>
    </xf>
    <xf numFmtId="164" fontId="11" fillId="8" borderId="5" xfId="20" applyNumberFormat="1" applyFont="1" applyFill="1" applyBorder="1" applyAlignment="1" applyProtection="1">
      <alignment horizontal="right"/>
    </xf>
    <xf numFmtId="164" fontId="9" fillId="8" borderId="5" xfId="21" applyNumberFormat="1" applyFont="1" applyFill="1" applyBorder="1" applyAlignment="1" applyProtection="1">
      <alignment horizontal="right"/>
    </xf>
    <xf numFmtId="164" fontId="12" fillId="8" borderId="5" xfId="22" applyNumberFormat="1" applyFont="1" applyFill="1" applyBorder="1" applyAlignment="1" applyProtection="1">
      <alignment horizontal="right"/>
    </xf>
    <xf numFmtId="4" fontId="11" fillId="8" borderId="5" xfId="23" applyNumberFormat="1" applyFont="1" applyFill="1" applyBorder="1" applyAlignment="1" applyProtection="1">
      <alignment horizontal="right"/>
    </xf>
    <xf numFmtId="2" fontId="0" fillId="2" borderId="0" xfId="0" applyNumberFormat="1" applyFill="1"/>
    <xf numFmtId="165" fontId="0" fillId="0" borderId="0" xfId="0" applyNumberFormat="1"/>
    <xf numFmtId="14" fontId="0" fillId="0" borderId="0" xfId="0" applyNumberFormat="1"/>
    <xf numFmtId="0" fontId="8" fillId="10" borderId="10" xfId="4" applyNumberFormat="1" applyFont="1" applyFill="1" applyBorder="1" applyAlignment="1" applyProtection="1">
      <alignment horizontal="left"/>
    </xf>
    <xf numFmtId="0" fontId="8" fillId="10" borderId="11" xfId="4" applyNumberFormat="1" applyFont="1" applyFill="1" applyBorder="1" applyAlignment="1" applyProtection="1">
      <alignment horizontal="left"/>
    </xf>
    <xf numFmtId="0" fontId="8" fillId="10" borderId="12" xfId="5" applyNumberFormat="1" applyFont="1" applyFill="1" applyBorder="1" applyAlignment="1" applyProtection="1">
      <alignment horizontal="center" wrapText="1"/>
    </xf>
    <xf numFmtId="0" fontId="8" fillId="10" borderId="13" xfId="7" applyNumberFormat="1" applyFont="1" applyFill="1" applyBorder="1" applyAlignment="1" applyProtection="1">
      <alignment horizontal="center"/>
    </xf>
    <xf numFmtId="0" fontId="8" fillId="10" borderId="12" xfId="5" applyNumberFormat="1" applyFont="1" applyFill="1" applyBorder="1" applyAlignment="1" applyProtection="1">
      <alignment horizontal="center"/>
    </xf>
    <xf numFmtId="2" fontId="0" fillId="0" borderId="0" xfId="0" applyNumberFormat="1"/>
    <xf numFmtId="0" fontId="0" fillId="2" borderId="7" xfId="0" applyFill="1" applyBorder="1"/>
    <xf numFmtId="4" fontId="20" fillId="0" borderId="7" xfId="0" applyNumberFormat="1" applyFont="1" applyBorder="1" applyAlignment="1">
      <alignment horizontal="center" vertical="center"/>
    </xf>
    <xf numFmtId="0" fontId="21" fillId="0" borderId="0" xfId="0" applyFont="1"/>
    <xf numFmtId="0" fontId="8" fillId="10" borderId="12" xfId="4" applyNumberFormat="1" applyFont="1" applyFill="1" applyBorder="1" applyAlignment="1" applyProtection="1">
      <alignment horizontal="left"/>
    </xf>
    <xf numFmtId="0" fontId="8" fillId="10" borderId="13" xfId="4" applyNumberFormat="1" applyFont="1" applyFill="1" applyBorder="1" applyAlignment="1" applyProtection="1">
      <alignment horizontal="left"/>
    </xf>
    <xf numFmtId="0" fontId="22" fillId="0" borderId="7" xfId="25" applyNumberFormat="1" applyFont="1" applyFill="1" applyBorder="1" applyAlignment="1" applyProtection="1"/>
    <xf numFmtId="14" fontId="0" fillId="0" borderId="0" xfId="0" applyNumberFormat="1" applyFill="1"/>
    <xf numFmtId="0" fontId="0" fillId="0" borderId="0" xfId="0" applyFill="1"/>
    <xf numFmtId="14" fontId="0" fillId="12" borderId="0" xfId="0" applyNumberFormat="1" applyFill="1"/>
    <xf numFmtId="0" fontId="0" fillId="12" borderId="0" xfId="0" applyFill="1"/>
    <xf numFmtId="4" fontId="0" fillId="12" borderId="0" xfId="0" applyNumberFormat="1" applyFill="1" applyBorder="1"/>
    <xf numFmtId="4" fontId="0" fillId="0" borderId="0" xfId="0" applyNumberFormat="1" applyFill="1" applyBorder="1"/>
    <xf numFmtId="4" fontId="20" fillId="0" borderId="0" xfId="0" applyNumberFormat="1" applyFont="1" applyFill="1" applyAlignment="1">
      <alignment horizontal="center"/>
    </xf>
    <xf numFmtId="2" fontId="0" fillId="0" borderId="0" xfId="0" applyNumberFormat="1" applyFill="1"/>
    <xf numFmtId="4" fontId="20" fillId="0" borderId="16" xfId="0" applyNumberFormat="1" applyFont="1" applyBorder="1" applyAlignment="1">
      <alignment horizontal="center" vertical="center"/>
    </xf>
    <xf numFmtId="0" fontId="22" fillId="12" borderId="7" xfId="10" applyNumberFormat="1" applyFont="1" applyFill="1" applyBorder="1" applyAlignment="1" applyProtection="1"/>
    <xf numFmtId="4" fontId="20" fillId="12" borderId="7" xfId="0" applyNumberFormat="1" applyFon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" fontId="20" fillId="0" borderId="14" xfId="0" applyNumberFormat="1" applyFont="1" applyBorder="1" applyAlignment="1">
      <alignment horizontal="center" vertical="center"/>
    </xf>
    <xf numFmtId="4" fontId="20" fillId="0" borderId="12" xfId="0" applyNumberFormat="1" applyFont="1" applyBorder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/>
    </xf>
    <xf numFmtId="0" fontId="1" fillId="10" borderId="7" xfId="0" applyFont="1" applyFill="1" applyBorder="1"/>
    <xf numFmtId="0" fontId="1" fillId="10" borderId="13" xfId="0" applyFon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4" fontId="12" fillId="6" borderId="6" xfId="16" applyNumberFormat="1" applyFont="1" applyFill="1" applyBorder="1"/>
    <xf numFmtId="0" fontId="15" fillId="12" borderId="7" xfId="0" applyFont="1" applyFill="1" applyBorder="1"/>
    <xf numFmtId="4" fontId="25" fillId="12" borderId="7" xfId="0" applyNumberFormat="1" applyFont="1" applyFill="1" applyBorder="1" applyAlignment="1">
      <alignment horizontal="center" vertical="center"/>
    </xf>
    <xf numFmtId="4" fontId="25" fillId="0" borderId="7" xfId="0" applyNumberFormat="1" applyFont="1" applyBorder="1" applyAlignment="1">
      <alignment horizontal="center" vertical="center"/>
    </xf>
    <xf numFmtId="2" fontId="15" fillId="2" borderId="7" xfId="0" applyNumberFormat="1" applyFont="1" applyFill="1" applyBorder="1" applyAlignment="1">
      <alignment horizontal="center" vertical="center"/>
    </xf>
    <xf numFmtId="4" fontId="15" fillId="2" borderId="7" xfId="0" applyNumberFormat="1" applyFont="1" applyFill="1" applyBorder="1" applyAlignment="1">
      <alignment horizontal="center" vertical="center"/>
    </xf>
    <xf numFmtId="2" fontId="0" fillId="12" borderId="7" xfId="0" applyNumberFormat="1" applyFont="1" applyFill="1" applyBorder="1" applyAlignment="1">
      <alignment horizontal="center" vertical="center"/>
    </xf>
    <xf numFmtId="4" fontId="0" fillId="12" borderId="7" xfId="0" applyNumberFormat="1" applyFont="1" applyFill="1" applyBorder="1" applyAlignment="1">
      <alignment horizontal="center" vertical="center"/>
    </xf>
    <xf numFmtId="4" fontId="0" fillId="2" borderId="7" xfId="0" applyNumberFormat="1" applyFill="1" applyBorder="1" applyAlignment="1">
      <alignment horizontal="center"/>
    </xf>
    <xf numFmtId="164" fontId="9" fillId="0" borderId="5" xfId="9" applyNumberFormat="1" applyFont="1" applyFill="1" applyBorder="1" applyAlignment="1" applyProtection="1">
      <alignment horizontal="right"/>
    </xf>
    <xf numFmtId="164" fontId="11" fillId="11" borderId="5" xfId="11" applyNumberFormat="1" applyFont="1" applyFill="1" applyBorder="1" applyAlignment="1" applyProtection="1">
      <alignment horizontal="right"/>
    </xf>
    <xf numFmtId="0" fontId="10" fillId="11" borderId="4" xfId="10" applyNumberFormat="1" applyFont="1" applyFill="1" applyBorder="1" applyAlignment="1" applyProtection="1"/>
    <xf numFmtId="2" fontId="15" fillId="12" borderId="7" xfId="0" applyNumberFormat="1" applyFont="1" applyFill="1" applyBorder="1" applyAlignment="1">
      <alignment horizontal="center"/>
    </xf>
    <xf numFmtId="4" fontId="15" fillId="12" borderId="7" xfId="0" applyNumberFormat="1" applyFont="1" applyFill="1" applyBorder="1" applyAlignment="1">
      <alignment horizontal="center"/>
    </xf>
    <xf numFmtId="2" fontId="15" fillId="2" borderId="7" xfId="0" applyNumberFormat="1" applyFont="1" applyFill="1" applyBorder="1" applyAlignment="1">
      <alignment horizontal="center"/>
    </xf>
    <xf numFmtId="4" fontId="15" fillId="2" borderId="7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2" fillId="6" borderId="0" xfId="16" applyFont="1" applyFill="1" applyBorder="1"/>
    <xf numFmtId="4" fontId="12" fillId="6" borderId="0" xfId="16" applyNumberFormat="1" applyFont="1" applyFill="1" applyBorder="1"/>
    <xf numFmtId="0" fontId="0" fillId="2" borderId="11" xfId="0" applyFill="1" applyBorder="1"/>
    <xf numFmtId="2" fontId="15" fillId="11" borderId="7" xfId="0" applyNumberFormat="1" applyFont="1" applyFill="1" applyBorder="1" applyAlignment="1">
      <alignment horizontal="center" vertical="center"/>
    </xf>
    <xf numFmtId="4" fontId="15" fillId="11" borderId="7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 vertical="center"/>
    </xf>
    <xf numFmtId="0" fontId="26" fillId="2" borderId="0" xfId="0" applyFont="1" applyFill="1"/>
    <xf numFmtId="0" fontId="18" fillId="2" borderId="0" xfId="0" applyFont="1" applyFill="1" applyAlignment="1"/>
    <xf numFmtId="0" fontId="17" fillId="2" borderId="0" xfId="0" applyFont="1" applyFill="1" applyAlignment="1"/>
    <xf numFmtId="0" fontId="8" fillId="10" borderId="12" xfId="5" applyNumberFormat="1" applyFont="1" applyFill="1" applyBorder="1" applyAlignment="1" applyProtection="1">
      <alignment horizontal="center" vertical="center"/>
    </xf>
    <xf numFmtId="0" fontId="8" fillId="10" borderId="13" xfId="5" applyNumberFormat="1" applyFont="1" applyFill="1" applyBorder="1" applyAlignment="1" applyProtection="1">
      <alignment horizontal="center" vertical="center"/>
    </xf>
    <xf numFmtId="0" fontId="16" fillId="2" borderId="0" xfId="0" applyFont="1" applyFill="1"/>
    <xf numFmtId="0" fontId="8" fillId="10" borderId="2" xfId="5" applyNumberFormat="1" applyFont="1" applyFill="1" applyBorder="1" applyAlignment="1" applyProtection="1">
      <alignment horizontal="right"/>
    </xf>
    <xf numFmtId="0" fontId="8" fillId="10" borderId="3" xfId="7" applyNumberFormat="1" applyFont="1" applyFill="1" applyBorder="1" applyAlignment="1" applyProtection="1">
      <alignment horizontal="right"/>
    </xf>
    <xf numFmtId="3" fontId="9" fillId="10" borderId="5" xfId="12" applyNumberFormat="1" applyFont="1" applyFill="1" applyBorder="1" applyAlignment="1" applyProtection="1">
      <alignment horizontal="right"/>
    </xf>
    <xf numFmtId="164" fontId="11" fillId="10" borderId="5" xfId="11" applyNumberFormat="1" applyFont="1" applyFill="1" applyBorder="1" applyAlignment="1" applyProtection="1">
      <alignment horizontal="right"/>
    </xf>
    <xf numFmtId="164" fontId="9" fillId="10" borderId="5" xfId="9" applyNumberFormat="1" applyFont="1" applyFill="1" applyBorder="1" applyAlignment="1" applyProtection="1">
      <alignment horizontal="right"/>
    </xf>
    <xf numFmtId="164" fontId="12" fillId="10" borderId="5" xfId="18" applyNumberFormat="1" applyFont="1" applyFill="1" applyBorder="1" applyAlignment="1" applyProtection="1">
      <alignment horizontal="right"/>
    </xf>
    <xf numFmtId="0" fontId="1" fillId="10" borderId="0" xfId="0" applyFont="1" applyFill="1"/>
    <xf numFmtId="0" fontId="1" fillId="10" borderId="19" xfId="0" applyFont="1" applyFill="1" applyBorder="1"/>
    <xf numFmtId="0" fontId="1" fillId="10" borderId="20" xfId="0" applyFont="1" applyFill="1" applyBorder="1"/>
    <xf numFmtId="0" fontId="1" fillId="10" borderId="21" xfId="0" applyFont="1" applyFill="1" applyBorder="1"/>
    <xf numFmtId="0" fontId="1" fillId="10" borderId="18" xfId="0" applyFont="1" applyFill="1" applyBorder="1"/>
    <xf numFmtId="0" fontId="27" fillId="10" borderId="19" xfId="0" applyFont="1" applyFill="1" applyBorder="1"/>
    <xf numFmtId="0" fontId="27" fillId="10" borderId="20" xfId="0" applyFont="1" applyFill="1" applyBorder="1"/>
    <xf numFmtId="0" fontId="27" fillId="10" borderId="21" xfId="0" applyFont="1" applyFill="1" applyBorder="1"/>
    <xf numFmtId="0" fontId="15" fillId="10" borderId="20" xfId="0" applyFont="1" applyFill="1" applyBorder="1"/>
    <xf numFmtId="0" fontId="15" fillId="10" borderId="21" xfId="0" applyFont="1" applyFill="1" applyBorder="1"/>
    <xf numFmtId="0" fontId="1" fillId="10" borderId="18" xfId="0" applyFont="1" applyFill="1" applyBorder="1" applyAlignment="1">
      <alignment horizontal="center"/>
    </xf>
    <xf numFmtId="0" fontId="28" fillId="13" borderId="18" xfId="0" applyFont="1" applyFill="1" applyBorder="1" applyAlignment="1">
      <alignment horizontal="center"/>
    </xf>
    <xf numFmtId="4" fontId="0" fillId="2" borderId="14" xfId="0" applyNumberFormat="1" applyFill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vertical="center"/>
    </xf>
    <xf numFmtId="10" fontId="0" fillId="0" borderId="18" xfId="24" applyNumberFormat="1" applyFont="1" applyBorder="1"/>
    <xf numFmtId="10" fontId="0" fillId="2" borderId="14" xfId="24" applyNumberFormat="1" applyFont="1" applyFill="1" applyBorder="1" applyAlignment="1">
      <alignment horizontal="center" vertical="center"/>
    </xf>
    <xf numFmtId="4" fontId="0" fillId="2" borderId="10" xfId="0" applyNumberFormat="1" applyFill="1" applyBorder="1" applyAlignment="1">
      <alignment horizontal="center" vertical="center"/>
    </xf>
    <xf numFmtId="10" fontId="0" fillId="0" borderId="19" xfId="24" applyNumberFormat="1" applyFont="1" applyBorder="1"/>
    <xf numFmtId="4" fontId="0" fillId="2" borderId="16" xfId="0" applyNumberFormat="1" applyFill="1" applyBorder="1" applyAlignment="1">
      <alignment horizontal="center" vertical="center"/>
    </xf>
    <xf numFmtId="0" fontId="0" fillId="13" borderId="23" xfId="0" applyFill="1" applyBorder="1"/>
    <xf numFmtId="0" fontId="0" fillId="13" borderId="22" xfId="0" applyFill="1" applyBorder="1"/>
    <xf numFmtId="4" fontId="0" fillId="2" borderId="26" xfId="0" applyNumberFormat="1" applyFill="1" applyBorder="1" applyAlignment="1">
      <alignment horizontal="center" vertical="center"/>
    </xf>
    <xf numFmtId="4" fontId="0" fillId="2" borderId="18" xfId="0" applyNumberFormat="1" applyFill="1" applyBorder="1" applyAlignment="1">
      <alignment horizontal="center" vertical="center"/>
    </xf>
    <xf numFmtId="10" fontId="0" fillId="0" borderId="18" xfId="0" applyNumberFormat="1" applyBorder="1"/>
    <xf numFmtId="10" fontId="0" fillId="13" borderId="7" xfId="24" applyNumberFormat="1" applyFont="1" applyFill="1" applyBorder="1" applyAlignment="1">
      <alignment horizontal="center" vertical="center"/>
    </xf>
    <xf numFmtId="10" fontId="0" fillId="0" borderId="18" xfId="24" applyNumberFormat="1" applyFont="1" applyFill="1" applyBorder="1"/>
    <xf numFmtId="0" fontId="0" fillId="0" borderId="18" xfId="0" applyBorder="1"/>
    <xf numFmtId="4" fontId="0" fillId="0" borderId="18" xfId="0" applyNumberFormat="1" applyBorder="1"/>
    <xf numFmtId="0" fontId="27" fillId="10" borderId="19" xfId="0" applyFont="1" applyFill="1" applyBorder="1" applyAlignment="1">
      <alignment horizontal="left"/>
    </xf>
    <xf numFmtId="0" fontId="0" fillId="10" borderId="20" xfId="0" applyFont="1" applyFill="1" applyBorder="1" applyAlignment="1">
      <alignment horizontal="left"/>
    </xf>
    <xf numFmtId="0" fontId="0" fillId="10" borderId="21" xfId="0" applyFont="1" applyFill="1" applyBorder="1" applyAlignment="1">
      <alignment horizontal="left"/>
    </xf>
    <xf numFmtId="4" fontId="0" fillId="2" borderId="0" xfId="0" applyNumberFormat="1" applyFill="1" applyBorder="1" applyAlignment="1">
      <alignment horizontal="center" vertical="center"/>
    </xf>
    <xf numFmtId="10" fontId="0" fillId="2" borderId="18" xfId="24" applyNumberFormat="1" applyFont="1" applyFill="1" applyBorder="1" applyAlignment="1">
      <alignment horizontal="center" vertical="center"/>
    </xf>
    <xf numFmtId="10" fontId="0" fillId="2" borderId="19" xfId="24" applyNumberFormat="1" applyFont="1" applyFill="1" applyBorder="1" applyAlignment="1">
      <alignment horizontal="center" vertical="center"/>
    </xf>
    <xf numFmtId="4" fontId="0" fillId="0" borderId="19" xfId="0" applyNumberFormat="1" applyBorder="1"/>
    <xf numFmtId="0" fontId="0" fillId="0" borderId="25" xfId="0" applyBorder="1"/>
    <xf numFmtId="0" fontId="0" fillId="0" borderId="0" xfId="0" applyBorder="1"/>
    <xf numFmtId="0" fontId="0" fillId="0" borderId="28" xfId="0" applyBorder="1"/>
    <xf numFmtId="4" fontId="0" fillId="2" borderId="29" xfId="0" applyNumberFormat="1" applyFill="1" applyBorder="1" applyAlignment="1">
      <alignment horizontal="center" vertical="center"/>
    </xf>
    <xf numFmtId="4" fontId="0" fillId="2" borderId="30" xfId="0" applyNumberFormat="1" applyFill="1" applyBorder="1" applyAlignment="1">
      <alignment horizontal="center" vertical="center"/>
    </xf>
    <xf numFmtId="4" fontId="0" fillId="2" borderId="31" xfId="0" applyNumberFormat="1" applyFill="1" applyBorder="1" applyAlignment="1">
      <alignment horizontal="center" vertical="center"/>
    </xf>
    <xf numFmtId="10" fontId="0" fillId="0" borderId="0" xfId="0" applyNumberFormat="1" applyBorder="1"/>
    <xf numFmtId="4" fontId="0" fillId="0" borderId="20" xfId="0" applyNumberFormat="1" applyBorder="1"/>
    <xf numFmtId="0" fontId="8" fillId="11" borderId="2" xfId="5" applyNumberFormat="1" applyFont="1" applyFill="1" applyBorder="1" applyAlignment="1" applyProtection="1">
      <alignment horizontal="right"/>
    </xf>
    <xf numFmtId="0" fontId="8" fillId="11" borderId="3" xfId="7" applyNumberFormat="1" applyFont="1" applyFill="1" applyBorder="1" applyAlignment="1" applyProtection="1">
      <alignment horizontal="right"/>
    </xf>
    <xf numFmtId="3" fontId="9" fillId="11" borderId="5" xfId="12" applyNumberFormat="1" applyFont="1" applyFill="1" applyBorder="1" applyAlignment="1" applyProtection="1">
      <alignment horizontal="right"/>
    </xf>
    <xf numFmtId="164" fontId="12" fillId="11" borderId="5" xfId="18" applyNumberFormat="1" applyFont="1" applyFill="1" applyBorder="1" applyAlignment="1" applyProtection="1">
      <alignment horizontal="right"/>
    </xf>
    <xf numFmtId="164" fontId="9" fillId="11" borderId="5" xfId="9" applyNumberFormat="1" applyFont="1" applyFill="1" applyBorder="1" applyAlignment="1" applyProtection="1">
      <alignment horizontal="right"/>
    </xf>
    <xf numFmtId="3" fontId="11" fillId="11" borderId="5" xfId="14" applyNumberFormat="1" applyFont="1" applyFill="1" applyBorder="1" applyAlignment="1" applyProtection="1">
      <alignment horizontal="right"/>
    </xf>
    <xf numFmtId="4" fontId="11" fillId="11" borderId="5" xfId="15" applyNumberFormat="1" applyFont="1" applyFill="1" applyBorder="1" applyAlignment="1" applyProtection="1">
      <alignment horizontal="right"/>
    </xf>
    <xf numFmtId="4" fontId="0" fillId="0" borderId="18" xfId="0" applyNumberFormat="1" applyBorder="1" applyAlignment="1">
      <alignment horizontal="center"/>
    </xf>
    <xf numFmtId="0" fontId="0" fillId="13" borderId="24" xfId="0" applyFill="1" applyBorder="1"/>
    <xf numFmtId="0" fontId="0" fillId="13" borderId="18" xfId="0" applyFill="1" applyBorder="1"/>
    <xf numFmtId="4" fontId="0" fillId="0" borderId="18" xfId="0" applyNumberFormat="1" applyBorder="1" applyAlignment="1">
      <alignment horizontal="center" vertical="center"/>
    </xf>
    <xf numFmtId="0" fontId="8" fillId="2" borderId="0" xfId="6" applyFont="1" applyFill="1" applyBorder="1">
      <alignment horizontal="left"/>
    </xf>
    <xf numFmtId="0" fontId="8" fillId="2" borderId="0" xfId="4" applyNumberFormat="1" applyFont="1" applyFill="1" applyBorder="1" applyAlignment="1" applyProtection="1">
      <alignment horizontal="left"/>
    </xf>
    <xf numFmtId="0" fontId="8" fillId="2" borderId="0" xfId="5" applyNumberFormat="1" applyFont="1" applyFill="1" applyBorder="1" applyAlignment="1" applyProtection="1">
      <alignment horizontal="right"/>
    </xf>
    <xf numFmtId="0" fontId="29" fillId="13" borderId="19" xfId="0" applyFont="1" applyFill="1" applyBorder="1"/>
    <xf numFmtId="0" fontId="29" fillId="13" borderId="20" xfId="0" applyFont="1" applyFill="1" applyBorder="1"/>
    <xf numFmtId="0" fontId="29" fillId="13" borderId="21" xfId="0" applyFont="1" applyFill="1" applyBorder="1"/>
    <xf numFmtId="0" fontId="30" fillId="13" borderId="23" xfId="0" applyFont="1" applyFill="1" applyBorder="1" applyAlignment="1">
      <alignment horizontal="center"/>
    </xf>
    <xf numFmtId="0" fontId="31" fillId="10" borderId="19" xfId="0" applyFont="1" applyFill="1" applyBorder="1"/>
    <xf numFmtId="0" fontId="32" fillId="10" borderId="19" xfId="0" applyFont="1" applyFill="1" applyBorder="1"/>
    <xf numFmtId="0" fontId="33" fillId="10" borderId="20" xfId="0" applyFont="1" applyFill="1" applyBorder="1"/>
    <xf numFmtId="0" fontId="33" fillId="10" borderId="21" xfId="0" applyFont="1" applyFill="1" applyBorder="1"/>
    <xf numFmtId="0" fontId="19" fillId="10" borderId="18" xfId="0" applyFont="1" applyFill="1" applyBorder="1"/>
    <xf numFmtId="10" fontId="30" fillId="13" borderId="24" xfId="24" applyNumberFormat="1" applyFont="1" applyFill="1" applyBorder="1" applyAlignment="1">
      <alignment horizontal="center"/>
    </xf>
    <xf numFmtId="4" fontId="27" fillId="10" borderId="18" xfId="0" applyNumberFormat="1" applyFont="1" applyFill="1" applyBorder="1" applyAlignment="1">
      <alignment horizontal="center"/>
    </xf>
    <xf numFmtId="0" fontId="27" fillId="10" borderId="18" xfId="0" applyFont="1" applyFill="1" applyBorder="1" applyAlignment="1">
      <alignment horizontal="center"/>
    </xf>
    <xf numFmtId="2" fontId="27" fillId="10" borderId="18" xfId="24" applyNumberFormat="1" applyFont="1" applyFill="1" applyBorder="1" applyAlignment="1">
      <alignment horizontal="center"/>
    </xf>
    <xf numFmtId="0" fontId="27" fillId="10" borderId="18" xfId="0" applyFont="1" applyFill="1" applyBorder="1"/>
    <xf numFmtId="168" fontId="27" fillId="0" borderId="0" xfId="0" applyNumberFormat="1" applyFont="1"/>
    <xf numFmtId="4" fontId="0" fillId="13" borderId="18" xfId="0" applyNumberForma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5" xfId="0" applyBorder="1"/>
    <xf numFmtId="0" fontId="0" fillId="0" borderId="16" xfId="0" applyBorder="1"/>
    <xf numFmtId="43" fontId="0" fillId="0" borderId="7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20" fillId="2" borderId="0" xfId="0" applyFont="1" applyFill="1"/>
    <xf numFmtId="0" fontId="25" fillId="9" borderId="46" xfId="0" applyFont="1" applyFill="1" applyBorder="1"/>
    <xf numFmtId="0" fontId="20" fillId="9" borderId="0" xfId="0" applyFont="1" applyFill="1" applyBorder="1"/>
    <xf numFmtId="0" fontId="20" fillId="9" borderId="47" xfId="0" applyFont="1" applyFill="1" applyBorder="1"/>
    <xf numFmtId="0" fontId="20" fillId="9" borderId="46" xfId="0" applyFont="1" applyFill="1" applyBorder="1"/>
    <xf numFmtId="4" fontId="20" fillId="9" borderId="0" xfId="0" applyNumberFormat="1" applyFont="1" applyFill="1" applyBorder="1"/>
    <xf numFmtId="10" fontId="20" fillId="9" borderId="0" xfId="24" applyNumberFormat="1" applyFont="1" applyFill="1" applyBorder="1"/>
    <xf numFmtId="0" fontId="20" fillId="9" borderId="48" xfId="0" applyFont="1" applyFill="1" applyBorder="1"/>
    <xf numFmtId="0" fontId="20" fillId="9" borderId="34" xfId="0" applyFont="1" applyFill="1" applyBorder="1"/>
    <xf numFmtId="0" fontId="20" fillId="9" borderId="49" xfId="0" applyFont="1" applyFill="1" applyBorder="1"/>
    <xf numFmtId="0" fontId="20" fillId="2" borderId="0" xfId="0" applyFont="1" applyFill="1" applyAlignment="1">
      <alignment horizontal="left"/>
    </xf>
    <xf numFmtId="171" fontId="9" fillId="2" borderId="0" xfId="0" applyNumberFormat="1" applyFont="1" applyFill="1" applyBorder="1"/>
    <xf numFmtId="171" fontId="11" fillId="2" borderId="0" xfId="0" applyNumberFormat="1" applyFont="1" applyFill="1" applyBorder="1"/>
    <xf numFmtId="171" fontId="38" fillId="2" borderId="0" xfId="0" applyNumberFormat="1" applyFont="1" applyFill="1" applyBorder="1" applyAlignment="1">
      <alignment vertical="center"/>
    </xf>
    <xf numFmtId="171" fontId="40" fillId="2" borderId="0" xfId="0" applyNumberFormat="1" applyFont="1" applyFill="1" applyBorder="1"/>
    <xf numFmtId="173" fontId="40" fillId="2" borderId="0" xfId="24" applyNumberFormat="1" applyFont="1" applyFill="1" applyBorder="1"/>
    <xf numFmtId="171" fontId="42" fillId="2" borderId="0" xfId="0" applyNumberFormat="1" applyFont="1" applyFill="1" applyBorder="1"/>
    <xf numFmtId="9" fontId="0" fillId="2" borderId="0" xfId="24" applyFont="1" applyFill="1"/>
    <xf numFmtId="171" fontId="11" fillId="2" borderId="0" xfId="0" applyNumberFormat="1" applyFont="1" applyFill="1"/>
    <xf numFmtId="0" fontId="45" fillId="2" borderId="0" xfId="0" applyFont="1" applyFill="1"/>
    <xf numFmtId="0" fontId="19" fillId="10" borderId="43" xfId="0" applyFont="1" applyFill="1" applyBorder="1"/>
    <xf numFmtId="0" fontId="19" fillId="10" borderId="44" xfId="0" applyFont="1" applyFill="1" applyBorder="1"/>
    <xf numFmtId="0" fontId="19" fillId="10" borderId="45" xfId="0" applyFont="1" applyFill="1" applyBorder="1"/>
    <xf numFmtId="0" fontId="19" fillId="10" borderId="48" xfId="0" applyFont="1" applyFill="1" applyBorder="1"/>
    <xf numFmtId="0" fontId="19" fillId="10" borderId="34" xfId="0" applyFont="1" applyFill="1" applyBorder="1"/>
    <xf numFmtId="0" fontId="19" fillId="10" borderId="49" xfId="0" applyFont="1" applyFill="1" applyBorder="1"/>
    <xf numFmtId="0" fontId="9" fillId="2" borderId="0" xfId="0" applyFont="1" applyFill="1" applyAlignment="1">
      <alignment horizontal="left" vertical="top" wrapText="1"/>
    </xf>
    <xf numFmtId="0" fontId="9" fillId="2" borderId="36" xfId="0" applyFont="1" applyFill="1" applyBorder="1" applyAlignment="1">
      <alignment horizontal="center" wrapText="1"/>
    </xf>
    <xf numFmtId="0" fontId="9" fillId="2" borderId="37" xfId="0" applyFont="1" applyFill="1" applyBorder="1" applyAlignment="1">
      <alignment horizontal="center" wrapText="1"/>
    </xf>
    <xf numFmtId="0" fontId="9" fillId="2" borderId="38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left"/>
    </xf>
    <xf numFmtId="167" fontId="11" fillId="2" borderId="0" xfId="0" applyNumberFormat="1" applyFont="1" applyFill="1" applyBorder="1" applyAlignment="1">
      <alignment horizontal="right"/>
    </xf>
    <xf numFmtId="167" fontId="11" fillId="2" borderId="28" xfId="0" applyNumberFormat="1" applyFont="1" applyFill="1" applyBorder="1" applyAlignment="1">
      <alignment horizontal="right"/>
    </xf>
    <xf numFmtId="0" fontId="9" fillId="2" borderId="39" xfId="0" applyFont="1" applyFill="1" applyBorder="1" applyAlignment="1">
      <alignment horizontal="left"/>
    </xf>
    <xf numFmtId="167" fontId="11" fillId="2" borderId="32" xfId="0" applyNumberFormat="1" applyFont="1" applyFill="1" applyBorder="1" applyAlignment="1">
      <alignment horizontal="right"/>
    </xf>
    <xf numFmtId="0" fontId="0" fillId="2" borderId="32" xfId="0" applyFill="1" applyBorder="1"/>
    <xf numFmtId="0" fontId="0" fillId="2" borderId="33" xfId="0" applyFill="1" applyBorder="1"/>
    <xf numFmtId="167" fontId="0" fillId="2" borderId="0" xfId="0" applyNumberFormat="1" applyFill="1"/>
    <xf numFmtId="10" fontId="0" fillId="2" borderId="0" xfId="24" applyNumberFormat="1" applyFont="1" applyFill="1"/>
    <xf numFmtId="0" fontId="0" fillId="2" borderId="27" xfId="0" applyFill="1" applyBorder="1"/>
    <xf numFmtId="0" fontId="0" fillId="2" borderId="35" xfId="0" applyFill="1" applyBorder="1"/>
    <xf numFmtId="0" fontId="0" fillId="2" borderId="40" xfId="0" applyFill="1" applyBorder="1"/>
    <xf numFmtId="0" fontId="0" fillId="2" borderId="25" xfId="0" applyFill="1" applyBorder="1"/>
    <xf numFmtId="22" fontId="20" fillId="2" borderId="0" xfId="27" applyNumberFormat="1" applyFont="1" applyFill="1" applyBorder="1" applyAlignment="1" applyProtection="1"/>
    <xf numFmtId="0" fontId="0" fillId="2" borderId="28" xfId="0" applyFill="1" applyBorder="1"/>
    <xf numFmtId="0" fontId="0" fillId="2" borderId="0" xfId="0" applyFill="1" applyBorder="1"/>
    <xf numFmtId="165" fontId="0" fillId="2" borderId="25" xfId="0" applyNumberFormat="1" applyFill="1" applyBorder="1"/>
    <xf numFmtId="14" fontId="0" fillId="2" borderId="25" xfId="0" applyNumberFormat="1" applyFill="1" applyBorder="1"/>
    <xf numFmtId="10" fontId="0" fillId="2" borderId="28" xfId="24" applyNumberFormat="1" applyFont="1" applyFill="1" applyBorder="1"/>
    <xf numFmtId="14" fontId="0" fillId="2" borderId="39" xfId="0" applyNumberFormat="1" applyFill="1" applyBorder="1"/>
    <xf numFmtId="10" fontId="0" fillId="2" borderId="33" xfId="24" applyNumberFormat="1" applyFont="1" applyFill="1" applyBorder="1"/>
    <xf numFmtId="10" fontId="0" fillId="2" borderId="0" xfId="0" applyNumberFormat="1" applyFill="1"/>
    <xf numFmtId="0" fontId="0" fillId="2" borderId="0" xfId="0" applyFill="1"/>
    <xf numFmtId="0" fontId="43" fillId="0" borderId="34" xfId="0" applyFont="1" applyBorder="1"/>
    <xf numFmtId="0" fontId="0" fillId="0" borderId="10" xfId="0" applyBorder="1"/>
    <xf numFmtId="0" fontId="0" fillId="0" borderId="26" xfId="0" applyBorder="1"/>
    <xf numFmtId="0" fontId="0" fillId="0" borderId="8" xfId="0" applyBorder="1"/>
    <xf numFmtId="0" fontId="0" fillId="0" borderId="50" xfId="0" applyBorder="1"/>
    <xf numFmtId="0" fontId="0" fillId="0" borderId="51" xfId="0" applyBorder="1"/>
    <xf numFmtId="0" fontId="0" fillId="0" borderId="11" xfId="0" applyBorder="1"/>
    <xf numFmtId="0" fontId="0" fillId="0" borderId="52" xfId="0" applyBorder="1"/>
    <xf numFmtId="0" fontId="0" fillId="0" borderId="9" xfId="0" applyBorder="1"/>
    <xf numFmtId="0" fontId="27" fillId="0" borderId="0" xfId="0" applyFont="1" applyFill="1" applyBorder="1" applyAlignment="1">
      <alignment horizontal="center"/>
    </xf>
    <xf numFmtId="0" fontId="27" fillId="0" borderId="0" xfId="0" applyFont="1"/>
    <xf numFmtId="4" fontId="27" fillId="0" borderId="0" xfId="0" applyNumberFormat="1" applyFont="1"/>
    <xf numFmtId="43" fontId="27" fillId="0" borderId="0" xfId="0" applyNumberFormat="1" applyFont="1"/>
    <xf numFmtId="0" fontId="19" fillId="10" borderId="19" xfId="0" applyFont="1" applyFill="1" applyBorder="1"/>
    <xf numFmtId="0" fontId="0" fillId="0" borderId="27" xfId="0" applyBorder="1"/>
    <xf numFmtId="43" fontId="34" fillId="10" borderId="25" xfId="26" applyFont="1" applyFill="1" applyBorder="1" applyAlignment="1">
      <alignment horizontal="right"/>
    </xf>
    <xf numFmtId="10" fontId="34" fillId="10" borderId="18" xfId="24" applyNumberFormat="1" applyFont="1" applyFill="1" applyBorder="1" applyAlignment="1">
      <alignment horizontal="right"/>
    </xf>
    <xf numFmtId="43" fontId="34" fillId="10" borderId="18" xfId="26" applyFont="1" applyFill="1" applyBorder="1" applyAlignment="1">
      <alignment horizontal="right"/>
    </xf>
    <xf numFmtId="0" fontId="8" fillId="2" borderId="0" xfId="7" applyNumberFormat="1" applyFont="1" applyFill="1" applyBorder="1" applyAlignment="1" applyProtection="1">
      <alignment horizontal="right"/>
    </xf>
    <xf numFmtId="43" fontId="19" fillId="10" borderId="18" xfId="26" applyFont="1" applyFill="1" applyBorder="1" applyAlignment="1">
      <alignment horizontal="right"/>
    </xf>
    <xf numFmtId="0" fontId="12" fillId="3" borderId="0" xfId="16" applyFont="1" applyFill="1" applyBorder="1"/>
    <xf numFmtId="0" fontId="36" fillId="0" borderId="19" xfId="0" applyFont="1" applyBorder="1"/>
    <xf numFmtId="0" fontId="36" fillId="0" borderId="21" xfId="0" applyFont="1" applyBorder="1"/>
    <xf numFmtId="0" fontId="1" fillId="10" borderId="27" xfId="0" applyFont="1" applyFill="1" applyBorder="1" applyAlignment="1">
      <alignment horizontal="left"/>
    </xf>
    <xf numFmtId="0" fontId="1" fillId="10" borderId="40" xfId="0" applyFont="1" applyFill="1" applyBorder="1" applyAlignment="1">
      <alignment horizontal="center" wrapText="1"/>
    </xf>
    <xf numFmtId="169" fontId="31" fillId="10" borderId="39" xfId="0" applyNumberFormat="1" applyFont="1" applyFill="1" applyBorder="1" applyAlignment="1">
      <alignment horizontal="left"/>
    </xf>
    <xf numFmtId="169" fontId="31" fillId="10" borderId="32" xfId="0" applyNumberFormat="1" applyFont="1" applyFill="1" applyBorder="1"/>
    <xf numFmtId="0" fontId="1" fillId="10" borderId="54" xfId="0" applyFont="1" applyFill="1" applyBorder="1" applyAlignment="1">
      <alignment horizontal="centerContinuous"/>
    </xf>
    <xf numFmtId="0" fontId="1" fillId="10" borderId="57" xfId="0" applyFont="1" applyFill="1" applyBorder="1" applyAlignment="1">
      <alignment horizontal="centerContinuous"/>
    </xf>
    <xf numFmtId="0" fontId="1" fillId="10" borderId="41" xfId="0" applyFont="1" applyFill="1" applyBorder="1" applyAlignment="1">
      <alignment horizontal="centerContinuous"/>
    </xf>
    <xf numFmtId="0" fontId="1" fillId="10" borderId="41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Continuous"/>
    </xf>
    <xf numFmtId="0" fontId="46" fillId="10" borderId="0" xfId="0" applyFont="1" applyFill="1" applyBorder="1" applyAlignment="1">
      <alignment horizontal="center" wrapText="1"/>
    </xf>
    <xf numFmtId="171" fontId="47" fillId="2" borderId="27" xfId="0" applyNumberFormat="1" applyFont="1" applyFill="1" applyBorder="1" applyAlignment="1">
      <alignment vertical="center"/>
    </xf>
    <xf numFmtId="171" fontId="47" fillId="2" borderId="35" xfId="0" applyNumberFormat="1" applyFont="1" applyFill="1" applyBorder="1" applyAlignment="1">
      <alignment vertical="center"/>
    </xf>
    <xf numFmtId="170" fontId="1" fillId="2" borderId="35" xfId="0" applyNumberFormat="1" applyFont="1" applyFill="1" applyBorder="1"/>
    <xf numFmtId="169" fontId="1" fillId="2" borderId="35" xfId="0" applyNumberFormat="1" applyFont="1" applyFill="1" applyBorder="1"/>
    <xf numFmtId="169" fontId="1" fillId="2" borderId="40" xfId="0" applyNumberFormat="1" applyFont="1" applyFill="1" applyBorder="1"/>
    <xf numFmtId="171" fontId="48" fillId="2" borderId="0" xfId="0" applyNumberFormat="1" applyFont="1" applyFill="1" applyBorder="1"/>
    <xf numFmtId="171" fontId="49" fillId="2" borderId="0" xfId="0" applyNumberFormat="1" applyFont="1" applyFill="1" applyBorder="1"/>
    <xf numFmtId="171" fontId="49" fillId="2" borderId="28" xfId="0" applyNumberFormat="1" applyFont="1" applyFill="1" applyBorder="1"/>
    <xf numFmtId="171" fontId="49" fillId="2" borderId="25" xfId="0" applyNumberFormat="1" applyFont="1" applyFill="1" applyBorder="1"/>
    <xf numFmtId="172" fontId="50" fillId="2" borderId="0" xfId="28" applyFont="1" applyFill="1" applyBorder="1"/>
    <xf numFmtId="172" fontId="0" fillId="2" borderId="0" xfId="28" applyFont="1" applyFill="1" applyBorder="1"/>
    <xf numFmtId="172" fontId="0" fillId="2" borderId="28" xfId="28" applyFont="1" applyFill="1" applyBorder="1"/>
    <xf numFmtId="9" fontId="49" fillId="2" borderId="0" xfId="24" applyFont="1" applyFill="1" applyBorder="1"/>
    <xf numFmtId="171" fontId="0" fillId="2" borderId="0" xfId="0" applyNumberFormat="1" applyFont="1" applyFill="1" applyBorder="1"/>
    <xf numFmtId="171" fontId="0" fillId="2" borderId="28" xfId="0" applyNumberFormat="1" applyFont="1" applyFill="1" applyBorder="1"/>
    <xf numFmtId="172" fontId="50" fillId="2" borderId="18" xfId="28" applyFont="1" applyFill="1" applyBorder="1" applyAlignment="1">
      <alignment horizontal="right"/>
    </xf>
    <xf numFmtId="172" fontId="50" fillId="2" borderId="18" xfId="28" applyFont="1" applyFill="1" applyBorder="1"/>
    <xf numFmtId="10" fontId="0" fillId="2" borderId="18" xfId="28" applyNumberFormat="1" applyFont="1" applyFill="1" applyBorder="1"/>
    <xf numFmtId="172" fontId="0" fillId="2" borderId="18" xfId="28" applyFont="1" applyFill="1" applyBorder="1"/>
    <xf numFmtId="171" fontId="0" fillId="2" borderId="33" xfId="0" applyNumberFormat="1" applyFont="1" applyFill="1" applyBorder="1"/>
    <xf numFmtId="0" fontId="46" fillId="10" borderId="25" xfId="0" applyFont="1" applyFill="1" applyBorder="1" applyAlignment="1">
      <alignment horizontal="left"/>
    </xf>
    <xf numFmtId="0" fontId="27" fillId="2" borderId="0" xfId="0" applyFont="1" applyFill="1"/>
    <xf numFmtId="0" fontId="1" fillId="10" borderId="35" xfId="0" applyFont="1" applyFill="1" applyBorder="1" applyAlignment="1">
      <alignment horizontal="center" wrapText="1"/>
    </xf>
    <xf numFmtId="171" fontId="11" fillId="2" borderId="18" xfId="0" applyNumberFormat="1" applyFont="1" applyFill="1" applyBorder="1"/>
    <xf numFmtId="171" fontId="11" fillId="2" borderId="21" xfId="0" applyNumberFormat="1" applyFont="1" applyFill="1" applyBorder="1"/>
    <xf numFmtId="171" fontId="11" fillId="2" borderId="19" xfId="0" applyNumberFormat="1" applyFont="1" applyFill="1" applyBorder="1"/>
    <xf numFmtId="0" fontId="1" fillId="10" borderId="55" xfId="0" applyFont="1" applyFill="1" applyBorder="1" applyAlignment="1">
      <alignment horizontal="centerContinuous" wrapText="1"/>
    </xf>
    <xf numFmtId="0" fontId="1" fillId="10" borderId="56" xfId="0" applyFont="1" applyFill="1" applyBorder="1" applyAlignment="1">
      <alignment horizontal="centerContinuous" wrapText="1"/>
    </xf>
    <xf numFmtId="170" fontId="1" fillId="10" borderId="39" xfId="0" applyNumberFormat="1" applyFont="1" applyFill="1" applyBorder="1" applyAlignment="1">
      <alignment horizontal="right"/>
    </xf>
    <xf numFmtId="170" fontId="1" fillId="10" borderId="32" xfId="0" applyNumberFormat="1" applyFont="1" applyFill="1" applyBorder="1" applyAlignment="1">
      <alignment horizontal="right"/>
    </xf>
    <xf numFmtId="170" fontId="1" fillId="10" borderId="33" xfId="0" applyNumberFormat="1" applyFont="1" applyFill="1" applyBorder="1" applyAlignment="1">
      <alignment horizontal="right"/>
    </xf>
    <xf numFmtId="169" fontId="1" fillId="10" borderId="39" xfId="0" applyNumberFormat="1" applyFont="1" applyFill="1" applyBorder="1" applyAlignment="1">
      <alignment horizontal="right"/>
    </xf>
    <xf numFmtId="169" fontId="1" fillId="10" borderId="32" xfId="0" applyNumberFormat="1" applyFont="1" applyFill="1" applyBorder="1" applyAlignment="1">
      <alignment horizontal="right"/>
    </xf>
    <xf numFmtId="169" fontId="1" fillId="10" borderId="33" xfId="0" applyNumberFormat="1" applyFont="1" applyFill="1" applyBorder="1" applyAlignment="1">
      <alignment horizontal="right"/>
    </xf>
    <xf numFmtId="0" fontId="46" fillId="10" borderId="28" xfId="0" applyFont="1" applyFill="1" applyBorder="1" applyAlignment="1">
      <alignment horizontal="center" wrapText="1"/>
    </xf>
    <xf numFmtId="0" fontId="1" fillId="10" borderId="20" xfId="0" applyFont="1" applyFill="1" applyBorder="1" applyAlignment="1">
      <alignment horizontal="center" wrapText="1"/>
    </xf>
    <xf numFmtId="0" fontId="1" fillId="10" borderId="55" xfId="0" applyFont="1" applyFill="1" applyBorder="1" applyAlignment="1">
      <alignment horizontal="center" wrapText="1"/>
    </xf>
    <xf numFmtId="171" fontId="51" fillId="10" borderId="19" xfId="0" applyNumberFormat="1" applyFont="1" applyFill="1" applyBorder="1" applyAlignment="1">
      <alignment vertical="center"/>
    </xf>
    <xf numFmtId="171" fontId="51" fillId="10" borderId="20" xfId="0" applyNumberFormat="1" applyFont="1" applyFill="1" applyBorder="1" applyAlignment="1">
      <alignment vertical="center"/>
    </xf>
    <xf numFmtId="171" fontId="34" fillId="10" borderId="20" xfId="0" applyNumberFormat="1" applyFont="1" applyFill="1" applyBorder="1" applyAlignment="1">
      <alignment vertical="center"/>
    </xf>
    <xf numFmtId="171" fontId="34" fillId="10" borderId="21" xfId="0" applyNumberFormat="1" applyFont="1" applyFill="1" applyBorder="1" applyAlignment="1">
      <alignment vertical="center"/>
    </xf>
    <xf numFmtId="171" fontId="11" fillId="2" borderId="25" xfId="0" applyNumberFormat="1" applyFont="1" applyFill="1" applyBorder="1"/>
    <xf numFmtId="171" fontId="11" fillId="2" borderId="28" xfId="0" applyNumberFormat="1" applyFont="1" applyFill="1" applyBorder="1"/>
    <xf numFmtId="171" fontId="11" fillId="2" borderId="20" xfId="0" applyNumberFormat="1" applyFont="1" applyFill="1" applyBorder="1"/>
    <xf numFmtId="171" fontId="52" fillId="2" borderId="18" xfId="29" applyNumberFormat="1" applyFont="1" applyFill="1" applyBorder="1" applyAlignment="1">
      <alignment horizontal="right"/>
    </xf>
    <xf numFmtId="171" fontId="52" fillId="2" borderId="18" xfId="0" applyNumberFormat="1" applyFont="1" applyFill="1" applyBorder="1" applyAlignment="1">
      <alignment horizontal="right"/>
    </xf>
    <xf numFmtId="171" fontId="25" fillId="2" borderId="18" xfId="0" applyNumberFormat="1" applyFont="1" applyFill="1" applyBorder="1"/>
    <xf numFmtId="173" fontId="41" fillId="2" borderId="18" xfId="24" applyNumberFormat="1" applyFont="1" applyFill="1" applyBorder="1"/>
    <xf numFmtId="173" fontId="40" fillId="2" borderId="18" xfId="24" applyNumberFormat="1" applyFont="1" applyFill="1" applyBorder="1"/>
    <xf numFmtId="171" fontId="20" fillId="2" borderId="18" xfId="0" applyNumberFormat="1" applyFont="1" applyFill="1" applyBorder="1"/>
    <xf numFmtId="171" fontId="20" fillId="2" borderId="18" xfId="29" applyNumberFormat="1" applyFont="1" applyFill="1" applyBorder="1"/>
    <xf numFmtId="171" fontId="9" fillId="2" borderId="18" xfId="0" applyNumberFormat="1" applyFont="1" applyFill="1" applyBorder="1"/>
    <xf numFmtId="171" fontId="9" fillId="2" borderId="19" xfId="0" applyNumberFormat="1" applyFont="1" applyFill="1" applyBorder="1"/>
    <xf numFmtId="171" fontId="9" fillId="2" borderId="21" xfId="0" applyNumberFormat="1" applyFont="1" applyFill="1" applyBorder="1"/>
    <xf numFmtId="171" fontId="40" fillId="2" borderId="19" xfId="0" applyNumberFormat="1" applyFont="1" applyFill="1" applyBorder="1"/>
    <xf numFmtId="171" fontId="40" fillId="2" borderId="21" xfId="0" applyNumberFormat="1" applyFont="1" applyFill="1" applyBorder="1"/>
    <xf numFmtId="171" fontId="1" fillId="10" borderId="19" xfId="0" applyNumberFormat="1" applyFont="1" applyFill="1" applyBorder="1"/>
    <xf numFmtId="171" fontId="1" fillId="10" borderId="21" xfId="0" applyNumberFormat="1" applyFont="1" applyFill="1" applyBorder="1"/>
    <xf numFmtId="171" fontId="27" fillId="10" borderId="19" xfId="0" applyNumberFormat="1" applyFont="1" applyFill="1" applyBorder="1"/>
    <xf numFmtId="171" fontId="27" fillId="10" borderId="21" xfId="0" applyNumberFormat="1" applyFont="1" applyFill="1" applyBorder="1"/>
    <xf numFmtId="0" fontId="0" fillId="0" borderId="0" xfId="0" applyFill="1" applyBorder="1"/>
    <xf numFmtId="0" fontId="37" fillId="2" borderId="0" xfId="0" applyFont="1" applyFill="1" applyBorder="1" applyAlignment="1">
      <alignment horizontal="center" wrapText="1"/>
    </xf>
    <xf numFmtId="0" fontId="1" fillId="10" borderId="21" xfId="0" applyFont="1" applyFill="1" applyBorder="1" applyAlignment="1">
      <alignment horizontal="center" wrapText="1"/>
    </xf>
    <xf numFmtId="0" fontId="0" fillId="2" borderId="25" xfId="0" applyFont="1" applyFill="1" applyBorder="1"/>
    <xf numFmtId="0" fontId="0" fillId="2" borderId="0" xfId="0" applyFont="1" applyFill="1" applyBorder="1"/>
    <xf numFmtId="0" fontId="0" fillId="2" borderId="28" xfId="0" applyFont="1" applyFill="1" applyBorder="1"/>
    <xf numFmtId="0" fontId="1" fillId="10" borderId="25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center" wrapText="1"/>
    </xf>
    <xf numFmtId="169" fontId="1" fillId="10" borderId="39" xfId="0" applyNumberFormat="1" applyFont="1" applyFill="1" applyBorder="1" applyAlignment="1">
      <alignment horizontal="left"/>
    </xf>
    <xf numFmtId="169" fontId="1" fillId="10" borderId="32" xfId="0" applyNumberFormat="1" applyFont="1" applyFill="1" applyBorder="1"/>
    <xf numFmtId="170" fontId="1" fillId="10" borderId="39" xfId="0" applyNumberFormat="1" applyFont="1" applyFill="1" applyBorder="1" applyAlignment="1">
      <alignment horizontal="center"/>
    </xf>
    <xf numFmtId="170" fontId="1" fillId="10" borderId="32" xfId="0" applyNumberFormat="1" applyFont="1" applyFill="1" applyBorder="1" applyAlignment="1">
      <alignment horizontal="center"/>
    </xf>
    <xf numFmtId="170" fontId="1" fillId="10" borderId="33" xfId="0" applyNumberFormat="1" applyFont="1" applyFill="1" applyBorder="1" applyAlignment="1">
      <alignment horizontal="center"/>
    </xf>
    <xf numFmtId="169" fontId="1" fillId="10" borderId="39" xfId="0" applyNumberFormat="1" applyFont="1" applyFill="1" applyBorder="1" applyAlignment="1">
      <alignment horizontal="center"/>
    </xf>
    <xf numFmtId="169" fontId="1" fillId="10" borderId="32" xfId="0" applyNumberFormat="1" applyFont="1" applyFill="1" applyBorder="1" applyAlignment="1">
      <alignment horizontal="center"/>
    </xf>
    <xf numFmtId="169" fontId="1" fillId="10" borderId="33" xfId="0" applyNumberFormat="1" applyFont="1" applyFill="1" applyBorder="1" applyAlignment="1">
      <alignment horizontal="center"/>
    </xf>
    <xf numFmtId="171" fontId="1" fillId="10" borderId="19" xfId="0" applyNumberFormat="1" applyFont="1" applyFill="1" applyBorder="1" applyAlignment="1">
      <alignment vertical="center"/>
    </xf>
    <xf numFmtId="171" fontId="1" fillId="10" borderId="20" xfId="0" applyNumberFormat="1" applyFont="1" applyFill="1" applyBorder="1" applyAlignment="1">
      <alignment vertical="center"/>
    </xf>
    <xf numFmtId="171" fontId="27" fillId="10" borderId="20" xfId="0" applyNumberFormat="1" applyFont="1" applyFill="1" applyBorder="1" applyAlignment="1">
      <alignment vertical="center"/>
    </xf>
    <xf numFmtId="171" fontId="52" fillId="10" borderId="20" xfId="0" applyNumberFormat="1" applyFont="1" applyFill="1" applyBorder="1" applyAlignment="1">
      <alignment vertical="center"/>
    </xf>
    <xf numFmtId="171" fontId="52" fillId="10" borderId="21" xfId="0" applyNumberFormat="1" applyFont="1" applyFill="1" applyBorder="1" applyAlignment="1">
      <alignment vertical="center"/>
    </xf>
    <xf numFmtId="0" fontId="1" fillId="10" borderId="55" xfId="0" applyFont="1" applyFill="1" applyBorder="1" applyAlignment="1">
      <alignment horizontal="center"/>
    </xf>
    <xf numFmtId="0" fontId="1" fillId="10" borderId="58" xfId="0" applyFont="1" applyFill="1" applyBorder="1"/>
    <xf numFmtId="0" fontId="1" fillId="10" borderId="59" xfId="0" applyFont="1" applyFill="1" applyBorder="1"/>
    <xf numFmtId="0" fontId="1" fillId="10" borderId="60" xfId="0" applyFont="1" applyFill="1" applyBorder="1"/>
    <xf numFmtId="0" fontId="1" fillId="10" borderId="61" xfId="0" applyFont="1" applyFill="1" applyBorder="1" applyAlignment="1">
      <alignment horizontal="center"/>
    </xf>
    <xf numFmtId="0" fontId="1" fillId="10" borderId="62" xfId="0" applyFont="1" applyFill="1" applyBorder="1" applyAlignment="1">
      <alignment horizontal="center"/>
    </xf>
    <xf numFmtId="0" fontId="0" fillId="0" borderId="63" xfId="0" applyBorder="1" applyAlignment="1">
      <alignment horizontal="left"/>
    </xf>
    <xf numFmtId="0" fontId="0" fillId="0" borderId="63" xfId="0" applyBorder="1"/>
    <xf numFmtId="4" fontId="0" fillId="0" borderId="30" xfId="0" applyNumberForma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4" fontId="0" fillId="0" borderId="68" xfId="0" applyNumberFormat="1" applyBorder="1" applyAlignment="1">
      <alignment horizontal="center"/>
    </xf>
    <xf numFmtId="4" fontId="0" fillId="0" borderId="69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4" xfId="0" applyBorder="1" applyAlignment="1">
      <alignment horizontal="center"/>
    </xf>
    <xf numFmtId="4" fontId="0" fillId="2" borderId="14" xfId="0" applyNumberFormat="1" applyFill="1" applyBorder="1" applyAlignment="1">
      <alignment horizontal="center"/>
    </xf>
    <xf numFmtId="4" fontId="15" fillId="12" borderId="14" xfId="0" applyNumberFormat="1" applyFont="1" applyFill="1" applyBorder="1" applyAlignment="1">
      <alignment horizontal="center"/>
    </xf>
    <xf numFmtId="4" fontId="15" fillId="2" borderId="14" xfId="0" applyNumberFormat="1" applyFont="1" applyFill="1" applyBorder="1" applyAlignment="1">
      <alignment horizontal="center"/>
    </xf>
    <xf numFmtId="0" fontId="0" fillId="2" borderId="22" xfId="0" applyFill="1" applyBorder="1"/>
    <xf numFmtId="4" fontId="0" fillId="2" borderId="71" xfId="0" applyNumberFormat="1" applyFill="1" applyBorder="1" applyAlignment="1">
      <alignment horizontal="center"/>
    </xf>
    <xf numFmtId="4" fontId="15" fillId="12" borderId="71" xfId="0" applyNumberFormat="1" applyFont="1" applyFill="1" applyBorder="1" applyAlignment="1">
      <alignment horizontal="center"/>
    </xf>
    <xf numFmtId="4" fontId="15" fillId="2" borderId="71" xfId="0" applyNumberFormat="1" applyFont="1" applyFill="1" applyBorder="1" applyAlignment="1">
      <alignment horizontal="center"/>
    </xf>
    <xf numFmtId="4" fontId="15" fillId="2" borderId="72" xfId="0" applyNumberFormat="1" applyFont="1" applyFill="1" applyBorder="1" applyAlignment="1">
      <alignment horizontal="center"/>
    </xf>
    <xf numFmtId="4" fontId="0" fillId="2" borderId="13" xfId="0" applyNumberFormat="1" applyFill="1" applyBorder="1" applyAlignment="1">
      <alignment horizontal="center"/>
    </xf>
    <xf numFmtId="0" fontId="0" fillId="2" borderId="18" xfId="0" applyFill="1" applyBorder="1"/>
    <xf numFmtId="0" fontId="0" fillId="2" borderId="0" xfId="0" applyFill="1"/>
    <xf numFmtId="0" fontId="3" fillId="2" borderId="0" xfId="0" applyFont="1" applyFill="1"/>
    <xf numFmtId="4" fontId="8" fillId="10" borderId="12" xfId="5" applyNumberFormat="1" applyFont="1" applyFill="1" applyBorder="1" applyAlignment="1" applyProtection="1">
      <alignment horizontal="center" wrapText="1"/>
    </xf>
    <xf numFmtId="4" fontId="8" fillId="10" borderId="13" xfId="5" applyNumberFormat="1" applyFont="1" applyFill="1" applyBorder="1" applyAlignment="1" applyProtection="1">
      <alignment horizontal="center"/>
    </xf>
    <xf numFmtId="4" fontId="8" fillId="10" borderId="12" xfId="5" applyNumberFormat="1" applyFont="1" applyFill="1" applyBorder="1" applyAlignment="1" applyProtection="1">
      <alignment horizontal="center" vertical="center" wrapText="1"/>
    </xf>
    <xf numFmtId="4" fontId="8" fillId="10" borderId="13" xfId="5" applyNumberFormat="1" applyFont="1" applyFill="1" applyBorder="1" applyAlignment="1" applyProtection="1">
      <alignment horizontal="center" vertical="center"/>
    </xf>
    <xf numFmtId="4" fontId="8" fillId="10" borderId="26" xfId="5" applyNumberFormat="1" applyFont="1" applyFill="1" applyBorder="1" applyAlignment="1" applyProtection="1">
      <alignment horizontal="center" vertical="center" wrapText="1"/>
    </xf>
    <xf numFmtId="4" fontId="8" fillId="10" borderId="52" xfId="5" applyNumberFormat="1" applyFont="1" applyFill="1" applyBorder="1" applyAlignment="1" applyProtection="1">
      <alignment horizontal="center" vertical="center" wrapText="1"/>
    </xf>
    <xf numFmtId="4" fontId="8" fillId="10" borderId="23" xfId="5" applyNumberFormat="1" applyFont="1" applyFill="1" applyBorder="1" applyAlignment="1" applyProtection="1">
      <alignment horizontal="center" vertical="center" wrapText="1"/>
    </xf>
    <xf numFmtId="4" fontId="8" fillId="10" borderId="70" xfId="5" applyNumberFormat="1" applyFont="1" applyFill="1" applyBorder="1" applyAlignment="1" applyProtection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 wrapText="1"/>
    </xf>
    <xf numFmtId="4" fontId="8" fillId="10" borderId="8" xfId="5" applyNumberFormat="1" applyFont="1" applyFill="1" applyBorder="1" applyAlignment="1" applyProtection="1">
      <alignment horizontal="center" vertical="center" wrapText="1"/>
    </xf>
    <xf numFmtId="4" fontId="8" fillId="10" borderId="9" xfId="5" applyNumberFormat="1" applyFont="1" applyFill="1" applyBorder="1" applyAlignment="1" applyProtection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4" fontId="8" fillId="10" borderId="51" xfId="5" applyNumberFormat="1" applyFont="1" applyFill="1" applyBorder="1" applyAlignment="1" applyProtection="1">
      <alignment horizontal="center" vertical="center" wrapText="1"/>
    </xf>
    <xf numFmtId="0" fontId="19" fillId="10" borderId="13" xfId="0" applyFont="1" applyFill="1" applyBorder="1" applyAlignment="1">
      <alignment horizontal="center" vertical="center"/>
    </xf>
    <xf numFmtId="0" fontId="8" fillId="10" borderId="12" xfId="5" applyNumberFormat="1" applyFont="1" applyFill="1" applyBorder="1" applyAlignment="1" applyProtection="1">
      <alignment horizontal="center" vertical="center"/>
    </xf>
    <xf numFmtId="0" fontId="8" fillId="10" borderId="13" xfId="5" applyNumberFormat="1" applyFont="1" applyFill="1" applyBorder="1" applyAlignment="1" applyProtection="1">
      <alignment horizontal="center" vertical="center"/>
    </xf>
    <xf numFmtId="4" fontId="0" fillId="13" borderId="23" xfId="0" applyNumberFormat="1" applyFill="1" applyBorder="1" applyAlignment="1">
      <alignment horizontal="center" vertical="center"/>
    </xf>
    <xf numFmtId="4" fontId="0" fillId="13" borderId="22" xfId="0" applyNumberFormat="1" applyFill="1" applyBorder="1" applyAlignment="1">
      <alignment horizontal="center" vertical="center"/>
    </xf>
    <xf numFmtId="4" fontId="0" fillId="13" borderId="24" xfId="0" applyNumberForma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left"/>
    </xf>
    <xf numFmtId="0" fontId="1" fillId="10" borderId="21" xfId="0" applyFont="1" applyFill="1" applyBorder="1" applyAlignment="1">
      <alignment horizontal="left"/>
    </xf>
    <xf numFmtId="10" fontId="28" fillId="13" borderId="23" xfId="0" applyNumberFormat="1" applyFont="1" applyFill="1" applyBorder="1" applyAlignment="1">
      <alignment horizontal="center" vertical="center"/>
    </xf>
    <xf numFmtId="10" fontId="28" fillId="13" borderId="22" xfId="0" applyNumberFormat="1" applyFont="1" applyFill="1" applyBorder="1" applyAlignment="1">
      <alignment horizontal="center" vertical="center"/>
    </xf>
    <xf numFmtId="10" fontId="28" fillId="13" borderId="25" xfId="0" applyNumberFormat="1" applyFont="1" applyFill="1" applyBorder="1" applyAlignment="1">
      <alignment horizontal="center" vertical="center"/>
    </xf>
    <xf numFmtId="10" fontId="28" fillId="13" borderId="24" xfId="0" applyNumberFormat="1" applyFont="1" applyFill="1" applyBorder="1" applyAlignment="1">
      <alignment horizontal="center" vertical="center"/>
    </xf>
    <xf numFmtId="10" fontId="0" fillId="13" borderId="27" xfId="0" applyNumberFormat="1" applyFill="1" applyBorder="1" applyAlignment="1">
      <alignment horizontal="center" vertical="center"/>
    </xf>
    <xf numFmtId="10" fontId="0" fillId="13" borderId="22" xfId="0" applyNumberFormat="1" applyFill="1" applyBorder="1" applyAlignment="1">
      <alignment horizontal="center" vertical="center"/>
    </xf>
    <xf numFmtId="10" fontId="0" fillId="13" borderId="24" xfId="0" applyNumberFormat="1" applyFill="1" applyBorder="1" applyAlignment="1">
      <alignment horizontal="center" vertical="center"/>
    </xf>
    <xf numFmtId="10" fontId="0" fillId="13" borderId="23" xfId="0" applyNumberFormat="1" applyFill="1" applyBorder="1" applyAlignment="1">
      <alignment horizontal="center" vertical="center"/>
    </xf>
    <xf numFmtId="0" fontId="1" fillId="7" borderId="0" xfId="0" applyFon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left"/>
    </xf>
    <xf numFmtId="0" fontId="0" fillId="2" borderId="0" xfId="0" applyFill="1"/>
    <xf numFmtId="0" fontId="35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</cellXfs>
  <cellStyles count="30">
    <cellStyle name="blp_column_header" xfId="1" xr:uid="{00000000-0005-0000-0000-000000000000}"/>
    <cellStyle name="blp_datetime" xfId="27" xr:uid="{BD656A58-0BB1-4CC2-868B-039D09A975DA}"/>
    <cellStyle name="blp_title_header_row_left" xfId="2" xr:uid="{00000000-0005-0000-0000-000001000000}"/>
    <cellStyle name="fa_column_header_bottom" xfId="7" xr:uid="{00000000-0005-0000-0000-000003000000}"/>
    <cellStyle name="fa_column_header_bottom_left" xfId="6" xr:uid="{00000000-0005-0000-0000-000004000000}"/>
    <cellStyle name="fa_column_header_empty" xfId="3" xr:uid="{00000000-0005-0000-0000-000005000000}"/>
    <cellStyle name="fa_column_header_top" xfId="5" xr:uid="{00000000-0005-0000-0000-000006000000}"/>
    <cellStyle name="fa_column_header_top_left" xfId="4" xr:uid="{00000000-0005-0000-0000-000007000000}"/>
    <cellStyle name="fa_data_bold_0_grouped" xfId="12" xr:uid="{00000000-0005-0000-0000-000008000000}"/>
    <cellStyle name="fa_data_bold_1_grouped" xfId="9" xr:uid="{00000000-0005-0000-0000-000009000000}"/>
    <cellStyle name="fa_data_bold_2_grouped" xfId="13" xr:uid="{00000000-0005-0000-0000-00000A000000}"/>
    <cellStyle name="fa_data_current_bold_0_grouped" xfId="19" xr:uid="{00000000-0005-0000-0000-00000B000000}"/>
    <cellStyle name="fa_data_current_bold_1_grouped" xfId="21" xr:uid="{00000000-0005-0000-0000-00000C000000}"/>
    <cellStyle name="fa_data_current_italic_1_grouped" xfId="22" xr:uid="{00000000-0005-0000-0000-00000D000000}"/>
    <cellStyle name="fa_data_current_standard_1_grouped" xfId="20" xr:uid="{00000000-0005-0000-0000-00000E000000}"/>
    <cellStyle name="fa_data_current_standard_2_grouped" xfId="23" xr:uid="{00000000-0005-0000-0000-00000F000000}"/>
    <cellStyle name="fa_data_italic_1_grouped" xfId="18" xr:uid="{00000000-0005-0000-0000-000010000000}"/>
    <cellStyle name="fa_data_standard_0_grouped" xfId="14" xr:uid="{00000000-0005-0000-0000-000011000000}"/>
    <cellStyle name="fa_data_standard_1_grouped" xfId="11" xr:uid="{00000000-0005-0000-0000-000012000000}"/>
    <cellStyle name="fa_data_standard_2_grouped" xfId="15" xr:uid="{00000000-0005-0000-0000-000013000000}"/>
    <cellStyle name="fa_footer_italic" xfId="16" xr:uid="{00000000-0005-0000-0000-000014000000}"/>
    <cellStyle name="fa_row_header_bold" xfId="8" xr:uid="{00000000-0005-0000-0000-000015000000}"/>
    <cellStyle name="fa_row_header_italic" xfId="17" xr:uid="{00000000-0005-0000-0000-000016000000}"/>
    <cellStyle name="fa_row_header_standard" xfId="10" xr:uid="{00000000-0005-0000-0000-000017000000}"/>
    <cellStyle name="fa_row_header_standard 2" xfId="25" xr:uid="{00000000-0005-0000-0000-000018000000}"/>
    <cellStyle name="Input - comma" xfId="29" xr:uid="{21044A6D-62C3-4049-A34F-62D02AFB01CD}"/>
    <cellStyle name="Input - percentage" xfId="28" xr:uid="{EBA58809-FF19-43A7-8E64-786C1CDC8521}"/>
    <cellStyle name="Komma" xfId="26" builtinId="3"/>
    <cellStyle name="Prozent" xfId="24" builtinId="5"/>
    <cellStyle name="Standard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Summary!$D$8:$H$12</c15:sqref>
                  </c15:fullRef>
                </c:ext>
              </c:extLst>
              <c:f>Summary!$D$10:$H$12</c:f>
              <c:strCache>
                <c:ptCount val="3"/>
                <c:pt idx="0">
                  <c:v>Multiples based on Assets</c:v>
                </c:pt>
                <c:pt idx="1">
                  <c:v>Price Multiples based on Cash Flow </c:v>
                </c:pt>
                <c:pt idx="2">
                  <c:v>Value Multiples based on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Summary!$O$8:$O$12</c15:sqref>
                  </c15:fullRef>
                </c:ext>
              </c:extLst>
              <c:f>Summary!$O$10:$O$12</c:f>
              <c:numCache>
                <c:formatCode>General</c:formatCode>
                <c:ptCount val="3"/>
                <c:pt idx="0" formatCode="#,##0.00">
                  <c:v>144818.25879999998</c:v>
                </c:pt>
                <c:pt idx="1" formatCode="#,##0.00">
                  <c:v>141078.43865788</c:v>
                </c:pt>
                <c:pt idx="2" formatCode="#,##0.00">
                  <c:v>147344.76855617599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5-4F05-93FA-DA5C8A6BD42D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Summary!$D$8:$H$12</c15:sqref>
                  </c15:fullRef>
                </c:ext>
              </c:extLst>
              <c:f>Summary!$D$10:$H$12</c:f>
              <c:strCache>
                <c:ptCount val="3"/>
                <c:pt idx="0">
                  <c:v>Multiples based on Assets</c:v>
                </c:pt>
                <c:pt idx="1">
                  <c:v>Price Multiples based on Cash Flow </c:v>
                </c:pt>
                <c:pt idx="2">
                  <c:v>Value Multiples based on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Summary!$P$8:$P$12</c15:sqref>
                  </c15:fullRef>
                </c:ext>
              </c:extLst>
              <c:f>Summary!$P$10:$P$12</c:f>
              <c:numCache>
                <c:formatCode>General</c:formatCode>
                <c:ptCount val="3"/>
                <c:pt idx="0" formatCode="#,##0.00">
                  <c:v>2052.4745999999868</c:v>
                </c:pt>
                <c:pt idx="1" formatCode="#,##0.00">
                  <c:v>12994.962470283994</c:v>
                </c:pt>
                <c:pt idx="2" formatCode="#,##0.00">
                  <c:v>12898.044685383444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5-4F05-93FA-DA5C8A6BD42D}"/>
            </c:ext>
          </c:extLst>
        </c:ser>
        <c:ser>
          <c:idx val="2"/>
          <c:order val="2"/>
          <c:tx>
            <c:v>1st Quartile to Median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Summary!$D$8:$H$12</c15:sqref>
                  </c15:fullRef>
                </c:ext>
              </c:extLst>
              <c:f>Summary!$D$10:$H$12</c:f>
              <c:strCache>
                <c:ptCount val="3"/>
                <c:pt idx="0">
                  <c:v>Multiples based on Assets</c:v>
                </c:pt>
                <c:pt idx="1">
                  <c:v>Price Multiples based on Cash Flow </c:v>
                </c:pt>
                <c:pt idx="2">
                  <c:v>Value Multiples based on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Summary!$Q$8:$Q$12</c15:sqref>
                  </c15:fullRef>
                </c:ext>
              </c:extLst>
              <c:f>Summary!$Q$10:$Q$12</c:f>
              <c:numCache>
                <c:formatCode>General</c:formatCode>
                <c:ptCount val="3"/>
                <c:pt idx="0" formatCode="_(* #,##0.00_);_(* \(#,##0.00\);_(* &quot;-&quot;??_);_(@_)">
                  <c:v>47150.207500000019</c:v>
                </c:pt>
                <c:pt idx="1" formatCode="_(* #,##0.00_);_(* \(#,##0.00\);_(* &quot;-&quot;??_);_(@_)">
                  <c:v>53339.451259603986</c:v>
                </c:pt>
                <c:pt idx="2" formatCode="_(* #,##0.00_);_(* \(#,##0.00\);_(* &quot;-&quot;??_);_(@_)">
                  <c:v>47772.781600763497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5-4F05-93FA-DA5C8A6BD42D}"/>
            </c:ext>
          </c:extLst>
        </c:ser>
        <c:ser>
          <c:idx val="3"/>
          <c:order val="3"/>
          <c:tx>
            <c:v>Median to 3rd Quartile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Summary!$D$8:$H$12</c15:sqref>
                  </c15:fullRef>
                </c:ext>
              </c:extLst>
              <c:f>Summary!$D$10:$H$12</c:f>
              <c:strCache>
                <c:ptCount val="3"/>
                <c:pt idx="0">
                  <c:v>Multiples based on Assets</c:v>
                </c:pt>
                <c:pt idx="1">
                  <c:v>Price Multiples based on Cash Flow </c:v>
                </c:pt>
                <c:pt idx="2">
                  <c:v>Value Multiples based on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Summary!$R$8:$R$12</c15:sqref>
                  </c15:fullRef>
                </c:ext>
              </c:extLst>
              <c:f>Summary!$R$10:$R$12</c:f>
              <c:numCache>
                <c:formatCode>General</c:formatCode>
                <c:ptCount val="3"/>
                <c:pt idx="0" formatCode="_(* #,##0.00_);_(* \(#,##0.00\);_(* &quot;-&quot;??_);_(@_)">
                  <c:v>41778.925374999992</c:v>
                </c:pt>
                <c:pt idx="1" formatCode="_(* #,##0.00_);_(* \(#,##0.00\);_(* &quot;-&quot;??_);_(@_)">
                  <c:v>28371.012839905976</c:v>
                </c:pt>
                <c:pt idx="2" formatCode="_(* #,##0.00_);_(* \(#,##0.00\);_(* &quot;-&quot;??_);_(@_)">
                  <c:v>31949.41919256316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35-4F05-93FA-DA5C8A6BD42D}"/>
            </c:ext>
          </c:extLst>
        </c:ser>
        <c:ser>
          <c:idx val="4"/>
          <c:order val="4"/>
          <c:tx>
            <c:v>3rd Quartile to Max</c:v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Summary!$D$8:$H$12</c15:sqref>
                  </c15:fullRef>
                </c:ext>
              </c:extLst>
              <c:f>Summary!$D$10:$H$12</c:f>
              <c:strCache>
                <c:ptCount val="3"/>
                <c:pt idx="0">
                  <c:v>Multiples based on Assets</c:v>
                </c:pt>
                <c:pt idx="1">
                  <c:v>Price Multiples based on Cash Flow </c:v>
                </c:pt>
                <c:pt idx="2">
                  <c:v>Value Multiples based on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Summary!$S$8:$S$12</c15:sqref>
                  </c15:fullRef>
                </c:ext>
              </c:extLst>
              <c:f>Summary!$S$10:$S$12</c:f>
              <c:numCache>
                <c:formatCode>General</c:formatCode>
                <c:ptCount val="3"/>
                <c:pt idx="0" formatCode="#,##0.00">
                  <c:v>262.04722500001662</c:v>
                </c:pt>
                <c:pt idx="1" formatCode="#,##0.00">
                  <c:v>4672.1496637180098</c:v>
                </c:pt>
                <c:pt idx="2" formatCode="#,##0.00">
                  <c:v>7623.5905493166938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35-4F05-93FA-DA5C8A6BD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782424"/>
        <c:axId val="454783992"/>
      </c:barChart>
      <c:catAx>
        <c:axId val="454782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3992"/>
        <c:crosses val="autoZero"/>
        <c:auto val="1"/>
        <c:lblAlgn val="ctr"/>
        <c:lblOffset val="100"/>
        <c:noMultiLvlLbl val="0"/>
      </c:catAx>
      <c:valAx>
        <c:axId val="454783992"/>
        <c:scaling>
          <c:orientation val="minMax"/>
          <c:max val="280000"/>
          <c:min val="1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8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7649030168071268"/>
          <c:y val="0.91988689819569669"/>
          <c:w val="0.54236478691426071"/>
          <c:h val="5.379380972341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COGS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'2.3 Assumptions Pfizer'!$D$16:$H$16</c:f>
              <c:numCache>
                <c:formatCode>0.0%</c:formatCode>
                <c:ptCount val="5"/>
                <c:pt idx="0">
                  <c:v>0.14203454894433781</c:v>
                </c:pt>
                <c:pt idx="1">
                  <c:v>0.15460720614294152</c:v>
                </c:pt>
                <c:pt idx="2">
                  <c:v>0.19959088252483928</c:v>
                </c:pt>
                <c:pt idx="3">
                  <c:v>0.1705671946857435</c:v>
                </c:pt>
                <c:pt idx="4">
                  <c:v>0.13171857772877618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9-485A-BB55-B7CD6AD0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5824"/>
        <c:axId val="432687360"/>
      </c:scatterChart>
      <c:valAx>
        <c:axId val="4326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7360"/>
        <c:crosses val="autoZero"/>
        <c:crossBetween val="midCat"/>
      </c:valAx>
      <c:valAx>
        <c:axId val="432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6</xdr:row>
      <xdr:rowOff>114300</xdr:rowOff>
    </xdr:from>
    <xdr:to>
      <xdr:col>4</xdr:col>
      <xdr:colOff>133350</xdr:colOff>
      <xdr:row>12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425388"/>
          <a:ext cx="2218765" cy="112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4</xdr:row>
      <xdr:rowOff>152400</xdr:rowOff>
    </xdr:from>
    <xdr:to>
      <xdr:col>7</xdr:col>
      <xdr:colOff>323850</xdr:colOff>
      <xdr:row>14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1334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175658</xdr:colOff>
      <xdr:row>1</xdr:row>
      <xdr:rowOff>105760</xdr:rowOff>
    </xdr:from>
    <xdr:to>
      <xdr:col>2</xdr:col>
      <xdr:colOff>564278</xdr:colOff>
      <xdr:row>5</xdr:row>
      <xdr:rowOff>118438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AA637-2713-4E8D-A39B-68A9118B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58" y="287602"/>
          <a:ext cx="1687484" cy="852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190500</xdr:colOff>
      <xdr:row>15</xdr:row>
      <xdr:rowOff>0</xdr:rowOff>
    </xdr:from>
    <xdr:to>
      <xdr:col>14</xdr:col>
      <xdr:colOff>464093</xdr:colOff>
      <xdr:row>37</xdr:row>
      <xdr:rowOff>2540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EA43E9-0F6C-47B5-83B4-D81E20ABF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544353</xdr:colOff>
      <xdr:row>17</xdr:row>
      <xdr:rowOff>23812</xdr:rowOff>
    </xdr:from>
    <xdr:to>
      <xdr:col>13</xdr:col>
      <xdr:colOff>544353</xdr:colOff>
      <xdr:row>33</xdr:row>
      <xdr:rowOff>136921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FC06686-7ACD-4E1D-A71C-7255D88D0FE5}"/>
            </a:ext>
          </a:extLst>
        </xdr:cNvPr>
        <xdr:cNvCxnSpPr/>
      </xdr:nvCxnSpPr>
      <xdr:spPr>
        <a:xfrm>
          <a:off x="8964453" y="3323272"/>
          <a:ext cx="0" cy="30391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344089</xdr:colOff>
      <xdr:row>33</xdr:row>
      <xdr:rowOff>119777</xdr:rowOff>
    </xdr:from>
    <xdr:to>
      <xdr:col>14</xdr:col>
      <xdr:colOff>302417</xdr:colOff>
      <xdr:row>36</xdr:row>
      <xdr:rowOff>72151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45004D-9EBA-486F-9910-66BB3BF93404}"/>
            </a:ext>
          </a:extLst>
        </xdr:cNvPr>
        <xdr:cNvSpPr txBox="1"/>
      </xdr:nvSpPr>
      <xdr:spPr>
        <a:xfrm>
          <a:off x="8764189" y="6345317"/>
          <a:ext cx="644128" cy="50101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bg1">
                  <a:lumMod val="50000"/>
                </a:schemeClr>
              </a:solidFill>
              <a:latin typeface="+mj-lt"/>
            </a:rPr>
            <a:t>DCF</a:t>
          </a:r>
        </a:p>
        <a:p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128596</xdr:colOff>
      <xdr:row>0</xdr:row>
      <xdr:rowOff>161926</xdr:rowOff>
    </xdr:from>
    <xdr:to>
      <xdr:col>2</xdr:col>
      <xdr:colOff>512409</xdr:colOff>
      <xdr:row>5</xdr:row>
      <xdr:rowOff>104468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940875-12C7-470B-A2AC-A11047A0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96" y="161926"/>
          <a:ext cx="1688738" cy="8474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103909</xdr:rowOff>
    </xdr:from>
    <xdr:to>
      <xdr:col>1</xdr:col>
      <xdr:colOff>1703069</xdr:colOff>
      <xdr:row>4</xdr:row>
      <xdr:rowOff>107272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45192-8D17-456F-9DAA-87E75069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03909"/>
          <a:ext cx="1607820" cy="843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121226</xdr:colOff>
      <xdr:row>0</xdr:row>
      <xdr:rowOff>138544</xdr:rowOff>
    </xdr:from>
    <xdr:to>
      <xdr:col>2</xdr:col>
      <xdr:colOff>509846</xdr:colOff>
      <xdr:row>4</xdr:row>
      <xdr:rowOff>143600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1EF64-99BB-40A3-8A7F-873C7A35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6" y="138544"/>
          <a:ext cx="1687484" cy="844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57152</xdr:colOff>
      <xdr:row>0</xdr:row>
      <xdr:rowOff>76202</xdr:rowOff>
    </xdr:from>
    <xdr:to>
      <xdr:col>2</xdr:col>
      <xdr:colOff>439711</xdr:colOff>
      <xdr:row>5</xdr:row>
      <xdr:rowOff>16316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57D0C-9489-48D4-944B-7A04F954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76202"/>
          <a:ext cx="1687484" cy="844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0</xdr:row>
      <xdr:rowOff>95249</xdr:rowOff>
    </xdr:from>
    <xdr:to>
      <xdr:col>2</xdr:col>
      <xdr:colOff>128927</xdr:colOff>
      <xdr:row>4</xdr:row>
      <xdr:rowOff>71436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7C8871-51A7-432B-87DB-BEB593DC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95249"/>
          <a:ext cx="1379085" cy="690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89648</xdr:rowOff>
    </xdr:from>
    <xdr:to>
      <xdr:col>1</xdr:col>
      <xdr:colOff>78442</xdr:colOff>
      <xdr:row>2</xdr:row>
      <xdr:rowOff>67733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5D25C-A26D-48C9-9031-4B8B1251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0" y="89648"/>
          <a:ext cx="672353" cy="336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0</xdr:rowOff>
    </xdr:from>
    <xdr:to>
      <xdr:col>9</xdr:col>
      <xdr:colOff>580466</xdr:colOff>
      <xdr:row>43</xdr:row>
      <xdr:rowOff>18528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90B1B0E2-C601-45BA-9A59-E239F08A8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151040</xdr:colOff>
      <xdr:row>1</xdr:row>
      <xdr:rowOff>14972</xdr:rowOff>
    </xdr:from>
    <xdr:to>
      <xdr:col>1</xdr:col>
      <xdr:colOff>347097</xdr:colOff>
      <xdr:row>3</xdr:row>
      <xdr:rowOff>69400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49D749-136A-4B91-BA02-BD94472E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40" y="200029"/>
          <a:ext cx="816543" cy="424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103909</xdr:rowOff>
    </xdr:from>
    <xdr:to>
      <xdr:col>2</xdr:col>
      <xdr:colOff>460490</xdr:colOff>
      <xdr:row>5</xdr:row>
      <xdr:rowOff>43157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26774-DDE5-40B1-B8FC-D3263EF6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2" y="103909"/>
          <a:ext cx="1681422" cy="84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61632</xdr:rowOff>
    </xdr:from>
    <xdr:to>
      <xdr:col>1</xdr:col>
      <xdr:colOff>278825</xdr:colOff>
      <xdr:row>2</xdr:row>
      <xdr:rowOff>151280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616BE3-41AE-4ED8-BC3E-321FD744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61632"/>
          <a:ext cx="895148" cy="44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100854</xdr:rowOff>
    </xdr:from>
    <xdr:to>
      <xdr:col>1</xdr:col>
      <xdr:colOff>513901</xdr:colOff>
      <xdr:row>3</xdr:row>
      <xdr:rowOff>95252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955ED-EC60-43AA-93CE-0DDF1020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" y="100854"/>
          <a:ext cx="1062989" cy="532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112056</xdr:colOff>
      <xdr:row>0</xdr:row>
      <xdr:rowOff>112059</xdr:rowOff>
    </xdr:from>
    <xdr:to>
      <xdr:col>1</xdr:col>
      <xdr:colOff>595967</xdr:colOff>
      <xdr:row>3</xdr:row>
      <xdr:rowOff>149413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C828C-0986-486D-84B5-3B7BFCC5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6" y="112059"/>
          <a:ext cx="1137587" cy="569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119062</xdr:rowOff>
    </xdr:from>
    <xdr:to>
      <xdr:col>1</xdr:col>
      <xdr:colOff>319854</xdr:colOff>
      <xdr:row>3</xdr:row>
      <xdr:rowOff>130967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0378A-78C8-4C35-8E1A-CD4F92D5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119062"/>
          <a:ext cx="1093760" cy="547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0</xdr:row>
      <xdr:rowOff>69275</xdr:rowOff>
    </xdr:from>
    <xdr:to>
      <xdr:col>1</xdr:col>
      <xdr:colOff>206615</xdr:colOff>
      <xdr:row>2</xdr:row>
      <xdr:rowOff>112570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C1B7B-0106-49EF-94B8-DE4D94AAE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5" y="69275"/>
          <a:ext cx="812753" cy="406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61914</xdr:colOff>
      <xdr:row>0</xdr:row>
      <xdr:rowOff>90491</xdr:rowOff>
    </xdr:from>
    <xdr:to>
      <xdr:col>1</xdr:col>
      <xdr:colOff>526995</xdr:colOff>
      <xdr:row>3</xdr:row>
      <xdr:rowOff>90491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76971-5E8B-4DFE-B4B7-FA55AE07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4" y="90491"/>
          <a:ext cx="1112781" cy="557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an%20Liu/Downloads/20171023_Nike_Valuation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ummary"/>
      <sheetName val="Business Opportunity"/>
      <sheetName val="Free Cash Flows"/>
      <sheetName val="Beta Calculation"/>
      <sheetName val="Cost of Equity"/>
      <sheetName val="Cost of Debt"/>
      <sheetName val="WACC"/>
      <sheetName val="DCF"/>
      <sheetName val="APV"/>
      <sheetName val="Trading Multiples"/>
      <sheetName val="Growth Scenarios"/>
      <sheetName val="Marginal Tax Rate"/>
      <sheetName val="Corporate Bond 1"/>
      <sheetName val="Corporate Bond 2"/>
      <sheetName val="Corporate Bond 3"/>
      <sheetName val="Corporate Bond 4"/>
      <sheetName val="Corporate Bond 5"/>
      <sheetName val="Balance Sheet"/>
      <sheetName val="Income Statement"/>
      <sheetName val="Cash Flow Statement "/>
      <sheetName val="Share Prices"/>
      <sheetName val="SPX"/>
      <sheetName val="Trading Multiples Bloomberg"/>
    </sheetNames>
    <sheetDataSet>
      <sheetData sheetId="0">
        <row r="1">
          <cell r="J1" t="str">
            <v>Scenario 1: Base Case</v>
          </cell>
        </row>
        <row r="2">
          <cell r="J2" t="str">
            <v>Scenario 2: Bull Case</v>
          </cell>
        </row>
        <row r="3">
          <cell r="J3" t="str">
            <v>Scenario 3: Bear Case</v>
          </cell>
        </row>
      </sheetData>
      <sheetData sheetId="1"/>
      <sheetData sheetId="2"/>
      <sheetData sheetId="3">
        <row r="21">
          <cell r="D21" t="str">
            <v>FY 2018E</v>
          </cell>
        </row>
      </sheetData>
      <sheetData sheetId="4"/>
      <sheetData sheetId="5"/>
      <sheetData sheetId="6"/>
      <sheetData sheetId="7"/>
      <sheetData sheetId="8">
        <row r="7">
          <cell r="A7" t="str">
            <v>Scenario 1: Base Case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O29"/>
  <sheetViews>
    <sheetView tabSelected="1" zoomScaleNormal="100" workbookViewId="0">
      <selection activeCell="J23" sqref="J23"/>
    </sheetView>
  </sheetViews>
  <sheetFormatPr baseColWidth="10" defaultColWidth="9.1640625" defaultRowHeight="15" x14ac:dyDescent="0.2"/>
  <cols>
    <col min="1" max="16384" width="9.1640625" style="1"/>
  </cols>
  <sheetData>
    <row r="2" spans="2:11" ht="29" x14ac:dyDescent="0.35">
      <c r="B2" s="379" t="s">
        <v>0</v>
      </c>
      <c r="C2" s="379"/>
      <c r="D2" s="379"/>
      <c r="E2" s="379"/>
      <c r="F2" s="379"/>
      <c r="G2" s="379"/>
      <c r="H2" s="379"/>
      <c r="I2" s="379"/>
      <c r="J2" s="379"/>
      <c r="K2" s="379"/>
    </row>
    <row r="4" spans="2:11" ht="19" x14ac:dyDescent="0.25">
      <c r="B4" s="2" t="s">
        <v>1</v>
      </c>
    </row>
    <row r="5" spans="2:11" x14ac:dyDescent="0.2">
      <c r="B5" s="204" t="s">
        <v>662</v>
      </c>
    </row>
    <row r="6" spans="2:11" x14ac:dyDescent="0.2">
      <c r="B6"/>
    </row>
    <row r="14" spans="2:11" x14ac:dyDescent="0.2">
      <c r="E14"/>
    </row>
    <row r="16" spans="2:11" x14ac:dyDescent="0.2">
      <c r="B16" s="1" t="s">
        <v>2</v>
      </c>
    </row>
    <row r="17" spans="2:15" x14ac:dyDescent="0.2">
      <c r="J17" s="99"/>
      <c r="K17" s="99"/>
      <c r="L17" s="99"/>
      <c r="M17" s="99"/>
      <c r="N17" s="99"/>
      <c r="O17" s="99"/>
    </row>
    <row r="18" spans="2:15" x14ac:dyDescent="0.2">
      <c r="B18" s="3" t="s">
        <v>3</v>
      </c>
      <c r="C18" s="3"/>
      <c r="D18" s="4"/>
      <c r="E18" s="4"/>
      <c r="F18" s="4"/>
      <c r="G18" s="4"/>
      <c r="J18" s="99"/>
      <c r="K18" s="99"/>
      <c r="L18" s="99"/>
      <c r="M18" s="99"/>
      <c r="N18" s="99"/>
      <c r="O18" s="99"/>
    </row>
    <row r="19" spans="2:15" x14ac:dyDescent="0.2">
      <c r="B19" s="378"/>
      <c r="C19" s="378"/>
      <c r="D19" s="378"/>
      <c r="E19" s="378"/>
      <c r="F19" s="378"/>
      <c r="G19" s="378"/>
      <c r="J19" s="99"/>
      <c r="K19" s="99"/>
      <c r="L19" s="99"/>
      <c r="M19" s="99"/>
      <c r="N19" s="99"/>
      <c r="O19" s="99"/>
    </row>
    <row r="20" spans="2:15" x14ac:dyDescent="0.2">
      <c r="B20" s="378"/>
      <c r="C20" s="378"/>
      <c r="D20" s="378"/>
      <c r="E20" s="378"/>
      <c r="F20" s="378"/>
      <c r="G20" s="378"/>
      <c r="J20" s="99"/>
      <c r="K20" s="99"/>
      <c r="L20" s="99"/>
      <c r="M20" s="99"/>
      <c r="N20" s="99"/>
      <c r="O20" s="99"/>
    </row>
    <row r="21" spans="2:15" x14ac:dyDescent="0.2">
      <c r="B21" s="378"/>
      <c r="C21" s="378"/>
      <c r="D21" s="378"/>
      <c r="E21" s="378"/>
      <c r="F21" s="378"/>
      <c r="G21" s="378"/>
      <c r="J21" s="99"/>
      <c r="K21" s="99"/>
      <c r="L21" s="99"/>
      <c r="M21" s="99"/>
      <c r="N21" s="99"/>
      <c r="O21" s="99"/>
    </row>
    <row r="22" spans="2:15" x14ac:dyDescent="0.2">
      <c r="B22" s="378"/>
      <c r="C22" s="378"/>
      <c r="D22" s="378"/>
      <c r="E22" s="378"/>
      <c r="F22" s="378"/>
      <c r="G22" s="378"/>
      <c r="J22" s="99"/>
      <c r="K22" s="99"/>
      <c r="L22" s="99"/>
      <c r="M22" s="99"/>
      <c r="N22" s="99"/>
      <c r="O22" s="99"/>
    </row>
    <row r="23" spans="2:15" x14ac:dyDescent="0.2">
      <c r="B23" s="378"/>
      <c r="C23" s="378"/>
      <c r="D23" s="378"/>
      <c r="E23" s="378"/>
      <c r="F23" s="378"/>
      <c r="G23" s="378"/>
      <c r="J23" s="99"/>
      <c r="K23" s="99"/>
      <c r="L23" s="99"/>
      <c r="M23" s="99"/>
      <c r="N23" s="99"/>
      <c r="O23" s="99"/>
    </row>
    <row r="24" spans="2:15" x14ac:dyDescent="0.2">
      <c r="B24" s="1" t="s">
        <v>4</v>
      </c>
      <c r="J24" s="99"/>
      <c r="K24" s="99"/>
      <c r="L24" s="99"/>
      <c r="M24" s="99"/>
      <c r="N24" s="99"/>
      <c r="O24" s="99"/>
    </row>
    <row r="25" spans="2:15" x14ac:dyDescent="0.2">
      <c r="B25" s="1" t="s">
        <v>5</v>
      </c>
      <c r="J25" s="99"/>
      <c r="K25" s="99"/>
      <c r="L25" s="99"/>
      <c r="M25" s="99"/>
      <c r="N25" s="99"/>
      <c r="O25" s="99"/>
    </row>
    <row r="26" spans="2:15" x14ac:dyDescent="0.2">
      <c r="J26" s="99"/>
      <c r="K26" s="99"/>
      <c r="L26" s="99"/>
      <c r="M26" s="99"/>
      <c r="N26" s="99"/>
      <c r="O26" s="99"/>
    </row>
    <row r="27" spans="2:15" x14ac:dyDescent="0.2">
      <c r="J27" s="99"/>
      <c r="K27" s="99"/>
      <c r="L27" s="99"/>
      <c r="M27" s="99"/>
      <c r="N27" s="99"/>
      <c r="O27" s="99"/>
    </row>
    <row r="29" spans="2:15" x14ac:dyDescent="0.2">
      <c r="B29" s="5"/>
    </row>
  </sheetData>
  <mergeCells count="1">
    <mergeCell ref="B2:K2"/>
  </mergeCells>
  <phoneticPr fontId="44" type="noConversion"/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4182-43B5-49A1-8731-B98247BCDD33}">
  <sheetPr>
    <tabColor rgb="FF0070C0"/>
  </sheetPr>
  <dimension ref="D3:S38"/>
  <sheetViews>
    <sheetView showGridLines="0" zoomScaleNormal="100" workbookViewId="0">
      <selection activeCell="K9" sqref="K9"/>
    </sheetView>
  </sheetViews>
  <sheetFormatPr baseColWidth="10" defaultColWidth="8.83203125" defaultRowHeight="15" x14ac:dyDescent="0.2"/>
  <cols>
    <col min="9" max="10" width="10" bestFit="1" customWidth="1"/>
    <col min="11" max="12" width="12.83203125" bestFit="1" customWidth="1"/>
    <col min="13" max="16" width="10" bestFit="1" customWidth="1"/>
    <col min="17" max="17" width="11.83203125" bestFit="1" customWidth="1"/>
    <col min="18" max="18" width="12" customWidth="1"/>
    <col min="19" max="19" width="10" bestFit="1" customWidth="1"/>
  </cols>
  <sheetData>
    <row r="3" spans="4:19" ht="24" x14ac:dyDescent="0.3">
      <c r="D3" s="94" t="s">
        <v>643</v>
      </c>
      <c r="E3" s="1"/>
      <c r="F3" s="95"/>
      <c r="G3" s="96"/>
    </row>
    <row r="6" spans="4:19" ht="17" thickBot="1" x14ac:dyDescent="0.25">
      <c r="D6" s="238" t="s">
        <v>644</v>
      </c>
      <c r="E6" s="238"/>
      <c r="F6" s="238"/>
      <c r="G6" s="238"/>
      <c r="H6" s="238"/>
    </row>
    <row r="7" spans="4:19" ht="16" thickBot="1" x14ac:dyDescent="0.25">
      <c r="J7" s="142"/>
    </row>
    <row r="8" spans="4:19" ht="16" thickBot="1" x14ac:dyDescent="0.25">
      <c r="D8" s="353" t="s">
        <v>660</v>
      </c>
      <c r="E8" s="354"/>
      <c r="F8" s="354"/>
      <c r="G8" s="354"/>
      <c r="H8" s="355"/>
      <c r="I8" s="356" t="s">
        <v>645</v>
      </c>
      <c r="J8" s="356" t="s">
        <v>646</v>
      </c>
      <c r="K8" s="356" t="s">
        <v>647</v>
      </c>
      <c r="L8" s="356" t="s">
        <v>648</v>
      </c>
      <c r="M8" s="357" t="s">
        <v>649</v>
      </c>
      <c r="O8" s="247" t="s">
        <v>654</v>
      </c>
      <c r="P8" s="247" t="s">
        <v>655</v>
      </c>
      <c r="Q8" s="247" t="s">
        <v>656</v>
      </c>
      <c r="R8" s="247" t="s">
        <v>657</v>
      </c>
      <c r="S8" s="247" t="s">
        <v>658</v>
      </c>
    </row>
    <row r="9" spans="4:19" ht="16" thickBot="1" x14ac:dyDescent="0.25">
      <c r="D9" s="358" t="s">
        <v>652</v>
      </c>
      <c r="E9" s="179"/>
      <c r="F9" s="179"/>
      <c r="G9" s="179"/>
      <c r="H9" s="180"/>
      <c r="I9" s="366"/>
      <c r="J9" s="366"/>
      <c r="K9" s="183">
        <f>'1.2 DCF Analysis'!F52</f>
        <v>275607.26211709151</v>
      </c>
      <c r="L9" s="366"/>
      <c r="M9" s="367"/>
      <c r="O9" s="248"/>
      <c r="P9" s="248"/>
      <c r="Q9" s="248"/>
      <c r="R9" s="248"/>
      <c r="S9" s="248"/>
    </row>
    <row r="10" spans="4:19" ht="16" thickBot="1" x14ac:dyDescent="0.25">
      <c r="D10" s="359" t="s">
        <v>650</v>
      </c>
      <c r="E10" s="181"/>
      <c r="F10" s="181"/>
      <c r="G10" s="181"/>
      <c r="H10" s="182"/>
      <c r="I10" s="184">
        <f>MIN('1.1 Multiple Valuation'!K38:K41)</f>
        <v>144818.25879999998</v>
      </c>
      <c r="J10" s="184">
        <f>_xlfn.QUARTILE.EXC('1.1 Multiple Valuation'!K38:K41,1)</f>
        <v>146870.73339999997</v>
      </c>
      <c r="K10" s="183">
        <f>'1.1 Multiple Valuation'!K42</f>
        <v>194020.94089999999</v>
      </c>
      <c r="L10" s="184">
        <f>_xlfn.QUARTILE.EXC('1.1 Multiple Valuation'!K38:K41,3)</f>
        <v>235799.86627499998</v>
      </c>
      <c r="M10" s="360">
        <f>MAX('1.1 Multiple Valuation'!K38:K41)</f>
        <v>236061.9135</v>
      </c>
      <c r="O10" s="249">
        <f>I10</f>
        <v>144818.25879999998</v>
      </c>
      <c r="P10" s="249">
        <f t="shared" ref="P10:S12" si="0">J10-I10</f>
        <v>2052.4745999999868</v>
      </c>
      <c r="Q10" s="250">
        <f t="shared" si="0"/>
        <v>47150.207500000019</v>
      </c>
      <c r="R10" s="250">
        <f t="shared" si="0"/>
        <v>41778.925374999992</v>
      </c>
      <c r="S10" s="249">
        <f t="shared" si="0"/>
        <v>262.04722500001662</v>
      </c>
    </row>
    <row r="11" spans="4:19" ht="16" thickBot="1" x14ac:dyDescent="0.25">
      <c r="D11" s="359" t="s">
        <v>653</v>
      </c>
      <c r="E11" s="181"/>
      <c r="F11" s="181"/>
      <c r="G11" s="181"/>
      <c r="H11" s="182"/>
      <c r="I11" s="184">
        <f>MIN('1.1 Multiple Valuation'!I52:I55)</f>
        <v>141078.43865788</v>
      </c>
      <c r="J11" s="184">
        <f>_xlfn.QUARTILE.EXC('1.1 Multiple Valuation'!I52:I55,1)</f>
        <v>154073.401128164</v>
      </c>
      <c r="K11" s="184">
        <f>'1.1 Multiple Valuation'!I56</f>
        <v>207412.85238776798</v>
      </c>
      <c r="L11" s="184">
        <f>_xlfn.QUARTILE.EXC('1.1 Multiple Valuation'!I52:I55,3)</f>
        <v>235783.86522767396</v>
      </c>
      <c r="M11" s="360">
        <f>MAX('1.1 Multiple Valuation'!I52:I55)</f>
        <v>240456.01489139197</v>
      </c>
      <c r="O11" s="249">
        <f>I11</f>
        <v>141078.43865788</v>
      </c>
      <c r="P11" s="249">
        <f t="shared" si="0"/>
        <v>12994.962470283994</v>
      </c>
      <c r="Q11" s="250">
        <f t="shared" si="0"/>
        <v>53339.451259603986</v>
      </c>
      <c r="R11" s="250">
        <f t="shared" si="0"/>
        <v>28371.012839905976</v>
      </c>
      <c r="S11" s="249">
        <f t="shared" si="0"/>
        <v>4672.1496637180098</v>
      </c>
    </row>
    <row r="12" spans="4:19" ht="16" thickBot="1" x14ac:dyDescent="0.25">
      <c r="D12" s="361" t="s">
        <v>651</v>
      </c>
      <c r="E12" s="362"/>
      <c r="F12" s="362"/>
      <c r="G12" s="362"/>
      <c r="H12" s="363"/>
      <c r="I12" s="364">
        <f>MIN('1.1 Multiple Valuation'!I24:I27)</f>
        <v>147344.76855617599</v>
      </c>
      <c r="J12" s="364">
        <f>_xlfn.QUARTILE.EXC('1.1 Multiple Valuation'!I24:I27,1)</f>
        <v>160242.81324155943</v>
      </c>
      <c r="K12" s="364">
        <f>'1.1 Multiple Valuation'!I28</f>
        <v>208015.59484232293</v>
      </c>
      <c r="L12" s="364">
        <f>_xlfn.QUARTILE.EXC('1.1 Multiple Valuation'!I24:I27,3)</f>
        <v>239965.01403488609</v>
      </c>
      <c r="M12" s="365">
        <f>MAX('1.1 Multiple Valuation'!I24:I27)</f>
        <v>247588.60458420278</v>
      </c>
      <c r="O12" s="249">
        <f>I12</f>
        <v>147344.76855617599</v>
      </c>
      <c r="P12" s="249">
        <f t="shared" si="0"/>
        <v>12898.044685383444</v>
      </c>
      <c r="Q12" s="250">
        <f t="shared" si="0"/>
        <v>47772.781600763497</v>
      </c>
      <c r="R12" s="250">
        <f t="shared" si="0"/>
        <v>31949.41919256316</v>
      </c>
      <c r="S12" s="249">
        <f t="shared" si="0"/>
        <v>7623.5905493166938</v>
      </c>
    </row>
    <row r="14" spans="4:19" ht="16" thickBot="1" x14ac:dyDescent="0.25"/>
    <row r="15" spans="4:19" x14ac:dyDescent="0.2">
      <c r="D15" s="239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4:19" x14ac:dyDescent="0.2">
      <c r="D16" s="2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243"/>
    </row>
    <row r="17" spans="4:15" x14ac:dyDescent="0.2">
      <c r="D17" s="2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243"/>
    </row>
    <row r="18" spans="4:15" x14ac:dyDescent="0.2">
      <c r="D18" s="2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243"/>
    </row>
    <row r="19" spans="4:15" x14ac:dyDescent="0.2">
      <c r="D19" s="2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243"/>
    </row>
    <row r="20" spans="4:15" x14ac:dyDescent="0.2">
      <c r="D20" s="2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243"/>
    </row>
    <row r="21" spans="4:15" x14ac:dyDescent="0.2">
      <c r="D21" s="2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243"/>
    </row>
    <row r="22" spans="4:15" x14ac:dyDescent="0.2">
      <c r="D22" s="2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243"/>
    </row>
    <row r="23" spans="4:15" x14ac:dyDescent="0.2">
      <c r="D23" s="2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243"/>
    </row>
    <row r="24" spans="4:15" x14ac:dyDescent="0.2">
      <c r="D24" s="2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243"/>
    </row>
    <row r="25" spans="4:15" x14ac:dyDescent="0.2">
      <c r="D25" s="2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243"/>
    </row>
    <row r="26" spans="4:15" x14ac:dyDescent="0.2">
      <c r="D26" s="2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243"/>
    </row>
    <row r="27" spans="4:15" x14ac:dyDescent="0.2">
      <c r="D27" s="2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243"/>
    </row>
    <row r="28" spans="4:15" x14ac:dyDescent="0.2">
      <c r="D28" s="2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243"/>
    </row>
    <row r="29" spans="4:15" x14ac:dyDescent="0.2">
      <c r="D29" s="2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243"/>
    </row>
    <row r="30" spans="4:15" x14ac:dyDescent="0.2">
      <c r="D30" s="2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243"/>
    </row>
    <row r="31" spans="4:15" x14ac:dyDescent="0.2">
      <c r="D31" s="2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243"/>
    </row>
    <row r="32" spans="4:15" x14ac:dyDescent="0.2">
      <c r="D32" s="2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243"/>
    </row>
    <row r="33" spans="4:15" x14ac:dyDescent="0.2">
      <c r="D33" s="2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243"/>
    </row>
    <row r="34" spans="4:15" x14ac:dyDescent="0.2">
      <c r="D34" s="2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243"/>
    </row>
    <row r="35" spans="4:15" x14ac:dyDescent="0.2">
      <c r="D35" s="2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243"/>
    </row>
    <row r="36" spans="4:15" x14ac:dyDescent="0.2">
      <c r="D36" s="2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243"/>
    </row>
    <row r="37" spans="4:15" x14ac:dyDescent="0.2">
      <c r="D37" s="2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243"/>
    </row>
    <row r="38" spans="4:15" ht="16" thickBot="1" x14ac:dyDescent="0.25">
      <c r="D38" s="244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6"/>
    </row>
  </sheetData>
  <phoneticPr fontId="4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499984740745262"/>
  </sheetPr>
  <dimension ref="A1"/>
  <sheetViews>
    <sheetView workbookViewId="0">
      <selection activeCell="G39" sqref="G39"/>
    </sheetView>
  </sheetViews>
  <sheetFormatPr baseColWidth="10" defaultColWidth="9.1640625" defaultRowHeight="15" x14ac:dyDescent="0.2"/>
  <cols>
    <col min="1" max="16384" width="9.1640625" style="1"/>
  </cols>
  <sheetData/>
  <phoneticPr fontId="4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2:L65"/>
  <sheetViews>
    <sheetView topLeftCell="A19" zoomScale="90" zoomScaleNormal="90" workbookViewId="0">
      <selection activeCell="O38" sqref="O38"/>
    </sheetView>
  </sheetViews>
  <sheetFormatPr baseColWidth="10" defaultColWidth="9.1640625" defaultRowHeight="15" x14ac:dyDescent="0.2"/>
  <cols>
    <col min="1" max="1" width="9.1640625" style="237"/>
    <col min="2" max="2" width="36.6640625" style="1" bestFit="1" customWidth="1"/>
    <col min="3" max="3" width="14.5" style="1" customWidth="1"/>
    <col min="4" max="4" width="12.6640625" style="1" customWidth="1"/>
    <col min="5" max="5" width="12" style="1" bestFit="1" customWidth="1"/>
    <col min="6" max="6" width="14.5" style="1" customWidth="1"/>
    <col min="7" max="7" width="17" style="1" customWidth="1"/>
    <col min="8" max="8" width="17.1640625" style="1" customWidth="1"/>
    <col min="9" max="9" width="16.1640625" style="1" customWidth="1"/>
    <col min="10" max="10" width="19.83203125" style="1" customWidth="1"/>
    <col min="11" max="11" width="17.83203125" style="1" customWidth="1"/>
    <col min="12" max="12" width="23" style="1" bestFit="1" customWidth="1"/>
    <col min="13" max="13" width="9.1640625" style="1"/>
    <col min="14" max="14" width="11.1640625" style="1" customWidth="1"/>
    <col min="15" max="15" width="10.5" style="1" customWidth="1"/>
    <col min="16" max="16384" width="9.1640625" style="1"/>
  </cols>
  <sheetData>
    <row r="2" spans="2:12" ht="24" x14ac:dyDescent="0.3">
      <c r="C2" s="94" t="s">
        <v>366</v>
      </c>
      <c r="E2" s="95"/>
      <c r="F2" s="96"/>
      <c r="G2" s="96"/>
    </row>
    <row r="4" spans="2:12" x14ac:dyDescent="0.2">
      <c r="I4" s="33"/>
    </row>
    <row r="5" spans="2:12" ht="16" thickBot="1" x14ac:dyDescent="0.25"/>
    <row r="6" spans="2:12" ht="15" customHeight="1" thickBot="1" x14ac:dyDescent="0.25">
      <c r="B6" s="36" t="s">
        <v>659</v>
      </c>
      <c r="C6" s="97" t="s">
        <v>320</v>
      </c>
      <c r="D6" s="38" t="s">
        <v>322</v>
      </c>
      <c r="E6" s="40" t="s">
        <v>324</v>
      </c>
      <c r="F6" s="388" t="s">
        <v>25</v>
      </c>
      <c r="G6" s="390" t="s">
        <v>327</v>
      </c>
      <c r="H6" s="390" t="s">
        <v>49</v>
      </c>
      <c r="I6" s="390" t="s">
        <v>328</v>
      </c>
      <c r="J6" s="390" t="s">
        <v>329</v>
      </c>
      <c r="K6" s="391" t="s">
        <v>330</v>
      </c>
      <c r="L6" s="66" t="s">
        <v>326</v>
      </c>
    </row>
    <row r="7" spans="2:12" ht="16" thickBot="1" x14ac:dyDescent="0.25">
      <c r="B7" s="37" t="s">
        <v>321</v>
      </c>
      <c r="C7" s="98"/>
      <c r="D7" s="39" t="s">
        <v>323</v>
      </c>
      <c r="E7" s="39" t="s">
        <v>325</v>
      </c>
      <c r="F7" s="389"/>
      <c r="G7" s="389"/>
      <c r="H7" s="393"/>
      <c r="I7" s="389"/>
      <c r="J7" s="389"/>
      <c r="K7" s="392"/>
      <c r="L7" s="67" t="s">
        <v>9</v>
      </c>
    </row>
    <row r="8" spans="2:12" ht="16" thickBot="1" x14ac:dyDescent="0.25">
      <c r="B8" s="42" t="s">
        <v>331</v>
      </c>
      <c r="C8" s="59">
        <f>'3.4 Trading Multiples Bloomberg'!C10</f>
        <v>39.85</v>
      </c>
      <c r="D8" s="64">
        <f>'3.4 Trading Multiples Bloomberg'!F10</f>
        <v>250525.87839999999</v>
      </c>
      <c r="E8" s="62">
        <f>'3.4 Trading Multiples Bloomberg'!E10</f>
        <v>250782.87839999999</v>
      </c>
      <c r="F8" s="43">
        <f>'3.4 Trading Multiples Bloomberg'!U10</f>
        <v>11776</v>
      </c>
      <c r="G8" s="64">
        <f>'3.4 Trading Multiples Bloomberg'!Y10</f>
        <v>18293</v>
      </c>
      <c r="H8" s="43">
        <f>'3.4 Trading Multiples Bloomberg'!L11</f>
        <v>6162.1639999999998</v>
      </c>
      <c r="I8" s="61">
        <f>'3.4 Trading Multiples Bloomberg'!S10</f>
        <v>1.22</v>
      </c>
      <c r="J8" s="59">
        <f>'3.4 Trading Multiples Bloomberg'!Z10</f>
        <v>31.378</v>
      </c>
      <c r="K8" s="56">
        <f>'3.4 Trading Multiples Bloomberg'!AA10</f>
        <v>13.673999999999999</v>
      </c>
      <c r="L8" s="59">
        <f>'3.4 Trading Multiples Bloomberg'!V10</f>
        <v>21.296099999999999</v>
      </c>
    </row>
    <row r="9" spans="2:12" ht="16" thickBot="1" x14ac:dyDescent="0.25">
      <c r="B9" s="42" t="s">
        <v>332</v>
      </c>
      <c r="C9" s="60">
        <f>'3.4 Trading Multiples Bloomberg'!C35</f>
        <v>78.540000000000006</v>
      </c>
      <c r="D9" s="64">
        <f>'3.4 Trading Multiples Bloomberg'!F35</f>
        <v>88295.277799999996</v>
      </c>
      <c r="E9" s="43">
        <f>'3.4 Trading Multiples Bloomberg'!E35</f>
        <v>87982.677800000005</v>
      </c>
      <c r="F9" s="43">
        <f>'3.4 Trading Multiples Bloomberg'!U35</f>
        <v>4184.7</v>
      </c>
      <c r="G9" s="64">
        <f>'3.4 Trading Multiples Bloomberg'!Y35</f>
        <v>7104</v>
      </c>
      <c r="H9" s="43">
        <f>'3.4 Trading Multiples Bloomberg'!L36</f>
        <v>1123.374</v>
      </c>
      <c r="I9" s="61">
        <f>'3.4 Trading Multiples Bloomberg'!S35</f>
        <v>2.5499999999999998</v>
      </c>
      <c r="J9" s="59">
        <f>'3.4 Trading Multiples Bloomberg'!Z35</f>
        <v>28.456499999999998</v>
      </c>
      <c r="K9" s="43">
        <f>'3.4 Trading Multiples Bloomberg'!AA35</f>
        <v>12.419499999999999</v>
      </c>
      <c r="L9" s="59">
        <f>'3.4 Trading Multiples Bloomberg'!V35</f>
        <v>21.024799999999999</v>
      </c>
    </row>
    <row r="10" spans="2:12" ht="16" thickBot="1" x14ac:dyDescent="0.25">
      <c r="B10" s="42" t="s">
        <v>333</v>
      </c>
      <c r="C10" s="59">
        <f>'3.4 Trading Multiples Bloomberg'!C59</f>
        <v>59.1</v>
      </c>
      <c r="D10" s="64">
        <f>'3.4 Trading Multiples Bloomberg'!F59</f>
        <v>180141.11420000001</v>
      </c>
      <c r="E10" s="43">
        <f>'3.4 Trading Multiples Bloomberg'!E59</f>
        <v>174951.11420000001</v>
      </c>
      <c r="F10" s="43">
        <f>'3.4 Trading Multiples Bloomberg'!U59</f>
        <v>9490</v>
      </c>
      <c r="G10" s="64">
        <f>'3.4 Trading Multiples Bloomberg'!Y59</f>
        <v>24233</v>
      </c>
      <c r="H10" s="43">
        <f>'3.4 Trading Multiples Bloomberg'!L60</f>
        <v>2970.5819999999999</v>
      </c>
      <c r="I10" s="61">
        <f>'3.4 Trading Multiples Bloomberg'!S59</f>
        <v>1.8399999999999999</v>
      </c>
      <c r="J10" s="59">
        <f>'3.4 Trading Multiples Bloomberg'!Z59</f>
        <v>30.942399999999999</v>
      </c>
      <c r="K10" s="43">
        <f>'3.4 Trading Multiples Bloomberg'!AA59</f>
        <v>7.4315999999999995</v>
      </c>
      <c r="L10" s="59">
        <f>'3.4 Trading Multiples Bloomberg'!V59</f>
        <v>18.435300000000002</v>
      </c>
    </row>
    <row r="11" spans="2:12" ht="16" thickBot="1" x14ac:dyDescent="0.25">
      <c r="B11" s="42" t="s">
        <v>334</v>
      </c>
      <c r="C11" s="59">
        <f>'3.4 Trading Multiples Bloomberg'!C83</f>
        <v>55.651699999999998</v>
      </c>
      <c r="D11" s="64">
        <f>'3.4 Trading Multiples Bloomberg'!F83</f>
        <v>133752.94570000001</v>
      </c>
      <c r="E11" s="43">
        <f>'3.4 Trading Multiples Bloomberg'!E83</f>
        <v>144169.14569999999</v>
      </c>
      <c r="F11" s="43">
        <f>'3.4 Trading Multiples Bloomberg'!U83</f>
        <v>11522.2</v>
      </c>
      <c r="G11" s="64">
        <f>'3.4 Trading Multiples Bloomberg'!Y83</f>
        <v>20887.599999999999</v>
      </c>
      <c r="H11" s="43">
        <f>'3.4 Trading Multiples Bloomberg'!L84</f>
        <v>2245.556</v>
      </c>
      <c r="I11" s="61">
        <f>'3.4 Trading Multiples Bloomberg'!S83</f>
        <v>3.14</v>
      </c>
      <c r="J11" s="69">
        <f>'3.4 Trading Multiples Bloomberg'!Z83</f>
        <v>17.723500000000001</v>
      </c>
      <c r="K11" s="63">
        <f>'3.4 Trading Multiples Bloomberg'!AA83</f>
        <v>7.8803999999999998</v>
      </c>
      <c r="L11" s="59">
        <f>'3.4 Trading Multiples Bloomberg'!V83</f>
        <v>12.5123</v>
      </c>
    </row>
    <row r="12" spans="2:12" ht="16" thickBot="1" x14ac:dyDescent="0.25">
      <c r="B12" s="42" t="s">
        <v>335</v>
      </c>
      <c r="C12" s="59">
        <f>'3.4 Trading Multiples Bloomberg'!C107</f>
        <v>51</v>
      </c>
      <c r="D12" s="64">
        <f>'3.4 Trading Multiples Bloomberg'!F107</f>
        <v>98677.684899999993</v>
      </c>
      <c r="E12" s="43">
        <f>'3.4 Trading Multiples Bloomberg'!E107</f>
        <v>99434.684899999993</v>
      </c>
      <c r="F12" s="43">
        <f>'3.4 Trading Multiples Bloomberg'!U107</f>
        <v>5886</v>
      </c>
      <c r="G12" s="64">
        <f>'3.4 Trading Multiples Bloomberg'!Y107</f>
        <v>9075</v>
      </c>
      <c r="H12" s="43">
        <f>'3.4 Trading Multiples Bloomberg'!L108</f>
        <v>1937.0450000000001</v>
      </c>
      <c r="I12" s="61">
        <f>'3.4 Trading Multiples Bloomberg'!S107</f>
        <v>2.46</v>
      </c>
      <c r="J12" s="70">
        <f>'3.4 Trading Multiples Bloomberg'!Z107</f>
        <v>24.637699999999999</v>
      </c>
      <c r="K12" s="43">
        <f>'3.4 Trading Multiples Bloomberg'!AA107</f>
        <v>12.3622</v>
      </c>
      <c r="L12" s="59">
        <f>'3.4 Trading Multiples Bloomberg'!V107</f>
        <v>16.8934</v>
      </c>
    </row>
    <row r="13" spans="2:12" ht="16" thickBot="1" x14ac:dyDescent="0.25">
      <c r="B13" s="57" t="s">
        <v>338</v>
      </c>
      <c r="C13" s="77">
        <f>AVERAGE(C9:C12)</f>
        <v>61.072925000000005</v>
      </c>
      <c r="D13" s="78">
        <f>AVERAGE(D9:D12)</f>
        <v>125216.75565000001</v>
      </c>
      <c r="E13" s="78">
        <f>AVERAGE(E9:E12)</f>
        <v>126634.40565</v>
      </c>
      <c r="F13" s="78">
        <f>AVERAGE(F9:F12)</f>
        <v>7770.7250000000004</v>
      </c>
      <c r="G13" s="78">
        <f>AVERAGE(G9:G12)</f>
        <v>15324.9</v>
      </c>
      <c r="H13" s="58">
        <f>AVERAGE(H9:H11)</f>
        <v>2113.1706666666669</v>
      </c>
      <c r="I13" s="58">
        <f t="shared" ref="I13:J13" si="0">AVERAGE(I9:I11)</f>
        <v>2.5099999999999998</v>
      </c>
      <c r="J13" s="58">
        <f t="shared" si="0"/>
        <v>25.707466666666665</v>
      </c>
      <c r="K13" s="78">
        <f>AVERAGE(K9:K11)</f>
        <v>9.2438333333333329</v>
      </c>
      <c r="L13" s="78">
        <f>AVERAGE(L9:L11)</f>
        <v>17.324133333333332</v>
      </c>
    </row>
    <row r="14" spans="2:12" ht="16" thickBot="1" x14ac:dyDescent="0.25">
      <c r="B14" s="47" t="s">
        <v>339</v>
      </c>
      <c r="C14" s="75">
        <f>_xlfn.QUARTILE.EXC(C9:C12,1)</f>
        <v>52.162925000000001</v>
      </c>
      <c r="D14" s="76">
        <f t="shared" ref="D14:L14" si="1">_xlfn.QUARTILE.EXC(D9:D12,1)</f>
        <v>90890.879574999999</v>
      </c>
      <c r="E14" s="76">
        <f t="shared" si="1"/>
        <v>90845.679575000002</v>
      </c>
      <c r="F14" s="76">
        <f t="shared" si="1"/>
        <v>4610.0249999999996</v>
      </c>
      <c r="G14" s="76">
        <f t="shared" si="1"/>
        <v>7596.75</v>
      </c>
      <c r="H14" s="76">
        <f t="shared" si="1"/>
        <v>1326.7917500000001</v>
      </c>
      <c r="I14" s="76">
        <f t="shared" si="1"/>
        <v>1.9949999999999999</v>
      </c>
      <c r="J14" s="76">
        <f t="shared" si="1"/>
        <v>19.45205</v>
      </c>
      <c r="K14" s="76">
        <f t="shared" si="1"/>
        <v>7.5437999999999992</v>
      </c>
      <c r="L14" s="76">
        <f t="shared" si="1"/>
        <v>13.607575000000001</v>
      </c>
    </row>
    <row r="15" spans="2:12" ht="16" thickBot="1" x14ac:dyDescent="0.25">
      <c r="B15" s="47" t="s">
        <v>340</v>
      </c>
      <c r="C15" s="75">
        <f>MEDIAN(C9:C12)</f>
        <v>57.37585</v>
      </c>
      <c r="D15" s="76">
        <f t="shared" ref="D15:E15" si="2">MEDIAN(D9:D12)</f>
        <v>116215.3153</v>
      </c>
      <c r="E15" s="76">
        <f t="shared" si="2"/>
        <v>121801.91529999999</v>
      </c>
      <c r="F15" s="76">
        <f>MEDIAN(F9:F12)</f>
        <v>7688</v>
      </c>
      <c r="G15" s="76">
        <f>MEDIAN(G9:G12)</f>
        <v>14981.3</v>
      </c>
      <c r="H15" s="76">
        <f t="shared" ref="H15:L15" si="3">MEDIAN(H9:H12)</f>
        <v>2091.3005000000003</v>
      </c>
      <c r="I15" s="76">
        <f t="shared" si="3"/>
        <v>2.5049999999999999</v>
      </c>
      <c r="J15" s="76">
        <f t="shared" si="3"/>
        <v>26.5471</v>
      </c>
      <c r="K15" s="76">
        <f t="shared" si="3"/>
        <v>10.1213</v>
      </c>
      <c r="L15" s="76">
        <f t="shared" si="3"/>
        <v>17.664349999999999</v>
      </c>
    </row>
    <row r="16" spans="2:12" ht="16" thickBot="1" x14ac:dyDescent="0.25">
      <c r="B16" s="47" t="s">
        <v>341</v>
      </c>
      <c r="C16" s="75">
        <f>_xlfn.QUARTILE.EXC(C9:C12,3)</f>
        <v>73.680000000000007</v>
      </c>
      <c r="D16" s="76">
        <f t="shared" ref="D16:L16" si="4">_xlfn.QUARTILE.EXC(D9:D12,3)</f>
        <v>168544.072075</v>
      </c>
      <c r="E16" s="76">
        <f t="shared" si="4"/>
        <v>167255.62207500002</v>
      </c>
      <c r="F16" s="76">
        <f t="shared" si="4"/>
        <v>11014.150000000001</v>
      </c>
      <c r="G16" s="76">
        <f t="shared" si="4"/>
        <v>23396.65</v>
      </c>
      <c r="H16" s="76">
        <f t="shared" si="4"/>
        <v>2789.3254999999999</v>
      </c>
      <c r="I16" s="76">
        <f t="shared" si="4"/>
        <v>2.9925000000000002</v>
      </c>
      <c r="J16" s="76">
        <f t="shared" si="4"/>
        <v>30.320924999999999</v>
      </c>
      <c r="K16" s="76">
        <f t="shared" si="4"/>
        <v>12.405175</v>
      </c>
      <c r="L16" s="76">
        <f t="shared" si="4"/>
        <v>20.377424999999999</v>
      </c>
    </row>
    <row r="17" spans="2:12" x14ac:dyDescent="0.2">
      <c r="B17" s="21" t="s">
        <v>345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</row>
    <row r="20" spans="2:12" ht="16" thickBot="1" x14ac:dyDescent="0.25">
      <c r="B20" s="44" t="s">
        <v>336</v>
      </c>
    </row>
    <row r="21" spans="2:12" ht="14.5" customHeight="1" x14ac:dyDescent="0.2">
      <c r="B21" s="45" t="s">
        <v>659</v>
      </c>
      <c r="C21" s="380" t="s">
        <v>337</v>
      </c>
      <c r="D21" s="382" t="s">
        <v>347</v>
      </c>
      <c r="E21" s="382" t="s">
        <v>348</v>
      </c>
      <c r="F21" s="382" t="s">
        <v>349</v>
      </c>
      <c r="G21" s="382" t="s">
        <v>350</v>
      </c>
      <c r="H21" s="380" t="s">
        <v>346</v>
      </c>
      <c r="I21" s="382" t="s">
        <v>351</v>
      </c>
    </row>
    <row r="22" spans="2:12" ht="16" thickBot="1" x14ac:dyDescent="0.25">
      <c r="B22" s="46" t="s">
        <v>321</v>
      </c>
      <c r="C22" s="381"/>
      <c r="D22" s="383"/>
      <c r="E22" s="383"/>
      <c r="F22" s="383"/>
      <c r="G22" s="383"/>
      <c r="H22" s="381"/>
      <c r="I22" s="383"/>
    </row>
    <row r="23" spans="2:12" ht="16" thickBot="1" x14ac:dyDescent="0.25">
      <c r="B23" s="42" t="s">
        <v>331</v>
      </c>
      <c r="C23" s="43">
        <f>E8</f>
        <v>250782.87839999999</v>
      </c>
      <c r="D23" s="43">
        <f>F8</f>
        <v>11776</v>
      </c>
      <c r="E23" s="43">
        <f>C23/F23</f>
        <v>11776.000225393382</v>
      </c>
      <c r="F23" s="59">
        <f>L8</f>
        <v>21.296099999999999</v>
      </c>
      <c r="G23" s="68">
        <f>C23/D23</f>
        <v>21.296100407608694</v>
      </c>
      <c r="I23" s="42"/>
    </row>
    <row r="24" spans="2:12" ht="16" thickBot="1" x14ac:dyDescent="0.25">
      <c r="B24" s="42" t="s">
        <v>332</v>
      </c>
      <c r="C24" s="43">
        <f t="shared" ref="C24:C27" si="5">E9</f>
        <v>87982.677800000005</v>
      </c>
      <c r="D24" s="43">
        <f>F9</f>
        <v>4184.7</v>
      </c>
      <c r="E24" s="43">
        <f>C24/F24</f>
        <v>4184.709381302082</v>
      </c>
      <c r="F24" s="59">
        <f>L9</f>
        <v>21.024799999999999</v>
      </c>
      <c r="G24" s="68">
        <f>C24/D24</f>
        <v>21.024847133605757</v>
      </c>
      <c r="H24" s="43">
        <f>$D$23*F24</f>
        <v>247588.04479999997</v>
      </c>
      <c r="I24" s="43">
        <f>$E$23*G24</f>
        <v>247588.60458420278</v>
      </c>
    </row>
    <row r="25" spans="2:12" ht="16" thickBot="1" x14ac:dyDescent="0.25">
      <c r="B25" s="42" t="s">
        <v>333</v>
      </c>
      <c r="C25" s="43">
        <f t="shared" si="5"/>
        <v>174951.11420000001</v>
      </c>
      <c r="D25" s="43">
        <f t="shared" ref="D25:D27" si="6">F10</f>
        <v>9490</v>
      </c>
      <c r="E25" s="43">
        <f>C25/F25</f>
        <v>9490.0063573687439</v>
      </c>
      <c r="F25" s="59">
        <f>L10</f>
        <v>18.435300000000002</v>
      </c>
      <c r="G25" s="68">
        <f>C25/D25</f>
        <v>18.43531234984194</v>
      </c>
      <c r="H25" s="43">
        <f t="shared" ref="H25:H27" si="7">$D$23*F25</f>
        <v>217094.09280000001</v>
      </c>
      <c r="I25" s="43">
        <f t="shared" ref="I25:I27" si="8">$E$23*G25</f>
        <v>217094.24238693606</v>
      </c>
    </row>
    <row r="26" spans="2:12" ht="16" thickBot="1" x14ac:dyDescent="0.25">
      <c r="B26" s="42" t="s">
        <v>334</v>
      </c>
      <c r="C26" s="43">
        <f t="shared" si="5"/>
        <v>144169.14569999999</v>
      </c>
      <c r="D26" s="43">
        <f t="shared" si="6"/>
        <v>11522.2</v>
      </c>
      <c r="E26" s="43">
        <f>C26/F26</f>
        <v>11522.193817283793</v>
      </c>
      <c r="F26" s="59">
        <f>L11</f>
        <v>12.5123</v>
      </c>
      <c r="G26" s="68">
        <f>C26/D26</f>
        <v>12.512293286004407</v>
      </c>
      <c r="H26" s="43">
        <f t="shared" si="7"/>
        <v>147344.84479999999</v>
      </c>
      <c r="I26" s="43">
        <f t="shared" si="8"/>
        <v>147344.76855617599</v>
      </c>
    </row>
    <row r="27" spans="2:12" ht="16" thickBot="1" x14ac:dyDescent="0.25">
      <c r="B27" s="42" t="s">
        <v>335</v>
      </c>
      <c r="C27" s="43">
        <f t="shared" si="5"/>
        <v>99434.684899999993</v>
      </c>
      <c r="D27" s="43">
        <f t="shared" si="6"/>
        <v>5886</v>
      </c>
      <c r="E27" s="43">
        <f>C27/F27</f>
        <v>5886.0078432997498</v>
      </c>
      <c r="F27" s="59">
        <f>L12</f>
        <v>16.8934</v>
      </c>
      <c r="G27" s="68">
        <f>C27/D27</f>
        <v>16.893422511043152</v>
      </c>
      <c r="H27" s="43">
        <f t="shared" si="7"/>
        <v>198936.6784</v>
      </c>
      <c r="I27" s="43">
        <f t="shared" si="8"/>
        <v>198936.94729770979</v>
      </c>
    </row>
    <row r="28" spans="2:12" ht="16" thickBot="1" x14ac:dyDescent="0.25">
      <c r="B28" s="72" t="s">
        <v>344</v>
      </c>
      <c r="C28" s="73">
        <f>MEDIAN(C24:C27)</f>
        <v>121801.91529999999</v>
      </c>
      <c r="D28" s="73">
        <f>MEDIAN(D24:D27)</f>
        <v>7688</v>
      </c>
      <c r="E28" s="73">
        <f t="shared" ref="E28:I28" si="9">MEDIAN(E24:E27)</f>
        <v>7688.0071003342473</v>
      </c>
      <c r="F28" s="73">
        <f t="shared" si="9"/>
        <v>17.664349999999999</v>
      </c>
      <c r="G28" s="73">
        <f t="shared" si="9"/>
        <v>17.664367430442546</v>
      </c>
      <c r="H28" s="73">
        <f t="shared" si="9"/>
        <v>208015.38560000001</v>
      </c>
      <c r="I28" s="73">
        <f t="shared" si="9"/>
        <v>208015.59484232293</v>
      </c>
    </row>
    <row r="29" spans="2:12" ht="16" thickBot="1" x14ac:dyDescent="0.25">
      <c r="B29" s="47" t="s">
        <v>339</v>
      </c>
      <c r="C29" s="74">
        <f>_xlfn.QUARTILE.EXC(C24:C27,1)</f>
        <v>90845.679575000002</v>
      </c>
      <c r="D29" s="74">
        <f>_xlfn.QUARTILE.EXC(D24:D27,1)</f>
        <v>4610.0249999999996</v>
      </c>
      <c r="E29" s="74">
        <f t="shared" ref="E29:G29" si="10">_xlfn.QUARTILE.EXC(E24:E27,1)</f>
        <v>4610.0339968014987</v>
      </c>
      <c r="F29" s="74">
        <f t="shared" si="10"/>
        <v>13.607575000000001</v>
      </c>
      <c r="G29" s="74">
        <f t="shared" si="10"/>
        <v>13.607575592264094</v>
      </c>
      <c r="H29" s="74">
        <f t="shared" ref="H29:I29" si="11">_xlfn.QUARTILE.EXC(H24:H27,1)</f>
        <v>160242.80319999999</v>
      </c>
      <c r="I29" s="74">
        <f t="shared" si="11"/>
        <v>160242.81324155943</v>
      </c>
    </row>
    <row r="30" spans="2:12" ht="16" thickBot="1" x14ac:dyDescent="0.25">
      <c r="B30" s="47" t="s">
        <v>341</v>
      </c>
      <c r="C30" s="74">
        <f>_xlfn.QUARTILE.EXC(C24:C27,3)</f>
        <v>167255.62207500002</v>
      </c>
      <c r="D30" s="74">
        <f>_xlfn.QUARTILE.EXC(D24:D27,3)</f>
        <v>11014.150000000001</v>
      </c>
      <c r="E30" s="74">
        <f t="shared" ref="E30:G30" si="12">_xlfn.QUARTILE.EXC(E24:E27,3)</f>
        <v>11014.146952305031</v>
      </c>
      <c r="F30" s="74">
        <f t="shared" si="12"/>
        <v>20.377424999999999</v>
      </c>
      <c r="G30" s="74">
        <f t="shared" si="12"/>
        <v>20.377463437664801</v>
      </c>
      <c r="H30" s="74">
        <f t="shared" ref="H30:I30" si="13">_xlfn.QUARTILE.EXC(H24:H27,3)</f>
        <v>239964.55679999999</v>
      </c>
      <c r="I30" s="74">
        <f t="shared" si="13"/>
        <v>239965.01403488609</v>
      </c>
    </row>
    <row r="31" spans="2:12" x14ac:dyDescent="0.2">
      <c r="B31" s="21" t="s">
        <v>345</v>
      </c>
      <c r="C31" s="71"/>
      <c r="D31" s="71"/>
      <c r="E31" s="71"/>
      <c r="F31" s="71"/>
      <c r="G31" s="71"/>
      <c r="H31" s="71"/>
      <c r="I31" s="71"/>
    </row>
    <row r="34" spans="2:11" ht="16" thickBot="1" x14ac:dyDescent="0.25">
      <c r="B34" s="44" t="s">
        <v>352</v>
      </c>
    </row>
    <row r="35" spans="2:11" x14ac:dyDescent="0.2">
      <c r="B35" s="45" t="s">
        <v>659</v>
      </c>
      <c r="C35" s="396" t="s">
        <v>320</v>
      </c>
      <c r="D35" s="390" t="s">
        <v>49</v>
      </c>
      <c r="E35" s="390" t="s">
        <v>353</v>
      </c>
      <c r="F35" s="390" t="s">
        <v>327</v>
      </c>
      <c r="G35" s="391" t="s">
        <v>354</v>
      </c>
      <c r="H35" s="391" t="s">
        <v>355</v>
      </c>
      <c r="I35" s="391" t="s">
        <v>358</v>
      </c>
      <c r="J35" s="384" t="s">
        <v>358</v>
      </c>
      <c r="K35" s="386" t="s">
        <v>359</v>
      </c>
    </row>
    <row r="36" spans="2:11" ht="16" thickBot="1" x14ac:dyDescent="0.25">
      <c r="B36" s="46" t="s">
        <v>321</v>
      </c>
      <c r="C36" s="397"/>
      <c r="D36" s="393"/>
      <c r="E36" s="393"/>
      <c r="F36" s="389"/>
      <c r="G36" s="392"/>
      <c r="H36" s="392"/>
      <c r="I36" s="394"/>
      <c r="J36" s="385"/>
      <c r="K36" s="387"/>
    </row>
    <row r="37" spans="2:11" ht="16" thickBot="1" x14ac:dyDescent="0.25">
      <c r="B37" s="42" t="s">
        <v>331</v>
      </c>
      <c r="C37" s="59">
        <f>C8</f>
        <v>39.85</v>
      </c>
      <c r="D37" s="79">
        <f>H8</f>
        <v>6162.1639999999998</v>
      </c>
      <c r="E37" s="43">
        <f>C37*D37</f>
        <v>245562.23540000001</v>
      </c>
      <c r="F37" s="79">
        <f>G8</f>
        <v>18293</v>
      </c>
      <c r="G37" s="65">
        <f>E37/F37</f>
        <v>13.423836188706062</v>
      </c>
      <c r="H37" s="368">
        <f>K8</f>
        <v>13.673999999999999</v>
      </c>
      <c r="I37" s="377"/>
      <c r="K37" s="371"/>
    </row>
    <row r="38" spans="2:11" ht="16" thickBot="1" x14ac:dyDescent="0.25">
      <c r="B38" s="42" t="s">
        <v>332</v>
      </c>
      <c r="C38" s="59">
        <f>C9</f>
        <v>78.540000000000006</v>
      </c>
      <c r="D38" s="79">
        <f>H9</f>
        <v>1123.374</v>
      </c>
      <c r="E38" s="43">
        <f t="shared" ref="E38:E41" si="14">C38*D38</f>
        <v>88229.79396000001</v>
      </c>
      <c r="F38" s="79">
        <f>G9</f>
        <v>7104</v>
      </c>
      <c r="G38" s="65">
        <f t="shared" ref="G38:G41" si="15">E38/F38</f>
        <v>12.419734510135136</v>
      </c>
      <c r="H38" s="79">
        <f>K9</f>
        <v>12.419499999999999</v>
      </c>
      <c r="I38" s="376">
        <f>$F$37*G38</f>
        <v>227194.20339390205</v>
      </c>
      <c r="J38" s="368">
        <f>$F$37*H38</f>
        <v>227189.9135</v>
      </c>
      <c r="K38" s="372">
        <f>J38+$C$63</f>
        <v>236061.9135</v>
      </c>
    </row>
    <row r="39" spans="2:11" ht="16" thickBot="1" x14ac:dyDescent="0.25">
      <c r="B39" s="42" t="s">
        <v>333</v>
      </c>
      <c r="C39" s="59">
        <f t="shared" ref="C39:C41" si="16">C10</f>
        <v>59.1</v>
      </c>
      <c r="D39" s="79">
        <f t="shared" ref="D39:D41" si="17">H10</f>
        <v>2970.5819999999999</v>
      </c>
      <c r="E39" s="43">
        <f t="shared" si="14"/>
        <v>175561.39619999999</v>
      </c>
      <c r="F39" s="79">
        <f t="shared" ref="F39:F41" si="18">G10</f>
        <v>24233</v>
      </c>
      <c r="G39" s="65">
        <f t="shared" si="15"/>
        <v>7.244723979697107</v>
      </c>
      <c r="H39" s="79">
        <f t="shared" ref="H39:H41" si="19">K10</f>
        <v>7.4315999999999995</v>
      </c>
      <c r="I39" s="79">
        <f t="shared" ref="I39:I41" si="20">$F$37*G39</f>
        <v>132527.73576059917</v>
      </c>
      <c r="J39" s="368">
        <f t="shared" ref="J39:J41" si="21">$F$37*H39</f>
        <v>135946.25879999998</v>
      </c>
      <c r="K39" s="372">
        <f>J39+$C$63</f>
        <v>144818.25879999998</v>
      </c>
    </row>
    <row r="40" spans="2:11" ht="16" thickBot="1" x14ac:dyDescent="0.25">
      <c r="B40" s="42" t="s">
        <v>334</v>
      </c>
      <c r="C40" s="59">
        <f t="shared" si="16"/>
        <v>55.651699999999998</v>
      </c>
      <c r="D40" s="79">
        <f t="shared" si="17"/>
        <v>2245.556</v>
      </c>
      <c r="E40" s="43">
        <f t="shared" si="14"/>
        <v>124969.00884519999</v>
      </c>
      <c r="F40" s="79">
        <f t="shared" si="18"/>
        <v>20887.599999999999</v>
      </c>
      <c r="G40" s="65">
        <f t="shared" si="15"/>
        <v>5.9829280934717248</v>
      </c>
      <c r="H40" s="79">
        <f t="shared" si="19"/>
        <v>7.8803999999999998</v>
      </c>
      <c r="I40" s="79">
        <f t="shared" si="20"/>
        <v>109445.70361387826</v>
      </c>
      <c r="J40" s="368">
        <f t="shared" si="21"/>
        <v>144156.15719999999</v>
      </c>
      <c r="K40" s="372">
        <f>J40+$C$63</f>
        <v>153028.15719999999</v>
      </c>
    </row>
    <row r="41" spans="2:11" ht="16" thickBot="1" x14ac:dyDescent="0.25">
      <c r="B41" s="42" t="s">
        <v>335</v>
      </c>
      <c r="C41" s="59">
        <f t="shared" si="16"/>
        <v>51</v>
      </c>
      <c r="D41" s="79">
        <f t="shared" si="17"/>
        <v>1937.0450000000001</v>
      </c>
      <c r="E41" s="43">
        <f t="shared" si="14"/>
        <v>98789.294999999998</v>
      </c>
      <c r="F41" s="79">
        <f t="shared" si="18"/>
        <v>9075</v>
      </c>
      <c r="G41" s="65">
        <f t="shared" si="15"/>
        <v>10.885872727272726</v>
      </c>
      <c r="H41" s="79">
        <f t="shared" si="19"/>
        <v>12.3622</v>
      </c>
      <c r="I41" s="79">
        <f t="shared" si="20"/>
        <v>199135.26979999998</v>
      </c>
      <c r="J41" s="368">
        <f t="shared" si="21"/>
        <v>226141.72459999999</v>
      </c>
      <c r="K41" s="372">
        <f>J41+$C$63</f>
        <v>235013.72459999999</v>
      </c>
    </row>
    <row r="42" spans="2:11" ht="16" thickBot="1" x14ac:dyDescent="0.25">
      <c r="B42" s="72" t="s">
        <v>344</v>
      </c>
      <c r="C42" s="83">
        <f t="shared" ref="C42:K42" si="22">MEDIAN(C38:C41)</f>
        <v>57.37585</v>
      </c>
      <c r="D42" s="84">
        <f t="shared" si="22"/>
        <v>2091.3005000000003</v>
      </c>
      <c r="E42" s="84">
        <f t="shared" si="22"/>
        <v>111879.15192259999</v>
      </c>
      <c r="F42" s="84">
        <f t="shared" si="22"/>
        <v>14981.3</v>
      </c>
      <c r="G42" s="84">
        <f t="shared" si="22"/>
        <v>9.0652983534849163</v>
      </c>
      <c r="H42" s="84">
        <f t="shared" si="22"/>
        <v>10.1213</v>
      </c>
      <c r="I42" s="84">
        <f t="shared" si="22"/>
        <v>165831.50278029958</v>
      </c>
      <c r="J42" s="369">
        <f t="shared" si="22"/>
        <v>185148.94089999999</v>
      </c>
      <c r="K42" s="373">
        <f t="shared" si="22"/>
        <v>194020.94089999999</v>
      </c>
    </row>
    <row r="43" spans="2:11" ht="16" thickBot="1" x14ac:dyDescent="0.25">
      <c r="B43" s="47" t="s">
        <v>339</v>
      </c>
      <c r="C43" s="85">
        <f t="shared" ref="C43:K43" si="23">_xlfn.QUARTILE.EXC(C38:C41,1)</f>
        <v>52.162925000000001</v>
      </c>
      <c r="D43" s="86">
        <f t="shared" si="23"/>
        <v>1326.7917500000001</v>
      </c>
      <c r="E43" s="86">
        <f t="shared" si="23"/>
        <v>90869.669220000011</v>
      </c>
      <c r="F43" s="86">
        <f t="shared" si="23"/>
        <v>7596.75</v>
      </c>
      <c r="G43" s="86">
        <f t="shared" si="23"/>
        <v>6.2983770650280704</v>
      </c>
      <c r="H43" s="86">
        <f t="shared" si="23"/>
        <v>7.5437999999999992</v>
      </c>
      <c r="I43" s="86">
        <f t="shared" si="23"/>
        <v>115216.21165055849</v>
      </c>
      <c r="J43" s="370">
        <f t="shared" si="23"/>
        <v>137998.73339999997</v>
      </c>
      <c r="K43" s="374">
        <f t="shared" si="23"/>
        <v>146870.73339999997</v>
      </c>
    </row>
    <row r="44" spans="2:11" ht="16" thickBot="1" x14ac:dyDescent="0.25">
      <c r="B44" s="47" t="s">
        <v>341</v>
      </c>
      <c r="C44" s="87">
        <f t="shared" ref="C44:K44" si="24">_xlfn.QUARTILE.EXC(C38:C41,3)</f>
        <v>73.680000000000007</v>
      </c>
      <c r="D44" s="86">
        <f t="shared" si="24"/>
        <v>2789.3254999999999</v>
      </c>
      <c r="E44" s="86">
        <f t="shared" si="24"/>
        <v>162913.29936129999</v>
      </c>
      <c r="F44" s="86">
        <f t="shared" si="24"/>
        <v>23396.65</v>
      </c>
      <c r="G44" s="86">
        <f t="shared" si="24"/>
        <v>12.036269064419534</v>
      </c>
      <c r="H44" s="86">
        <f t="shared" si="24"/>
        <v>12.405175</v>
      </c>
      <c r="I44" s="86">
        <f t="shared" si="24"/>
        <v>220179.46999542654</v>
      </c>
      <c r="J44" s="370">
        <f t="shared" si="24"/>
        <v>226927.86627499998</v>
      </c>
      <c r="K44" s="375">
        <f t="shared" si="24"/>
        <v>235799.86627499998</v>
      </c>
    </row>
    <row r="45" spans="2:11" x14ac:dyDescent="0.2">
      <c r="B45" s="21" t="s">
        <v>345</v>
      </c>
      <c r="C45" s="71"/>
      <c r="D45" s="71"/>
      <c r="E45" s="71"/>
      <c r="F45" s="71"/>
      <c r="G45" s="71"/>
      <c r="H45" s="71"/>
      <c r="I45" s="71"/>
      <c r="J45" s="71"/>
      <c r="K45" s="89"/>
    </row>
    <row r="48" spans="2:11" ht="16" thickBot="1" x14ac:dyDescent="0.25">
      <c r="B48" s="44" t="s">
        <v>360</v>
      </c>
    </row>
    <row r="49" spans="2:9" x14ac:dyDescent="0.2">
      <c r="B49" s="45" t="s">
        <v>659</v>
      </c>
      <c r="C49" s="396" t="s">
        <v>320</v>
      </c>
      <c r="D49" s="390" t="s">
        <v>328</v>
      </c>
      <c r="E49" s="390" t="s">
        <v>361</v>
      </c>
      <c r="F49" s="390" t="s">
        <v>362</v>
      </c>
      <c r="G49" s="390" t="s">
        <v>363</v>
      </c>
      <c r="H49" s="390" t="s">
        <v>364</v>
      </c>
      <c r="I49" s="390" t="s">
        <v>365</v>
      </c>
    </row>
    <row r="50" spans="2:9" ht="16" thickBot="1" x14ac:dyDescent="0.25">
      <c r="B50" s="46" t="s">
        <v>321</v>
      </c>
      <c r="C50" s="397"/>
      <c r="D50" s="389"/>
      <c r="E50" s="395"/>
      <c r="F50" s="395"/>
      <c r="G50" s="395"/>
      <c r="H50" s="395"/>
      <c r="I50" s="395"/>
    </row>
    <row r="51" spans="2:9" ht="16" thickBot="1" x14ac:dyDescent="0.25">
      <c r="B51" s="42" t="s">
        <v>331</v>
      </c>
      <c r="C51" s="59">
        <f>C37</f>
        <v>39.85</v>
      </c>
      <c r="D51" s="61">
        <f>I8</f>
        <v>1.22</v>
      </c>
      <c r="E51" s="65">
        <f>C51/D51</f>
        <v>32.66393442622951</v>
      </c>
      <c r="F51" s="65">
        <f>J8</f>
        <v>31.378</v>
      </c>
      <c r="G51" s="65">
        <f>$D$51*F51</f>
        <v>38.28116</v>
      </c>
      <c r="H51" s="79"/>
      <c r="I51" s="42"/>
    </row>
    <row r="52" spans="2:9" ht="16" thickBot="1" x14ac:dyDescent="0.25">
      <c r="B52" s="42" t="s">
        <v>332</v>
      </c>
      <c r="C52" s="59">
        <f t="shared" ref="C52:C55" si="25">C38</f>
        <v>78.540000000000006</v>
      </c>
      <c r="D52" s="61">
        <f t="shared" ref="D52:D55" si="26">I9</f>
        <v>2.5499999999999998</v>
      </c>
      <c r="E52" s="65">
        <f t="shared" ref="E52:E55" si="27">C52/D52</f>
        <v>30.800000000000004</v>
      </c>
      <c r="F52" s="65">
        <f t="shared" ref="F52:F55" si="28">J9</f>
        <v>28.456499999999998</v>
      </c>
      <c r="G52" s="65">
        <f t="shared" ref="G52:G55" si="29">$D$51*F52</f>
        <v>34.716929999999998</v>
      </c>
      <c r="H52" s="79">
        <f>G52*$H$8</f>
        <v>213931.41623651999</v>
      </c>
      <c r="I52" s="79">
        <f>H52+$C$63-$C$64</f>
        <v>221767.41623651999</v>
      </c>
    </row>
    <row r="53" spans="2:9" ht="16" thickBot="1" x14ac:dyDescent="0.25">
      <c r="B53" s="42" t="s">
        <v>333</v>
      </c>
      <c r="C53" s="59">
        <f t="shared" si="25"/>
        <v>59.1</v>
      </c>
      <c r="D53" s="61">
        <f t="shared" si="26"/>
        <v>1.8399999999999999</v>
      </c>
      <c r="E53" s="65">
        <f t="shared" si="27"/>
        <v>32.119565217391305</v>
      </c>
      <c r="F53" s="65">
        <f t="shared" si="28"/>
        <v>30.942399999999999</v>
      </c>
      <c r="G53" s="65">
        <f t="shared" si="29"/>
        <v>37.749727999999998</v>
      </c>
      <c r="H53" s="79">
        <f t="shared" ref="H53:H55" si="30">G53*$H$8</f>
        <v>232620.01489139197</v>
      </c>
      <c r="I53" s="79">
        <f>H53+$C$63-$C$64</f>
        <v>240456.01489139197</v>
      </c>
    </row>
    <row r="54" spans="2:9" ht="16" thickBot="1" x14ac:dyDescent="0.25">
      <c r="B54" s="42" t="s">
        <v>334</v>
      </c>
      <c r="C54" s="59">
        <f t="shared" si="25"/>
        <v>55.651699999999998</v>
      </c>
      <c r="D54" s="61">
        <f t="shared" si="26"/>
        <v>3.14</v>
      </c>
      <c r="E54" s="65">
        <f t="shared" si="27"/>
        <v>17.723471337579618</v>
      </c>
      <c r="F54" s="65">
        <f t="shared" si="28"/>
        <v>17.723500000000001</v>
      </c>
      <c r="G54" s="65">
        <f t="shared" si="29"/>
        <v>21.622670000000003</v>
      </c>
      <c r="H54" s="79">
        <f t="shared" si="30"/>
        <v>133242.43865788</v>
      </c>
      <c r="I54" s="79">
        <f>H54+$C$63-$C$64</f>
        <v>141078.43865788</v>
      </c>
    </row>
    <row r="55" spans="2:9" ht="16" thickBot="1" x14ac:dyDescent="0.25">
      <c r="B55" s="42" t="s">
        <v>335</v>
      </c>
      <c r="C55" s="59">
        <f t="shared" si="25"/>
        <v>51</v>
      </c>
      <c r="D55" s="61">
        <f t="shared" si="26"/>
        <v>2.46</v>
      </c>
      <c r="E55" s="65">
        <f t="shared" si="27"/>
        <v>20.73170731707317</v>
      </c>
      <c r="F55" s="65">
        <f t="shared" si="28"/>
        <v>24.637699999999999</v>
      </c>
      <c r="G55" s="65">
        <f t="shared" si="29"/>
        <v>30.057993999999997</v>
      </c>
      <c r="H55" s="79">
        <f t="shared" si="30"/>
        <v>185222.28853901598</v>
      </c>
      <c r="I55" s="79">
        <f>H55+$C$63-$C$64</f>
        <v>193058.28853901598</v>
      </c>
    </row>
    <row r="56" spans="2:9" ht="16" thickBot="1" x14ac:dyDescent="0.25">
      <c r="B56" s="72" t="s">
        <v>344</v>
      </c>
      <c r="C56" s="91">
        <f>MEDIAN(C52:C55)</f>
        <v>57.37585</v>
      </c>
      <c r="D56" s="91">
        <f t="shared" ref="D56:I56" si="31">MEDIAN(D52:D55)</f>
        <v>2.5049999999999999</v>
      </c>
      <c r="E56" s="91">
        <f t="shared" si="31"/>
        <v>25.765853658536585</v>
      </c>
      <c r="F56" s="91">
        <f t="shared" si="31"/>
        <v>26.5471</v>
      </c>
      <c r="G56" s="91">
        <f t="shared" si="31"/>
        <v>32.387461999999999</v>
      </c>
      <c r="H56" s="92">
        <f t="shared" si="31"/>
        <v>199576.85238776798</v>
      </c>
      <c r="I56" s="92">
        <f t="shared" si="31"/>
        <v>207412.85238776798</v>
      </c>
    </row>
    <row r="57" spans="2:9" ht="16" thickBot="1" x14ac:dyDescent="0.25">
      <c r="B57" s="47" t="s">
        <v>339</v>
      </c>
      <c r="C57" s="75">
        <f t="shared" ref="C57:I57" si="32">_xlfn.QUARTILE.EXC(C52:C56,1)</f>
        <v>53.325850000000003</v>
      </c>
      <c r="D57" s="75">
        <f t="shared" si="32"/>
        <v>2.15</v>
      </c>
      <c r="E57" s="75">
        <f t="shared" si="32"/>
        <v>19.227589327326392</v>
      </c>
      <c r="F57" s="75">
        <f t="shared" si="32"/>
        <v>21.180599999999998</v>
      </c>
      <c r="G57" s="75">
        <f t="shared" si="32"/>
        <v>25.840332</v>
      </c>
      <c r="H57" s="86">
        <f t="shared" si="32"/>
        <v>159232.36359844799</v>
      </c>
      <c r="I57" s="86">
        <f t="shared" si="32"/>
        <v>167068.36359844799</v>
      </c>
    </row>
    <row r="58" spans="2:9" ht="16" thickBot="1" x14ac:dyDescent="0.25">
      <c r="B58" s="47" t="s">
        <v>341</v>
      </c>
      <c r="C58" s="93">
        <f t="shared" ref="C58:I58" si="33">_xlfn.QUARTILE.EXC(C52:C55,3)</f>
        <v>73.680000000000007</v>
      </c>
      <c r="D58" s="75">
        <f t="shared" si="33"/>
        <v>2.9925000000000002</v>
      </c>
      <c r="E58" s="75">
        <f t="shared" si="33"/>
        <v>31.78967391304348</v>
      </c>
      <c r="F58" s="75">
        <f t="shared" si="33"/>
        <v>30.320924999999999</v>
      </c>
      <c r="G58" s="75">
        <f t="shared" si="33"/>
        <v>36.991528500000001</v>
      </c>
      <c r="H58" s="86">
        <f t="shared" si="33"/>
        <v>227947.86522767396</v>
      </c>
      <c r="I58" s="86">
        <f t="shared" si="33"/>
        <v>235783.86522767396</v>
      </c>
    </row>
    <row r="59" spans="2:9" x14ac:dyDescent="0.2">
      <c r="B59" s="21" t="s">
        <v>345</v>
      </c>
      <c r="C59" s="71"/>
      <c r="D59" s="71"/>
      <c r="E59" s="71"/>
      <c r="F59" s="71"/>
      <c r="G59" s="71"/>
      <c r="H59" s="71"/>
      <c r="I59" s="71"/>
    </row>
    <row r="62" spans="2:9" ht="16" thickBot="1" x14ac:dyDescent="0.25"/>
    <row r="63" spans="2:9" ht="16" thickBot="1" x14ac:dyDescent="0.25">
      <c r="B63" s="42" t="s">
        <v>356</v>
      </c>
      <c r="C63" s="79">
        <f>'3.2 Balance Sheets'!H76+'3.2 Balance Sheets'!H86</f>
        <v>8872</v>
      </c>
    </row>
    <row r="64" spans="2:9" ht="16" thickBot="1" x14ac:dyDescent="0.25">
      <c r="B64" s="90" t="s">
        <v>357</v>
      </c>
      <c r="C64" s="79">
        <f>'3.2 Balance Sheets'!H10</f>
        <v>1036</v>
      </c>
    </row>
    <row r="65" spans="2:3" x14ac:dyDescent="0.2">
      <c r="B65" s="88" t="s">
        <v>345</v>
      </c>
      <c r="C65" s="89"/>
    </row>
  </sheetData>
  <mergeCells count="29">
    <mergeCell ref="C35:C36"/>
    <mergeCell ref="D35:D36"/>
    <mergeCell ref="E35:E36"/>
    <mergeCell ref="F35:F36"/>
    <mergeCell ref="G35:G36"/>
    <mergeCell ref="H49:H50"/>
    <mergeCell ref="I49:I50"/>
    <mergeCell ref="C49:C50"/>
    <mergeCell ref="D49:D50"/>
    <mergeCell ref="E49:E50"/>
    <mergeCell ref="F49:F50"/>
    <mergeCell ref="G49:G50"/>
    <mergeCell ref="J35:J36"/>
    <mergeCell ref="K35:K36"/>
    <mergeCell ref="F6:F7"/>
    <mergeCell ref="G6:G7"/>
    <mergeCell ref="G21:G22"/>
    <mergeCell ref="H21:H22"/>
    <mergeCell ref="I6:I7"/>
    <mergeCell ref="J6:J7"/>
    <mergeCell ref="K6:K7"/>
    <mergeCell ref="H6:H7"/>
    <mergeCell ref="H35:H36"/>
    <mergeCell ref="I35:I36"/>
    <mergeCell ref="C21:C22"/>
    <mergeCell ref="D21:D22"/>
    <mergeCell ref="F21:F22"/>
    <mergeCell ref="E21:E22"/>
    <mergeCell ref="I21:I22"/>
  </mergeCells>
  <phoneticPr fontId="4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1CD1-AEA2-4C88-AE2D-6B2F51AB3872}">
  <sheetPr>
    <tabColor theme="6" tint="0.39997558519241921"/>
  </sheetPr>
  <dimension ref="E2:S56"/>
  <sheetViews>
    <sheetView showGridLines="0" topLeftCell="A22" zoomScaleNormal="100" workbookViewId="0">
      <selection activeCell="G56" sqref="G56"/>
    </sheetView>
  </sheetViews>
  <sheetFormatPr baseColWidth="10" defaultColWidth="8.83203125" defaultRowHeight="15" x14ac:dyDescent="0.2"/>
  <cols>
    <col min="5" max="5" width="31.33203125" customWidth="1"/>
    <col min="6" max="6" width="14.1640625" customWidth="1"/>
    <col min="7" max="7" width="9.5" bestFit="1" customWidth="1"/>
    <col min="9" max="9" width="9" bestFit="1" customWidth="1"/>
    <col min="10" max="10" width="9.5" bestFit="1" customWidth="1"/>
    <col min="14" max="14" width="17.1640625" customWidth="1"/>
    <col min="15" max="15" width="11.83203125" bestFit="1" customWidth="1"/>
    <col min="16" max="16" width="8.83203125" customWidth="1"/>
  </cols>
  <sheetData>
    <row r="2" spans="5:19" ht="24" x14ac:dyDescent="0.3">
      <c r="E2" s="94" t="s">
        <v>475</v>
      </c>
      <c r="F2" s="1"/>
      <c r="G2" s="95"/>
      <c r="H2" s="96"/>
    </row>
    <row r="4" spans="5:19" ht="16" thickBot="1" x14ac:dyDescent="0.25"/>
    <row r="5" spans="5:19" ht="16" thickBot="1" x14ac:dyDescent="0.25">
      <c r="E5" s="107" t="s">
        <v>660</v>
      </c>
      <c r="F5" s="108"/>
      <c r="G5" s="108"/>
      <c r="H5" s="109"/>
      <c r="I5" s="116" t="s">
        <v>492</v>
      </c>
      <c r="J5" s="116" t="s">
        <v>493</v>
      </c>
      <c r="K5" s="116" t="s">
        <v>494</v>
      </c>
      <c r="L5" s="116" t="s">
        <v>495</v>
      </c>
      <c r="M5" s="116" t="s">
        <v>496</v>
      </c>
      <c r="N5" s="117" t="s">
        <v>497</v>
      </c>
      <c r="O5" s="116" t="s">
        <v>498</v>
      </c>
      <c r="P5" s="116" t="s">
        <v>499</v>
      </c>
      <c r="Q5" s="116" t="s">
        <v>500</v>
      </c>
      <c r="R5" s="116" t="s">
        <v>501</v>
      </c>
      <c r="S5" s="116" t="s">
        <v>502</v>
      </c>
    </row>
    <row r="6" spans="5:19" ht="16" thickBot="1" x14ac:dyDescent="0.25">
      <c r="E6" s="141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3"/>
    </row>
    <row r="7" spans="5:19" ht="16" thickBot="1" x14ac:dyDescent="0.25">
      <c r="E7" s="107" t="s">
        <v>476</v>
      </c>
      <c r="F7" s="108"/>
      <c r="G7" s="108"/>
      <c r="H7" s="109"/>
      <c r="I7" s="64">
        <f>'3.1 Income Statements'!C9</f>
        <v>12504</v>
      </c>
      <c r="J7" s="64">
        <f>'3.1 Income Statements'!D9</f>
        <v>13544</v>
      </c>
      <c r="K7" s="64">
        <f>'3.1 Income Statements'!E9</f>
        <v>27376</v>
      </c>
      <c r="L7" s="64">
        <f>'3.1 Income Statements'!F9</f>
        <v>29355</v>
      </c>
      <c r="M7" s="118">
        <f>'3.1 Income Statements'!G9</f>
        <v>29024</v>
      </c>
      <c r="N7" s="403">
        <f>MEDIAN(J10:M10)</f>
        <v>7.773149062200746E-2</v>
      </c>
      <c r="O7" s="124">
        <f>M7*($N$7+1)</f>
        <v>31280.078783813144</v>
      </c>
      <c r="P7" s="124">
        <f>($N$7+1)*O7</f>
        <v>33711.525934452773</v>
      </c>
      <c r="Q7" s="124">
        <f t="shared" ref="Q7:S7" si="0">($N$7+1)*P7</f>
        <v>36331.973096480251</v>
      </c>
      <c r="R7" s="124">
        <f t="shared" si="0"/>
        <v>39156.111522508334</v>
      </c>
      <c r="S7" s="144">
        <f t="shared" si="0"/>
        <v>42199.774438114466</v>
      </c>
    </row>
    <row r="8" spans="5:19" ht="16" thickBot="1" x14ac:dyDescent="0.25">
      <c r="E8" s="111" t="s">
        <v>477</v>
      </c>
      <c r="F8" s="112"/>
      <c r="G8" s="112"/>
      <c r="H8" s="113"/>
      <c r="I8" s="64" t="str">
        <f>'3.1 Income Statements'!C10</f>
        <v>—</v>
      </c>
      <c r="J8" s="64" t="str">
        <f>'3.1 Income Statements'!D10</f>
        <v>—</v>
      </c>
      <c r="K8" s="64" t="str">
        <f>'3.1 Income Statements'!E10</f>
        <v>—</v>
      </c>
      <c r="L8" s="64" t="str">
        <f>'3.1 Income Statements'!F10</f>
        <v>—</v>
      </c>
      <c r="M8" s="118" t="str">
        <f>'3.1 Income Statements'!G10</f>
        <v>—</v>
      </c>
      <c r="N8" s="404"/>
      <c r="O8" s="122" t="str">
        <f>'3.1 Income Statements'!I10</f>
        <v>—</v>
      </c>
      <c r="P8" s="122" t="str">
        <f>'3.1 Income Statements'!J10</f>
        <v>—</v>
      </c>
      <c r="Q8" s="122" t="str">
        <f>'3.1 Income Statements'!K10</f>
        <v>—</v>
      </c>
      <c r="R8" s="122" t="str">
        <f>'3.1 Income Statements'!L10</f>
        <v>—</v>
      </c>
      <c r="S8" s="128" t="str">
        <f>'3.1 Income Statements'!M10</f>
        <v>—</v>
      </c>
    </row>
    <row r="9" spans="5:19" ht="16" thickBot="1" x14ac:dyDescent="0.25">
      <c r="E9" s="111" t="s">
        <v>478</v>
      </c>
      <c r="F9" s="112"/>
      <c r="G9" s="112"/>
      <c r="H9" s="113"/>
      <c r="I9" s="64">
        <f>'3.1 Income Statements'!C15</f>
        <v>6206</v>
      </c>
      <c r="J9" s="119">
        <f>'3.1 Income Statements'!D15</f>
        <v>8856</v>
      </c>
      <c r="K9" s="119">
        <f>'3.1 Income Statements'!E15</f>
        <v>14846</v>
      </c>
      <c r="L9" s="119">
        <f>'3.1 Income Statements'!F15</f>
        <v>15658</v>
      </c>
      <c r="M9" s="122">
        <f>'3.1 Income Statements'!G15</f>
        <v>14493</v>
      </c>
      <c r="N9" s="405"/>
      <c r="O9" s="128">
        <f>M9*($N$7+1)</f>
        <v>15619.562493584754</v>
      </c>
      <c r="P9" s="128">
        <f>O9*($N$7+1)</f>
        <v>16833.694369074696</v>
      </c>
      <c r="Q9" s="128">
        <f t="shared" ref="Q9:S9" si="1">P9*($N$7+1)</f>
        <v>18142.202525058165</v>
      </c>
      <c r="R9" s="128">
        <f t="shared" si="1"/>
        <v>19552.422970497282</v>
      </c>
      <c r="S9" s="128">
        <f t="shared" si="1"/>
        <v>21072.261953266014</v>
      </c>
    </row>
    <row r="10" spans="5:19" ht="16" thickBot="1" x14ac:dyDescent="0.25">
      <c r="E10" s="111" t="s">
        <v>479</v>
      </c>
      <c r="F10" s="112"/>
      <c r="G10" s="112"/>
      <c r="H10" s="113"/>
      <c r="I10" s="121"/>
      <c r="J10" s="120">
        <f>(J7/I7)-1</f>
        <v>8.3173384516954663E-2</v>
      </c>
      <c r="K10" s="120">
        <f>(K7/J7)-1</f>
        <v>1.021264028352038</v>
      </c>
      <c r="L10" s="120">
        <f>(L7/K7)-1</f>
        <v>7.2289596727060257E-2</v>
      </c>
      <c r="M10" s="123">
        <f>(M7/L7)-1</f>
        <v>-1.1275762221086727E-2</v>
      </c>
      <c r="N10" s="406"/>
      <c r="O10" s="129">
        <f>N7</f>
        <v>7.773149062200746E-2</v>
      </c>
      <c r="P10" s="129">
        <f>N7</f>
        <v>7.773149062200746E-2</v>
      </c>
      <c r="Q10" s="129">
        <f>N7</f>
        <v>7.773149062200746E-2</v>
      </c>
      <c r="R10" s="129">
        <f>N7</f>
        <v>7.773149062200746E-2</v>
      </c>
      <c r="S10" s="129">
        <f>N7</f>
        <v>7.773149062200746E-2</v>
      </c>
    </row>
    <row r="11" spans="5:19" ht="16" thickBot="1" x14ac:dyDescent="0.25">
      <c r="E11" s="141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3"/>
    </row>
    <row r="12" spans="5:19" ht="16" thickBot="1" x14ac:dyDescent="0.25">
      <c r="E12" s="107" t="s">
        <v>480</v>
      </c>
      <c r="F12" s="114"/>
      <c r="G12" s="114"/>
      <c r="H12" s="115"/>
      <c r="I12" s="64">
        <f>'3.3 CF Statements'!Z102</f>
        <v>428</v>
      </c>
      <c r="J12" s="64">
        <f>'3.3 CF Statements'!Y102</f>
        <v>489</v>
      </c>
      <c r="K12" s="64">
        <f>'3.3 CF Statements'!X102</f>
        <v>905</v>
      </c>
      <c r="L12" s="64">
        <f>'3.3 CF Statements'!W102</f>
        <v>968</v>
      </c>
      <c r="M12" s="64">
        <f>'3.3 CF Statements'!V102</f>
        <v>1068</v>
      </c>
      <c r="N12" s="130">
        <f>N7</f>
        <v>7.773149062200746E-2</v>
      </c>
      <c r="O12" s="64">
        <f>M12*($N$12+1)</f>
        <v>1151.0172319843039</v>
      </c>
      <c r="P12" s="64">
        <f>O12*($N$12+1)</f>
        <v>1240.4875171580607</v>
      </c>
      <c r="Q12" s="64">
        <f t="shared" ref="Q12:S12" si="2">P12*($N$12+1)</f>
        <v>1336.9124609647497</v>
      </c>
      <c r="R12" s="64">
        <f t="shared" si="2"/>
        <v>1440.8326593866761</v>
      </c>
      <c r="S12" s="145">
        <f t="shared" si="2"/>
        <v>1552.8307297376737</v>
      </c>
    </row>
    <row r="13" spans="5:19" ht="16" thickBot="1" x14ac:dyDescent="0.25">
      <c r="E13" s="141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3"/>
    </row>
    <row r="14" spans="5:19" ht="16" thickBot="1" x14ac:dyDescent="0.25">
      <c r="E14" s="107" t="s">
        <v>481</v>
      </c>
      <c r="F14" s="108"/>
      <c r="G14" s="108"/>
      <c r="H14" s="109"/>
      <c r="I14" s="119">
        <f>'3.1 Income Statements'!C19</f>
        <v>3073</v>
      </c>
      <c r="J14" s="119">
        <f>'3.1 Income Statements'!D19</f>
        <v>2594</v>
      </c>
      <c r="K14" s="119">
        <f>'3.1 Income Statements'!E19</f>
        <v>7066</v>
      </c>
      <c r="L14" s="119">
        <f>'3.1 Income Statements'!F19</f>
        <v>8690</v>
      </c>
      <c r="M14" s="122">
        <f>'3.1 Income Statements'!G19</f>
        <v>10708</v>
      </c>
      <c r="N14" s="407">
        <f>N7</f>
        <v>7.773149062200746E-2</v>
      </c>
      <c r="O14" s="128">
        <f>M14*($N$14+1)</f>
        <v>11540.348801580456</v>
      </c>
      <c r="P14" s="127">
        <f>O14*($N$14+1)</f>
        <v>12437.397316225202</v>
      </c>
      <c r="Q14" s="122">
        <f t="shared" ref="Q14:S14" si="3">P14*($N$14+1)</f>
        <v>13404.174749073542</v>
      </c>
      <c r="R14" s="122">
        <f t="shared" si="3"/>
        <v>14446.101232876901</v>
      </c>
      <c r="S14" s="146">
        <f t="shared" si="3"/>
        <v>15569.018215384842</v>
      </c>
    </row>
    <row r="15" spans="5:19" ht="16" thickBot="1" x14ac:dyDescent="0.25">
      <c r="E15" s="111" t="s">
        <v>482</v>
      </c>
      <c r="F15" s="112"/>
      <c r="G15" s="112"/>
      <c r="H15" s="113"/>
      <c r="I15" s="120">
        <f>I14/I7</f>
        <v>0.24576135636596289</v>
      </c>
      <c r="J15" s="120">
        <f t="shared" ref="J15:M15" si="4">J14/J7</f>
        <v>0.19152392203189605</v>
      </c>
      <c r="K15" s="120">
        <f t="shared" si="4"/>
        <v>0.25810929281122152</v>
      </c>
      <c r="L15" s="120">
        <f t="shared" si="4"/>
        <v>0.29603134048714019</v>
      </c>
      <c r="M15" s="123">
        <f t="shared" si="4"/>
        <v>0.36893605292171994</v>
      </c>
      <c r="N15" s="408"/>
      <c r="O15" s="131">
        <f>O14/O7</f>
        <v>0.36893605292171999</v>
      </c>
      <c r="P15" s="131">
        <f t="shared" ref="P15:S15" si="5">P14/P7</f>
        <v>0.36893605292171994</v>
      </c>
      <c r="Q15" s="131">
        <f t="shared" si="5"/>
        <v>0.36893605292171988</v>
      </c>
      <c r="R15" s="131">
        <f t="shared" si="5"/>
        <v>0.36893605292171988</v>
      </c>
      <c r="S15" s="131">
        <f t="shared" si="5"/>
        <v>0.36893605292171994</v>
      </c>
    </row>
    <row r="16" spans="5:19" ht="16" thickBot="1" x14ac:dyDescent="0.25">
      <c r="E16" s="111" t="s">
        <v>483</v>
      </c>
      <c r="F16" s="112"/>
      <c r="G16" s="112"/>
      <c r="H16" s="113"/>
      <c r="I16" s="132"/>
      <c r="J16" s="120">
        <f>(J14/I14)-1</f>
        <v>-0.15587373901724699</v>
      </c>
      <c r="K16" s="120">
        <f t="shared" ref="K16:M16" si="6">(K14/J14)-1</f>
        <v>1.7239784117193522</v>
      </c>
      <c r="L16" s="120">
        <f t="shared" si="6"/>
        <v>0.22983300311350119</v>
      </c>
      <c r="M16" s="123">
        <f t="shared" si="6"/>
        <v>0.23222094361334866</v>
      </c>
      <c r="N16" s="409"/>
      <c r="O16" s="123">
        <f>(O14/M14)-1</f>
        <v>7.773149062200746E-2</v>
      </c>
      <c r="P16" s="120">
        <f>(P14/O14)-1</f>
        <v>7.773149062200746E-2</v>
      </c>
      <c r="Q16" s="120">
        <f t="shared" ref="Q16:S16" si="7">(Q14/P14)-1</f>
        <v>7.773149062200746E-2</v>
      </c>
      <c r="R16" s="120">
        <f t="shared" si="7"/>
        <v>7.773149062200746E-2</v>
      </c>
      <c r="S16" s="120">
        <f t="shared" si="7"/>
        <v>7.773149062200746E-2</v>
      </c>
    </row>
    <row r="17" spans="5:19" ht="16" thickBot="1" x14ac:dyDescent="0.25">
      <c r="E17" s="141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3"/>
    </row>
    <row r="18" spans="5:19" ht="16" thickBot="1" x14ac:dyDescent="0.25">
      <c r="E18" s="107" t="s">
        <v>484</v>
      </c>
      <c r="F18" s="108"/>
      <c r="G18" s="108"/>
      <c r="H18" s="108"/>
      <c r="I18" s="128">
        <f>'3.1 Income Statements'!C38</f>
        <v>775</v>
      </c>
      <c r="J18" s="128">
        <f>'3.1 Income Statements'!D38</f>
        <v>642</v>
      </c>
      <c r="K18" s="128">
        <f>'3.1 Income Statements'!E38</f>
        <v>1968</v>
      </c>
      <c r="L18" s="128">
        <f>'3.1 Income Statements'!F38</f>
        <v>2049</v>
      </c>
      <c r="M18" s="128">
        <f>'3.1 Income Statements'!G38</f>
        <v>2433</v>
      </c>
      <c r="N18" s="407">
        <f>AVERAGE(I19:M19)</f>
        <v>0.24824183401545094</v>
      </c>
      <c r="O18" s="128">
        <f>$N$18*O14</f>
        <v>2864.7973516823436</v>
      </c>
      <c r="P18" s="127">
        <f>$N$18*P14</f>
        <v>3087.4823201585918</v>
      </c>
      <c r="Q18" s="122">
        <f t="shared" ref="Q18:S18" si="8">$N$18*Q14</f>
        <v>3327.4769231736127</v>
      </c>
      <c r="R18" s="122">
        <f t="shared" si="8"/>
        <v>3586.1266644222287</v>
      </c>
      <c r="S18" s="128">
        <f t="shared" si="8"/>
        <v>3864.8816356070961</v>
      </c>
    </row>
    <row r="19" spans="5:19" ht="16" thickBot="1" x14ac:dyDescent="0.25">
      <c r="E19" s="111" t="s">
        <v>485</v>
      </c>
      <c r="F19" s="112"/>
      <c r="G19" s="112"/>
      <c r="H19" s="113"/>
      <c r="I19" s="120">
        <f>I18/I14</f>
        <v>0.25219655060201757</v>
      </c>
      <c r="J19" s="120">
        <f t="shared" ref="J19:M19" si="9">J18/J14</f>
        <v>0.24749421742482652</v>
      </c>
      <c r="K19" s="120">
        <f t="shared" si="9"/>
        <v>0.27851684121143505</v>
      </c>
      <c r="L19" s="120">
        <f t="shared" si="9"/>
        <v>0.23578826237054085</v>
      </c>
      <c r="M19" s="120">
        <f t="shared" si="9"/>
        <v>0.22721329846843483</v>
      </c>
      <c r="N19" s="409"/>
      <c r="O19" s="129">
        <f>$N$18</f>
        <v>0.24824183401545094</v>
      </c>
      <c r="P19" s="129">
        <f t="shared" ref="P19:S19" si="10">$N$18</f>
        <v>0.24824183401545094</v>
      </c>
      <c r="Q19" s="129">
        <f t="shared" si="10"/>
        <v>0.24824183401545094</v>
      </c>
      <c r="R19" s="129">
        <f t="shared" si="10"/>
        <v>0.24824183401545094</v>
      </c>
      <c r="S19" s="129">
        <f t="shared" si="10"/>
        <v>0.24824183401545094</v>
      </c>
    </row>
    <row r="20" spans="5:19" ht="16" thickBot="1" x14ac:dyDescent="0.25">
      <c r="E20" s="141"/>
      <c r="F20" s="142"/>
      <c r="G20" s="142"/>
      <c r="H20" s="142"/>
      <c r="I20" s="142"/>
      <c r="J20" s="142"/>
      <c r="K20" s="142"/>
      <c r="L20" s="142"/>
      <c r="M20" s="142"/>
      <c r="N20" s="147"/>
      <c r="O20" s="142"/>
      <c r="P20" s="142"/>
      <c r="Q20" s="142"/>
      <c r="R20" s="142"/>
      <c r="S20" s="143"/>
    </row>
    <row r="21" spans="5:19" ht="16" thickBot="1" x14ac:dyDescent="0.25">
      <c r="E21" s="107" t="s">
        <v>486</v>
      </c>
      <c r="F21" s="108"/>
      <c r="G21" s="108"/>
      <c r="H21" s="109"/>
      <c r="I21" s="133">
        <f>I14-I18</f>
        <v>2298</v>
      </c>
      <c r="J21" s="133">
        <f t="shared" ref="J21:M21" si="11">J14-J18</f>
        <v>1952</v>
      </c>
      <c r="K21" s="133">
        <f t="shared" si="11"/>
        <v>5098</v>
      </c>
      <c r="L21" s="133">
        <f t="shared" si="11"/>
        <v>6641</v>
      </c>
      <c r="M21" s="133">
        <f t="shared" si="11"/>
        <v>8275</v>
      </c>
      <c r="N21" s="125"/>
      <c r="O21" s="133">
        <f>O14-O18</f>
        <v>8675.551449898112</v>
      </c>
      <c r="P21" s="133">
        <f t="shared" ref="P21:S21" si="12">P14-P18</f>
        <v>9349.9149960666109</v>
      </c>
      <c r="Q21" s="133">
        <f t="shared" si="12"/>
        <v>10076.69782589993</v>
      </c>
      <c r="R21" s="133">
        <f t="shared" si="12"/>
        <v>10859.974568454672</v>
      </c>
      <c r="S21" s="133">
        <f t="shared" si="12"/>
        <v>11704.136579777745</v>
      </c>
    </row>
    <row r="22" spans="5:19" ht="16" thickBot="1" x14ac:dyDescent="0.25">
      <c r="E22" s="111" t="s">
        <v>487</v>
      </c>
      <c r="F22" s="112"/>
      <c r="G22" s="112"/>
      <c r="H22" s="113"/>
      <c r="I22" s="120">
        <f>I21/I7</f>
        <v>0.18378119001919385</v>
      </c>
      <c r="J22" s="120">
        <f t="shared" ref="J22:M22" si="13">J21/J7</f>
        <v>0.14412285883047843</v>
      </c>
      <c r="K22" s="120">
        <f t="shared" si="13"/>
        <v>0.18622150789012273</v>
      </c>
      <c r="L22" s="120">
        <f t="shared" si="13"/>
        <v>0.22623062510645545</v>
      </c>
      <c r="M22" s="120">
        <f t="shared" si="13"/>
        <v>0.28510887541345092</v>
      </c>
      <c r="N22" s="126"/>
      <c r="O22" s="131">
        <f>O21/O7</f>
        <v>0.27735069051001071</v>
      </c>
      <c r="P22" s="131">
        <f t="shared" ref="P22:S22" si="14">P21/P7</f>
        <v>0.27735069051001071</v>
      </c>
      <c r="Q22" s="131">
        <f t="shared" si="14"/>
        <v>0.27735069051001071</v>
      </c>
      <c r="R22" s="131">
        <f t="shared" si="14"/>
        <v>0.27735069051001071</v>
      </c>
      <c r="S22" s="131">
        <f t="shared" si="14"/>
        <v>0.27735069051001071</v>
      </c>
    </row>
    <row r="23" spans="5:19" ht="16" thickBot="1" x14ac:dyDescent="0.25">
      <c r="E23" s="111" t="s">
        <v>488</v>
      </c>
      <c r="F23" s="112"/>
      <c r="G23" s="112"/>
      <c r="H23" s="113"/>
      <c r="I23" s="132"/>
      <c r="J23" s="120">
        <f>(J21/I21)-1</f>
        <v>-0.15056570931244562</v>
      </c>
      <c r="K23" s="120">
        <f t="shared" ref="K23:M23" si="15">(K21/J21)-1</f>
        <v>1.6116803278688523</v>
      </c>
      <c r="L23" s="120">
        <f t="shared" si="15"/>
        <v>0.3026677128285602</v>
      </c>
      <c r="M23" s="120">
        <f t="shared" si="15"/>
        <v>0.24604728203583792</v>
      </c>
      <c r="N23" s="157"/>
      <c r="O23" s="131">
        <f>(O21/M21)-1</f>
        <v>4.8405009051131431E-2</v>
      </c>
      <c r="P23" s="131">
        <f>(P21/O21)-1</f>
        <v>7.773149062200746E-2</v>
      </c>
      <c r="Q23" s="131">
        <f t="shared" ref="Q23:S23" si="16">(Q21/P21)-1</f>
        <v>7.773149062200746E-2</v>
      </c>
      <c r="R23" s="131">
        <f t="shared" si="16"/>
        <v>7.773149062200746E-2</v>
      </c>
      <c r="S23" s="131">
        <f t="shared" si="16"/>
        <v>7.773149062200746E-2</v>
      </c>
    </row>
    <row r="24" spans="5:19" ht="16" thickBot="1" x14ac:dyDescent="0.25">
      <c r="E24" s="141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3"/>
    </row>
    <row r="25" spans="5:19" ht="16" thickBot="1" x14ac:dyDescent="0.25">
      <c r="E25" s="111" t="s">
        <v>489</v>
      </c>
      <c r="F25" s="112"/>
      <c r="G25" s="112"/>
      <c r="H25" s="113"/>
      <c r="I25" s="64">
        <f>I12</f>
        <v>428</v>
      </c>
      <c r="J25" s="119">
        <f t="shared" ref="J25:M25" si="17">J12</f>
        <v>489</v>
      </c>
      <c r="K25" s="119">
        <f t="shared" si="17"/>
        <v>905</v>
      </c>
      <c r="L25" s="119">
        <f t="shared" si="17"/>
        <v>968</v>
      </c>
      <c r="M25" s="122">
        <f t="shared" si="17"/>
        <v>1068</v>
      </c>
      <c r="N25" s="410">
        <f>AVERAGE(J26:M26)</f>
        <v>0.29153953892493112</v>
      </c>
      <c r="O25" s="128">
        <f>M25*($N$25+1)</f>
        <v>1379.3642275718264</v>
      </c>
      <c r="P25" s="128">
        <f>O25*($N$25+1)</f>
        <v>1781.5034384876603</v>
      </c>
      <c r="Q25" s="128">
        <f t="shared" ref="Q25:S25" si="18">P25*($N$25+1)</f>
        <v>2300.8821295375324</v>
      </c>
      <c r="R25" s="128">
        <f t="shared" si="18"/>
        <v>2971.6802447035184</v>
      </c>
      <c r="S25" s="128">
        <f t="shared" si="18"/>
        <v>3838.0425330767084</v>
      </c>
    </row>
    <row r="26" spans="5:19" ht="16" thickBot="1" x14ac:dyDescent="0.25">
      <c r="E26" s="111" t="s">
        <v>504</v>
      </c>
      <c r="F26" s="112"/>
      <c r="G26" s="112"/>
      <c r="H26" s="113"/>
      <c r="I26" s="137"/>
      <c r="J26" s="138">
        <f>(J25/I25)-1</f>
        <v>0.14252336448598135</v>
      </c>
      <c r="K26" s="138">
        <f t="shared" ref="K26:M26" si="19">(K25/J25)-1</f>
        <v>0.85071574642126779</v>
      </c>
      <c r="L26" s="138">
        <f t="shared" si="19"/>
        <v>6.9613259668508398E-2</v>
      </c>
      <c r="M26" s="139">
        <f t="shared" si="19"/>
        <v>0.10330578512396693</v>
      </c>
      <c r="N26" s="408"/>
      <c r="O26" s="138">
        <f>(O25/M25)-1</f>
        <v>0.29153953892493112</v>
      </c>
      <c r="P26" s="120">
        <f>(P25/O25)-1</f>
        <v>0.29153953892493112</v>
      </c>
      <c r="Q26" s="120">
        <f t="shared" ref="Q26:S26" si="20">(Q25/P25)-1</f>
        <v>0.29153953892493112</v>
      </c>
      <c r="R26" s="120">
        <f t="shared" si="20"/>
        <v>0.29153953892493112</v>
      </c>
      <c r="S26" s="120">
        <f t="shared" si="20"/>
        <v>0.29153953892493112</v>
      </c>
    </row>
    <row r="27" spans="5:19" ht="16" thickBot="1" x14ac:dyDescent="0.25">
      <c r="E27" s="134" t="s">
        <v>503</v>
      </c>
      <c r="F27" s="135"/>
      <c r="G27" s="135"/>
      <c r="H27" s="136"/>
      <c r="I27" s="133">
        <f>'3.2 Balance Sheets'!D10+'3.2 Balance Sheets'!D15+'3.2 Balance Sheets'!D12+'3.2 Balance Sheets'!D11-'3.2 Balance Sheets'!D72-'3.2 Balance Sheets'!D86-'3.2 Balance Sheets'!D89-'3.2 Balance Sheets'!D76</f>
        <v>410</v>
      </c>
      <c r="J27" s="133">
        <f>'3.2 Balance Sheets'!E10+'3.2 Balance Sheets'!E15+'3.2 Balance Sheets'!E12+'3.2 Balance Sheets'!E11-'3.2 Balance Sheets'!E72-'3.2 Balance Sheets'!E86-'3.2 Balance Sheets'!E89-'3.2 Balance Sheets'!E76</f>
        <v>2671</v>
      </c>
      <c r="K27" s="133">
        <f>'3.2 Balance Sheets'!F10+'3.2 Balance Sheets'!F15+'3.2 Balance Sheets'!F12+'3.2 Balance Sheets'!F11-'3.2 Balance Sheets'!F72-'3.2 Balance Sheets'!F86-'3.2 Balance Sheets'!F89-'3.2 Balance Sheets'!F76</f>
        <v>1628</v>
      </c>
      <c r="L27" s="133">
        <f>'3.2 Balance Sheets'!G10+'3.2 Balance Sheets'!G15+'3.2 Balance Sheets'!G12+'3.2 Balance Sheets'!G11-'3.2 Balance Sheets'!G72-'3.2 Balance Sheets'!G86-'3.2 Balance Sheets'!G89-'3.2 Balance Sheets'!G76</f>
        <v>3593</v>
      </c>
      <c r="M27" s="140">
        <f>'3.2 Balance Sheets'!H10+'3.2 Balance Sheets'!H15+'3.2 Balance Sheets'!H12+'3.2 Balance Sheets'!H11-'3.2 Balance Sheets'!H72-'3.2 Balance Sheets'!H86-'3.2 Balance Sheets'!H89-'3.2 Balance Sheets'!H76</f>
        <v>1362</v>
      </c>
      <c r="N27" s="398">
        <f>MEDIAN(I27:M27)</f>
        <v>1628</v>
      </c>
      <c r="O27" s="133">
        <f>N27</f>
        <v>1628</v>
      </c>
      <c r="P27" s="133">
        <f t="shared" ref="P27:S27" si="21">O27</f>
        <v>1628</v>
      </c>
      <c r="Q27" s="133">
        <f t="shared" si="21"/>
        <v>1628</v>
      </c>
      <c r="R27" s="133">
        <f t="shared" si="21"/>
        <v>1628</v>
      </c>
      <c r="S27" s="133">
        <f t="shared" si="21"/>
        <v>1628</v>
      </c>
    </row>
    <row r="28" spans="5:19" ht="16" thickBot="1" x14ac:dyDescent="0.25">
      <c r="E28" s="111" t="s">
        <v>490</v>
      </c>
      <c r="F28" s="112"/>
      <c r="G28" s="112"/>
      <c r="H28" s="113"/>
      <c r="I28" s="133">
        <f>I27-F35</f>
        <v>-251</v>
      </c>
      <c r="J28" s="133">
        <f>J27-I27</f>
        <v>2261</v>
      </c>
      <c r="K28" s="133">
        <f t="shared" ref="K28:M28" si="22">K27-J27</f>
        <v>-1043</v>
      </c>
      <c r="L28" s="133">
        <f t="shared" si="22"/>
        <v>1965</v>
      </c>
      <c r="M28" s="140">
        <f t="shared" si="22"/>
        <v>-2231</v>
      </c>
      <c r="N28" s="399"/>
      <c r="O28" s="148">
        <f>O27-M27</f>
        <v>266</v>
      </c>
      <c r="P28" s="140">
        <f>P27-O27</f>
        <v>0</v>
      </c>
      <c r="Q28" s="140">
        <f t="shared" ref="Q28:S28" si="23">Q27-P27</f>
        <v>0</v>
      </c>
      <c r="R28" s="140">
        <f t="shared" si="23"/>
        <v>0</v>
      </c>
      <c r="S28" s="133">
        <f t="shared" si="23"/>
        <v>0</v>
      </c>
    </row>
    <row r="29" spans="5:19" ht="16" thickBot="1" x14ac:dyDescent="0.25">
      <c r="E29" s="111" t="s">
        <v>505</v>
      </c>
      <c r="F29" s="112"/>
      <c r="G29" s="112"/>
      <c r="H29" s="113"/>
      <c r="I29" s="120">
        <f>(I27/F35)-1</f>
        <v>-0.3797276853252648</v>
      </c>
      <c r="J29" s="120">
        <f>(J27/I27)-1</f>
        <v>5.5146341463414634</v>
      </c>
      <c r="K29" s="120">
        <f t="shared" ref="K29:M29" si="24">(K27/J27)-1</f>
        <v>-0.39049045301385243</v>
      </c>
      <c r="L29" s="120">
        <f t="shared" si="24"/>
        <v>1.2070024570024569</v>
      </c>
      <c r="M29" s="123">
        <f t="shared" si="24"/>
        <v>-0.62092958530475928</v>
      </c>
      <c r="N29" s="400"/>
      <c r="O29" s="142"/>
      <c r="P29" s="142"/>
      <c r="Q29" s="142"/>
      <c r="R29" s="142"/>
      <c r="S29" s="143"/>
    </row>
    <row r="30" spans="5:19" ht="16" thickBot="1" x14ac:dyDescent="0.25">
      <c r="E30" s="111" t="s">
        <v>491</v>
      </c>
      <c r="F30" s="112"/>
      <c r="G30" s="112"/>
      <c r="H30" s="113"/>
      <c r="I30" s="133">
        <f>'3.2 Balance Sheets'!O156-'3.2 Balance Sheets'!N156+'3.3 CF Statements'!Z102</f>
        <v>371</v>
      </c>
      <c r="J30" s="133">
        <f>'3.2 Balance Sheets'!E33-'3.2 Balance Sheets'!D33+'3.3 CF Statements'!Y102</f>
        <v>1466</v>
      </c>
      <c r="K30" s="133">
        <f>'3.2 Balance Sheets'!F27-'3.2 Balance Sheets'!E27+'3.3 CF Statements'!X102</f>
        <v>5175</v>
      </c>
      <c r="L30" s="133">
        <f>'3.2 Balance Sheets'!G27-'3.2 Balance Sheets'!F27+'3.3 CF Statements'!W102</f>
        <v>1708</v>
      </c>
      <c r="M30" s="133">
        <f>'3.2 Balance Sheets'!H27-'3.2 Balance Sheets'!G27+'3.3 CF Statements'!V102</f>
        <v>1426</v>
      </c>
      <c r="N30" s="178">
        <f>MEDIAN(I30:M30)</f>
        <v>1466</v>
      </c>
      <c r="O30" s="156">
        <f>$N$30</f>
        <v>1466</v>
      </c>
      <c r="P30" s="156">
        <f t="shared" ref="P30:S30" si="25">$N$30</f>
        <v>1466</v>
      </c>
      <c r="Q30" s="156">
        <f t="shared" si="25"/>
        <v>1466</v>
      </c>
      <c r="R30" s="156">
        <f t="shared" si="25"/>
        <v>1466</v>
      </c>
      <c r="S30" s="156">
        <f t="shared" si="25"/>
        <v>1466</v>
      </c>
    </row>
    <row r="31" spans="5:19" x14ac:dyDescent="0.2">
      <c r="E31" s="141"/>
      <c r="F31" s="142"/>
      <c r="G31" s="142"/>
      <c r="H31" s="142"/>
      <c r="I31" s="142"/>
      <c r="J31" s="142"/>
      <c r="K31" s="142"/>
      <c r="L31" s="142"/>
      <c r="M31" s="142"/>
      <c r="O31" s="142"/>
      <c r="P31" s="142"/>
      <c r="Q31" s="142"/>
      <c r="R31" s="142"/>
      <c r="S31" s="143"/>
    </row>
    <row r="32" spans="5:19" ht="16" thickBot="1" x14ac:dyDescent="0.25">
      <c r="E32" s="141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3"/>
    </row>
    <row r="33" spans="5:19" ht="16" thickBot="1" x14ac:dyDescent="0.25">
      <c r="E33" s="107" t="s">
        <v>71</v>
      </c>
      <c r="F33" s="108"/>
      <c r="G33" s="108"/>
      <c r="H33" s="109"/>
      <c r="I33" s="133">
        <f>I21+I25-I28-I30</f>
        <v>2606</v>
      </c>
      <c r="J33" s="133">
        <f>J21+J25-J28-J30</f>
        <v>-1286</v>
      </c>
      <c r="K33" s="133">
        <f>K21+K25-K28-K30</f>
        <v>1871</v>
      </c>
      <c r="L33" s="133">
        <f>L21+L25-L28-L30</f>
        <v>3936</v>
      </c>
      <c r="M33" s="133">
        <f>M21+M25-M28-M30</f>
        <v>10148</v>
      </c>
      <c r="N33" s="158"/>
      <c r="O33" s="159">
        <f>O21+O25-O28-O30</f>
        <v>8322.9156774699386</v>
      </c>
      <c r="P33" s="159">
        <f t="shared" ref="P33:S33" si="26">P21+P25-P28-P30</f>
        <v>9665.4184345542708</v>
      </c>
      <c r="Q33" s="159">
        <f t="shared" si="26"/>
        <v>10911.579955437463</v>
      </c>
      <c r="R33" s="159">
        <f t="shared" si="26"/>
        <v>12365.654813158191</v>
      </c>
      <c r="S33" s="159">
        <f t="shared" si="26"/>
        <v>14076.179112854454</v>
      </c>
    </row>
    <row r="34" spans="5:19" ht="16" thickBot="1" x14ac:dyDescent="0.25"/>
    <row r="35" spans="5:19" ht="16" thickBot="1" x14ac:dyDescent="0.25">
      <c r="E35" s="176" t="s">
        <v>565</v>
      </c>
      <c r="F35" s="133">
        <f>'3.2 Balance Sheets'!N136+'3.2 Balance Sheets'!N144+'3.2 Balance Sheets'!N142-'3.2 Balance Sheets'!N178-'3.2 Balance Sheets'!N188-'3.2 Balance Sheets'!N190-'3.2 Balance Sheets'!N180</f>
        <v>661</v>
      </c>
    </row>
    <row r="37" spans="5:19" ht="16" thickBot="1" x14ac:dyDescent="0.25"/>
    <row r="38" spans="5:19" ht="16" thickBot="1" x14ac:dyDescent="0.25">
      <c r="E38" s="163" t="s">
        <v>566</v>
      </c>
      <c r="F38" s="164"/>
      <c r="G38" s="164"/>
      <c r="H38" s="164"/>
      <c r="I38" s="164"/>
      <c r="J38" s="164"/>
      <c r="K38" s="165"/>
      <c r="L38" s="166" t="s">
        <v>298</v>
      </c>
      <c r="M38" s="163" t="s">
        <v>567</v>
      </c>
      <c r="N38" s="164"/>
      <c r="O38" s="164"/>
      <c r="P38" s="164"/>
      <c r="Q38" s="164"/>
      <c r="R38" s="164"/>
      <c r="S38" s="165"/>
    </row>
    <row r="39" spans="5:19" ht="16" thickBot="1" x14ac:dyDescent="0.25">
      <c r="E39" s="401" t="s">
        <v>660</v>
      </c>
      <c r="F39" s="402"/>
      <c r="G39" s="106" t="s">
        <v>498</v>
      </c>
      <c r="H39" s="106" t="s">
        <v>499</v>
      </c>
      <c r="I39" s="106" t="s">
        <v>500</v>
      </c>
      <c r="J39" s="106" t="s">
        <v>501</v>
      </c>
      <c r="K39" s="106" t="s">
        <v>502</v>
      </c>
      <c r="L39" s="172">
        <f>'2.1 WACC'!V40</f>
        <v>7.8E-2</v>
      </c>
      <c r="M39" s="401" t="s">
        <v>660</v>
      </c>
      <c r="N39" s="402"/>
      <c r="O39" s="106" t="s">
        <v>498</v>
      </c>
      <c r="P39" s="106" t="s">
        <v>499</v>
      </c>
      <c r="Q39" s="106" t="s">
        <v>500</v>
      </c>
      <c r="R39" s="106" t="s">
        <v>501</v>
      </c>
      <c r="S39" s="106" t="s">
        <v>502</v>
      </c>
    </row>
    <row r="40" spans="5:19" ht="16" thickBot="1" x14ac:dyDescent="0.25"/>
    <row r="41" spans="5:19" ht="16" thickBot="1" x14ac:dyDescent="0.25">
      <c r="E41" s="107" t="s">
        <v>71</v>
      </c>
      <c r="F41" s="109"/>
      <c r="G41" s="173">
        <f>O33</f>
        <v>8322.9156774699386</v>
      </c>
      <c r="H41" s="173">
        <f t="shared" ref="H41:K41" si="27">P33</f>
        <v>9665.4184345542708</v>
      </c>
      <c r="I41" s="173">
        <f t="shared" si="27"/>
        <v>10911.579955437463</v>
      </c>
      <c r="J41" s="173">
        <f t="shared" si="27"/>
        <v>12365.654813158191</v>
      </c>
      <c r="K41" s="173">
        <f t="shared" si="27"/>
        <v>14076.179112854454</v>
      </c>
      <c r="M41" s="167" t="s">
        <v>568</v>
      </c>
      <c r="N41" s="109"/>
      <c r="O41" s="173">
        <f>O43*G41</f>
        <v>7720.7009995082917</v>
      </c>
      <c r="P41" s="173">
        <f t="shared" ref="P41:S41" si="28">P43*H41</f>
        <v>8317.314784950373</v>
      </c>
      <c r="Q41" s="173">
        <f t="shared" si="28"/>
        <v>8710.2647724812177</v>
      </c>
      <c r="R41" s="173">
        <f t="shared" si="28"/>
        <v>9156.7651487307321</v>
      </c>
      <c r="S41" s="173">
        <f t="shared" si="28"/>
        <v>9669.2097242509535</v>
      </c>
    </row>
    <row r="42" spans="5:19" ht="16" thickBot="1" x14ac:dyDescent="0.25">
      <c r="M42" s="107" t="s">
        <v>569</v>
      </c>
      <c r="N42" s="109"/>
      <c r="O42" s="174">
        <v>1</v>
      </c>
      <c r="P42" s="174">
        <v>2</v>
      </c>
      <c r="Q42" s="174">
        <v>3</v>
      </c>
      <c r="R42" s="174">
        <v>4</v>
      </c>
      <c r="S42" s="174">
        <v>5</v>
      </c>
    </row>
    <row r="43" spans="5:19" ht="16" thickBot="1" x14ac:dyDescent="0.25">
      <c r="E43" s="168" t="s">
        <v>576</v>
      </c>
      <c r="F43" s="169"/>
      <c r="G43" s="169"/>
      <c r="H43" s="169"/>
      <c r="I43" s="169"/>
      <c r="J43" s="169"/>
      <c r="K43" s="170"/>
      <c r="M43" s="107" t="s">
        <v>570</v>
      </c>
      <c r="N43" s="109"/>
      <c r="O43" s="175">
        <f>1/((1+$L$39)^O42)</f>
        <v>0.92764378478664189</v>
      </c>
      <c r="P43" s="175">
        <f>1/((1+$L$39)^P42)</f>
        <v>0.86052299145328559</v>
      </c>
      <c r="Q43" s="175">
        <f t="shared" ref="Q43:S43" si="29">1/((1+$L$39)^Q42)</f>
        <v>0.79825880468764887</v>
      </c>
      <c r="R43" s="175">
        <f t="shared" si="29"/>
        <v>0.74049981881971139</v>
      </c>
      <c r="S43" s="175">
        <f t="shared" si="29"/>
        <v>0.68692005456373961</v>
      </c>
    </row>
    <row r="44" spans="5:19" ht="16" thickBot="1" x14ac:dyDescent="0.25">
      <c r="E44" s="251" t="s">
        <v>577</v>
      </c>
      <c r="F44" s="253">
        <f>K41</f>
        <v>14076.179112854454</v>
      </c>
      <c r="G44" s="252"/>
    </row>
    <row r="45" spans="5:19" ht="16" thickBot="1" x14ac:dyDescent="0.25">
      <c r="E45" s="110" t="s">
        <v>615</v>
      </c>
      <c r="F45" s="254">
        <f>'3.6 US Inflation Growth Rate'!G41</f>
        <v>2.7E-2</v>
      </c>
    </row>
    <row r="46" spans="5:19" ht="16" thickBot="1" x14ac:dyDescent="0.25">
      <c r="E46" s="110" t="s">
        <v>616</v>
      </c>
      <c r="F46" s="254">
        <f>'3.5 US GDP Growth Rate'!D32</f>
        <v>3.7499999999999999E-2</v>
      </c>
    </row>
    <row r="47" spans="5:19" ht="16" thickBot="1" x14ac:dyDescent="0.25">
      <c r="E47" s="110" t="s">
        <v>578</v>
      </c>
      <c r="F47" s="254">
        <f>0.25*F45+0.75*F46</f>
        <v>3.4874999999999996E-2</v>
      </c>
    </row>
    <row r="48" spans="5:19" ht="16" thickBot="1" x14ac:dyDescent="0.25">
      <c r="E48" s="171" t="s">
        <v>425</v>
      </c>
      <c r="F48" s="255">
        <f>F44*(1+F47)/(L39-F47)</f>
        <v>337787.49818933918</v>
      </c>
    </row>
    <row r="49" spans="5:8" ht="16" thickBot="1" x14ac:dyDescent="0.25">
      <c r="E49" s="171" t="s">
        <v>579</v>
      </c>
      <c r="F49" s="255">
        <f>1/((1+L39)^S42)</f>
        <v>0.68692005456373961</v>
      </c>
    </row>
    <row r="50" spans="5:8" ht="16" thickBot="1" x14ac:dyDescent="0.25">
      <c r="E50" s="171" t="s">
        <v>580</v>
      </c>
      <c r="F50" s="255">
        <f>F48*F49</f>
        <v>232033.00668716995</v>
      </c>
    </row>
    <row r="51" spans="5:8" ht="16" thickBot="1" x14ac:dyDescent="0.25">
      <c r="E51" s="160"/>
      <c r="F51" s="256"/>
    </row>
    <row r="52" spans="5:8" ht="16" thickBot="1" x14ac:dyDescent="0.25">
      <c r="E52" s="171" t="s">
        <v>581</v>
      </c>
      <c r="F52" s="257">
        <f>F50+O41+P41+Q41+R41+S41</f>
        <v>275607.26211709151</v>
      </c>
    </row>
    <row r="53" spans="5:8" ht="16" thickBot="1" x14ac:dyDescent="0.25">
      <c r="E53" s="161"/>
      <c r="F53" s="162"/>
    </row>
    <row r="54" spans="5:8" ht="16" thickBot="1" x14ac:dyDescent="0.25">
      <c r="E54" s="171" t="s">
        <v>582</v>
      </c>
      <c r="F54" s="257">
        <f>F52/'3.1 Income Statements'!G61</f>
        <v>43.324938239552857</v>
      </c>
      <c r="G54" s="259" t="str">
        <f>IF(F54&gt;'3.4 Trading Multiples Bloomberg'!C10,CONCATENATE("undervalued by ",(G56*100),"%"),CONCATENATE("overvalued by ",((-1*G56)*100),"%"))</f>
        <v>undervalued by 8,7%</v>
      </c>
      <c r="H54" s="260"/>
    </row>
    <row r="55" spans="5:8" x14ac:dyDescent="0.2">
      <c r="E55" s="258" t="s">
        <v>583</v>
      </c>
      <c r="F55" s="258"/>
    </row>
    <row r="56" spans="5:8" x14ac:dyDescent="0.2">
      <c r="G56" s="177">
        <f>ROUND(((F54-'3.4 Trading Multiples Bloomberg'!C10)/'3.4 Trading Multiples Bloomberg'!C10),3)</f>
        <v>8.6999999999999994E-2</v>
      </c>
    </row>
  </sheetData>
  <mergeCells count="7">
    <mergeCell ref="N27:N29"/>
    <mergeCell ref="E39:F39"/>
    <mergeCell ref="M39:N39"/>
    <mergeCell ref="N7:N10"/>
    <mergeCell ref="N14:N16"/>
    <mergeCell ref="N18:N19"/>
    <mergeCell ref="N25:N26"/>
  </mergeCells>
  <phoneticPr fontId="44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</sheetPr>
  <dimension ref="A1"/>
  <sheetViews>
    <sheetView workbookViewId="0">
      <selection activeCell="C10" sqref="C10"/>
    </sheetView>
  </sheetViews>
  <sheetFormatPr baseColWidth="10" defaultColWidth="9.1640625" defaultRowHeight="15" x14ac:dyDescent="0.2"/>
  <cols>
    <col min="1" max="16384" width="9.1640625" style="1"/>
  </cols>
  <sheetData/>
  <phoneticPr fontId="4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C5:W44"/>
  <sheetViews>
    <sheetView topLeftCell="E1" zoomScale="80" zoomScaleNormal="80" workbookViewId="0">
      <selection activeCell="E40" sqref="A40:XFD40"/>
    </sheetView>
  </sheetViews>
  <sheetFormatPr baseColWidth="10" defaultColWidth="9.1640625" defaultRowHeight="15" x14ac:dyDescent="0.2"/>
  <cols>
    <col min="1" max="1" width="9.1640625" style="1"/>
    <col min="2" max="2" width="9.1640625" style="1" customWidth="1"/>
    <col min="3" max="3" width="34.83203125" style="1" bestFit="1" customWidth="1"/>
    <col min="4" max="4" width="42.1640625" style="1" bestFit="1" customWidth="1"/>
    <col min="5" max="5" width="9.83203125" style="1" bestFit="1" customWidth="1"/>
    <col min="6" max="6" width="10.83203125" style="1" bestFit="1" customWidth="1"/>
    <col min="7" max="7" width="11.1640625" style="1" bestFit="1" customWidth="1"/>
    <col min="8" max="13" width="19.83203125" style="1" bestFit="1" customWidth="1"/>
    <col min="14" max="14" width="11.1640625" style="1" bestFit="1" customWidth="1"/>
    <col min="15" max="15" width="19.83203125" style="1" bestFit="1" customWidth="1"/>
    <col min="16" max="16" width="11.1640625" style="1" bestFit="1" customWidth="1"/>
    <col min="17" max="18" width="19.83203125" style="1" bestFit="1" customWidth="1"/>
    <col min="19" max="20" width="11.1640625" style="1" bestFit="1" customWidth="1"/>
    <col min="21" max="21" width="10.1640625" style="1" bestFit="1" customWidth="1"/>
    <col min="22" max="23" width="19.83203125" style="1" bestFit="1" customWidth="1"/>
    <col min="24" max="16384" width="9.1640625" style="1"/>
  </cols>
  <sheetData>
    <row r="5" spans="3:23" s="185" customFormat="1" ht="13" x14ac:dyDescent="0.15">
      <c r="C5" s="195" t="s">
        <v>367</v>
      </c>
      <c r="D5" s="195" t="s">
        <v>299</v>
      </c>
    </row>
    <row r="6" spans="3:23" s="185" customFormat="1" ht="13" x14ac:dyDescent="0.15">
      <c r="C6" s="195" t="s">
        <v>368</v>
      </c>
      <c r="D6" s="195"/>
    </row>
    <row r="7" spans="3:23" s="185" customFormat="1" ht="13" x14ac:dyDescent="0.15">
      <c r="C7" s="195" t="s">
        <v>369</v>
      </c>
      <c r="D7" s="195">
        <v>19871231</v>
      </c>
    </row>
    <row r="8" spans="3:23" s="185" customFormat="1" ht="13" x14ac:dyDescent="0.15">
      <c r="C8" s="195" t="s">
        <v>370</v>
      </c>
      <c r="D8" s="195">
        <v>20171231</v>
      </c>
    </row>
    <row r="9" spans="3:23" s="185" customFormat="1" ht="13" x14ac:dyDescent="0.15">
      <c r="C9" s="195" t="s">
        <v>371</v>
      </c>
      <c r="D9" s="195"/>
    </row>
    <row r="10" spans="3:23" s="185" customFormat="1" ht="13" x14ac:dyDescent="0.15">
      <c r="C10" s="195" t="s">
        <v>372</v>
      </c>
      <c r="D10" s="195" t="s">
        <v>373</v>
      </c>
    </row>
    <row r="11" spans="3:23" s="185" customFormat="1" ht="13" x14ac:dyDescent="0.15">
      <c r="C11" s="195" t="s">
        <v>374</v>
      </c>
      <c r="D11" s="195" t="s">
        <v>375</v>
      </c>
    </row>
    <row r="12" spans="3:23" s="185" customFormat="1" ht="13" x14ac:dyDescent="0.15">
      <c r="C12" s="195" t="s">
        <v>376</v>
      </c>
      <c r="D12" s="195" t="s">
        <v>377</v>
      </c>
    </row>
    <row r="13" spans="3:23" s="185" customFormat="1" ht="13" x14ac:dyDescent="0.15">
      <c r="C13" s="195" t="s">
        <v>378</v>
      </c>
      <c r="D13" s="195"/>
    </row>
    <row r="14" spans="3:23" s="185" customFormat="1" ht="14" thickBot="1" x14ac:dyDescent="0.2"/>
    <row r="15" spans="3:23" s="185" customFormat="1" ht="13" x14ac:dyDescent="0.15">
      <c r="C15" s="205" t="s">
        <v>379</v>
      </c>
      <c r="D15" s="206" t="s">
        <v>380</v>
      </c>
      <c r="E15" s="206" t="s">
        <v>381</v>
      </c>
      <c r="F15" s="206" t="s">
        <v>100</v>
      </c>
      <c r="G15" s="206" t="s">
        <v>99</v>
      </c>
      <c r="H15" s="206" t="s">
        <v>98</v>
      </c>
      <c r="I15" s="206" t="s">
        <v>97</v>
      </c>
      <c r="J15" s="206" t="s">
        <v>96</v>
      </c>
      <c r="K15" s="206" t="s">
        <v>95</v>
      </c>
      <c r="L15" s="206" t="s">
        <v>94</v>
      </c>
      <c r="M15" s="206" t="s">
        <v>93</v>
      </c>
      <c r="N15" s="206" t="s">
        <v>92</v>
      </c>
      <c r="O15" s="206" t="s">
        <v>91</v>
      </c>
      <c r="P15" s="206" t="s">
        <v>90</v>
      </c>
      <c r="Q15" s="206" t="s">
        <v>89</v>
      </c>
      <c r="R15" s="206" t="s">
        <v>88</v>
      </c>
      <c r="S15" s="206" t="s">
        <v>87</v>
      </c>
      <c r="T15" s="206" t="s">
        <v>86</v>
      </c>
      <c r="U15" s="206" t="s">
        <v>10</v>
      </c>
      <c r="V15" s="206" t="s">
        <v>9</v>
      </c>
      <c r="W15" s="207" t="s">
        <v>8</v>
      </c>
    </row>
    <row r="16" spans="3:23" s="185" customFormat="1" ht="14" thickBot="1" x14ac:dyDescent="0.2">
      <c r="C16" s="208"/>
      <c r="D16" s="209"/>
      <c r="E16" s="209"/>
      <c r="F16" s="209" t="s">
        <v>382</v>
      </c>
      <c r="G16" s="209" t="s">
        <v>382</v>
      </c>
      <c r="H16" s="209" t="s">
        <v>383</v>
      </c>
      <c r="I16" s="209" t="s">
        <v>383</v>
      </c>
      <c r="J16" s="209" t="s">
        <v>383</v>
      </c>
      <c r="K16" s="209" t="s">
        <v>383</v>
      </c>
      <c r="L16" s="209" t="s">
        <v>383</v>
      </c>
      <c r="M16" s="209" t="s">
        <v>383</v>
      </c>
      <c r="N16" s="209" t="s">
        <v>382</v>
      </c>
      <c r="O16" s="209" t="s">
        <v>383</v>
      </c>
      <c r="P16" s="209" t="s">
        <v>382</v>
      </c>
      <c r="Q16" s="209" t="s">
        <v>383</v>
      </c>
      <c r="R16" s="209" t="s">
        <v>383</v>
      </c>
      <c r="S16" s="209" t="s">
        <v>382</v>
      </c>
      <c r="T16" s="209" t="s">
        <v>382</v>
      </c>
      <c r="U16" s="209" t="s">
        <v>382</v>
      </c>
      <c r="V16" s="209" t="s">
        <v>383</v>
      </c>
      <c r="W16" s="210" t="s">
        <v>383</v>
      </c>
    </row>
    <row r="17" spans="3:23" s="185" customFormat="1" ht="13" x14ac:dyDescent="0.15">
      <c r="C17" s="186" t="s">
        <v>384</v>
      </c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8"/>
    </row>
    <row r="18" spans="3:23" s="185" customFormat="1" ht="13" x14ac:dyDescent="0.15">
      <c r="C18" s="189" t="s">
        <v>385</v>
      </c>
      <c r="D18" s="187" t="s">
        <v>342</v>
      </c>
      <c r="E18" s="187">
        <v>11.01</v>
      </c>
      <c r="F18" s="187">
        <v>8.1995000000000005</v>
      </c>
      <c r="G18" s="187">
        <v>7.8075000000000001</v>
      </c>
      <c r="H18" s="187">
        <v>8.9774999999999991</v>
      </c>
      <c r="I18" s="187">
        <v>9.1326999999999998</v>
      </c>
      <c r="J18" s="187">
        <v>8.0076999999999998</v>
      </c>
      <c r="K18" s="187">
        <v>8.5739000000000001</v>
      </c>
      <c r="L18" s="187">
        <v>8.7497000000000007</v>
      </c>
      <c r="M18" s="187">
        <v>9.7856000000000005</v>
      </c>
      <c r="N18" s="187">
        <v>9.4403000000000006</v>
      </c>
      <c r="O18" s="187">
        <v>10.3177</v>
      </c>
      <c r="P18" s="187">
        <v>11.4422</v>
      </c>
      <c r="Q18" s="187">
        <v>10.001200000000001</v>
      </c>
      <c r="R18" s="187">
        <v>9.6622000000000003</v>
      </c>
      <c r="S18" s="187">
        <v>8.0599000000000007</v>
      </c>
      <c r="T18" s="187">
        <v>9.0298999999999996</v>
      </c>
      <c r="U18" s="187">
        <v>10.1052</v>
      </c>
      <c r="V18" s="187">
        <v>7.9698000000000002</v>
      </c>
      <c r="W18" s="188">
        <v>7.3506</v>
      </c>
    </row>
    <row r="19" spans="3:23" s="185" customFormat="1" ht="13" x14ac:dyDescent="0.15">
      <c r="C19" s="189" t="s">
        <v>386</v>
      </c>
      <c r="D19" s="187" t="s">
        <v>387</v>
      </c>
      <c r="E19" s="187">
        <v>83.27</v>
      </c>
      <c r="F19" s="187">
        <v>83.269199999999998</v>
      </c>
      <c r="G19" s="187">
        <v>82.400199999999998</v>
      </c>
      <c r="H19" s="187">
        <v>83.662400000000005</v>
      </c>
      <c r="I19" s="187">
        <v>84.222200000000001</v>
      </c>
      <c r="J19" s="187">
        <v>84.293199999999999</v>
      </c>
      <c r="K19" s="187">
        <v>82.953100000000006</v>
      </c>
      <c r="L19" s="187">
        <v>80.786100000000005</v>
      </c>
      <c r="M19" s="187">
        <v>76.097800000000007</v>
      </c>
      <c r="N19" s="187">
        <v>75.079800000000006</v>
      </c>
      <c r="O19" s="187">
        <v>87.315399999999997</v>
      </c>
      <c r="P19" s="187">
        <v>92.072400000000002</v>
      </c>
      <c r="Q19" s="187">
        <v>95.784199999999998</v>
      </c>
      <c r="R19" s="187">
        <v>90.459199999999996</v>
      </c>
      <c r="S19" s="187">
        <v>91.470600000000005</v>
      </c>
      <c r="T19" s="187">
        <v>94.797499999999999</v>
      </c>
      <c r="U19" s="187">
        <v>94.100800000000007</v>
      </c>
      <c r="V19" s="187">
        <v>96.574700000000007</v>
      </c>
      <c r="W19" s="188">
        <v>98.170699999999997</v>
      </c>
    </row>
    <row r="20" spans="3:23" s="185" customFormat="1" ht="13" x14ac:dyDescent="0.15">
      <c r="C20" s="186" t="s">
        <v>388</v>
      </c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8"/>
    </row>
    <row r="21" spans="3:23" s="185" customFormat="1" ht="13" x14ac:dyDescent="0.15">
      <c r="C21" s="189" t="s">
        <v>389</v>
      </c>
      <c r="D21" s="187" t="s">
        <v>343</v>
      </c>
      <c r="E21" s="187">
        <v>3.1</v>
      </c>
      <c r="F21" s="187">
        <v>2.6124000000000001</v>
      </c>
      <c r="G21" s="187">
        <v>2.1023000000000001</v>
      </c>
      <c r="H21" s="187">
        <v>1.7342</v>
      </c>
      <c r="I21" s="187">
        <v>1.6691</v>
      </c>
      <c r="J21" s="187">
        <v>2.1496</v>
      </c>
      <c r="K21" s="187">
        <v>1.3740999999999999</v>
      </c>
      <c r="L21" s="187">
        <v>1.3312999999999999</v>
      </c>
      <c r="M21" s="187">
        <v>2.9821999999999997</v>
      </c>
      <c r="N21" s="187">
        <v>3.2185999999999999</v>
      </c>
      <c r="O21" s="187">
        <v>1.2451000000000001</v>
      </c>
      <c r="P21" s="187">
        <v>3.3464999999999998</v>
      </c>
      <c r="Q21" s="187">
        <v>4.2016</v>
      </c>
      <c r="R21" s="187">
        <v>3.2505999999999999</v>
      </c>
      <c r="S21" s="187">
        <v>2.984</v>
      </c>
      <c r="T21" s="187">
        <v>1.4641</v>
      </c>
      <c r="U21" s="187">
        <v>1.7850999999999999</v>
      </c>
      <c r="V21" s="187">
        <v>2.8693999999999997</v>
      </c>
      <c r="W21" s="188">
        <v>3.4487000000000001</v>
      </c>
    </row>
    <row r="22" spans="3:23" s="185" customFormat="1" ht="13" x14ac:dyDescent="0.15">
      <c r="C22" s="189" t="s">
        <v>390</v>
      </c>
      <c r="D22" s="187" t="s">
        <v>391</v>
      </c>
      <c r="E22" s="187">
        <v>16.72</v>
      </c>
      <c r="F22" s="187">
        <v>16.7227</v>
      </c>
      <c r="G22" s="187">
        <v>17.5898</v>
      </c>
      <c r="H22" s="187">
        <v>16.326699999999999</v>
      </c>
      <c r="I22" s="187">
        <v>15.7653</v>
      </c>
      <c r="J22" s="187">
        <v>15.692600000000001</v>
      </c>
      <c r="K22" s="187">
        <v>17.0291</v>
      </c>
      <c r="L22" s="187">
        <v>19.191800000000001</v>
      </c>
      <c r="M22" s="187">
        <v>23.873999999999999</v>
      </c>
      <c r="N22" s="187">
        <v>24.888999999999999</v>
      </c>
      <c r="O22" s="187">
        <v>12.6312</v>
      </c>
      <c r="P22" s="187">
        <v>7.8719000000000001</v>
      </c>
      <c r="Q22" s="187">
        <v>4.1425999999999998</v>
      </c>
      <c r="R22" s="187">
        <v>9.4518000000000004</v>
      </c>
      <c r="S22" s="187">
        <v>8.4415999999999993</v>
      </c>
      <c r="T22" s="187">
        <v>5.1254999999999997</v>
      </c>
      <c r="U22" s="187">
        <v>5.8992000000000004</v>
      </c>
      <c r="V22" s="187">
        <v>3.4253</v>
      </c>
      <c r="W22" s="188">
        <v>1.8292999999999999</v>
      </c>
    </row>
    <row r="23" spans="3:23" s="185" customFormat="1" ht="13" x14ac:dyDescent="0.15">
      <c r="C23" s="186" t="s">
        <v>392</v>
      </c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8"/>
    </row>
    <row r="24" spans="3:23" s="185" customFormat="1" ht="13" x14ac:dyDescent="0.15">
      <c r="C24" s="189" t="s">
        <v>393</v>
      </c>
      <c r="D24" s="187" t="s">
        <v>394</v>
      </c>
      <c r="E24" s="187">
        <v>0</v>
      </c>
      <c r="F24" s="187">
        <v>4.7618999999999998</v>
      </c>
      <c r="G24" s="187">
        <v>8.3332999999999995</v>
      </c>
      <c r="H24" s="187">
        <v>7.6923000000000004</v>
      </c>
      <c r="I24" s="187">
        <v>0</v>
      </c>
      <c r="J24" s="187">
        <v>6.0606</v>
      </c>
      <c r="K24" s="187">
        <v>5.1281999999999996</v>
      </c>
      <c r="L24" s="187">
        <v>6.6666999999999996</v>
      </c>
      <c r="M24" s="187">
        <v>5.7691999999999997</v>
      </c>
      <c r="N24" s="187">
        <v>8.1966999999999999</v>
      </c>
      <c r="O24" s="187">
        <v>4.1096000000000004</v>
      </c>
      <c r="P24" s="187">
        <v>4.3010999999999999</v>
      </c>
      <c r="Q24" s="187">
        <v>3.5461</v>
      </c>
      <c r="R24" s="187">
        <v>3.5503</v>
      </c>
      <c r="S24" s="187">
        <v>2.0724999999999998</v>
      </c>
      <c r="T24" s="187">
        <v>0</v>
      </c>
      <c r="U24" s="187">
        <v>0</v>
      </c>
      <c r="V24" s="187">
        <v>0</v>
      </c>
      <c r="W24" s="188">
        <v>0</v>
      </c>
    </row>
    <row r="25" spans="3:23" s="185" customFormat="1" ht="13" x14ac:dyDescent="0.15">
      <c r="C25" s="189" t="s">
        <v>395</v>
      </c>
      <c r="D25" s="187" t="s">
        <v>396</v>
      </c>
      <c r="E25" s="187">
        <v>0.01</v>
      </c>
      <c r="F25" s="187">
        <v>8.0999999999999996E-3</v>
      </c>
      <c r="G25" s="187">
        <v>0.01</v>
      </c>
      <c r="H25" s="187">
        <v>1.09E-2</v>
      </c>
      <c r="I25" s="187">
        <v>1.2500000000000001E-2</v>
      </c>
      <c r="J25" s="187">
        <v>1.4200000000000001E-2</v>
      </c>
      <c r="K25" s="187">
        <v>1.77E-2</v>
      </c>
      <c r="L25" s="187">
        <v>2.2200000000000001E-2</v>
      </c>
      <c r="M25" s="187">
        <v>2.8199999999999999E-2</v>
      </c>
      <c r="N25" s="187">
        <v>3.1199999999999999E-2</v>
      </c>
      <c r="O25" s="187">
        <v>5.3400000000000003E-2</v>
      </c>
      <c r="P25" s="187">
        <v>5.57E-2</v>
      </c>
      <c r="Q25" s="187">
        <v>7.3200000000000001E-2</v>
      </c>
      <c r="R25" s="187">
        <v>8.9099999999999999E-2</v>
      </c>
      <c r="S25" s="187">
        <v>8.7900000000000006E-2</v>
      </c>
      <c r="T25" s="187">
        <v>7.6999999999999999E-2</v>
      </c>
      <c r="U25" s="187">
        <v>0</v>
      </c>
      <c r="V25" s="187">
        <v>0</v>
      </c>
      <c r="W25" s="188">
        <v>0</v>
      </c>
    </row>
    <row r="26" spans="3:23" s="185" customFormat="1" ht="13" x14ac:dyDescent="0.15">
      <c r="C26" s="189" t="s">
        <v>298</v>
      </c>
      <c r="D26" s="187" t="s">
        <v>298</v>
      </c>
      <c r="E26" s="187">
        <v>9.69</v>
      </c>
      <c r="F26" s="187">
        <v>7.2648999999999999</v>
      </c>
      <c r="G26" s="187">
        <v>6.8040000000000003</v>
      </c>
      <c r="H26" s="187">
        <v>7.7946999999999997</v>
      </c>
      <c r="I26" s="187">
        <v>7.9549000000000003</v>
      </c>
      <c r="J26" s="187">
        <v>7.0880999999999998</v>
      </c>
      <c r="K26" s="187">
        <v>7.3472999999999997</v>
      </c>
      <c r="L26" s="187">
        <v>7.3254999999999999</v>
      </c>
      <c r="M26" s="187">
        <v>8.1601999999999997</v>
      </c>
      <c r="N26" s="187">
        <v>7.8914</v>
      </c>
      <c r="O26" s="187">
        <v>9.1684000000000001</v>
      </c>
      <c r="P26" s="187">
        <v>10.8009</v>
      </c>
      <c r="Q26" s="187">
        <v>9.7561999999999998</v>
      </c>
      <c r="R26" s="187">
        <v>9.0507000000000009</v>
      </c>
      <c r="S26" s="187">
        <v>7.6261000000000001</v>
      </c>
      <c r="T26" s="187">
        <v>8.6351999999999993</v>
      </c>
      <c r="U26" s="187">
        <v>9.6143000000000001</v>
      </c>
      <c r="V26" s="187">
        <v>7.7950999999999997</v>
      </c>
      <c r="W26" s="188">
        <v>7.2792000000000003</v>
      </c>
    </row>
    <row r="27" spans="3:23" s="185" customFormat="1" ht="13" x14ac:dyDescent="0.15">
      <c r="C27" s="186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8"/>
    </row>
    <row r="28" spans="3:23" s="185" customFormat="1" ht="13" x14ac:dyDescent="0.15">
      <c r="C28" s="186" t="s">
        <v>397</v>
      </c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8"/>
    </row>
    <row r="29" spans="3:23" s="185" customFormat="1" ht="13" x14ac:dyDescent="0.15">
      <c r="C29" s="189" t="s">
        <v>398</v>
      </c>
      <c r="D29" s="187" t="s">
        <v>399</v>
      </c>
      <c r="E29" s="190">
        <v>216208</v>
      </c>
      <c r="F29" s="187">
        <v>216559.38</v>
      </c>
      <c r="G29" s="187">
        <v>197153.6</v>
      </c>
      <c r="H29" s="187">
        <v>199329</v>
      </c>
      <c r="I29" s="187">
        <v>195964.65</v>
      </c>
      <c r="J29" s="187">
        <v>196001.37</v>
      </c>
      <c r="K29" s="187">
        <v>182477.05960000001</v>
      </c>
      <c r="L29" s="187">
        <v>163923</v>
      </c>
      <c r="M29" s="187">
        <v>140290.12</v>
      </c>
      <c r="N29" s="187">
        <v>146793.29999999999</v>
      </c>
      <c r="O29" s="187">
        <v>119471.66</v>
      </c>
      <c r="P29" s="187">
        <v>153677.53</v>
      </c>
      <c r="Q29" s="187">
        <v>184511.6</v>
      </c>
      <c r="R29" s="187">
        <v>171658.52</v>
      </c>
      <c r="S29" s="187">
        <v>200948.97</v>
      </c>
      <c r="T29" s="187">
        <v>269532.57</v>
      </c>
      <c r="U29" s="187">
        <v>188372.34</v>
      </c>
      <c r="V29" s="187">
        <v>250138.45</v>
      </c>
      <c r="W29" s="188">
        <v>290444</v>
      </c>
    </row>
    <row r="30" spans="3:23" s="185" customFormat="1" ht="13" x14ac:dyDescent="0.15">
      <c r="C30" s="189" t="s">
        <v>400</v>
      </c>
      <c r="D30" s="187" t="s">
        <v>401</v>
      </c>
      <c r="E30" s="190">
        <v>9953</v>
      </c>
      <c r="F30" s="187">
        <v>9953</v>
      </c>
      <c r="G30" s="187">
        <v>10688</v>
      </c>
      <c r="H30" s="187">
        <v>10159</v>
      </c>
      <c r="I30" s="187">
        <v>5141</v>
      </c>
      <c r="J30" s="187">
        <v>6027</v>
      </c>
      <c r="K30" s="187">
        <v>6424</v>
      </c>
      <c r="L30" s="187">
        <v>4016</v>
      </c>
      <c r="M30" s="187">
        <v>5603</v>
      </c>
      <c r="N30" s="187">
        <v>5469</v>
      </c>
      <c r="O30" s="187">
        <v>9320</v>
      </c>
      <c r="P30" s="187">
        <v>5825</v>
      </c>
      <c r="Q30" s="187">
        <v>2434</v>
      </c>
      <c r="R30" s="187">
        <v>11589</v>
      </c>
      <c r="S30" s="187">
        <v>11266</v>
      </c>
      <c r="T30" s="187">
        <v>8818</v>
      </c>
      <c r="U30" s="187">
        <v>8669</v>
      </c>
      <c r="V30" s="187">
        <v>6263</v>
      </c>
      <c r="W30" s="188">
        <v>4289</v>
      </c>
    </row>
    <row r="31" spans="3:23" s="185" customFormat="1" ht="13" x14ac:dyDescent="0.15">
      <c r="C31" s="189" t="s">
        <v>402</v>
      </c>
      <c r="D31" s="187" t="s">
        <v>403</v>
      </c>
      <c r="E31" s="190">
        <v>33538</v>
      </c>
      <c r="F31" s="187">
        <v>33538</v>
      </c>
      <c r="G31" s="187">
        <v>31398</v>
      </c>
      <c r="H31" s="187">
        <v>28740</v>
      </c>
      <c r="I31" s="187">
        <v>31541</v>
      </c>
      <c r="J31" s="187">
        <v>30462</v>
      </c>
      <c r="K31" s="187">
        <v>31036</v>
      </c>
      <c r="L31" s="187">
        <v>34926</v>
      </c>
      <c r="M31" s="187">
        <v>38410</v>
      </c>
      <c r="N31" s="187">
        <v>43193</v>
      </c>
      <c r="O31" s="187">
        <v>7963</v>
      </c>
      <c r="P31" s="187">
        <v>7314</v>
      </c>
      <c r="Q31" s="187">
        <v>5546</v>
      </c>
      <c r="R31" s="187">
        <v>6347</v>
      </c>
      <c r="S31" s="187">
        <v>7279</v>
      </c>
      <c r="T31" s="187">
        <v>5755</v>
      </c>
      <c r="U31" s="187">
        <v>3140</v>
      </c>
      <c r="V31" s="187">
        <v>2609</v>
      </c>
      <c r="W31" s="188">
        <v>1123</v>
      </c>
    </row>
    <row r="32" spans="3:23" s="185" customFormat="1" ht="13" x14ac:dyDescent="0.15">
      <c r="C32" s="189" t="s">
        <v>404</v>
      </c>
      <c r="D32" s="187" t="s">
        <v>405</v>
      </c>
      <c r="E32" s="187">
        <v>21</v>
      </c>
      <c r="F32" s="187">
        <v>21</v>
      </c>
      <c r="G32" s="187">
        <v>24</v>
      </c>
      <c r="H32" s="187">
        <v>26</v>
      </c>
      <c r="I32" s="187">
        <v>29</v>
      </c>
      <c r="J32" s="187">
        <v>33</v>
      </c>
      <c r="K32" s="187">
        <v>39</v>
      </c>
      <c r="L32" s="187">
        <v>45</v>
      </c>
      <c r="M32" s="187">
        <v>52</v>
      </c>
      <c r="N32" s="187">
        <v>61</v>
      </c>
      <c r="O32" s="187">
        <v>73</v>
      </c>
      <c r="P32" s="187">
        <v>93</v>
      </c>
      <c r="Q32" s="187">
        <v>141</v>
      </c>
      <c r="R32" s="187">
        <v>169</v>
      </c>
      <c r="S32" s="187">
        <v>193</v>
      </c>
      <c r="T32" s="187">
        <v>219</v>
      </c>
      <c r="U32" s="187">
        <v>0</v>
      </c>
      <c r="V32" s="187">
        <v>0</v>
      </c>
      <c r="W32" s="188">
        <v>0</v>
      </c>
    </row>
    <row r="33" spans="3:23" s="185" customFormat="1" ht="13" x14ac:dyDescent="0.15">
      <c r="C33" s="189" t="s">
        <v>406</v>
      </c>
      <c r="D33" s="187" t="s">
        <v>407</v>
      </c>
      <c r="E33" s="190">
        <v>260071</v>
      </c>
      <c r="F33" s="187">
        <v>260071.38</v>
      </c>
      <c r="G33" s="187">
        <v>239263.6</v>
      </c>
      <c r="H33" s="187">
        <v>238254</v>
      </c>
      <c r="I33" s="187">
        <v>232675.65</v>
      </c>
      <c r="J33" s="187">
        <v>232523.37</v>
      </c>
      <c r="K33" s="187">
        <v>219976.05960000001</v>
      </c>
      <c r="L33" s="187">
        <v>202910</v>
      </c>
      <c r="M33" s="187">
        <v>184355.12</v>
      </c>
      <c r="N33" s="187">
        <v>195516.3</v>
      </c>
      <c r="O33" s="187">
        <v>136827.66</v>
      </c>
      <c r="P33" s="187">
        <v>166909.53</v>
      </c>
      <c r="Q33" s="187">
        <v>192632.6</v>
      </c>
      <c r="R33" s="187">
        <v>189763.52</v>
      </c>
      <c r="S33" s="187">
        <v>219686.97</v>
      </c>
      <c r="T33" s="187">
        <v>284324.57</v>
      </c>
      <c r="U33" s="187">
        <v>200181.34</v>
      </c>
      <c r="V33" s="187">
        <v>259010.45</v>
      </c>
      <c r="W33" s="188">
        <v>295856</v>
      </c>
    </row>
    <row r="34" spans="3:23" s="185" customFormat="1" ht="13" x14ac:dyDescent="0.15">
      <c r="C34" s="186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8"/>
    </row>
    <row r="35" spans="3:23" s="185" customFormat="1" ht="13" x14ac:dyDescent="0.15">
      <c r="C35" s="186" t="s">
        <v>408</v>
      </c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8"/>
    </row>
    <row r="36" spans="3:23" s="185" customFormat="1" ht="13" x14ac:dyDescent="0.15">
      <c r="C36" s="189" t="s">
        <v>409</v>
      </c>
      <c r="D36" s="187" t="s">
        <v>410</v>
      </c>
      <c r="E36" s="190">
        <v>13852</v>
      </c>
      <c r="F36" s="187">
        <v>13851</v>
      </c>
      <c r="G36" s="187">
        <v>12262</v>
      </c>
      <c r="H36" s="187">
        <v>12562</v>
      </c>
      <c r="I36" s="187">
        <v>13179</v>
      </c>
      <c r="J36" s="187">
        <v>15569</v>
      </c>
      <c r="K36" s="187">
        <v>15583</v>
      </c>
      <c r="L36" s="187">
        <v>15167</v>
      </c>
      <c r="M36" s="187">
        <v>14093</v>
      </c>
      <c r="N36" s="187">
        <v>11794</v>
      </c>
      <c r="O36" s="187">
        <v>17174</v>
      </c>
      <c r="P36" s="187">
        <v>14695</v>
      </c>
      <c r="Q36" s="187">
        <v>14493</v>
      </c>
      <c r="R36" s="187">
        <v>14387</v>
      </c>
      <c r="S36" s="187">
        <v>17150</v>
      </c>
      <c r="T36" s="187">
        <v>16273</v>
      </c>
      <c r="U36" s="187">
        <v>12291</v>
      </c>
      <c r="V36" s="187">
        <v>10622</v>
      </c>
      <c r="W36" s="188">
        <v>8629</v>
      </c>
    </row>
    <row r="37" spans="3:23" s="185" customFormat="1" ht="13" x14ac:dyDescent="0.15">
      <c r="C37" s="189" t="s">
        <v>411</v>
      </c>
      <c r="D37" s="187" t="s">
        <v>412</v>
      </c>
      <c r="E37" s="190">
        <v>17848</v>
      </c>
      <c r="F37" s="187">
        <v>17848</v>
      </c>
      <c r="G37" s="187">
        <v>-2243.4942000000001</v>
      </c>
      <c r="H37" s="187">
        <v>-1085.3752999999999</v>
      </c>
      <c r="I37" s="187">
        <v>6040.1961000000001</v>
      </c>
      <c r="J37" s="187">
        <v>-247.76179999999999</v>
      </c>
      <c r="K37" s="187">
        <v>-16612.4028</v>
      </c>
      <c r="L37" s="187">
        <v>22141.9362</v>
      </c>
      <c r="M37" s="187">
        <v>-15867.692300000001</v>
      </c>
      <c r="N37" s="187">
        <v>2270.0506999999998</v>
      </c>
      <c r="O37" s="187">
        <v>6515.2768999999998</v>
      </c>
      <c r="P37" s="187">
        <v>4309.6550999999999</v>
      </c>
      <c r="Q37" s="187">
        <v>4108.7384000000002</v>
      </c>
      <c r="R37" s="187">
        <v>8585.9527999999991</v>
      </c>
      <c r="S37" s="187">
        <v>3631.1972999999998</v>
      </c>
      <c r="T37" s="187">
        <v>-4654.7759999999998</v>
      </c>
      <c r="U37" s="187">
        <v>2758.0119</v>
      </c>
      <c r="V37" s="187">
        <v>2591.4315000000001</v>
      </c>
      <c r="W37" s="188">
        <v>3185.0571</v>
      </c>
    </row>
    <row r="38" spans="3:23" s="185" customFormat="1" ht="13" x14ac:dyDescent="0.15">
      <c r="C38" s="189" t="s">
        <v>413</v>
      </c>
      <c r="D38" s="187" t="s">
        <v>414</v>
      </c>
      <c r="E38" s="190">
        <v>-3996</v>
      </c>
      <c r="F38" s="187">
        <v>-3997</v>
      </c>
      <c r="G38" s="187">
        <v>14505.494199999999</v>
      </c>
      <c r="H38" s="187">
        <v>13647.3753</v>
      </c>
      <c r="I38" s="187">
        <v>7138.8038999999999</v>
      </c>
      <c r="J38" s="187">
        <v>15816.7618</v>
      </c>
      <c r="K38" s="187">
        <v>32195.4028</v>
      </c>
      <c r="L38" s="187">
        <v>-6974.9362000000001</v>
      </c>
      <c r="M38" s="187">
        <v>29960.692299999999</v>
      </c>
      <c r="N38" s="187">
        <v>9523.9493000000002</v>
      </c>
      <c r="O38" s="187">
        <v>10658.723099999999</v>
      </c>
      <c r="P38" s="187">
        <v>10385.3449</v>
      </c>
      <c r="Q38" s="187">
        <v>10384.2616</v>
      </c>
      <c r="R38" s="187">
        <v>5801.0472</v>
      </c>
      <c r="S38" s="187">
        <v>13518.8027</v>
      </c>
      <c r="T38" s="187">
        <v>20927.776000000002</v>
      </c>
      <c r="U38" s="187">
        <v>9532.9881000000005</v>
      </c>
      <c r="V38" s="187">
        <v>8030.5685000000003</v>
      </c>
      <c r="W38" s="188">
        <v>5443.9429</v>
      </c>
    </row>
    <row r="39" spans="3:23" s="185" customFormat="1" ht="13" x14ac:dyDescent="0.15">
      <c r="C39" s="189" t="s">
        <v>415</v>
      </c>
      <c r="D39" s="187" t="s">
        <v>416</v>
      </c>
      <c r="E39" s="190">
        <v>133441</v>
      </c>
      <c r="F39" s="187">
        <v>133441</v>
      </c>
      <c r="G39" s="187">
        <v>148538</v>
      </c>
      <c r="H39" s="187">
        <v>145675</v>
      </c>
      <c r="I39" s="187">
        <v>150193</v>
      </c>
      <c r="J39" s="187">
        <v>151813</v>
      </c>
      <c r="K39" s="187">
        <v>161031</v>
      </c>
      <c r="L39" s="187">
        <v>140542</v>
      </c>
      <c r="M39" s="187">
        <v>168015</v>
      </c>
      <c r="N39" s="187">
        <v>167021</v>
      </c>
      <c r="O39" s="187">
        <v>88132</v>
      </c>
      <c r="P39" s="187">
        <v>91700</v>
      </c>
      <c r="Q39" s="187">
        <v>104064</v>
      </c>
      <c r="R39" s="187">
        <v>106051</v>
      </c>
      <c r="S39" s="187">
        <v>110304</v>
      </c>
      <c r="T39" s="187">
        <v>102869</v>
      </c>
      <c r="U39" s="187">
        <v>38608</v>
      </c>
      <c r="V39" s="187">
        <v>31216</v>
      </c>
      <c r="W39" s="188">
        <v>24509</v>
      </c>
    </row>
    <row r="40" spans="3:23" s="185" customFormat="1" ht="13" x14ac:dyDescent="0.15">
      <c r="C40" s="189" t="s">
        <v>298</v>
      </c>
      <c r="D40" s="187" t="s">
        <v>298</v>
      </c>
      <c r="E40" s="187">
        <v>9.69</v>
      </c>
      <c r="F40" s="187">
        <v>7.2648999999999999</v>
      </c>
      <c r="G40" s="187">
        <v>6.8040000000000003</v>
      </c>
      <c r="H40" s="187">
        <v>7.7946999999999997</v>
      </c>
      <c r="I40" s="187">
        <v>7.9549000000000003</v>
      </c>
      <c r="J40" s="187">
        <v>7.0880999999999998</v>
      </c>
      <c r="K40" s="187">
        <v>7.3472999999999997</v>
      </c>
      <c r="L40" s="187">
        <v>7.3254999999999999</v>
      </c>
      <c r="M40" s="187">
        <v>8.1601999999999997</v>
      </c>
      <c r="N40" s="187">
        <v>7.8914</v>
      </c>
      <c r="O40" s="187">
        <v>9.1684000000000001</v>
      </c>
      <c r="P40" s="187">
        <v>10.8009</v>
      </c>
      <c r="Q40" s="187">
        <v>9.7561999999999998</v>
      </c>
      <c r="R40" s="187">
        <v>9.0507000000000009</v>
      </c>
      <c r="S40" s="187">
        <v>7.6261000000000001</v>
      </c>
      <c r="T40" s="187">
        <v>8.6351999999999993</v>
      </c>
      <c r="U40" s="187">
        <v>9.6143000000000001</v>
      </c>
      <c r="V40" s="191">
        <v>7.8E-2</v>
      </c>
      <c r="W40" s="188">
        <v>7.2792000000000003</v>
      </c>
    </row>
    <row r="41" spans="3:23" s="185" customFormat="1" ht="13" x14ac:dyDescent="0.15">
      <c r="C41" s="189" t="s">
        <v>417</v>
      </c>
      <c r="D41" s="187" t="s">
        <v>418</v>
      </c>
      <c r="E41" s="190">
        <v>12924.3</v>
      </c>
      <c r="F41" s="187">
        <v>9694.3940000000002</v>
      </c>
      <c r="G41" s="187">
        <v>10106.516600000001</v>
      </c>
      <c r="H41" s="187">
        <v>11354.9854</v>
      </c>
      <c r="I41" s="187">
        <v>11947.6409</v>
      </c>
      <c r="J41" s="187">
        <v>10760.7217</v>
      </c>
      <c r="K41" s="187">
        <v>11831.352000000001</v>
      </c>
      <c r="L41" s="187">
        <v>10295.4051</v>
      </c>
      <c r="M41" s="187">
        <v>13710.3372</v>
      </c>
      <c r="N41" s="187">
        <v>13180.2606</v>
      </c>
      <c r="O41" s="187">
        <v>8080.3031000000001</v>
      </c>
      <c r="P41" s="187">
        <v>9904.4709000000003</v>
      </c>
      <c r="Q41" s="187">
        <v>10152.6958</v>
      </c>
      <c r="R41" s="187">
        <v>9598.3652000000002</v>
      </c>
      <c r="S41" s="187">
        <v>8411.9231</v>
      </c>
      <c r="T41" s="187">
        <v>8882.9405999999999</v>
      </c>
      <c r="U41" s="187">
        <v>3711.9052000000001</v>
      </c>
      <c r="V41" s="187">
        <v>2433.3103999999998</v>
      </c>
      <c r="W41" s="188">
        <v>1784.068</v>
      </c>
    </row>
    <row r="42" spans="3:23" s="185" customFormat="1" ht="13" x14ac:dyDescent="0.15">
      <c r="C42" s="189" t="s">
        <v>419</v>
      </c>
      <c r="D42" s="187" t="s">
        <v>420</v>
      </c>
      <c r="E42" s="190">
        <v>-16920.3</v>
      </c>
      <c r="F42" s="187">
        <v>-13691.394</v>
      </c>
      <c r="G42" s="187">
        <v>4398.9776000000002</v>
      </c>
      <c r="H42" s="187">
        <v>2292.39</v>
      </c>
      <c r="I42" s="187">
        <v>-4808.8370000000004</v>
      </c>
      <c r="J42" s="187">
        <v>5056.0401000000002</v>
      </c>
      <c r="K42" s="187">
        <v>20364.050800000001</v>
      </c>
      <c r="L42" s="187">
        <v>-17270.3413</v>
      </c>
      <c r="M42" s="187">
        <v>16250.355100000001</v>
      </c>
      <c r="N42" s="187">
        <v>-3656.3112999999998</v>
      </c>
      <c r="O42" s="187">
        <v>2578.42</v>
      </c>
      <c r="P42" s="187">
        <v>480.87400000000002</v>
      </c>
      <c r="Q42" s="187">
        <v>231.56569999999999</v>
      </c>
      <c r="R42" s="187">
        <v>-3797.3180000000002</v>
      </c>
      <c r="S42" s="187">
        <v>5106.8796000000002</v>
      </c>
      <c r="T42" s="187">
        <v>12044.8354</v>
      </c>
      <c r="U42" s="187">
        <v>5821.0829000000003</v>
      </c>
      <c r="V42" s="187">
        <v>5597.2581</v>
      </c>
      <c r="W42" s="188">
        <v>3659.8748999999998</v>
      </c>
    </row>
    <row r="43" spans="3:23" s="185" customFormat="1" ht="13" x14ac:dyDescent="0.15">
      <c r="C43" s="189" t="s">
        <v>421</v>
      </c>
      <c r="D43" s="187" t="s">
        <v>422</v>
      </c>
      <c r="E43" s="187">
        <v>-2.99</v>
      </c>
      <c r="F43" s="187">
        <v>-2.9952999999999999</v>
      </c>
      <c r="G43" s="187">
        <v>9.7654999999999994</v>
      </c>
      <c r="H43" s="187">
        <v>9.3683999999999994</v>
      </c>
      <c r="I43" s="187">
        <v>4.7530999999999999</v>
      </c>
      <c r="J43" s="187">
        <v>10.4186</v>
      </c>
      <c r="K43" s="187">
        <v>19.993300000000001</v>
      </c>
      <c r="L43" s="187">
        <v>-4.9629000000000003</v>
      </c>
      <c r="M43" s="187">
        <v>17.8322</v>
      </c>
      <c r="N43" s="187">
        <v>5.7022000000000004</v>
      </c>
      <c r="O43" s="187">
        <v>12.093999999999999</v>
      </c>
      <c r="P43" s="187">
        <v>11.3253</v>
      </c>
      <c r="Q43" s="187">
        <v>9.9786999999999999</v>
      </c>
      <c r="R43" s="187">
        <v>5.4701000000000004</v>
      </c>
      <c r="S43" s="187">
        <v>12.2559</v>
      </c>
      <c r="T43" s="187">
        <v>20.344100000000001</v>
      </c>
      <c r="U43" s="187">
        <v>24.691700000000001</v>
      </c>
      <c r="V43" s="187">
        <v>25.7258</v>
      </c>
      <c r="W43" s="188">
        <v>22.212</v>
      </c>
    </row>
    <row r="44" spans="3:23" s="185" customFormat="1" ht="14" thickBot="1" x14ac:dyDescent="0.2">
      <c r="C44" s="192" t="s">
        <v>423</v>
      </c>
      <c r="D44" s="193" t="s">
        <v>424</v>
      </c>
      <c r="E44" s="193">
        <v>-12.68</v>
      </c>
      <c r="F44" s="193">
        <v>-10.260300000000001</v>
      </c>
      <c r="G44" s="193">
        <v>2.9615</v>
      </c>
      <c r="H44" s="193">
        <v>1.5735999999999999</v>
      </c>
      <c r="I44" s="193">
        <v>-3.2018</v>
      </c>
      <c r="J44" s="193">
        <v>3.3304</v>
      </c>
      <c r="K44" s="193">
        <v>12.646000000000001</v>
      </c>
      <c r="L44" s="193">
        <v>-12.288399999999999</v>
      </c>
      <c r="M44" s="193">
        <v>9.6720000000000006</v>
      </c>
      <c r="N44" s="193">
        <v>-2.1890999999999998</v>
      </c>
      <c r="O44" s="193">
        <v>2.9256000000000002</v>
      </c>
      <c r="P44" s="193">
        <v>0.52439999999999998</v>
      </c>
      <c r="Q44" s="193">
        <v>0.2225</v>
      </c>
      <c r="R44" s="193">
        <v>-3.5807000000000002</v>
      </c>
      <c r="S44" s="193">
        <v>4.6298000000000004</v>
      </c>
      <c r="T44" s="193">
        <v>11.7089</v>
      </c>
      <c r="U44" s="193">
        <v>15.077400000000001</v>
      </c>
      <c r="V44" s="193">
        <v>17.930700000000002</v>
      </c>
      <c r="W44" s="194">
        <v>14.9328</v>
      </c>
    </row>
  </sheetData>
  <phoneticPr fontId="4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2:V595"/>
  <sheetViews>
    <sheetView zoomScale="85" zoomScaleNormal="85" workbookViewId="0">
      <selection activeCell="A5" sqref="A5"/>
    </sheetView>
  </sheetViews>
  <sheetFormatPr baseColWidth="10" defaultColWidth="9.1640625" defaultRowHeight="15" x14ac:dyDescent="0.2"/>
  <cols>
    <col min="1" max="1" width="9.1640625" style="1"/>
    <col min="2" max="9" width="14.33203125" style="1" customWidth="1"/>
    <col min="10" max="10" width="21.33203125" style="1" customWidth="1"/>
    <col min="11" max="11" width="14.33203125" style="1" customWidth="1"/>
    <col min="12" max="13" width="14.1640625" style="1" customWidth="1"/>
    <col min="14" max="14" width="14.33203125" style="1" customWidth="1"/>
    <col min="15" max="18" width="9.1640625" style="1"/>
    <col min="19" max="19" width="21.5" style="1" customWidth="1"/>
    <col min="20" max="20" width="14.33203125" style="1" customWidth="1"/>
    <col min="21" max="21" width="14.5" style="1" customWidth="1"/>
    <col min="22" max="22" width="14.33203125" style="1" customWidth="1"/>
    <col min="23" max="16384" width="9.1640625" style="1"/>
  </cols>
  <sheetData>
    <row r="2" spans="1:22" x14ac:dyDescent="0.2">
      <c r="A2" s="6"/>
    </row>
    <row r="4" spans="1:22" x14ac:dyDescent="0.2">
      <c r="B4" s="411" t="s">
        <v>81</v>
      </c>
      <c r="C4" s="411"/>
      <c r="D4" s="411"/>
      <c r="E4" s="411"/>
      <c r="F4" s="411"/>
      <c r="G4" s="411"/>
      <c r="H4" s="411"/>
      <c r="I4" s="411"/>
      <c r="K4" s="411" t="s">
        <v>82</v>
      </c>
      <c r="L4" s="411"/>
      <c r="M4" s="411"/>
      <c r="N4" s="411"/>
      <c r="O4" s="411"/>
      <c r="P4" s="411"/>
      <c r="Q4" s="411"/>
      <c r="R4" s="411"/>
      <c r="T4" s="411" t="s">
        <v>83</v>
      </c>
      <c r="U4" s="411"/>
      <c r="V4" s="411"/>
    </row>
    <row r="5" spans="1:22" x14ac:dyDescent="0.2">
      <c r="B5" s="26" t="s">
        <v>77</v>
      </c>
      <c r="C5" s="26" t="s">
        <v>80</v>
      </c>
      <c r="D5" s="26" t="s">
        <v>79</v>
      </c>
      <c r="E5" s="26" t="s">
        <v>78</v>
      </c>
      <c r="F5" s="26"/>
      <c r="G5" s="25"/>
      <c r="H5" s="25"/>
      <c r="I5" s="25"/>
      <c r="K5" s="26" t="s">
        <v>77</v>
      </c>
      <c r="L5" s="26" t="s">
        <v>80</v>
      </c>
      <c r="M5" s="26" t="s">
        <v>79</v>
      </c>
      <c r="N5" s="26" t="s">
        <v>78</v>
      </c>
      <c r="O5" s="26"/>
      <c r="P5" s="25"/>
      <c r="Q5" s="25"/>
      <c r="R5" s="25"/>
      <c r="T5" s="26" t="s">
        <v>77</v>
      </c>
      <c r="U5" s="26" t="s">
        <v>80</v>
      </c>
      <c r="V5" s="26" t="s">
        <v>79</v>
      </c>
    </row>
    <row r="6" spans="1:22" x14ac:dyDescent="0.2">
      <c r="B6" s="27">
        <v>37726</v>
      </c>
      <c r="C6" s="4">
        <v>45.06</v>
      </c>
      <c r="D6" s="4">
        <v>13630000</v>
      </c>
      <c r="E6" s="4"/>
      <c r="F6" s="4"/>
      <c r="G6" s="4"/>
      <c r="H6" s="4"/>
      <c r="I6" s="4"/>
      <c r="K6" s="27">
        <v>39813</v>
      </c>
      <c r="L6" s="4">
        <v>17.71</v>
      </c>
      <c r="M6" s="4">
        <v>102260000</v>
      </c>
      <c r="N6" s="4">
        <v>-2132</v>
      </c>
      <c r="O6" s="4"/>
      <c r="P6" s="4"/>
      <c r="Q6" s="4"/>
      <c r="R6" s="4"/>
      <c r="T6" s="27">
        <v>39813</v>
      </c>
      <c r="U6" s="4">
        <v>903.25</v>
      </c>
      <c r="V6" s="4">
        <v>2420000000</v>
      </c>
    </row>
    <row r="7" spans="1:22" x14ac:dyDescent="0.2">
      <c r="B7" s="27">
        <v>37722</v>
      </c>
      <c r="C7" s="4">
        <v>43.89</v>
      </c>
      <c r="D7" s="4">
        <v>20060000</v>
      </c>
      <c r="E7" s="4"/>
      <c r="F7" s="4"/>
      <c r="G7" s="4"/>
      <c r="H7" s="4"/>
      <c r="I7" s="4"/>
      <c r="K7" s="27">
        <v>39808</v>
      </c>
      <c r="L7" s="4">
        <v>17.100000000000001</v>
      </c>
      <c r="M7" s="4">
        <v>108890000</v>
      </c>
      <c r="N7" s="4"/>
      <c r="O7" s="4"/>
      <c r="P7" s="4"/>
      <c r="Q7" s="4"/>
      <c r="R7" s="4"/>
      <c r="T7" s="27">
        <v>39808</v>
      </c>
      <c r="U7" s="4">
        <v>872.8</v>
      </c>
      <c r="V7" s="4">
        <v>2400000000</v>
      </c>
    </row>
    <row r="8" spans="1:22" x14ac:dyDescent="0.2">
      <c r="B8" s="27">
        <v>37715</v>
      </c>
      <c r="C8" s="4">
        <v>45.8</v>
      </c>
      <c r="D8" s="4">
        <v>19160000</v>
      </c>
      <c r="E8" s="4"/>
      <c r="F8" s="4"/>
      <c r="G8" s="4"/>
      <c r="H8" s="4"/>
      <c r="I8" s="4"/>
      <c r="K8" s="27">
        <v>39801</v>
      </c>
      <c r="L8" s="4">
        <v>17.3</v>
      </c>
      <c r="M8" s="4">
        <v>274720000</v>
      </c>
      <c r="N8" s="4"/>
      <c r="O8" s="4"/>
      <c r="P8" s="4"/>
      <c r="Q8" s="4"/>
      <c r="R8" s="4"/>
      <c r="T8" s="27">
        <v>39801</v>
      </c>
      <c r="U8" s="4">
        <v>887.88</v>
      </c>
      <c r="V8" s="4">
        <v>6729999872</v>
      </c>
    </row>
    <row r="9" spans="1:22" x14ac:dyDescent="0.2">
      <c r="B9" s="27">
        <v>37708</v>
      </c>
      <c r="C9" s="4">
        <v>44.49</v>
      </c>
      <c r="D9" s="4">
        <v>21250000</v>
      </c>
      <c r="E9" s="4"/>
      <c r="F9" s="4"/>
      <c r="G9" s="4"/>
      <c r="H9" s="4"/>
      <c r="I9" s="4"/>
      <c r="K9" s="27">
        <v>39794</v>
      </c>
      <c r="L9" s="4">
        <v>16.920000000000002</v>
      </c>
      <c r="M9" s="4">
        <v>236990000</v>
      </c>
      <c r="N9" s="4"/>
      <c r="O9" s="4"/>
      <c r="P9" s="4"/>
      <c r="Q9" s="4"/>
      <c r="R9" s="4"/>
      <c r="T9" s="27">
        <v>39794</v>
      </c>
      <c r="U9" s="4">
        <v>879.73</v>
      </c>
      <c r="V9" s="4">
        <v>6230000128</v>
      </c>
    </row>
    <row r="10" spans="1:22" x14ac:dyDescent="0.2">
      <c r="B10" s="27">
        <v>37701</v>
      </c>
      <c r="C10" s="4">
        <v>44.45</v>
      </c>
      <c r="D10" s="4">
        <v>26540000</v>
      </c>
      <c r="E10" s="4"/>
      <c r="F10" s="4"/>
      <c r="G10" s="4"/>
      <c r="H10" s="4"/>
      <c r="I10" s="4"/>
      <c r="K10" s="27">
        <v>39787</v>
      </c>
      <c r="L10" s="4">
        <v>16.55</v>
      </c>
      <c r="M10" s="4">
        <v>267130000</v>
      </c>
      <c r="N10" s="4"/>
      <c r="O10" s="4"/>
      <c r="P10" s="4"/>
      <c r="Q10" s="4"/>
      <c r="R10" s="4"/>
      <c r="T10" s="27">
        <v>39787</v>
      </c>
      <c r="U10" s="4">
        <v>876.07</v>
      </c>
      <c r="V10" s="4">
        <v>6769999872</v>
      </c>
    </row>
    <row r="11" spans="1:22" x14ac:dyDescent="0.2">
      <c r="B11" s="27">
        <v>37694</v>
      </c>
      <c r="C11" s="4">
        <v>40.130000000000003</v>
      </c>
      <c r="D11" s="4">
        <v>18970000</v>
      </c>
      <c r="E11" s="4"/>
      <c r="F11" s="4"/>
      <c r="G11" s="4"/>
      <c r="H11" s="4"/>
      <c r="I11" s="4"/>
      <c r="K11" s="27">
        <v>39780</v>
      </c>
      <c r="L11" s="4">
        <v>16.43</v>
      </c>
      <c r="M11" s="4">
        <v>193940000</v>
      </c>
      <c r="N11" s="4"/>
      <c r="O11" s="4"/>
      <c r="P11" s="4"/>
      <c r="Q11" s="4"/>
      <c r="R11" s="4"/>
      <c r="T11" s="27">
        <v>39780</v>
      </c>
      <c r="U11" s="4">
        <v>896.24</v>
      </c>
      <c r="V11" s="4">
        <v>5110000128</v>
      </c>
    </row>
    <row r="12" spans="1:22" x14ac:dyDescent="0.2">
      <c r="B12" s="27">
        <v>37687</v>
      </c>
      <c r="C12" s="4">
        <v>41.52</v>
      </c>
      <c r="D12" s="4">
        <v>23570000</v>
      </c>
      <c r="E12" s="4"/>
      <c r="F12" s="4"/>
      <c r="G12" s="4"/>
      <c r="H12" s="4"/>
      <c r="I12" s="4"/>
      <c r="K12" s="27">
        <v>39773</v>
      </c>
      <c r="L12" s="4">
        <v>15.67</v>
      </c>
      <c r="M12" s="4">
        <v>341940000</v>
      </c>
      <c r="N12" s="4"/>
      <c r="O12" s="4"/>
      <c r="P12" s="4"/>
      <c r="Q12" s="4"/>
      <c r="R12" s="4"/>
      <c r="T12" s="27">
        <v>39773</v>
      </c>
      <c r="U12" s="4">
        <v>800.03</v>
      </c>
      <c r="V12" s="4">
        <v>8339999744</v>
      </c>
    </row>
    <row r="13" spans="1:22" x14ac:dyDescent="0.2">
      <c r="B13" s="27">
        <v>37680</v>
      </c>
      <c r="C13" s="4">
        <v>41.32</v>
      </c>
      <c r="D13" s="4">
        <v>37670000</v>
      </c>
      <c r="E13" s="4"/>
      <c r="F13" s="4"/>
      <c r="G13" s="4"/>
      <c r="H13" s="4"/>
      <c r="I13" s="4"/>
      <c r="K13" s="27">
        <v>39766</v>
      </c>
      <c r="L13" s="4">
        <v>16.28</v>
      </c>
      <c r="M13" s="4">
        <v>241740000</v>
      </c>
      <c r="N13" s="4"/>
      <c r="O13" s="4"/>
      <c r="P13" s="4"/>
      <c r="Q13" s="4"/>
      <c r="R13" s="4"/>
      <c r="T13" s="27">
        <v>39766</v>
      </c>
      <c r="U13" s="4">
        <v>873.29</v>
      </c>
      <c r="V13" s="4">
        <v>6630000128</v>
      </c>
    </row>
    <row r="14" spans="1:22" x14ac:dyDescent="0.2">
      <c r="B14" s="27">
        <v>37673</v>
      </c>
      <c r="C14" s="4">
        <v>39.6</v>
      </c>
      <c r="D14" s="4">
        <v>18300000</v>
      </c>
      <c r="E14" s="4"/>
      <c r="F14" s="4"/>
      <c r="G14" s="4"/>
      <c r="H14" s="4"/>
      <c r="I14" s="4"/>
      <c r="K14" s="27">
        <v>39759</v>
      </c>
      <c r="L14" s="4">
        <v>16.86</v>
      </c>
      <c r="M14" s="4">
        <v>245500000</v>
      </c>
      <c r="N14" s="4"/>
      <c r="O14" s="4"/>
      <c r="P14" s="4"/>
      <c r="Q14" s="4"/>
      <c r="R14" s="4"/>
      <c r="T14" s="27">
        <v>39759</v>
      </c>
      <c r="U14" s="4">
        <v>930.99</v>
      </c>
      <c r="V14" s="4">
        <v>5920000000</v>
      </c>
    </row>
    <row r="15" spans="1:22" x14ac:dyDescent="0.2">
      <c r="B15" s="27">
        <v>37666</v>
      </c>
      <c r="C15" s="4">
        <v>39.049999999999997</v>
      </c>
      <c r="D15" s="4">
        <v>21620000</v>
      </c>
      <c r="E15" s="4"/>
      <c r="F15" s="4"/>
      <c r="G15" s="4"/>
      <c r="H15" s="4"/>
      <c r="I15" s="4"/>
      <c r="K15" s="27">
        <v>39752</v>
      </c>
      <c r="L15" s="4">
        <v>17.71</v>
      </c>
      <c r="M15" s="4">
        <v>331880000</v>
      </c>
      <c r="N15" s="4"/>
      <c r="O15" s="4"/>
      <c r="P15" s="4"/>
      <c r="Q15" s="4"/>
      <c r="R15" s="4"/>
      <c r="T15" s="27">
        <v>39752</v>
      </c>
      <c r="U15" s="4">
        <v>968.75</v>
      </c>
      <c r="V15" s="4">
        <v>7059999744</v>
      </c>
    </row>
    <row r="16" spans="1:22" x14ac:dyDescent="0.2">
      <c r="B16" s="27">
        <v>37659</v>
      </c>
      <c r="C16" s="4">
        <v>40.36</v>
      </c>
      <c r="D16" s="4">
        <v>25920000</v>
      </c>
      <c r="E16" s="4"/>
      <c r="F16" s="4"/>
      <c r="G16" s="4"/>
      <c r="H16" s="4"/>
      <c r="I16" s="4"/>
      <c r="K16" s="27">
        <v>39745</v>
      </c>
      <c r="L16" s="4">
        <v>16.57</v>
      </c>
      <c r="M16" s="4">
        <v>325489984</v>
      </c>
      <c r="N16" s="4"/>
      <c r="O16" s="4"/>
      <c r="P16" s="4"/>
      <c r="Q16" s="4"/>
      <c r="R16" s="4"/>
      <c r="T16" s="27">
        <v>39745</v>
      </c>
      <c r="U16" s="4">
        <v>876.77</v>
      </c>
      <c r="V16" s="4">
        <v>6840000000</v>
      </c>
    </row>
    <row r="17" spans="2:22" x14ac:dyDescent="0.2">
      <c r="B17" s="27">
        <v>37652</v>
      </c>
      <c r="C17" s="4">
        <v>41.77</v>
      </c>
      <c r="D17" s="4">
        <v>26910000</v>
      </c>
      <c r="E17" s="4"/>
      <c r="F17" s="4"/>
      <c r="G17" s="4"/>
      <c r="H17" s="4"/>
      <c r="I17" s="4"/>
      <c r="K17" s="27">
        <v>39738</v>
      </c>
      <c r="L17" s="4">
        <v>16.91</v>
      </c>
      <c r="M17" s="4">
        <v>414729984</v>
      </c>
      <c r="N17" s="4"/>
      <c r="O17" s="4"/>
      <c r="P17" s="4"/>
      <c r="Q17" s="4"/>
      <c r="R17" s="4"/>
      <c r="T17" s="27">
        <v>39738</v>
      </c>
      <c r="U17" s="4">
        <v>940.55</v>
      </c>
      <c r="V17" s="4">
        <v>8510000128</v>
      </c>
    </row>
    <row r="18" spans="2:22" x14ac:dyDescent="0.2">
      <c r="B18" s="27">
        <v>37645</v>
      </c>
      <c r="C18" s="4">
        <v>41.43</v>
      </c>
      <c r="D18" s="4">
        <v>28340000</v>
      </c>
      <c r="E18" s="4"/>
      <c r="F18" s="4"/>
      <c r="G18" s="4"/>
      <c r="H18" s="4"/>
      <c r="I18" s="4"/>
      <c r="K18" s="27">
        <v>39731</v>
      </c>
      <c r="L18" s="4">
        <v>15.14</v>
      </c>
      <c r="M18" s="4">
        <v>551670016</v>
      </c>
      <c r="N18" s="4"/>
      <c r="O18" s="4"/>
      <c r="P18" s="4"/>
      <c r="Q18" s="4"/>
      <c r="R18" s="4"/>
      <c r="T18" s="27">
        <v>39731</v>
      </c>
      <c r="U18" s="4">
        <v>899.22</v>
      </c>
      <c r="V18" s="4">
        <v>9939999744</v>
      </c>
    </row>
    <row r="19" spans="2:22" x14ac:dyDescent="0.2">
      <c r="B19" s="27">
        <v>37638</v>
      </c>
      <c r="C19" s="4">
        <v>41.11</v>
      </c>
      <c r="D19" s="4">
        <v>29430000</v>
      </c>
      <c r="E19" s="4"/>
      <c r="F19" s="4"/>
      <c r="G19" s="4"/>
      <c r="H19" s="4"/>
      <c r="I19" s="4"/>
      <c r="K19" s="27">
        <v>39724</v>
      </c>
      <c r="L19" s="4">
        <v>19</v>
      </c>
      <c r="M19" s="4">
        <v>352750016</v>
      </c>
      <c r="N19" s="4"/>
      <c r="O19" s="4"/>
      <c r="P19" s="4"/>
      <c r="Q19" s="4"/>
      <c r="R19" s="4"/>
      <c r="T19" s="27">
        <v>39724</v>
      </c>
      <c r="U19" s="4">
        <v>1099.23</v>
      </c>
      <c r="V19" s="4">
        <v>8030000128</v>
      </c>
    </row>
    <row r="20" spans="2:22" x14ac:dyDescent="0.2">
      <c r="B20" s="27">
        <v>37631</v>
      </c>
      <c r="C20" s="4">
        <v>42.24</v>
      </c>
      <c r="D20" s="4">
        <v>23070000</v>
      </c>
      <c r="E20" s="4"/>
      <c r="F20" s="4"/>
      <c r="G20" s="4"/>
      <c r="H20" s="4"/>
      <c r="I20" s="4"/>
      <c r="K20" s="27">
        <v>39717</v>
      </c>
      <c r="L20" s="4">
        <v>18.66</v>
      </c>
      <c r="M20" s="4">
        <v>242300000</v>
      </c>
      <c r="N20" s="4">
        <v>-2132</v>
      </c>
      <c r="O20" s="4"/>
      <c r="P20" s="4"/>
      <c r="Q20" s="4"/>
      <c r="R20" s="4"/>
      <c r="T20" s="27">
        <v>39717</v>
      </c>
      <c r="U20" s="4">
        <v>1213.01</v>
      </c>
      <c r="V20" s="4">
        <v>6000000000</v>
      </c>
    </row>
    <row r="21" spans="2:22" x14ac:dyDescent="0.2">
      <c r="B21" s="27">
        <v>37624</v>
      </c>
      <c r="C21" s="4">
        <v>43.52</v>
      </c>
      <c r="D21" s="4">
        <v>14240000</v>
      </c>
      <c r="E21" s="4">
        <v>-175</v>
      </c>
      <c r="F21" s="4"/>
      <c r="G21" s="4"/>
      <c r="H21" s="4"/>
      <c r="I21" s="4"/>
      <c r="K21" s="27">
        <v>39710</v>
      </c>
      <c r="L21" s="4">
        <v>18.55</v>
      </c>
      <c r="M21" s="4">
        <v>402440000</v>
      </c>
      <c r="N21" s="4"/>
      <c r="O21" s="4"/>
      <c r="P21" s="4"/>
      <c r="Q21" s="4"/>
      <c r="R21" s="4"/>
      <c r="T21" s="27">
        <v>39710</v>
      </c>
      <c r="U21" s="4">
        <v>1255.07</v>
      </c>
      <c r="V21" s="4">
        <v>10350000128</v>
      </c>
    </row>
    <row r="22" spans="2:22" x14ac:dyDescent="0.2">
      <c r="B22" s="27">
        <v>37617</v>
      </c>
      <c r="C22" s="4">
        <v>40.5</v>
      </c>
      <c r="D22" s="4">
        <v>14770000</v>
      </c>
      <c r="E22" s="4"/>
      <c r="F22" s="4"/>
      <c r="G22" s="4"/>
      <c r="H22" s="4"/>
      <c r="I22" s="4"/>
      <c r="K22" s="27">
        <v>39703</v>
      </c>
      <c r="L22" s="4">
        <v>18.62</v>
      </c>
      <c r="M22" s="4">
        <v>218510000</v>
      </c>
      <c r="N22" s="4"/>
      <c r="O22" s="4"/>
      <c r="P22" s="4"/>
      <c r="Q22" s="4"/>
      <c r="R22" s="4"/>
      <c r="T22" s="27">
        <v>39703</v>
      </c>
      <c r="U22" s="4">
        <v>1251.7</v>
      </c>
      <c r="V22" s="4">
        <v>6739999744</v>
      </c>
    </row>
    <row r="23" spans="2:22" x14ac:dyDescent="0.2">
      <c r="B23" s="27">
        <v>37610</v>
      </c>
      <c r="C23" s="4">
        <v>41.65</v>
      </c>
      <c r="D23" s="4">
        <v>29260000</v>
      </c>
      <c r="E23" s="4"/>
      <c r="F23" s="4"/>
      <c r="G23" s="4"/>
      <c r="H23" s="4"/>
      <c r="I23" s="4"/>
      <c r="K23" s="27">
        <v>39696</v>
      </c>
      <c r="L23" s="4">
        <v>18.510000000000002</v>
      </c>
      <c r="M23" s="4">
        <v>147700000</v>
      </c>
      <c r="N23" s="4"/>
      <c r="O23" s="4"/>
      <c r="P23" s="4"/>
      <c r="Q23" s="4"/>
      <c r="R23" s="4"/>
      <c r="T23" s="27">
        <v>39696</v>
      </c>
      <c r="U23" s="4">
        <v>1242.31</v>
      </c>
      <c r="V23" s="4">
        <v>4240000000</v>
      </c>
    </row>
    <row r="24" spans="2:22" x14ac:dyDescent="0.2">
      <c r="B24" s="27">
        <v>37603</v>
      </c>
      <c r="C24" s="4">
        <v>41.4</v>
      </c>
      <c r="D24" s="4">
        <v>26870000</v>
      </c>
      <c r="E24" s="4"/>
      <c r="F24" s="4"/>
      <c r="G24" s="4"/>
      <c r="H24" s="4"/>
      <c r="I24" s="4"/>
      <c r="K24" s="27">
        <v>39689</v>
      </c>
      <c r="L24" s="4">
        <v>19.11</v>
      </c>
      <c r="M24" s="4">
        <v>172740000</v>
      </c>
      <c r="N24" s="4"/>
      <c r="O24" s="4"/>
      <c r="P24" s="4"/>
      <c r="Q24" s="4"/>
      <c r="R24" s="4"/>
      <c r="T24" s="27">
        <v>39689</v>
      </c>
      <c r="U24" s="4">
        <v>1282.83</v>
      </c>
      <c r="V24" s="4">
        <v>3760000000</v>
      </c>
    </row>
    <row r="25" spans="2:22" x14ac:dyDescent="0.2">
      <c r="B25" s="27">
        <v>37596</v>
      </c>
      <c r="C25" s="4">
        <v>42.18</v>
      </c>
      <c r="D25" s="4">
        <v>28410000</v>
      </c>
      <c r="E25" s="4"/>
      <c r="F25" s="4"/>
      <c r="G25" s="4"/>
      <c r="H25" s="4"/>
      <c r="I25" s="4"/>
      <c r="K25" s="27">
        <v>39682</v>
      </c>
      <c r="L25" s="4">
        <v>19.75</v>
      </c>
      <c r="M25" s="4">
        <v>158080000</v>
      </c>
      <c r="N25" s="4"/>
      <c r="O25" s="4"/>
      <c r="P25" s="4"/>
      <c r="Q25" s="4"/>
      <c r="R25" s="4"/>
      <c r="T25" s="27">
        <v>39682</v>
      </c>
      <c r="U25" s="4">
        <v>1292.2</v>
      </c>
      <c r="V25" s="4">
        <v>4030000128</v>
      </c>
    </row>
    <row r="26" spans="2:22" x14ac:dyDescent="0.2">
      <c r="B26" s="27">
        <v>37589</v>
      </c>
      <c r="C26" s="4">
        <v>42.3</v>
      </c>
      <c r="D26" s="4">
        <v>23560000</v>
      </c>
      <c r="E26" s="4"/>
      <c r="F26" s="4"/>
      <c r="G26" s="4"/>
      <c r="H26" s="4"/>
      <c r="I26" s="4"/>
      <c r="K26" s="27">
        <v>39675</v>
      </c>
      <c r="L26" s="4">
        <v>19.97</v>
      </c>
      <c r="M26" s="4">
        <v>193400000</v>
      </c>
      <c r="N26" s="4"/>
      <c r="O26" s="4"/>
      <c r="P26" s="4"/>
      <c r="Q26" s="4"/>
      <c r="R26" s="4"/>
      <c r="T26" s="27">
        <v>39675</v>
      </c>
      <c r="U26" s="4">
        <v>1298.2</v>
      </c>
      <c r="V26" s="4">
        <v>4809999872</v>
      </c>
    </row>
    <row r="27" spans="2:22" x14ac:dyDescent="0.2">
      <c r="B27" s="27">
        <v>37582</v>
      </c>
      <c r="C27" s="4">
        <v>43.5</v>
      </c>
      <c r="D27" s="4">
        <v>36670000</v>
      </c>
      <c r="E27" s="4"/>
      <c r="F27" s="4"/>
      <c r="G27" s="4"/>
      <c r="H27" s="4"/>
      <c r="I27" s="4"/>
      <c r="K27" s="27">
        <v>39668</v>
      </c>
      <c r="L27" s="4">
        <v>19.84</v>
      </c>
      <c r="M27" s="4">
        <v>223850000</v>
      </c>
      <c r="N27" s="4"/>
      <c r="O27" s="4"/>
      <c r="P27" s="4"/>
      <c r="Q27" s="4"/>
      <c r="R27" s="4"/>
      <c r="T27" s="27">
        <v>39668</v>
      </c>
      <c r="U27" s="4">
        <v>1296.32</v>
      </c>
      <c r="V27" s="4">
        <v>5379999744</v>
      </c>
    </row>
    <row r="28" spans="2:22" x14ac:dyDescent="0.2">
      <c r="B28" s="27">
        <v>37575</v>
      </c>
      <c r="C28" s="4">
        <v>45.24</v>
      </c>
      <c r="D28" s="4">
        <v>20940000</v>
      </c>
      <c r="E28" s="4"/>
      <c r="F28" s="4"/>
      <c r="G28" s="4"/>
      <c r="H28" s="4"/>
      <c r="I28" s="4"/>
      <c r="K28" s="27">
        <v>39661</v>
      </c>
      <c r="L28" s="4">
        <v>18.600000000000001</v>
      </c>
      <c r="M28" s="4">
        <v>191360000</v>
      </c>
      <c r="N28" s="4"/>
      <c r="O28" s="4"/>
      <c r="P28" s="4"/>
      <c r="Q28" s="4"/>
      <c r="R28" s="4"/>
      <c r="T28" s="27">
        <v>39661</v>
      </c>
      <c r="U28" s="4">
        <v>1260.31</v>
      </c>
      <c r="V28" s="4">
        <v>5710000128</v>
      </c>
    </row>
    <row r="29" spans="2:22" x14ac:dyDescent="0.2">
      <c r="B29" s="27">
        <v>37568</v>
      </c>
      <c r="C29" s="4">
        <v>46</v>
      </c>
      <c r="D29" s="4">
        <v>27530000</v>
      </c>
      <c r="E29" s="4"/>
      <c r="F29" s="4"/>
      <c r="G29" s="4"/>
      <c r="H29" s="4"/>
      <c r="I29" s="4"/>
      <c r="K29" s="27">
        <v>39654</v>
      </c>
      <c r="L29" s="4">
        <v>18.89</v>
      </c>
      <c r="M29" s="4">
        <v>248080000</v>
      </c>
      <c r="N29" s="4"/>
      <c r="O29" s="4"/>
      <c r="P29" s="4"/>
      <c r="Q29" s="4"/>
      <c r="R29" s="4"/>
      <c r="T29" s="27">
        <v>39654</v>
      </c>
      <c r="U29" s="4">
        <v>1257.76</v>
      </c>
      <c r="V29" s="4">
        <v>6440000000</v>
      </c>
    </row>
    <row r="30" spans="2:22" x14ac:dyDescent="0.2">
      <c r="B30" s="27">
        <v>37561</v>
      </c>
      <c r="C30" s="4">
        <v>43.55</v>
      </c>
      <c r="D30" s="4">
        <v>26620000</v>
      </c>
      <c r="E30" s="4"/>
      <c r="F30" s="4"/>
      <c r="G30" s="4"/>
      <c r="H30" s="4"/>
      <c r="I30" s="4"/>
      <c r="K30" s="27">
        <v>39647</v>
      </c>
      <c r="L30" s="4">
        <v>18.32</v>
      </c>
      <c r="M30" s="4">
        <v>245450000</v>
      </c>
      <c r="N30" s="4"/>
      <c r="O30" s="4"/>
      <c r="P30" s="4"/>
      <c r="Q30" s="4"/>
      <c r="R30" s="4"/>
      <c r="T30" s="27">
        <v>39647</v>
      </c>
      <c r="U30" s="4">
        <v>1260.68</v>
      </c>
      <c r="V30" s="4">
        <v>7710000128</v>
      </c>
    </row>
    <row r="31" spans="2:22" x14ac:dyDescent="0.2">
      <c r="B31" s="27">
        <v>37554</v>
      </c>
      <c r="C31" s="4">
        <v>42.9</v>
      </c>
      <c r="D31" s="4">
        <v>26590000</v>
      </c>
      <c r="E31" s="4"/>
      <c r="F31" s="4"/>
      <c r="G31" s="4"/>
      <c r="H31" s="4"/>
      <c r="I31" s="4"/>
      <c r="K31" s="27">
        <v>39640</v>
      </c>
      <c r="L31" s="4">
        <v>17.809999999999999</v>
      </c>
      <c r="M31" s="4">
        <v>258270000</v>
      </c>
      <c r="N31" s="4"/>
      <c r="O31" s="4"/>
      <c r="P31" s="4"/>
      <c r="Q31" s="4"/>
      <c r="R31" s="4"/>
      <c r="T31" s="27">
        <v>39640</v>
      </c>
      <c r="U31" s="4">
        <v>1239.49</v>
      </c>
      <c r="V31" s="4">
        <v>6990000128</v>
      </c>
    </row>
    <row r="32" spans="2:22" x14ac:dyDescent="0.2">
      <c r="B32" s="27">
        <v>37547</v>
      </c>
      <c r="C32" s="4">
        <v>45.3</v>
      </c>
      <c r="D32" s="4">
        <v>27180000</v>
      </c>
      <c r="E32" s="4"/>
      <c r="F32" s="4"/>
      <c r="G32" s="4"/>
      <c r="H32" s="4"/>
      <c r="I32" s="4"/>
      <c r="K32" s="27">
        <v>39633</v>
      </c>
      <c r="L32" s="4">
        <v>17.75</v>
      </c>
      <c r="M32" s="4">
        <v>160140000</v>
      </c>
      <c r="N32" s="4"/>
      <c r="O32" s="4"/>
      <c r="P32" s="4"/>
      <c r="Q32" s="4"/>
      <c r="R32" s="4"/>
      <c r="T32" s="27">
        <v>39633</v>
      </c>
      <c r="U32" s="4">
        <v>1262.9000000000001</v>
      </c>
      <c r="V32" s="4">
        <v>4899999744</v>
      </c>
    </row>
    <row r="33" spans="2:22" x14ac:dyDescent="0.2">
      <c r="B33" s="27">
        <v>37540</v>
      </c>
      <c r="C33" s="4">
        <v>40.75</v>
      </c>
      <c r="D33" s="4">
        <v>25670000</v>
      </c>
      <c r="E33" s="4"/>
      <c r="F33" s="4"/>
      <c r="G33" s="4"/>
      <c r="H33" s="4"/>
      <c r="I33" s="4"/>
      <c r="K33" s="27">
        <v>39626</v>
      </c>
      <c r="L33" s="4">
        <v>17.28</v>
      </c>
      <c r="M33" s="4">
        <v>274060000</v>
      </c>
      <c r="N33" s="4">
        <v>-2139</v>
      </c>
      <c r="O33" s="4"/>
      <c r="P33" s="4"/>
      <c r="Q33" s="4"/>
      <c r="R33" s="4"/>
      <c r="T33" s="27">
        <v>39626</v>
      </c>
      <c r="U33" s="4">
        <v>1278.3800000000001</v>
      </c>
      <c r="V33" s="4">
        <v>6280000000</v>
      </c>
    </row>
    <row r="34" spans="2:22" x14ac:dyDescent="0.2">
      <c r="B34" s="27">
        <v>37533</v>
      </c>
      <c r="C34" s="4">
        <v>38.33</v>
      </c>
      <c r="D34" s="4">
        <v>33700000</v>
      </c>
      <c r="E34" s="4">
        <v>-178</v>
      </c>
      <c r="F34" s="4"/>
      <c r="G34" s="4"/>
      <c r="H34" s="4"/>
      <c r="I34" s="4"/>
      <c r="K34" s="27">
        <v>39619</v>
      </c>
      <c r="L34" s="4">
        <v>17.329999999999998</v>
      </c>
      <c r="M34" s="4">
        <v>324340000</v>
      </c>
      <c r="N34" s="4"/>
      <c r="O34" s="4"/>
      <c r="P34" s="4"/>
      <c r="Q34" s="4"/>
      <c r="R34" s="4"/>
      <c r="T34" s="27">
        <v>39619</v>
      </c>
      <c r="U34" s="4">
        <v>1317.93</v>
      </c>
      <c r="V34" s="4">
        <v>6070000128</v>
      </c>
    </row>
    <row r="35" spans="2:22" x14ac:dyDescent="0.2">
      <c r="B35" s="27">
        <v>37526</v>
      </c>
      <c r="C35" s="4">
        <v>38.24</v>
      </c>
      <c r="D35" s="4">
        <v>38100000</v>
      </c>
      <c r="E35" s="4"/>
      <c r="F35" s="4"/>
      <c r="G35" s="4"/>
      <c r="H35" s="4"/>
      <c r="I35" s="4"/>
      <c r="K35" s="27">
        <v>39612</v>
      </c>
      <c r="L35" s="4">
        <v>17.989999999999998</v>
      </c>
      <c r="M35" s="4">
        <v>270689984</v>
      </c>
      <c r="N35" s="4"/>
      <c r="O35" s="4"/>
      <c r="P35" s="4"/>
      <c r="Q35" s="4"/>
      <c r="R35" s="4"/>
      <c r="T35" s="27">
        <v>39612</v>
      </c>
      <c r="U35" s="4">
        <v>1360.03</v>
      </c>
      <c r="V35" s="4">
        <v>6129999872</v>
      </c>
    </row>
    <row r="36" spans="2:22" x14ac:dyDescent="0.2">
      <c r="B36" s="27">
        <v>37519</v>
      </c>
      <c r="C36" s="4">
        <v>38.4</v>
      </c>
      <c r="D36" s="4">
        <v>24320000</v>
      </c>
      <c r="E36" s="4"/>
      <c r="F36" s="4"/>
      <c r="G36" s="4"/>
      <c r="H36" s="4"/>
      <c r="I36" s="4"/>
      <c r="K36" s="27">
        <v>39605</v>
      </c>
      <c r="L36" s="4">
        <v>17.96</v>
      </c>
      <c r="M36" s="4">
        <v>346310016</v>
      </c>
      <c r="N36" s="4"/>
      <c r="O36" s="4"/>
      <c r="P36" s="4"/>
      <c r="Q36" s="4"/>
      <c r="R36" s="4"/>
      <c r="T36" s="27">
        <v>39605</v>
      </c>
      <c r="U36" s="4">
        <v>1360.68</v>
      </c>
      <c r="V36" s="4">
        <v>5769999872</v>
      </c>
    </row>
    <row r="37" spans="2:22" x14ac:dyDescent="0.2">
      <c r="B37" s="27">
        <v>37512</v>
      </c>
      <c r="C37" s="4">
        <v>39.9</v>
      </c>
      <c r="D37" s="4">
        <v>21400000</v>
      </c>
      <c r="E37" s="4"/>
      <c r="F37" s="4"/>
      <c r="G37" s="4"/>
      <c r="H37" s="4"/>
      <c r="I37" s="4"/>
      <c r="K37" s="27">
        <v>39598</v>
      </c>
      <c r="L37" s="4">
        <v>19.36</v>
      </c>
      <c r="M37" s="4">
        <v>172370000</v>
      </c>
      <c r="N37" s="4"/>
      <c r="O37" s="4"/>
      <c r="P37" s="4"/>
      <c r="Q37" s="4"/>
      <c r="R37" s="4"/>
      <c r="T37" s="27">
        <v>39598</v>
      </c>
      <c r="U37" s="4">
        <v>1400.38</v>
      </c>
      <c r="V37" s="4">
        <v>4080000000</v>
      </c>
    </row>
    <row r="38" spans="2:22" x14ac:dyDescent="0.2">
      <c r="B38" s="27">
        <v>37505</v>
      </c>
      <c r="C38" s="4">
        <v>40.86</v>
      </c>
      <c r="D38" s="4">
        <v>21970000</v>
      </c>
      <c r="E38" s="4"/>
      <c r="F38" s="4"/>
      <c r="G38" s="4"/>
      <c r="H38" s="4"/>
      <c r="I38" s="4"/>
      <c r="K38" s="27">
        <v>39591</v>
      </c>
      <c r="L38" s="4">
        <v>19.53</v>
      </c>
      <c r="M38" s="4">
        <v>288220000</v>
      </c>
      <c r="N38" s="4"/>
      <c r="O38" s="4"/>
      <c r="P38" s="4"/>
      <c r="Q38" s="4"/>
      <c r="R38" s="4"/>
      <c r="T38" s="27">
        <v>39591</v>
      </c>
      <c r="U38" s="4">
        <v>1375.93</v>
      </c>
      <c r="V38" s="4">
        <v>5249999872</v>
      </c>
    </row>
    <row r="39" spans="2:22" x14ac:dyDescent="0.2">
      <c r="B39" s="27">
        <v>37498</v>
      </c>
      <c r="C39" s="4">
        <v>43.7</v>
      </c>
      <c r="D39" s="4">
        <v>21630000</v>
      </c>
      <c r="E39" s="4"/>
      <c r="F39" s="4"/>
      <c r="G39" s="4"/>
      <c r="H39" s="4"/>
      <c r="I39" s="4"/>
      <c r="K39" s="27">
        <v>39584</v>
      </c>
      <c r="L39" s="4">
        <v>20.03</v>
      </c>
      <c r="M39" s="4">
        <v>198980000</v>
      </c>
      <c r="N39" s="4"/>
      <c r="O39" s="4"/>
      <c r="P39" s="4"/>
      <c r="Q39" s="4"/>
      <c r="R39" s="4"/>
      <c r="T39" s="27">
        <v>39584</v>
      </c>
      <c r="U39" s="4">
        <v>1425.35</v>
      </c>
      <c r="V39" s="4">
        <v>5369999872</v>
      </c>
    </row>
    <row r="40" spans="2:22" x14ac:dyDescent="0.2">
      <c r="B40" s="27">
        <v>37491</v>
      </c>
      <c r="C40" s="4">
        <v>45.54</v>
      </c>
      <c r="D40" s="4">
        <v>19210000</v>
      </c>
      <c r="E40" s="4"/>
      <c r="F40" s="4"/>
      <c r="G40" s="4"/>
      <c r="H40" s="4"/>
      <c r="I40" s="4"/>
      <c r="K40" s="27">
        <v>39577</v>
      </c>
      <c r="L40" s="4">
        <v>19.79</v>
      </c>
      <c r="M40" s="4">
        <v>212470000</v>
      </c>
      <c r="N40" s="4"/>
      <c r="O40" s="4"/>
      <c r="P40" s="4"/>
      <c r="Q40" s="4"/>
      <c r="R40" s="4"/>
      <c r="T40" s="27">
        <v>39577</v>
      </c>
      <c r="U40" s="4">
        <v>1388.28</v>
      </c>
      <c r="V40" s="4">
        <v>5489999872</v>
      </c>
    </row>
    <row r="41" spans="2:22" x14ac:dyDescent="0.2">
      <c r="B41" s="27">
        <v>37484</v>
      </c>
      <c r="C41" s="4">
        <v>44.1</v>
      </c>
      <c r="D41" s="4">
        <v>30710000</v>
      </c>
      <c r="E41" s="4"/>
      <c r="F41" s="4"/>
      <c r="G41" s="4"/>
      <c r="H41" s="4"/>
      <c r="I41" s="4"/>
      <c r="K41" s="27">
        <v>39570</v>
      </c>
      <c r="L41" s="4">
        <v>20.61</v>
      </c>
      <c r="M41" s="4">
        <v>247290000</v>
      </c>
      <c r="N41" s="4"/>
      <c r="O41" s="4"/>
      <c r="P41" s="4"/>
      <c r="Q41" s="4"/>
      <c r="R41" s="4"/>
      <c r="T41" s="27">
        <v>39570</v>
      </c>
      <c r="U41" s="4">
        <v>1413.9</v>
      </c>
      <c r="V41" s="4">
        <v>5689999872</v>
      </c>
    </row>
    <row r="42" spans="2:22" x14ac:dyDescent="0.2">
      <c r="B42" s="27">
        <v>37477</v>
      </c>
      <c r="C42" s="4">
        <v>43.161700000000003</v>
      </c>
      <c r="D42" s="4">
        <v>35790000</v>
      </c>
      <c r="E42" s="4"/>
      <c r="F42" s="4"/>
      <c r="G42" s="4"/>
      <c r="H42" s="4"/>
      <c r="I42" s="4"/>
      <c r="K42" s="27">
        <v>39563</v>
      </c>
      <c r="L42" s="4">
        <v>20.43</v>
      </c>
      <c r="M42" s="4">
        <v>264270000</v>
      </c>
      <c r="N42" s="4"/>
      <c r="O42" s="4"/>
      <c r="P42" s="4"/>
      <c r="Q42" s="4"/>
      <c r="R42" s="4"/>
      <c r="T42" s="27">
        <v>39563</v>
      </c>
      <c r="U42" s="4">
        <v>1397.84</v>
      </c>
      <c r="V42" s="4">
        <v>5689999872</v>
      </c>
    </row>
    <row r="43" spans="2:22" x14ac:dyDescent="0.2">
      <c r="B43" s="27">
        <v>37470</v>
      </c>
      <c r="C43" s="4">
        <v>40.3795</v>
      </c>
      <c r="D43" s="4">
        <v>44560000</v>
      </c>
      <c r="E43" s="4"/>
      <c r="F43" s="4"/>
      <c r="G43" s="4"/>
      <c r="H43" s="4"/>
      <c r="I43" s="4"/>
      <c r="K43" s="27">
        <v>39556</v>
      </c>
      <c r="L43" s="4">
        <v>20.47</v>
      </c>
      <c r="M43" s="4">
        <v>243090000</v>
      </c>
      <c r="N43" s="4"/>
      <c r="O43" s="4"/>
      <c r="P43" s="4"/>
      <c r="Q43" s="4"/>
      <c r="R43" s="4"/>
      <c r="T43" s="27">
        <v>39556</v>
      </c>
      <c r="U43" s="4">
        <v>1390.33</v>
      </c>
      <c r="V43" s="4">
        <v>5600000000</v>
      </c>
    </row>
    <row r="44" spans="2:22" x14ac:dyDescent="0.2">
      <c r="B44" s="27">
        <v>37463</v>
      </c>
      <c r="C44" s="4">
        <v>38.537300000000002</v>
      </c>
      <c r="D44" s="4">
        <v>57130000</v>
      </c>
      <c r="E44" s="4"/>
      <c r="F44" s="4"/>
      <c r="G44" s="4"/>
      <c r="H44" s="4"/>
      <c r="I44" s="4"/>
      <c r="K44" s="27">
        <v>39549</v>
      </c>
      <c r="L44" s="4">
        <v>20.45</v>
      </c>
      <c r="M44" s="4">
        <v>169270000</v>
      </c>
      <c r="N44" s="4"/>
      <c r="O44" s="4"/>
      <c r="P44" s="4"/>
      <c r="Q44" s="4"/>
      <c r="R44" s="4"/>
      <c r="T44" s="27">
        <v>39549</v>
      </c>
      <c r="U44" s="4">
        <v>1332.83</v>
      </c>
      <c r="V44" s="4">
        <v>5400000000</v>
      </c>
    </row>
    <row r="45" spans="2:22" x14ac:dyDescent="0.2">
      <c r="B45" s="27">
        <v>37456</v>
      </c>
      <c r="C45" s="4">
        <v>35.708100000000002</v>
      </c>
      <c r="D45" s="4">
        <v>135100000</v>
      </c>
      <c r="E45" s="4"/>
      <c r="F45" s="4"/>
      <c r="G45" s="4"/>
      <c r="H45" s="4"/>
      <c r="I45" s="4"/>
      <c r="K45" s="27">
        <v>39542</v>
      </c>
      <c r="L45" s="4">
        <v>21.35</v>
      </c>
      <c r="M45" s="4">
        <v>187910000</v>
      </c>
      <c r="N45" s="4"/>
      <c r="O45" s="4"/>
      <c r="P45" s="4"/>
      <c r="Q45" s="4"/>
      <c r="R45" s="4"/>
      <c r="T45" s="27">
        <v>39542</v>
      </c>
      <c r="U45" s="4">
        <v>1370.4</v>
      </c>
      <c r="V45" s="4">
        <v>5969999872</v>
      </c>
    </row>
    <row r="46" spans="2:22" x14ac:dyDescent="0.2">
      <c r="B46" s="27">
        <v>37449</v>
      </c>
      <c r="C46" s="4">
        <v>30.632400000000001</v>
      </c>
      <c r="D46" s="4">
        <v>36270000</v>
      </c>
      <c r="E46" s="4"/>
      <c r="F46" s="4"/>
      <c r="G46" s="4"/>
      <c r="H46" s="4"/>
      <c r="I46" s="4"/>
      <c r="K46" s="27">
        <v>39535</v>
      </c>
      <c r="L46" s="4">
        <v>20.5</v>
      </c>
      <c r="M46" s="4">
        <v>177310000</v>
      </c>
      <c r="N46" s="4">
        <v>-2138</v>
      </c>
      <c r="O46" s="4"/>
      <c r="P46" s="4"/>
      <c r="Q46" s="4"/>
      <c r="R46" s="4"/>
      <c r="T46" s="27">
        <v>39535</v>
      </c>
      <c r="U46" s="4">
        <v>1315.22</v>
      </c>
      <c r="V46" s="4">
        <v>6099999744</v>
      </c>
    </row>
    <row r="47" spans="2:22" x14ac:dyDescent="0.2">
      <c r="B47" s="27">
        <v>37442</v>
      </c>
      <c r="C47" s="4">
        <v>33.6402</v>
      </c>
      <c r="D47" s="4">
        <v>18090000</v>
      </c>
      <c r="E47" s="4"/>
      <c r="F47" s="4"/>
      <c r="G47" s="4"/>
      <c r="H47" s="4"/>
      <c r="I47" s="4"/>
      <c r="K47" s="27">
        <v>39528</v>
      </c>
      <c r="L47" s="4">
        <v>20.59</v>
      </c>
      <c r="M47" s="4">
        <v>194410000</v>
      </c>
      <c r="N47" s="4"/>
      <c r="O47" s="4"/>
      <c r="P47" s="4"/>
      <c r="Q47" s="4"/>
      <c r="R47" s="4"/>
      <c r="T47" s="27">
        <v>39528</v>
      </c>
      <c r="U47" s="4">
        <v>1329.51</v>
      </c>
      <c r="V47" s="4">
        <v>7289999872</v>
      </c>
    </row>
    <row r="48" spans="2:22" x14ac:dyDescent="0.2">
      <c r="B48" s="27">
        <v>37435</v>
      </c>
      <c r="C48" s="4">
        <v>35.200499999999998</v>
      </c>
      <c r="D48" s="4">
        <v>24080000</v>
      </c>
      <c r="E48" s="4">
        <v>-179</v>
      </c>
      <c r="F48" s="4"/>
      <c r="G48" s="4"/>
      <c r="H48" s="4"/>
      <c r="I48" s="4"/>
      <c r="K48" s="27">
        <v>39521</v>
      </c>
      <c r="L48" s="4">
        <v>20.64</v>
      </c>
      <c r="M48" s="4">
        <v>204160000</v>
      </c>
      <c r="N48" s="4"/>
      <c r="O48" s="4"/>
      <c r="P48" s="4"/>
      <c r="Q48" s="4"/>
      <c r="R48" s="4"/>
      <c r="T48" s="27">
        <v>39521</v>
      </c>
      <c r="U48" s="4">
        <v>1288.1400000000001</v>
      </c>
      <c r="V48" s="4">
        <v>7779999744</v>
      </c>
    </row>
    <row r="49" spans="2:22" x14ac:dyDescent="0.2">
      <c r="B49" s="27">
        <v>37428</v>
      </c>
      <c r="C49" s="4">
        <v>35.2851</v>
      </c>
      <c r="D49" s="4">
        <v>20400000</v>
      </c>
      <c r="E49" s="4"/>
      <c r="F49" s="4"/>
      <c r="G49" s="4"/>
      <c r="H49" s="4"/>
      <c r="I49" s="4"/>
      <c r="K49" s="27">
        <v>39514</v>
      </c>
      <c r="L49" s="4">
        <v>21.35</v>
      </c>
      <c r="M49" s="4">
        <v>192430000</v>
      </c>
      <c r="N49" s="4"/>
      <c r="O49" s="4"/>
      <c r="P49" s="4"/>
      <c r="Q49" s="4"/>
      <c r="R49" s="4"/>
      <c r="T49" s="27">
        <v>39514</v>
      </c>
      <c r="U49" s="4">
        <v>1293.3699999999999</v>
      </c>
      <c r="V49" s="4">
        <v>7240000000</v>
      </c>
    </row>
    <row r="50" spans="2:22" x14ac:dyDescent="0.2">
      <c r="B50" s="27">
        <v>37421</v>
      </c>
      <c r="C50" s="4">
        <v>35.980600000000003</v>
      </c>
      <c r="D50" s="4">
        <v>24230000</v>
      </c>
      <c r="E50" s="4"/>
      <c r="F50" s="4"/>
      <c r="G50" s="4"/>
      <c r="H50" s="4"/>
      <c r="I50" s="4"/>
      <c r="K50" s="27">
        <v>39507</v>
      </c>
      <c r="L50" s="4">
        <v>22.28</v>
      </c>
      <c r="M50" s="4">
        <v>186030000</v>
      </c>
      <c r="N50" s="4"/>
      <c r="O50" s="4"/>
      <c r="P50" s="4"/>
      <c r="Q50" s="4"/>
      <c r="R50" s="4"/>
      <c r="T50" s="27">
        <v>39507</v>
      </c>
      <c r="U50" s="4">
        <v>1330.63</v>
      </c>
      <c r="V50" s="4">
        <v>6729999872</v>
      </c>
    </row>
    <row r="51" spans="2:22" x14ac:dyDescent="0.2">
      <c r="B51" s="27">
        <v>37414</v>
      </c>
      <c r="C51" s="4">
        <v>36.695</v>
      </c>
      <c r="D51" s="4">
        <v>29660000</v>
      </c>
      <c r="E51" s="4"/>
      <c r="F51" s="4"/>
      <c r="G51" s="4"/>
      <c r="H51" s="4"/>
      <c r="I51" s="4"/>
      <c r="K51" s="27">
        <v>39500</v>
      </c>
      <c r="L51" s="4">
        <v>22.5</v>
      </c>
      <c r="M51" s="4">
        <v>140400000</v>
      </c>
      <c r="N51" s="4"/>
      <c r="O51" s="4"/>
      <c r="P51" s="4"/>
      <c r="Q51" s="4"/>
      <c r="R51" s="4"/>
      <c r="T51" s="27">
        <v>39500</v>
      </c>
      <c r="U51" s="4">
        <v>1353.11</v>
      </c>
      <c r="V51" s="4">
        <v>5000000000</v>
      </c>
    </row>
    <row r="52" spans="2:22" x14ac:dyDescent="0.2">
      <c r="B52" s="27">
        <v>37407</v>
      </c>
      <c r="C52" s="4">
        <v>40.595700000000001</v>
      </c>
      <c r="D52" s="4">
        <v>15180000</v>
      </c>
      <c r="E52" s="4"/>
      <c r="F52" s="4"/>
      <c r="G52" s="4"/>
      <c r="H52" s="4"/>
      <c r="I52" s="4"/>
      <c r="K52" s="27">
        <v>39493</v>
      </c>
      <c r="L52" s="4">
        <v>22.33</v>
      </c>
      <c r="M52" s="4">
        <v>226600000</v>
      </c>
      <c r="N52" s="4"/>
      <c r="O52" s="4"/>
      <c r="P52" s="4"/>
      <c r="Q52" s="4"/>
      <c r="R52" s="4"/>
      <c r="T52" s="27">
        <v>39493</v>
      </c>
      <c r="U52" s="4">
        <v>1349.99</v>
      </c>
      <c r="V52" s="4">
        <v>6400000000</v>
      </c>
    </row>
    <row r="53" spans="2:22" x14ac:dyDescent="0.2">
      <c r="B53" s="27">
        <v>37400</v>
      </c>
      <c r="C53" s="4">
        <v>40.097499999999997</v>
      </c>
      <c r="D53" s="4">
        <v>17980000</v>
      </c>
      <c r="E53" s="4"/>
      <c r="F53" s="4"/>
      <c r="G53" s="4"/>
      <c r="H53" s="4"/>
      <c r="I53" s="4"/>
      <c r="K53" s="27">
        <v>39486</v>
      </c>
      <c r="L53" s="4">
        <v>22.3</v>
      </c>
      <c r="M53" s="4">
        <v>174610000</v>
      </c>
      <c r="N53" s="4"/>
      <c r="O53" s="4"/>
      <c r="P53" s="4"/>
      <c r="Q53" s="4"/>
      <c r="R53" s="4"/>
      <c r="T53" s="27">
        <v>39486</v>
      </c>
      <c r="U53" s="4">
        <v>1331.29</v>
      </c>
      <c r="V53" s="4">
        <v>7360000000</v>
      </c>
    </row>
    <row r="54" spans="2:22" x14ac:dyDescent="0.2">
      <c r="B54" s="27">
        <v>37393</v>
      </c>
      <c r="C54" s="4">
        <v>39.693399999999997</v>
      </c>
      <c r="D54" s="4">
        <v>24890000</v>
      </c>
      <c r="E54" s="4"/>
      <c r="F54" s="4"/>
      <c r="G54" s="4"/>
      <c r="H54" s="4"/>
      <c r="I54" s="4"/>
      <c r="K54" s="27">
        <v>39479</v>
      </c>
      <c r="L54" s="4">
        <v>23.59</v>
      </c>
      <c r="M54" s="4">
        <v>218660000</v>
      </c>
      <c r="N54" s="4"/>
      <c r="O54" s="4"/>
      <c r="P54" s="4"/>
      <c r="Q54" s="4"/>
      <c r="R54" s="4"/>
      <c r="T54" s="27">
        <v>39479</v>
      </c>
      <c r="U54" s="4">
        <v>1395.42</v>
      </c>
      <c r="V54" s="4">
        <v>8480000000</v>
      </c>
    </row>
    <row r="55" spans="2:22" x14ac:dyDescent="0.2">
      <c r="B55" s="27">
        <v>37386</v>
      </c>
      <c r="C55" s="4">
        <v>37.597299999999997</v>
      </c>
      <c r="D55" s="4">
        <v>18730000</v>
      </c>
      <c r="E55" s="4"/>
      <c r="F55" s="4"/>
      <c r="G55" s="4"/>
      <c r="H55" s="4"/>
      <c r="I55" s="4"/>
      <c r="K55" s="27">
        <v>39472</v>
      </c>
      <c r="L55" s="4">
        <v>22.61</v>
      </c>
      <c r="M55" s="4">
        <v>290209984</v>
      </c>
      <c r="N55" s="4"/>
      <c r="O55" s="4"/>
      <c r="P55" s="4"/>
      <c r="Q55" s="4"/>
      <c r="R55" s="4"/>
      <c r="T55" s="27">
        <v>39472</v>
      </c>
      <c r="U55" s="4">
        <v>1330.6</v>
      </c>
      <c r="V55" s="4">
        <v>8620000256</v>
      </c>
    </row>
    <row r="56" spans="2:22" x14ac:dyDescent="0.2">
      <c r="B56" s="27">
        <v>37379</v>
      </c>
      <c r="C56" s="4">
        <v>38.396299999999997</v>
      </c>
      <c r="D56" s="4">
        <v>25180000</v>
      </c>
      <c r="E56" s="4"/>
      <c r="F56" s="4"/>
      <c r="G56" s="4"/>
      <c r="H56" s="4"/>
      <c r="I56" s="4"/>
      <c r="K56" s="27">
        <v>39465</v>
      </c>
      <c r="L56" s="4">
        <v>22.5</v>
      </c>
      <c r="M56" s="4">
        <v>231100000</v>
      </c>
      <c r="N56" s="4"/>
      <c r="O56" s="4"/>
      <c r="P56" s="4"/>
      <c r="Q56" s="4"/>
      <c r="R56" s="4"/>
      <c r="T56" s="27">
        <v>39465</v>
      </c>
      <c r="U56" s="4">
        <v>1325.19</v>
      </c>
      <c r="V56" s="4">
        <v>9059999744</v>
      </c>
    </row>
    <row r="57" spans="2:22" x14ac:dyDescent="0.2">
      <c r="B57" s="27">
        <v>37372</v>
      </c>
      <c r="C57" s="4">
        <v>39.693399999999997</v>
      </c>
      <c r="D57" s="4">
        <v>21950000</v>
      </c>
      <c r="E57" s="4"/>
      <c r="F57" s="4"/>
      <c r="G57" s="4"/>
      <c r="H57" s="4"/>
      <c r="I57" s="4"/>
      <c r="K57" s="27">
        <v>39458</v>
      </c>
      <c r="L57" s="4">
        <v>24.02</v>
      </c>
      <c r="M57" s="4">
        <v>260050000</v>
      </c>
      <c r="N57" s="4"/>
      <c r="O57" s="4"/>
      <c r="P57" s="4"/>
      <c r="Q57" s="4"/>
      <c r="R57" s="4"/>
      <c r="T57" s="27">
        <v>39458</v>
      </c>
      <c r="U57" s="4">
        <v>1401.02</v>
      </c>
      <c r="V57" s="4">
        <v>8339999744</v>
      </c>
    </row>
    <row r="58" spans="2:22" x14ac:dyDescent="0.2">
      <c r="B58" s="27">
        <v>37365</v>
      </c>
      <c r="C58" s="4">
        <v>41.3947</v>
      </c>
      <c r="D58" s="4">
        <v>19860000</v>
      </c>
      <c r="E58" s="4"/>
      <c r="F58" s="4"/>
      <c r="G58" s="4"/>
      <c r="H58" s="4"/>
      <c r="I58" s="4"/>
      <c r="K58" s="27">
        <v>39451</v>
      </c>
      <c r="L58" s="4">
        <v>22.83</v>
      </c>
      <c r="M58" s="4">
        <v>164380000</v>
      </c>
      <c r="N58" s="4">
        <v>-1954</v>
      </c>
      <c r="O58" s="4"/>
      <c r="P58" s="4"/>
      <c r="Q58" s="4"/>
      <c r="R58" s="4"/>
      <c r="T58" s="27">
        <v>39451</v>
      </c>
      <c r="U58" s="4">
        <v>1411.63</v>
      </c>
      <c r="V58" s="4">
        <v>4659999744</v>
      </c>
    </row>
    <row r="59" spans="2:22" x14ac:dyDescent="0.2">
      <c r="B59" s="27">
        <v>37358</v>
      </c>
      <c r="C59" s="4">
        <v>42.344000000000001</v>
      </c>
      <c r="D59" s="4">
        <v>24940000</v>
      </c>
      <c r="E59" s="4"/>
      <c r="F59" s="4"/>
      <c r="G59" s="4"/>
      <c r="H59" s="4"/>
      <c r="I59" s="4"/>
      <c r="K59" s="27">
        <v>39444</v>
      </c>
      <c r="L59" s="4">
        <v>22.9</v>
      </c>
      <c r="M59" s="4">
        <v>103240000</v>
      </c>
      <c r="N59" s="4"/>
      <c r="O59" s="4"/>
      <c r="P59" s="4"/>
      <c r="Q59" s="4"/>
      <c r="R59" s="4"/>
      <c r="T59" s="27">
        <v>39444</v>
      </c>
      <c r="U59" s="4">
        <v>1478.49</v>
      </c>
      <c r="V59" s="4">
        <v>2580000000</v>
      </c>
    </row>
    <row r="60" spans="2:22" x14ac:dyDescent="0.2">
      <c r="B60" s="27">
        <v>37351</v>
      </c>
      <c r="C60" s="4">
        <v>40.370100000000001</v>
      </c>
      <c r="D60" s="4">
        <v>20400000</v>
      </c>
      <c r="E60" s="4"/>
      <c r="F60" s="4"/>
      <c r="G60" s="4"/>
      <c r="H60" s="4"/>
      <c r="I60" s="4"/>
      <c r="K60" s="27">
        <v>39437</v>
      </c>
      <c r="L60" s="4">
        <v>23.24</v>
      </c>
      <c r="M60" s="4">
        <v>217920000</v>
      </c>
      <c r="N60" s="4"/>
      <c r="O60" s="4"/>
      <c r="P60" s="4"/>
      <c r="Q60" s="4"/>
      <c r="R60" s="4"/>
      <c r="T60" s="27">
        <v>39437</v>
      </c>
      <c r="U60" s="4">
        <v>1484.46</v>
      </c>
      <c r="V60" s="4">
        <v>6579999744</v>
      </c>
    </row>
    <row r="61" spans="2:22" x14ac:dyDescent="0.2">
      <c r="B61" s="27">
        <v>37344</v>
      </c>
      <c r="C61" s="4">
        <v>42.372199999999999</v>
      </c>
      <c r="D61" s="4">
        <v>15740000</v>
      </c>
      <c r="E61" s="4">
        <v>-179</v>
      </c>
      <c r="F61" s="4"/>
      <c r="G61" s="4"/>
      <c r="H61" s="4"/>
      <c r="I61" s="4"/>
      <c r="K61" s="27">
        <v>39430</v>
      </c>
      <c r="L61" s="4">
        <v>23.1</v>
      </c>
      <c r="M61" s="4">
        <v>192520000</v>
      </c>
      <c r="N61" s="4"/>
      <c r="O61" s="4"/>
      <c r="P61" s="4"/>
      <c r="Q61" s="4"/>
      <c r="R61" s="4"/>
      <c r="T61" s="27">
        <v>39430</v>
      </c>
      <c r="U61" s="4">
        <v>1467.95</v>
      </c>
      <c r="V61" s="4">
        <v>6240000000</v>
      </c>
    </row>
    <row r="62" spans="2:22" x14ac:dyDescent="0.2">
      <c r="B62" s="27">
        <v>37337</v>
      </c>
      <c r="C62" s="4">
        <v>42.494399999999999</v>
      </c>
      <c r="D62" s="4">
        <v>27690000</v>
      </c>
      <c r="E62" s="4"/>
      <c r="F62" s="4"/>
      <c r="G62" s="4"/>
      <c r="H62" s="4"/>
      <c r="I62" s="4"/>
      <c r="K62" s="27">
        <v>39423</v>
      </c>
      <c r="L62" s="4">
        <v>24.4</v>
      </c>
      <c r="M62" s="4">
        <v>175780000</v>
      </c>
      <c r="N62" s="4"/>
      <c r="O62" s="4"/>
      <c r="P62" s="4"/>
      <c r="Q62" s="4"/>
      <c r="R62" s="4"/>
      <c r="T62" s="27">
        <v>39423</v>
      </c>
      <c r="U62" s="4">
        <v>1504.66</v>
      </c>
      <c r="V62" s="4">
        <v>5529999872</v>
      </c>
    </row>
    <row r="63" spans="2:22" x14ac:dyDescent="0.2">
      <c r="B63" s="27">
        <v>37330</v>
      </c>
      <c r="C63" s="4">
        <v>42.531999999999996</v>
      </c>
      <c r="D63" s="4">
        <v>32480000</v>
      </c>
      <c r="E63" s="4"/>
      <c r="F63" s="4"/>
      <c r="G63" s="4"/>
      <c r="H63" s="4"/>
      <c r="I63" s="4"/>
      <c r="K63" s="27">
        <v>39416</v>
      </c>
      <c r="L63" s="4">
        <v>23.76</v>
      </c>
      <c r="M63" s="4">
        <v>226380000</v>
      </c>
      <c r="N63" s="4"/>
      <c r="O63" s="4"/>
      <c r="P63" s="4"/>
      <c r="Q63" s="4"/>
      <c r="R63" s="4"/>
      <c r="T63" s="27">
        <v>39416</v>
      </c>
      <c r="U63" s="4">
        <v>1481.14</v>
      </c>
      <c r="V63" s="4">
        <v>7009999872</v>
      </c>
    </row>
    <row r="64" spans="2:22" x14ac:dyDescent="0.2">
      <c r="B64" s="27">
        <v>37323</v>
      </c>
      <c r="C64" s="4">
        <v>39.063600000000001</v>
      </c>
      <c r="D64" s="4">
        <v>22180000</v>
      </c>
      <c r="E64" s="4"/>
      <c r="F64" s="4"/>
      <c r="G64" s="4"/>
      <c r="H64" s="4"/>
      <c r="I64" s="4"/>
      <c r="K64" s="27">
        <v>39409</v>
      </c>
      <c r="L64" s="4">
        <v>22.98</v>
      </c>
      <c r="M64" s="4">
        <v>197210000</v>
      </c>
      <c r="N64" s="4"/>
      <c r="O64" s="4"/>
      <c r="P64" s="4"/>
      <c r="Q64" s="4"/>
      <c r="R64" s="4"/>
      <c r="T64" s="27">
        <v>39409</v>
      </c>
      <c r="U64" s="4">
        <v>1440.7</v>
      </c>
      <c r="V64" s="4">
        <v>4969999872</v>
      </c>
    </row>
    <row r="65" spans="2:22" x14ac:dyDescent="0.2">
      <c r="B65" s="27">
        <v>37316</v>
      </c>
      <c r="C65" s="4">
        <v>39.590000000000003</v>
      </c>
      <c r="D65" s="4">
        <v>21010000</v>
      </c>
      <c r="E65" s="4"/>
      <c r="F65" s="4"/>
      <c r="G65" s="4"/>
      <c r="H65" s="4"/>
      <c r="I65" s="4"/>
      <c r="K65" s="27">
        <v>39402</v>
      </c>
      <c r="L65" s="4">
        <v>23.39</v>
      </c>
      <c r="M65" s="4">
        <v>188530000</v>
      </c>
      <c r="N65" s="4"/>
      <c r="O65" s="4"/>
      <c r="P65" s="4"/>
      <c r="Q65" s="4"/>
      <c r="R65" s="4"/>
      <c r="T65" s="27">
        <v>39402</v>
      </c>
      <c r="U65" s="4">
        <v>1458.74</v>
      </c>
      <c r="V65" s="4">
        <v>7289999872</v>
      </c>
    </row>
    <row r="66" spans="2:22" x14ac:dyDescent="0.2">
      <c r="B66" s="27">
        <v>37309</v>
      </c>
      <c r="C66" s="4">
        <v>37.973300000000002</v>
      </c>
      <c r="D66" s="4">
        <v>16890000</v>
      </c>
      <c r="E66" s="4"/>
      <c r="F66" s="4"/>
      <c r="G66" s="4"/>
      <c r="H66" s="4"/>
      <c r="I66" s="4"/>
      <c r="K66" s="27">
        <v>39395</v>
      </c>
      <c r="L66" s="4">
        <v>22.83</v>
      </c>
      <c r="M66" s="4">
        <v>215310000</v>
      </c>
      <c r="N66" s="4"/>
      <c r="O66" s="4"/>
      <c r="P66" s="4"/>
      <c r="Q66" s="4"/>
      <c r="R66" s="4"/>
      <c r="T66" s="27">
        <v>39395</v>
      </c>
      <c r="U66" s="4">
        <v>1453.7</v>
      </c>
      <c r="V66" s="4">
        <v>7600000000</v>
      </c>
    </row>
    <row r="67" spans="2:22" x14ac:dyDescent="0.2">
      <c r="B67" s="27">
        <v>37302</v>
      </c>
      <c r="C67" s="4">
        <v>37.597299999999997</v>
      </c>
      <c r="D67" s="4">
        <v>17510000</v>
      </c>
      <c r="E67" s="4"/>
      <c r="F67" s="4"/>
      <c r="G67" s="4"/>
      <c r="H67" s="4"/>
      <c r="I67" s="4"/>
      <c r="K67" s="27">
        <v>39388</v>
      </c>
      <c r="L67" s="4">
        <v>23.67</v>
      </c>
      <c r="M67" s="4">
        <v>182680000</v>
      </c>
      <c r="N67" s="4"/>
      <c r="O67" s="4"/>
      <c r="P67" s="4"/>
      <c r="Q67" s="4"/>
      <c r="R67" s="4"/>
      <c r="T67" s="27">
        <v>39388</v>
      </c>
      <c r="U67" s="4">
        <v>1509.65</v>
      </c>
      <c r="V67" s="4">
        <v>6249999872</v>
      </c>
    </row>
    <row r="68" spans="2:22" x14ac:dyDescent="0.2">
      <c r="B68" s="27">
        <v>37295</v>
      </c>
      <c r="C68" s="4">
        <v>36.102800000000002</v>
      </c>
      <c r="D68" s="4">
        <v>27740000</v>
      </c>
      <c r="E68" s="4"/>
      <c r="F68" s="4"/>
      <c r="G68" s="4"/>
      <c r="H68" s="4"/>
      <c r="I68" s="4"/>
      <c r="K68" s="27">
        <v>39381</v>
      </c>
      <c r="L68" s="4">
        <v>24.31</v>
      </c>
      <c r="M68" s="4">
        <v>189530000</v>
      </c>
      <c r="N68" s="4"/>
      <c r="O68" s="4"/>
      <c r="P68" s="4"/>
      <c r="Q68" s="4"/>
      <c r="R68" s="4"/>
      <c r="T68" s="27">
        <v>39381</v>
      </c>
      <c r="U68" s="4">
        <v>1535.28</v>
      </c>
      <c r="V68" s="4">
        <v>6520000000</v>
      </c>
    </row>
    <row r="69" spans="2:22" x14ac:dyDescent="0.2">
      <c r="B69" s="27">
        <v>37288</v>
      </c>
      <c r="C69" s="4">
        <v>37.879300000000001</v>
      </c>
      <c r="D69" s="4">
        <v>20290000</v>
      </c>
      <c r="E69" s="4"/>
      <c r="F69" s="4"/>
      <c r="G69" s="4"/>
      <c r="H69" s="4"/>
      <c r="I69" s="4"/>
      <c r="K69" s="27">
        <v>39374</v>
      </c>
      <c r="L69" s="4">
        <v>24.07</v>
      </c>
      <c r="M69" s="4">
        <v>209380000</v>
      </c>
      <c r="N69" s="4"/>
      <c r="O69" s="4"/>
      <c r="P69" s="4"/>
      <c r="Q69" s="4"/>
      <c r="R69" s="4"/>
      <c r="T69" s="27">
        <v>39374</v>
      </c>
      <c r="U69" s="4">
        <v>1500.63</v>
      </c>
      <c r="V69" s="4">
        <v>6310000128</v>
      </c>
    </row>
    <row r="70" spans="2:22" x14ac:dyDescent="0.2">
      <c r="B70" s="27">
        <v>37281</v>
      </c>
      <c r="C70" s="4">
        <v>37.315300000000001</v>
      </c>
      <c r="D70" s="4">
        <v>17250000</v>
      </c>
      <c r="E70" s="4"/>
      <c r="F70" s="4"/>
      <c r="G70" s="4"/>
      <c r="H70" s="4"/>
      <c r="I70" s="4"/>
      <c r="K70" s="27">
        <v>39367</v>
      </c>
      <c r="L70" s="4">
        <v>25.26</v>
      </c>
      <c r="M70" s="4">
        <v>149930000</v>
      </c>
      <c r="N70" s="4"/>
      <c r="O70" s="4"/>
      <c r="P70" s="4"/>
      <c r="Q70" s="4"/>
      <c r="R70" s="4"/>
      <c r="T70" s="27">
        <v>39367</v>
      </c>
      <c r="U70" s="4">
        <v>1561.8</v>
      </c>
      <c r="V70" s="4">
        <v>4830000128</v>
      </c>
    </row>
    <row r="71" spans="2:22" x14ac:dyDescent="0.2">
      <c r="B71" s="27">
        <v>37274</v>
      </c>
      <c r="C71" s="4">
        <v>36.798400000000001</v>
      </c>
      <c r="D71" s="4">
        <v>26470000</v>
      </c>
      <c r="E71" s="4"/>
      <c r="F71" s="4"/>
      <c r="G71" s="4"/>
      <c r="H71" s="4"/>
      <c r="I71" s="4"/>
      <c r="K71" s="27">
        <v>39360</v>
      </c>
      <c r="L71" s="4">
        <v>25.58</v>
      </c>
      <c r="M71" s="4">
        <v>179710000</v>
      </c>
      <c r="N71" s="4"/>
      <c r="O71" s="4"/>
      <c r="P71" s="4"/>
      <c r="Q71" s="4"/>
      <c r="R71" s="4"/>
      <c r="T71" s="27">
        <v>39360</v>
      </c>
      <c r="U71" s="4">
        <v>1557.59</v>
      </c>
      <c r="V71" s="4">
        <v>4990000128</v>
      </c>
    </row>
    <row r="72" spans="2:22" x14ac:dyDescent="0.2">
      <c r="B72" s="27">
        <v>37267</v>
      </c>
      <c r="C72" s="4">
        <v>38.800400000000003</v>
      </c>
      <c r="D72" s="4">
        <v>28370000</v>
      </c>
      <c r="E72" s="4"/>
      <c r="F72" s="4"/>
      <c r="G72" s="4"/>
      <c r="H72" s="4"/>
      <c r="I72" s="4"/>
      <c r="K72" s="27">
        <v>39353</v>
      </c>
      <c r="L72" s="4">
        <v>24.43</v>
      </c>
      <c r="M72" s="4">
        <v>183790000</v>
      </c>
      <c r="N72" s="4">
        <v>-1981</v>
      </c>
      <c r="O72" s="4"/>
      <c r="P72" s="4"/>
      <c r="Q72" s="4"/>
      <c r="R72" s="4"/>
      <c r="T72" s="27">
        <v>39353</v>
      </c>
      <c r="U72" s="4">
        <v>1526.75</v>
      </c>
      <c r="V72" s="4">
        <v>5440000000</v>
      </c>
    </row>
    <row r="73" spans="2:22" x14ac:dyDescent="0.2">
      <c r="B73" s="27">
        <v>37260</v>
      </c>
      <c r="C73" s="4">
        <v>38.866199999999999</v>
      </c>
      <c r="D73" s="4">
        <v>21780000</v>
      </c>
      <c r="E73" s="4">
        <v>-154</v>
      </c>
      <c r="F73" s="4"/>
      <c r="G73" s="4"/>
      <c r="H73" s="4"/>
      <c r="I73" s="4"/>
      <c r="K73" s="27">
        <v>39346</v>
      </c>
      <c r="L73" s="4">
        <v>24.59</v>
      </c>
      <c r="M73" s="4">
        <v>218280000</v>
      </c>
      <c r="N73" s="4"/>
      <c r="O73" s="4"/>
      <c r="P73" s="4"/>
      <c r="Q73" s="4"/>
      <c r="R73" s="4"/>
      <c r="T73" s="27">
        <v>39346</v>
      </c>
      <c r="U73" s="4">
        <v>1525.75</v>
      </c>
      <c r="V73" s="4">
        <v>6769999872</v>
      </c>
    </row>
    <row r="74" spans="2:22" x14ac:dyDescent="0.2">
      <c r="B74" s="27">
        <v>37253</v>
      </c>
      <c r="C74" s="4">
        <v>40.473500000000001</v>
      </c>
      <c r="D74" s="4">
        <v>9450000</v>
      </c>
      <c r="E74" s="4"/>
      <c r="F74" s="4"/>
      <c r="G74" s="4"/>
      <c r="H74" s="4"/>
      <c r="I74" s="4"/>
      <c r="K74" s="27">
        <v>39339</v>
      </c>
      <c r="L74" s="4">
        <v>24.29</v>
      </c>
      <c r="M74" s="4">
        <v>161930000</v>
      </c>
      <c r="N74" s="4"/>
      <c r="O74" s="4"/>
      <c r="P74" s="4"/>
      <c r="Q74" s="4"/>
      <c r="R74" s="4"/>
      <c r="T74" s="27">
        <v>39339</v>
      </c>
      <c r="U74" s="4">
        <v>1484.25</v>
      </c>
      <c r="V74" s="4">
        <v>5489999872</v>
      </c>
    </row>
    <row r="75" spans="2:22" x14ac:dyDescent="0.2">
      <c r="B75" s="27">
        <v>37246</v>
      </c>
      <c r="C75" s="4">
        <v>40.811900000000001</v>
      </c>
      <c r="D75" s="4">
        <v>24560000</v>
      </c>
      <c r="E75" s="4"/>
      <c r="F75" s="4"/>
      <c r="G75" s="4"/>
      <c r="H75" s="4"/>
      <c r="I75" s="4"/>
      <c r="K75" s="27">
        <v>39332</v>
      </c>
      <c r="L75" s="4">
        <v>24.25</v>
      </c>
      <c r="M75" s="4">
        <v>136240000</v>
      </c>
      <c r="N75" s="4"/>
      <c r="O75" s="4"/>
      <c r="P75" s="4"/>
      <c r="Q75" s="4"/>
      <c r="R75" s="4"/>
      <c r="T75" s="27">
        <v>39332</v>
      </c>
      <c r="U75" s="4">
        <v>1453.55</v>
      </c>
      <c r="V75" s="4">
        <v>4769999872</v>
      </c>
    </row>
    <row r="76" spans="2:22" x14ac:dyDescent="0.2">
      <c r="B76" s="27">
        <v>37239</v>
      </c>
      <c r="C76" s="4">
        <v>39.7592</v>
      </c>
      <c r="D76" s="4">
        <v>27980000</v>
      </c>
      <c r="E76" s="4"/>
      <c r="F76" s="4"/>
      <c r="G76" s="4"/>
      <c r="H76" s="4"/>
      <c r="I76" s="4"/>
      <c r="K76" s="27">
        <v>39325</v>
      </c>
      <c r="L76" s="4">
        <v>24.84</v>
      </c>
      <c r="M76" s="4">
        <v>175210000</v>
      </c>
      <c r="N76" s="4"/>
      <c r="O76" s="4"/>
      <c r="P76" s="4"/>
      <c r="Q76" s="4"/>
      <c r="R76" s="4"/>
      <c r="T76" s="27">
        <v>39325</v>
      </c>
      <c r="U76" s="4">
        <v>1473.99</v>
      </c>
      <c r="V76" s="4">
        <v>5550000128</v>
      </c>
    </row>
    <row r="77" spans="2:22" x14ac:dyDescent="0.2">
      <c r="B77" s="27">
        <v>37232</v>
      </c>
      <c r="C77" s="4">
        <v>41.4041</v>
      </c>
      <c r="D77" s="4">
        <v>30030000</v>
      </c>
      <c r="E77" s="4"/>
      <c r="F77" s="4"/>
      <c r="G77" s="4"/>
      <c r="H77" s="4"/>
      <c r="I77" s="4"/>
      <c r="K77" s="27">
        <v>39318</v>
      </c>
      <c r="L77" s="4">
        <v>24.74</v>
      </c>
      <c r="M77" s="4">
        <v>186350000</v>
      </c>
      <c r="N77" s="4"/>
      <c r="O77" s="4"/>
      <c r="P77" s="4"/>
      <c r="Q77" s="4"/>
      <c r="R77" s="4"/>
      <c r="T77" s="27">
        <v>39318</v>
      </c>
      <c r="U77" s="4">
        <v>1479.37</v>
      </c>
      <c r="V77" s="4">
        <v>5680000000</v>
      </c>
    </row>
    <row r="78" spans="2:22" x14ac:dyDescent="0.2">
      <c r="B78" s="27">
        <v>37225</v>
      </c>
      <c r="C78" s="4">
        <v>41.732999999999997</v>
      </c>
      <c r="D78" s="4">
        <v>40040000</v>
      </c>
      <c r="E78" s="4"/>
      <c r="F78" s="4"/>
      <c r="G78" s="4"/>
      <c r="H78" s="4"/>
      <c r="I78" s="4"/>
      <c r="K78" s="27">
        <v>39311</v>
      </c>
      <c r="L78" s="4">
        <v>23.94</v>
      </c>
      <c r="M78" s="4">
        <v>251130000</v>
      </c>
      <c r="N78" s="4"/>
      <c r="O78" s="4"/>
      <c r="P78" s="4"/>
      <c r="Q78" s="4"/>
      <c r="R78" s="4"/>
      <c r="T78" s="27">
        <v>39311</v>
      </c>
      <c r="U78" s="4">
        <v>1445.94</v>
      </c>
      <c r="V78" s="4">
        <v>8920000512</v>
      </c>
    </row>
    <row r="79" spans="2:22" x14ac:dyDescent="0.2">
      <c r="B79" s="27">
        <v>37218</v>
      </c>
      <c r="C79" s="4">
        <v>42.767000000000003</v>
      </c>
      <c r="D79" s="4">
        <v>34650000</v>
      </c>
      <c r="E79" s="4"/>
      <c r="F79" s="4"/>
      <c r="G79" s="4"/>
      <c r="H79" s="4"/>
      <c r="I79" s="4"/>
      <c r="K79" s="27">
        <v>39304</v>
      </c>
      <c r="L79" s="4">
        <v>23.99</v>
      </c>
      <c r="M79" s="4">
        <v>259970000</v>
      </c>
      <c r="N79" s="4"/>
      <c r="O79" s="4"/>
      <c r="P79" s="4"/>
      <c r="Q79" s="4"/>
      <c r="R79" s="4"/>
      <c r="T79" s="27">
        <v>39304</v>
      </c>
      <c r="U79" s="4">
        <v>1453.64</v>
      </c>
      <c r="V79" s="4">
        <v>9639999488</v>
      </c>
    </row>
    <row r="80" spans="2:22" x14ac:dyDescent="0.2">
      <c r="B80" s="27">
        <v>37211</v>
      </c>
      <c r="C80" s="4">
        <v>38.866199999999999</v>
      </c>
      <c r="D80" s="4">
        <v>23110000</v>
      </c>
      <c r="E80" s="4"/>
      <c r="F80" s="4"/>
      <c r="G80" s="4"/>
      <c r="H80" s="4"/>
      <c r="I80" s="4"/>
      <c r="K80" s="27">
        <v>39297</v>
      </c>
      <c r="L80" s="4">
        <v>23.51</v>
      </c>
      <c r="M80" s="4">
        <v>265590000</v>
      </c>
      <c r="N80" s="4"/>
      <c r="O80" s="4"/>
      <c r="P80" s="4"/>
      <c r="Q80" s="4"/>
      <c r="R80" s="4"/>
      <c r="T80" s="27">
        <v>39297</v>
      </c>
      <c r="U80" s="4">
        <v>1433.06</v>
      </c>
      <c r="V80" s="4">
        <v>8730000384</v>
      </c>
    </row>
    <row r="81" spans="2:22" x14ac:dyDescent="0.2">
      <c r="B81" s="27">
        <v>37204</v>
      </c>
      <c r="C81" s="4">
        <v>37.700699999999998</v>
      </c>
      <c r="D81" s="4">
        <v>25870000</v>
      </c>
      <c r="E81" s="4"/>
      <c r="F81" s="4"/>
      <c r="G81" s="4"/>
      <c r="H81" s="4"/>
      <c r="I81" s="4"/>
      <c r="K81" s="27">
        <v>39290</v>
      </c>
      <c r="L81" s="4">
        <v>23.79</v>
      </c>
      <c r="M81" s="4">
        <v>248230000</v>
      </c>
      <c r="N81" s="4"/>
      <c r="O81" s="4"/>
      <c r="P81" s="4"/>
      <c r="Q81" s="4"/>
      <c r="R81" s="4"/>
      <c r="T81" s="27">
        <v>39290</v>
      </c>
      <c r="U81" s="4">
        <v>1458.95</v>
      </c>
      <c r="V81" s="4">
        <v>8700000256</v>
      </c>
    </row>
    <row r="82" spans="2:22" x14ac:dyDescent="0.2">
      <c r="B82" s="27">
        <v>37197</v>
      </c>
      <c r="C82" s="4">
        <v>38.396299999999997</v>
      </c>
      <c r="D82" s="4">
        <v>32770000</v>
      </c>
      <c r="E82" s="4"/>
      <c r="F82" s="4"/>
      <c r="G82" s="4"/>
      <c r="H82" s="4"/>
      <c r="I82" s="4"/>
      <c r="K82" s="27">
        <v>39283</v>
      </c>
      <c r="L82" s="4">
        <v>24.9</v>
      </c>
      <c r="M82" s="4">
        <v>271660000</v>
      </c>
      <c r="N82" s="4"/>
      <c r="O82" s="4"/>
      <c r="P82" s="4"/>
      <c r="Q82" s="4"/>
      <c r="R82" s="4"/>
      <c r="T82" s="27">
        <v>39283</v>
      </c>
      <c r="U82" s="4">
        <v>1534.09</v>
      </c>
      <c r="V82" s="4">
        <v>7059999744</v>
      </c>
    </row>
    <row r="83" spans="2:22" x14ac:dyDescent="0.2">
      <c r="B83" s="27">
        <v>37190</v>
      </c>
      <c r="C83" s="4">
        <v>36.976999999999997</v>
      </c>
      <c r="D83" s="4">
        <v>65210000</v>
      </c>
      <c r="E83" s="4"/>
      <c r="F83" s="4"/>
      <c r="G83" s="4"/>
      <c r="H83" s="4"/>
      <c r="I83" s="4"/>
      <c r="K83" s="27">
        <v>39276</v>
      </c>
      <c r="L83" s="4">
        <v>25.91</v>
      </c>
      <c r="M83" s="4">
        <v>195430000</v>
      </c>
      <c r="N83" s="4"/>
      <c r="O83" s="4"/>
      <c r="P83" s="4"/>
      <c r="Q83" s="4"/>
      <c r="R83" s="4"/>
      <c r="T83" s="27">
        <v>39276</v>
      </c>
      <c r="U83" s="4">
        <v>1552.5</v>
      </c>
      <c r="V83" s="4">
        <v>6400000000</v>
      </c>
    </row>
    <row r="84" spans="2:22" x14ac:dyDescent="0.2">
      <c r="B84" s="27">
        <v>37183</v>
      </c>
      <c r="C84" s="4">
        <v>39.091799999999999</v>
      </c>
      <c r="D84" s="4">
        <v>23250000</v>
      </c>
      <c r="E84" s="4"/>
      <c r="F84" s="4"/>
      <c r="G84" s="4"/>
      <c r="H84" s="4"/>
      <c r="I84" s="4"/>
      <c r="K84" s="27">
        <v>39269</v>
      </c>
      <c r="L84" s="4">
        <v>25.92</v>
      </c>
      <c r="M84" s="4">
        <v>105750000</v>
      </c>
      <c r="N84" s="4"/>
      <c r="O84" s="4"/>
      <c r="P84" s="4"/>
      <c r="Q84" s="4"/>
      <c r="R84" s="4"/>
      <c r="T84" s="27">
        <v>39269</v>
      </c>
      <c r="U84" s="4">
        <v>1530.44</v>
      </c>
      <c r="V84" s="4">
        <v>3889999872</v>
      </c>
    </row>
    <row r="85" spans="2:22" x14ac:dyDescent="0.2">
      <c r="B85" s="27">
        <v>37176</v>
      </c>
      <c r="C85" s="4">
        <v>38.5655</v>
      </c>
      <c r="D85" s="4">
        <v>20130000</v>
      </c>
      <c r="E85" s="4"/>
      <c r="F85" s="4"/>
      <c r="G85" s="4"/>
      <c r="H85" s="4"/>
      <c r="I85" s="4"/>
      <c r="K85" s="27">
        <v>39262</v>
      </c>
      <c r="L85" s="4">
        <v>25.57</v>
      </c>
      <c r="M85" s="4">
        <v>186600000</v>
      </c>
      <c r="N85" s="4">
        <v>-2008</v>
      </c>
      <c r="O85" s="4"/>
      <c r="P85" s="4"/>
      <c r="Q85" s="4"/>
      <c r="R85" s="4"/>
      <c r="T85" s="27">
        <v>39262</v>
      </c>
      <c r="U85" s="4">
        <v>1503.35</v>
      </c>
      <c r="V85" s="4">
        <v>6860000256</v>
      </c>
    </row>
    <row r="86" spans="2:22" x14ac:dyDescent="0.2">
      <c r="B86" s="27">
        <v>37169</v>
      </c>
      <c r="C86" s="4">
        <v>37.954500000000003</v>
      </c>
      <c r="D86" s="4">
        <v>18560000</v>
      </c>
      <c r="E86" s="4"/>
      <c r="F86" s="4"/>
      <c r="G86" s="4"/>
      <c r="H86" s="4"/>
      <c r="I86" s="4"/>
      <c r="K86" s="27">
        <v>39255</v>
      </c>
      <c r="L86" s="4">
        <v>25.38</v>
      </c>
      <c r="M86" s="4">
        <v>259840000</v>
      </c>
      <c r="N86" s="4"/>
      <c r="O86" s="4"/>
      <c r="P86" s="4"/>
      <c r="Q86" s="4"/>
      <c r="R86" s="4"/>
      <c r="T86" s="27">
        <v>39255</v>
      </c>
      <c r="U86" s="4">
        <v>1502.56</v>
      </c>
      <c r="V86" s="4">
        <v>6899999744</v>
      </c>
    </row>
    <row r="87" spans="2:22" x14ac:dyDescent="0.2">
      <c r="B87" s="27">
        <v>37162</v>
      </c>
      <c r="C87" s="4">
        <v>38.123699999999999</v>
      </c>
      <c r="D87" s="4">
        <v>29660000</v>
      </c>
      <c r="E87" s="4">
        <v>-180</v>
      </c>
      <c r="F87" s="4"/>
      <c r="G87" s="4"/>
      <c r="H87" s="4"/>
      <c r="I87" s="4"/>
      <c r="K87" s="27">
        <v>39248</v>
      </c>
      <c r="L87" s="4">
        <v>26.47</v>
      </c>
      <c r="M87" s="4">
        <v>195230000</v>
      </c>
      <c r="N87" s="4"/>
      <c r="O87" s="4"/>
      <c r="P87" s="4"/>
      <c r="Q87" s="4"/>
      <c r="R87" s="4"/>
      <c r="T87" s="27">
        <v>39248</v>
      </c>
      <c r="U87" s="4">
        <v>1532.91</v>
      </c>
      <c r="V87" s="4">
        <v>6750000128</v>
      </c>
    </row>
    <row r="88" spans="2:22" x14ac:dyDescent="0.2">
      <c r="B88" s="27">
        <v>37155</v>
      </c>
      <c r="C88" s="4">
        <v>36.046399999999998</v>
      </c>
      <c r="D88" s="4">
        <v>41790000</v>
      </c>
      <c r="E88" s="4"/>
      <c r="F88" s="4"/>
      <c r="G88" s="4"/>
      <c r="H88" s="4"/>
      <c r="I88" s="4"/>
      <c r="K88" s="27">
        <v>39241</v>
      </c>
      <c r="L88" s="4">
        <v>26.52</v>
      </c>
      <c r="M88" s="4">
        <v>202500000</v>
      </c>
      <c r="N88" s="4"/>
      <c r="O88" s="4"/>
      <c r="P88" s="4"/>
      <c r="Q88" s="4"/>
      <c r="R88" s="4"/>
      <c r="T88" s="27">
        <v>39241</v>
      </c>
      <c r="U88" s="4">
        <v>1507.67</v>
      </c>
      <c r="V88" s="4">
        <v>6739999744</v>
      </c>
    </row>
    <row r="89" spans="2:22" x14ac:dyDescent="0.2">
      <c r="B89" s="27">
        <v>37148</v>
      </c>
      <c r="C89" s="4">
        <v>37.738300000000002</v>
      </c>
      <c r="D89" s="4">
        <v>6080000</v>
      </c>
      <c r="E89" s="4"/>
      <c r="F89" s="4"/>
      <c r="G89" s="4"/>
      <c r="H89" s="4"/>
      <c r="I89" s="4"/>
      <c r="K89" s="27">
        <v>39234</v>
      </c>
      <c r="L89" s="4">
        <v>27.68</v>
      </c>
      <c r="M89" s="4">
        <v>135410000</v>
      </c>
      <c r="N89" s="4"/>
      <c r="O89" s="4"/>
      <c r="P89" s="4"/>
      <c r="Q89" s="4"/>
      <c r="R89" s="4"/>
      <c r="T89" s="27">
        <v>39234</v>
      </c>
      <c r="U89" s="4">
        <v>1536.34</v>
      </c>
      <c r="V89" s="4">
        <v>5089999872</v>
      </c>
    </row>
    <row r="90" spans="2:22" x14ac:dyDescent="0.2">
      <c r="B90" s="27">
        <v>37141</v>
      </c>
      <c r="C90" s="4">
        <v>37.851100000000002</v>
      </c>
      <c r="D90" s="4">
        <v>24070000</v>
      </c>
      <c r="E90" s="4"/>
      <c r="F90" s="4"/>
      <c r="G90" s="4"/>
      <c r="H90" s="4"/>
      <c r="I90" s="4"/>
      <c r="K90" s="27">
        <v>39227</v>
      </c>
      <c r="L90" s="4">
        <v>27.53</v>
      </c>
      <c r="M90" s="4">
        <v>167450000</v>
      </c>
      <c r="N90" s="4"/>
      <c r="O90" s="4"/>
      <c r="P90" s="4"/>
      <c r="Q90" s="4"/>
      <c r="R90" s="4"/>
      <c r="T90" s="27">
        <v>39227</v>
      </c>
      <c r="U90" s="4">
        <v>1515.73</v>
      </c>
      <c r="V90" s="4">
        <v>6120000000</v>
      </c>
    </row>
    <row r="91" spans="2:22" x14ac:dyDescent="0.2">
      <c r="B91" s="27">
        <v>37134</v>
      </c>
      <c r="C91" s="4">
        <v>37.221400000000003</v>
      </c>
      <c r="D91" s="4">
        <v>21300000</v>
      </c>
      <c r="E91" s="4"/>
      <c r="F91" s="4"/>
      <c r="G91" s="4"/>
      <c r="H91" s="4"/>
      <c r="I91" s="4"/>
      <c r="K91" s="27">
        <v>39220</v>
      </c>
      <c r="L91" s="4">
        <v>27.44</v>
      </c>
      <c r="M91" s="4">
        <v>151200000</v>
      </c>
      <c r="N91" s="4"/>
      <c r="O91" s="4"/>
      <c r="P91" s="4"/>
      <c r="Q91" s="4"/>
      <c r="R91" s="4"/>
      <c r="T91" s="27">
        <v>39220</v>
      </c>
      <c r="U91" s="4">
        <v>1522.75</v>
      </c>
      <c r="V91" s="4">
        <v>6409999872</v>
      </c>
    </row>
    <row r="92" spans="2:22" x14ac:dyDescent="0.2">
      <c r="B92" s="27">
        <v>37127</v>
      </c>
      <c r="C92" s="4">
        <v>39.2986</v>
      </c>
      <c r="D92" s="4">
        <v>30100000</v>
      </c>
      <c r="E92" s="4"/>
      <c r="F92" s="4"/>
      <c r="G92" s="4"/>
      <c r="H92" s="4"/>
      <c r="I92" s="4"/>
      <c r="K92" s="27">
        <v>39213</v>
      </c>
      <c r="L92" s="4">
        <v>27.04</v>
      </c>
      <c r="M92" s="4">
        <v>180380000</v>
      </c>
      <c r="N92" s="4"/>
      <c r="O92" s="4"/>
      <c r="P92" s="4"/>
      <c r="Q92" s="4"/>
      <c r="R92" s="4"/>
      <c r="T92" s="27">
        <v>39213</v>
      </c>
      <c r="U92" s="4">
        <v>1505.85</v>
      </c>
      <c r="V92" s="4">
        <v>5929999872</v>
      </c>
    </row>
    <row r="93" spans="2:22" x14ac:dyDescent="0.2">
      <c r="B93" s="27">
        <v>37120</v>
      </c>
      <c r="C93" s="4">
        <v>41.770600000000002</v>
      </c>
      <c r="D93" s="4">
        <v>12070000</v>
      </c>
      <c r="E93" s="4"/>
      <c r="F93" s="4"/>
      <c r="G93" s="4"/>
      <c r="H93" s="4"/>
      <c r="I93" s="4"/>
      <c r="K93" s="27">
        <v>39206</v>
      </c>
      <c r="L93" s="4">
        <v>27.08</v>
      </c>
      <c r="M93" s="4">
        <v>191890000</v>
      </c>
      <c r="N93" s="4"/>
      <c r="O93" s="4"/>
      <c r="P93" s="4"/>
      <c r="Q93" s="4"/>
      <c r="R93" s="4"/>
      <c r="T93" s="27">
        <v>39206</v>
      </c>
      <c r="U93" s="4">
        <v>1505.62</v>
      </c>
      <c r="V93" s="4">
        <v>6819999744</v>
      </c>
    </row>
    <row r="94" spans="2:22" x14ac:dyDescent="0.2">
      <c r="B94" s="27">
        <v>37113</v>
      </c>
      <c r="C94" s="4">
        <v>41.996200000000002</v>
      </c>
      <c r="D94" s="4">
        <v>18360000</v>
      </c>
      <c r="E94" s="4"/>
      <c r="F94" s="4"/>
      <c r="G94" s="4"/>
      <c r="H94" s="4"/>
      <c r="I94" s="4"/>
      <c r="K94" s="27">
        <v>39199</v>
      </c>
      <c r="L94" s="4">
        <v>26.61</v>
      </c>
      <c r="M94" s="4">
        <v>216190000</v>
      </c>
      <c r="N94" s="4"/>
      <c r="O94" s="4"/>
      <c r="P94" s="4"/>
      <c r="Q94" s="4"/>
      <c r="R94" s="4"/>
      <c r="T94" s="27">
        <v>39199</v>
      </c>
      <c r="U94" s="4">
        <v>1494.07</v>
      </c>
      <c r="V94" s="4">
        <v>7000000000</v>
      </c>
    </row>
    <row r="95" spans="2:22" x14ac:dyDescent="0.2">
      <c r="B95" s="27">
        <v>37106</v>
      </c>
      <c r="C95" s="4">
        <v>41.357100000000003</v>
      </c>
      <c r="D95" s="4">
        <v>26670000</v>
      </c>
      <c r="E95" s="4"/>
      <c r="F95" s="4"/>
      <c r="G95" s="4"/>
      <c r="H95" s="4"/>
      <c r="I95" s="4"/>
      <c r="K95" s="27">
        <v>39192</v>
      </c>
      <c r="L95" s="4">
        <v>26.97</v>
      </c>
      <c r="M95" s="4">
        <v>207090000</v>
      </c>
      <c r="N95" s="4"/>
      <c r="O95" s="4"/>
      <c r="P95" s="4"/>
      <c r="Q95" s="4"/>
      <c r="R95" s="4"/>
      <c r="T95" s="27">
        <v>39192</v>
      </c>
      <c r="U95" s="4">
        <v>1484.35</v>
      </c>
      <c r="V95" s="4">
        <v>7249999872</v>
      </c>
    </row>
    <row r="96" spans="2:22" x14ac:dyDescent="0.2">
      <c r="B96" s="27">
        <v>37099</v>
      </c>
      <c r="C96" s="4">
        <v>39.590000000000003</v>
      </c>
      <c r="D96" s="4">
        <v>27770000</v>
      </c>
      <c r="E96" s="4"/>
      <c r="F96" s="4"/>
      <c r="G96" s="4"/>
      <c r="H96" s="4"/>
      <c r="I96" s="4"/>
      <c r="K96" s="27">
        <v>39185</v>
      </c>
      <c r="L96" s="4">
        <v>26.67</v>
      </c>
      <c r="M96" s="4">
        <v>174620000</v>
      </c>
      <c r="N96" s="4"/>
      <c r="O96" s="4"/>
      <c r="P96" s="4"/>
      <c r="Q96" s="4"/>
      <c r="R96" s="4"/>
      <c r="T96" s="27">
        <v>39185</v>
      </c>
      <c r="U96" s="4">
        <v>1452.85</v>
      </c>
      <c r="V96" s="4">
        <v>5809999872</v>
      </c>
    </row>
    <row r="97" spans="2:22" x14ac:dyDescent="0.2">
      <c r="B97" s="27">
        <v>37092</v>
      </c>
      <c r="C97" s="4">
        <v>41.028100000000002</v>
      </c>
      <c r="D97" s="4">
        <v>39840000</v>
      </c>
      <c r="E97" s="4"/>
      <c r="F97" s="4"/>
      <c r="G97" s="4"/>
      <c r="H97" s="4"/>
      <c r="I97" s="4"/>
      <c r="K97" s="27">
        <v>39178</v>
      </c>
      <c r="L97" s="4">
        <v>25.84</v>
      </c>
      <c r="M97" s="4">
        <v>111540000</v>
      </c>
      <c r="N97" s="4"/>
      <c r="O97" s="4"/>
      <c r="P97" s="4"/>
      <c r="Q97" s="4"/>
      <c r="R97" s="4"/>
      <c r="T97" s="27">
        <v>39178</v>
      </c>
      <c r="U97" s="4">
        <v>1443.76</v>
      </c>
      <c r="V97" s="4">
        <v>4579999744</v>
      </c>
    </row>
    <row r="98" spans="2:22" x14ac:dyDescent="0.2">
      <c r="B98" s="27">
        <v>37085</v>
      </c>
      <c r="C98" s="4">
        <v>44.035899999999998</v>
      </c>
      <c r="D98" s="4">
        <v>19060000</v>
      </c>
      <c r="E98" s="4"/>
      <c r="F98" s="4"/>
      <c r="G98" s="4"/>
      <c r="H98" s="4"/>
      <c r="I98" s="4"/>
      <c r="K98" s="27">
        <v>39171</v>
      </c>
      <c r="L98" s="4">
        <v>25.26</v>
      </c>
      <c r="M98" s="4">
        <v>157600000</v>
      </c>
      <c r="N98" s="4">
        <v>-2032</v>
      </c>
      <c r="O98" s="4"/>
      <c r="P98" s="4"/>
      <c r="Q98" s="4"/>
      <c r="R98" s="4"/>
      <c r="T98" s="27">
        <v>39171</v>
      </c>
      <c r="U98" s="4">
        <v>1420.86</v>
      </c>
      <c r="V98" s="4">
        <v>6179999744</v>
      </c>
    </row>
    <row r="99" spans="2:22" x14ac:dyDescent="0.2">
      <c r="B99" s="27">
        <v>37078</v>
      </c>
      <c r="C99" s="4">
        <v>43.236899999999999</v>
      </c>
      <c r="D99" s="4">
        <v>11560000</v>
      </c>
      <c r="E99" s="4"/>
      <c r="F99" s="4"/>
      <c r="G99" s="4"/>
      <c r="H99" s="4"/>
      <c r="I99" s="4"/>
      <c r="K99" s="27">
        <v>39164</v>
      </c>
      <c r="L99" s="4">
        <v>25.66</v>
      </c>
      <c r="M99" s="4">
        <v>155320000</v>
      </c>
      <c r="N99" s="4"/>
      <c r="O99" s="4"/>
      <c r="P99" s="4"/>
      <c r="Q99" s="4"/>
      <c r="R99" s="4"/>
      <c r="T99" s="27">
        <v>39164</v>
      </c>
      <c r="U99" s="4">
        <v>1436.11</v>
      </c>
      <c r="V99" s="4">
        <v>6150000128</v>
      </c>
    </row>
    <row r="100" spans="2:22" x14ac:dyDescent="0.2">
      <c r="B100" s="27">
        <v>37071</v>
      </c>
      <c r="C100" s="4">
        <v>43.189900000000002</v>
      </c>
      <c r="D100" s="4">
        <v>27750000</v>
      </c>
      <c r="E100" s="4">
        <v>-164</v>
      </c>
      <c r="F100" s="4"/>
      <c r="G100" s="4"/>
      <c r="H100" s="4"/>
      <c r="I100" s="4"/>
      <c r="K100" s="27">
        <v>39157</v>
      </c>
      <c r="L100" s="4">
        <v>24.99</v>
      </c>
      <c r="M100" s="4">
        <v>195530000</v>
      </c>
      <c r="N100" s="4"/>
      <c r="O100" s="4"/>
      <c r="P100" s="4"/>
      <c r="Q100" s="4"/>
      <c r="R100" s="4"/>
      <c r="T100" s="27">
        <v>39157</v>
      </c>
      <c r="U100" s="4">
        <v>1386.94</v>
      </c>
      <c r="V100" s="4">
        <v>7609999872</v>
      </c>
    </row>
    <row r="101" spans="2:22" x14ac:dyDescent="0.2">
      <c r="B101" s="27">
        <v>37064</v>
      </c>
      <c r="C101" s="4">
        <v>45.859299999999998</v>
      </c>
      <c r="D101" s="4">
        <v>24460000</v>
      </c>
      <c r="E101" s="4"/>
      <c r="F101" s="4"/>
      <c r="G101" s="4"/>
      <c r="H101" s="4"/>
      <c r="I101" s="4"/>
      <c r="K101" s="27">
        <v>39150</v>
      </c>
      <c r="L101" s="4">
        <v>25.41</v>
      </c>
      <c r="M101" s="4">
        <v>179960000</v>
      </c>
      <c r="N101" s="4"/>
      <c r="O101" s="4"/>
      <c r="P101" s="4"/>
      <c r="Q101" s="4"/>
      <c r="R101" s="4"/>
      <c r="T101" s="27">
        <v>39150</v>
      </c>
      <c r="U101" s="4">
        <v>1402.85</v>
      </c>
      <c r="V101" s="4">
        <v>6750000128</v>
      </c>
    </row>
    <row r="102" spans="2:22" x14ac:dyDescent="0.2">
      <c r="B102" s="27">
        <v>37057</v>
      </c>
      <c r="C102" s="4">
        <v>45.868699999999997</v>
      </c>
      <c r="D102" s="4">
        <v>17110000</v>
      </c>
      <c r="E102" s="4"/>
      <c r="F102" s="4"/>
      <c r="G102" s="4"/>
      <c r="H102" s="4"/>
      <c r="I102" s="4"/>
      <c r="K102" s="27">
        <v>39143</v>
      </c>
      <c r="L102" s="4">
        <v>24.79</v>
      </c>
      <c r="M102" s="4">
        <v>232570000</v>
      </c>
      <c r="N102" s="4"/>
      <c r="O102" s="4"/>
      <c r="P102" s="4"/>
      <c r="Q102" s="4"/>
      <c r="R102" s="4"/>
      <c r="T102" s="27">
        <v>39143</v>
      </c>
      <c r="U102" s="4">
        <v>1387.17</v>
      </c>
      <c r="V102" s="4">
        <v>8400000000</v>
      </c>
    </row>
    <row r="103" spans="2:22" x14ac:dyDescent="0.2">
      <c r="B103" s="27">
        <v>37050</v>
      </c>
      <c r="C103" s="4">
        <v>46.714700000000001</v>
      </c>
      <c r="D103" s="4">
        <v>11460000</v>
      </c>
      <c r="E103" s="4"/>
      <c r="F103" s="4"/>
      <c r="G103" s="4"/>
      <c r="H103" s="4"/>
      <c r="I103" s="4"/>
      <c r="K103" s="27">
        <v>39136</v>
      </c>
      <c r="L103" s="4">
        <v>25.62</v>
      </c>
      <c r="M103" s="4">
        <v>127500000</v>
      </c>
      <c r="N103" s="4"/>
      <c r="O103" s="4"/>
      <c r="P103" s="4"/>
      <c r="Q103" s="4"/>
      <c r="R103" s="4"/>
      <c r="T103" s="27">
        <v>39136</v>
      </c>
      <c r="U103" s="4">
        <v>1451.19</v>
      </c>
      <c r="V103" s="4">
        <v>4470000128</v>
      </c>
    </row>
    <row r="104" spans="2:22" x14ac:dyDescent="0.2">
      <c r="B104" s="27">
        <v>37043</v>
      </c>
      <c r="C104" s="4">
        <v>46.3857</v>
      </c>
      <c r="D104" s="4">
        <v>15410000</v>
      </c>
      <c r="E104" s="4"/>
      <c r="F104" s="4"/>
      <c r="G104" s="4"/>
      <c r="H104" s="4"/>
      <c r="I104" s="4"/>
      <c r="K104" s="27">
        <v>39129</v>
      </c>
      <c r="L104" s="4">
        <v>26.3</v>
      </c>
      <c r="M104" s="4">
        <v>135460000</v>
      </c>
      <c r="N104" s="4"/>
      <c r="O104" s="4"/>
      <c r="P104" s="4"/>
      <c r="Q104" s="4"/>
      <c r="R104" s="4"/>
      <c r="T104" s="27">
        <v>39129</v>
      </c>
      <c r="U104" s="4">
        <v>1455.54</v>
      </c>
      <c r="V104" s="4">
        <v>5520000000</v>
      </c>
    </row>
    <row r="105" spans="2:22" x14ac:dyDescent="0.2">
      <c r="B105" s="27">
        <v>37036</v>
      </c>
      <c r="C105" s="4">
        <v>45.6432</v>
      </c>
      <c r="D105" s="4">
        <v>21880000</v>
      </c>
      <c r="E105" s="4"/>
      <c r="F105" s="4"/>
      <c r="G105" s="4"/>
      <c r="H105" s="4"/>
      <c r="I105" s="4"/>
      <c r="K105" s="27">
        <v>39122</v>
      </c>
      <c r="L105" s="4">
        <v>26.38</v>
      </c>
      <c r="M105" s="4">
        <v>134670000</v>
      </c>
      <c r="N105" s="4"/>
      <c r="O105" s="4"/>
      <c r="P105" s="4"/>
      <c r="Q105" s="4"/>
      <c r="R105" s="4"/>
      <c r="T105" s="27">
        <v>39122</v>
      </c>
      <c r="U105" s="4">
        <v>1438.06</v>
      </c>
      <c r="V105" s="4">
        <v>5920000000</v>
      </c>
    </row>
    <row r="106" spans="2:22" x14ac:dyDescent="0.2">
      <c r="B106" s="27">
        <v>37029</v>
      </c>
      <c r="C106" s="4">
        <v>46.620699999999999</v>
      </c>
      <c r="D106" s="4">
        <v>29540000</v>
      </c>
      <c r="E106" s="4"/>
      <c r="F106" s="4"/>
      <c r="G106" s="4"/>
      <c r="H106" s="4"/>
      <c r="I106" s="4"/>
      <c r="K106" s="27">
        <v>39115</v>
      </c>
      <c r="L106" s="4">
        <v>26.8</v>
      </c>
      <c r="M106" s="4">
        <v>160950000</v>
      </c>
      <c r="N106" s="4"/>
      <c r="O106" s="4"/>
      <c r="P106" s="4"/>
      <c r="Q106" s="4"/>
      <c r="R106" s="4"/>
      <c r="T106" s="27">
        <v>39115</v>
      </c>
      <c r="U106" s="4">
        <v>1448.39</v>
      </c>
      <c r="V106" s="4">
        <v>6400000000</v>
      </c>
    </row>
    <row r="107" spans="2:22" x14ac:dyDescent="0.2">
      <c r="B107" s="27">
        <v>37022</v>
      </c>
      <c r="C107" s="4">
        <v>43.377899999999997</v>
      </c>
      <c r="D107" s="4">
        <v>27370000</v>
      </c>
      <c r="E107" s="4"/>
      <c r="F107" s="4"/>
      <c r="G107" s="4"/>
      <c r="H107" s="4"/>
      <c r="I107" s="4"/>
      <c r="K107" s="27">
        <v>39108</v>
      </c>
      <c r="L107" s="4">
        <v>26.29</v>
      </c>
      <c r="M107" s="4">
        <v>205450000</v>
      </c>
      <c r="N107" s="4"/>
      <c r="O107" s="4"/>
      <c r="P107" s="4"/>
      <c r="Q107" s="4"/>
      <c r="R107" s="4"/>
      <c r="T107" s="27">
        <v>39108</v>
      </c>
      <c r="U107" s="4">
        <v>1422.18</v>
      </c>
      <c r="V107" s="4">
        <v>6670000128</v>
      </c>
    </row>
    <row r="108" spans="2:22" x14ac:dyDescent="0.2">
      <c r="B108" s="27">
        <v>37015</v>
      </c>
      <c r="C108" s="4">
        <v>46.996699999999997</v>
      </c>
      <c r="D108" s="4">
        <v>21000000</v>
      </c>
      <c r="E108" s="4"/>
      <c r="F108" s="4"/>
      <c r="G108" s="4"/>
      <c r="H108" s="4"/>
      <c r="I108" s="4"/>
      <c r="K108" s="27">
        <v>39101</v>
      </c>
      <c r="L108" s="4">
        <v>27.22</v>
      </c>
      <c r="M108" s="4">
        <v>139940000</v>
      </c>
      <c r="N108" s="4"/>
      <c r="O108" s="4"/>
      <c r="P108" s="4"/>
      <c r="Q108" s="4"/>
      <c r="R108" s="4"/>
      <c r="T108" s="27">
        <v>39101</v>
      </c>
      <c r="U108" s="4">
        <v>1430.5</v>
      </c>
      <c r="V108" s="4">
        <v>5459999744</v>
      </c>
    </row>
    <row r="109" spans="2:22" x14ac:dyDescent="0.2">
      <c r="B109" s="27">
        <v>37008</v>
      </c>
      <c r="C109" s="4">
        <v>49.111499999999999</v>
      </c>
      <c r="D109" s="4">
        <v>19020000</v>
      </c>
      <c r="E109" s="4"/>
      <c r="F109" s="4"/>
      <c r="G109" s="4"/>
      <c r="H109" s="4"/>
      <c r="I109" s="4"/>
      <c r="K109" s="27">
        <v>39094</v>
      </c>
      <c r="L109" s="4">
        <v>26.64</v>
      </c>
      <c r="M109" s="4">
        <v>176140000</v>
      </c>
      <c r="N109" s="4"/>
      <c r="O109" s="4"/>
      <c r="P109" s="4"/>
      <c r="Q109" s="4"/>
      <c r="R109" s="4"/>
      <c r="T109" s="27">
        <v>39094</v>
      </c>
      <c r="U109" s="4">
        <v>1430.73</v>
      </c>
      <c r="V109" s="4">
        <v>6720000000</v>
      </c>
    </row>
    <row r="110" spans="2:22" x14ac:dyDescent="0.2">
      <c r="B110" s="27">
        <v>37001</v>
      </c>
      <c r="C110" s="4">
        <v>45.633800000000001</v>
      </c>
      <c r="D110" s="4">
        <v>26580000</v>
      </c>
      <c r="E110" s="4"/>
      <c r="F110" s="4"/>
      <c r="G110" s="4"/>
      <c r="H110" s="4"/>
      <c r="I110" s="4"/>
      <c r="K110" s="27">
        <v>39087</v>
      </c>
      <c r="L110" s="4">
        <v>26.3</v>
      </c>
      <c r="M110" s="4">
        <v>104260000</v>
      </c>
      <c r="N110" s="4"/>
      <c r="O110" s="4"/>
      <c r="P110" s="4"/>
      <c r="Q110" s="4"/>
      <c r="R110" s="4"/>
      <c r="T110" s="27">
        <v>39087</v>
      </c>
      <c r="U110" s="4">
        <v>1409.71</v>
      </c>
      <c r="V110" s="4">
        <v>4480000000</v>
      </c>
    </row>
    <row r="111" spans="2:22" x14ac:dyDescent="0.2">
      <c r="B111" s="27">
        <v>36994</v>
      </c>
      <c r="C111" s="4">
        <v>47.654600000000002</v>
      </c>
      <c r="D111" s="4">
        <v>14840000</v>
      </c>
      <c r="E111" s="4"/>
      <c r="F111" s="4"/>
      <c r="G111" s="4"/>
      <c r="H111" s="4"/>
      <c r="I111" s="4"/>
      <c r="K111" s="27">
        <v>39080</v>
      </c>
      <c r="L111" s="4">
        <v>25.9</v>
      </c>
      <c r="M111" s="4">
        <v>94280000</v>
      </c>
      <c r="N111" s="4">
        <v>-1708</v>
      </c>
      <c r="O111" s="4"/>
      <c r="P111" s="4"/>
      <c r="Q111" s="4"/>
      <c r="R111" s="4"/>
      <c r="T111" s="27">
        <v>39080</v>
      </c>
      <c r="U111" s="4">
        <v>1418.3</v>
      </c>
      <c r="V111" s="4">
        <v>2849999872</v>
      </c>
    </row>
    <row r="112" spans="2:22" x14ac:dyDescent="0.2">
      <c r="B112" s="27">
        <v>36987</v>
      </c>
      <c r="C112" s="4">
        <v>47.607599999999998</v>
      </c>
      <c r="D112" s="4">
        <v>16550000</v>
      </c>
      <c r="E112" s="4"/>
      <c r="F112" s="4"/>
      <c r="G112" s="4"/>
      <c r="H112" s="4"/>
      <c r="I112" s="4"/>
      <c r="K112" s="27">
        <v>39073</v>
      </c>
      <c r="L112" s="4">
        <v>25.97</v>
      </c>
      <c r="M112" s="4">
        <v>187370000</v>
      </c>
      <c r="N112" s="4"/>
      <c r="O112" s="4"/>
      <c r="P112" s="4"/>
      <c r="Q112" s="4"/>
      <c r="R112" s="4"/>
      <c r="T112" s="27">
        <v>39073</v>
      </c>
      <c r="U112" s="4">
        <v>1410.77</v>
      </c>
      <c r="V112" s="4">
        <v>5489999872</v>
      </c>
    </row>
    <row r="113" spans="2:22" x14ac:dyDescent="0.2">
      <c r="B113" s="27">
        <v>36980</v>
      </c>
      <c r="C113" s="4">
        <v>47.3444</v>
      </c>
      <c r="D113" s="4">
        <v>21430000</v>
      </c>
      <c r="E113" s="4">
        <v>-137</v>
      </c>
      <c r="F113" s="4"/>
      <c r="G113" s="4"/>
      <c r="H113" s="4"/>
      <c r="I113" s="4"/>
      <c r="K113" s="27">
        <v>39066</v>
      </c>
      <c r="L113" s="4">
        <v>25.64</v>
      </c>
      <c r="M113" s="4">
        <v>225690000</v>
      </c>
      <c r="N113" s="4"/>
      <c r="O113" s="4"/>
      <c r="P113" s="4"/>
      <c r="Q113" s="4"/>
      <c r="R113" s="4"/>
      <c r="T113" s="27">
        <v>39066</v>
      </c>
      <c r="U113" s="4">
        <v>1427.09</v>
      </c>
      <c r="V113" s="4">
        <v>6680000000</v>
      </c>
    </row>
    <row r="114" spans="2:22" x14ac:dyDescent="0.2">
      <c r="B114" s="27">
        <v>36973</v>
      </c>
      <c r="C114" s="4">
        <v>44.167499999999997</v>
      </c>
      <c r="D114" s="4">
        <v>31790000</v>
      </c>
      <c r="E114" s="4"/>
      <c r="F114" s="4"/>
      <c r="G114" s="4"/>
      <c r="H114" s="4"/>
      <c r="I114" s="4"/>
      <c r="K114" s="27">
        <v>39059</v>
      </c>
      <c r="L114" s="4">
        <v>25.17</v>
      </c>
      <c r="M114" s="4">
        <v>551760000</v>
      </c>
      <c r="N114" s="4"/>
      <c r="O114" s="4"/>
      <c r="P114" s="4"/>
      <c r="Q114" s="4"/>
      <c r="R114" s="4"/>
      <c r="T114" s="27">
        <v>39059</v>
      </c>
      <c r="U114" s="4">
        <v>1409.84</v>
      </c>
      <c r="V114" s="4">
        <v>6070000128</v>
      </c>
    </row>
    <row r="115" spans="2:22" x14ac:dyDescent="0.2">
      <c r="B115" s="27">
        <v>36966</v>
      </c>
      <c r="C115" s="4">
        <v>42.466200000000001</v>
      </c>
      <c r="D115" s="4">
        <v>27220000</v>
      </c>
      <c r="E115" s="4"/>
      <c r="F115" s="4"/>
      <c r="G115" s="4"/>
      <c r="H115" s="4"/>
      <c r="I115" s="4"/>
      <c r="K115" s="27">
        <v>39052</v>
      </c>
      <c r="L115" s="4">
        <v>27.86</v>
      </c>
      <c r="M115" s="4">
        <v>212870000</v>
      </c>
      <c r="N115" s="4"/>
      <c r="O115" s="4"/>
      <c r="P115" s="4"/>
      <c r="Q115" s="4"/>
      <c r="R115" s="4"/>
      <c r="T115" s="27">
        <v>39052</v>
      </c>
      <c r="U115" s="4">
        <v>1396.71</v>
      </c>
      <c r="V115" s="4">
        <v>6889999872</v>
      </c>
    </row>
    <row r="116" spans="2:22" x14ac:dyDescent="0.2">
      <c r="B116" s="27">
        <v>36959</v>
      </c>
      <c r="C116" s="4">
        <v>48.115200000000002</v>
      </c>
      <c r="D116" s="4">
        <v>21310000</v>
      </c>
      <c r="E116" s="4"/>
      <c r="F116" s="4"/>
      <c r="G116" s="4"/>
      <c r="H116" s="4"/>
      <c r="I116" s="4"/>
      <c r="K116" s="27">
        <v>39045</v>
      </c>
      <c r="L116" s="4">
        <v>26.89</v>
      </c>
      <c r="M116" s="4">
        <v>93670000</v>
      </c>
      <c r="N116" s="4"/>
      <c r="O116" s="4"/>
      <c r="P116" s="4"/>
      <c r="Q116" s="4"/>
      <c r="R116" s="4"/>
      <c r="T116" s="27">
        <v>39045</v>
      </c>
      <c r="U116" s="4">
        <v>1400.95</v>
      </c>
      <c r="V116" s="4">
        <v>3769999872</v>
      </c>
    </row>
    <row r="117" spans="2:22" x14ac:dyDescent="0.2">
      <c r="B117" s="27">
        <v>36952</v>
      </c>
      <c r="C117" s="4">
        <v>49.619100000000003</v>
      </c>
      <c r="D117" s="4">
        <v>29630000</v>
      </c>
      <c r="E117" s="4"/>
      <c r="F117" s="4"/>
      <c r="G117" s="4"/>
      <c r="H117" s="4"/>
      <c r="I117" s="4"/>
      <c r="K117" s="27">
        <v>39038</v>
      </c>
      <c r="L117" s="4">
        <v>27.21</v>
      </c>
      <c r="M117" s="4">
        <v>204180000</v>
      </c>
      <c r="N117" s="4"/>
      <c r="O117" s="4"/>
      <c r="P117" s="4"/>
      <c r="Q117" s="4"/>
      <c r="R117" s="4"/>
      <c r="T117" s="27">
        <v>39038</v>
      </c>
      <c r="U117" s="4">
        <v>1401.2</v>
      </c>
      <c r="V117" s="4">
        <v>6300000256</v>
      </c>
    </row>
    <row r="118" spans="2:22" x14ac:dyDescent="0.2">
      <c r="B118" s="27">
        <v>36945</v>
      </c>
      <c r="C118" s="4">
        <v>46.103700000000003</v>
      </c>
      <c r="D118" s="4">
        <v>26020000</v>
      </c>
      <c r="E118" s="4"/>
      <c r="F118" s="4"/>
      <c r="G118" s="4"/>
      <c r="H118" s="4"/>
      <c r="I118" s="4"/>
      <c r="K118" s="27">
        <v>39031</v>
      </c>
      <c r="L118" s="4">
        <v>25.71</v>
      </c>
      <c r="M118" s="4">
        <v>261270000</v>
      </c>
      <c r="N118" s="4"/>
      <c r="O118" s="4"/>
      <c r="P118" s="4"/>
      <c r="Q118" s="4"/>
      <c r="R118" s="4"/>
      <c r="T118" s="27">
        <v>39031</v>
      </c>
      <c r="U118" s="4">
        <v>1380.9</v>
      </c>
      <c r="V118" s="4">
        <v>6460000256</v>
      </c>
    </row>
    <row r="119" spans="2:22" x14ac:dyDescent="0.2">
      <c r="B119" s="27">
        <v>36938</v>
      </c>
      <c r="C119" s="4">
        <v>48.087000000000003</v>
      </c>
      <c r="D119" s="4">
        <v>32410000</v>
      </c>
      <c r="E119" s="4"/>
      <c r="F119" s="4"/>
      <c r="G119" s="4"/>
      <c r="H119" s="4"/>
      <c r="I119" s="4"/>
      <c r="K119" s="27">
        <v>39024</v>
      </c>
      <c r="L119" s="4">
        <v>26.55</v>
      </c>
      <c r="M119" s="4">
        <v>210160000</v>
      </c>
      <c r="N119" s="4"/>
      <c r="O119" s="4"/>
      <c r="P119" s="4"/>
      <c r="Q119" s="4"/>
      <c r="R119" s="4"/>
      <c r="T119" s="27">
        <v>39024</v>
      </c>
      <c r="U119" s="4">
        <v>1364.3</v>
      </c>
      <c r="V119" s="4">
        <v>6390000128</v>
      </c>
    </row>
    <row r="120" spans="2:22" x14ac:dyDescent="0.2">
      <c r="B120" s="27">
        <v>36931</v>
      </c>
      <c r="C120" s="4">
        <v>50.756399999999999</v>
      </c>
      <c r="D120" s="4">
        <v>33820000</v>
      </c>
      <c r="E120" s="4"/>
      <c r="F120" s="4"/>
      <c r="G120" s="4"/>
      <c r="H120" s="4"/>
      <c r="I120" s="4"/>
      <c r="K120" s="27">
        <v>39017</v>
      </c>
      <c r="L120" s="4">
        <v>27.22</v>
      </c>
      <c r="M120" s="4">
        <v>199250000</v>
      </c>
      <c r="N120" s="4"/>
      <c r="O120" s="4"/>
      <c r="P120" s="4"/>
      <c r="Q120" s="4"/>
      <c r="R120" s="4"/>
      <c r="T120" s="27">
        <v>39017</v>
      </c>
      <c r="U120" s="4">
        <v>1377.34</v>
      </c>
      <c r="V120" s="4">
        <v>6870000128</v>
      </c>
    </row>
    <row r="121" spans="2:22" x14ac:dyDescent="0.2">
      <c r="B121" s="27">
        <v>36924</v>
      </c>
      <c r="C121" s="4">
        <v>54.337499999999999</v>
      </c>
      <c r="D121" s="4">
        <v>17790000</v>
      </c>
      <c r="E121" s="4"/>
      <c r="F121" s="4"/>
      <c r="G121" s="4"/>
      <c r="H121" s="4"/>
      <c r="I121" s="4"/>
      <c r="K121" s="27">
        <v>39010</v>
      </c>
      <c r="L121" s="4">
        <v>27.68</v>
      </c>
      <c r="M121" s="4">
        <v>175730000</v>
      </c>
      <c r="N121" s="4"/>
      <c r="O121" s="4"/>
      <c r="P121" s="4"/>
      <c r="Q121" s="4"/>
      <c r="R121" s="4"/>
      <c r="T121" s="27">
        <v>39010</v>
      </c>
      <c r="U121" s="4">
        <v>1368.6</v>
      </c>
      <c r="V121" s="4">
        <v>6769999872</v>
      </c>
    </row>
    <row r="122" spans="2:22" x14ac:dyDescent="0.2">
      <c r="B122" s="27">
        <v>36917</v>
      </c>
      <c r="C122" s="4">
        <v>52.46</v>
      </c>
      <c r="D122" s="4">
        <v>22280000</v>
      </c>
      <c r="E122" s="4"/>
      <c r="F122" s="4"/>
      <c r="G122" s="4"/>
      <c r="H122" s="4"/>
      <c r="I122" s="4"/>
      <c r="K122" s="27">
        <v>39003</v>
      </c>
      <c r="L122" s="4">
        <v>27.59</v>
      </c>
      <c r="M122" s="4">
        <v>134310000</v>
      </c>
      <c r="N122" s="4"/>
      <c r="O122" s="4"/>
      <c r="P122" s="4"/>
      <c r="Q122" s="4"/>
      <c r="R122" s="4"/>
      <c r="T122" s="27">
        <v>39003</v>
      </c>
      <c r="U122" s="4">
        <v>1365.61</v>
      </c>
      <c r="V122" s="4">
        <v>6270000128</v>
      </c>
    </row>
    <row r="123" spans="2:22" x14ac:dyDescent="0.2">
      <c r="B123" s="27">
        <v>36910</v>
      </c>
      <c r="C123" s="4">
        <v>52.871200000000002</v>
      </c>
      <c r="D123" s="4">
        <v>14850000</v>
      </c>
      <c r="E123" s="4"/>
      <c r="F123" s="4"/>
      <c r="G123" s="4"/>
      <c r="H123" s="4"/>
      <c r="I123" s="4"/>
      <c r="K123" s="27">
        <v>38996</v>
      </c>
      <c r="L123" s="4">
        <v>27.9</v>
      </c>
      <c r="M123" s="4">
        <v>126020000</v>
      </c>
      <c r="N123" s="4"/>
      <c r="O123" s="4"/>
      <c r="P123" s="4"/>
      <c r="Q123" s="4"/>
      <c r="R123" s="4"/>
      <c r="T123" s="27">
        <v>38996</v>
      </c>
      <c r="U123" s="4">
        <v>1349.58</v>
      </c>
      <c r="V123" s="4">
        <v>6689999872</v>
      </c>
    </row>
    <row r="124" spans="2:22" x14ac:dyDescent="0.2">
      <c r="B124" s="27">
        <v>36903</v>
      </c>
      <c r="C124" s="4">
        <v>52.1663</v>
      </c>
      <c r="D124" s="4">
        <v>22900000</v>
      </c>
      <c r="E124" s="4"/>
      <c r="F124" s="4"/>
      <c r="G124" s="4"/>
      <c r="H124" s="4"/>
      <c r="I124" s="4"/>
      <c r="K124" s="27">
        <v>38989</v>
      </c>
      <c r="L124" s="4">
        <v>28.36</v>
      </c>
      <c r="M124" s="4">
        <v>119730000</v>
      </c>
      <c r="N124" s="4">
        <v>-1743</v>
      </c>
      <c r="O124" s="4"/>
      <c r="P124" s="4"/>
      <c r="Q124" s="4"/>
      <c r="R124" s="4"/>
      <c r="T124" s="27">
        <v>38989</v>
      </c>
      <c r="U124" s="4">
        <v>1335.85</v>
      </c>
      <c r="V124" s="4">
        <v>6680000000</v>
      </c>
    </row>
    <row r="125" spans="2:22" x14ac:dyDescent="0.2">
      <c r="B125" s="27">
        <v>36896</v>
      </c>
      <c r="C125" s="4">
        <v>52.988700000000001</v>
      </c>
      <c r="D125" s="4">
        <v>28050000</v>
      </c>
      <c r="E125" s="4"/>
      <c r="F125" s="4"/>
      <c r="G125" s="4"/>
      <c r="H125" s="4"/>
      <c r="I125" s="4"/>
      <c r="K125" s="27">
        <v>38982</v>
      </c>
      <c r="L125" s="4">
        <v>28.16</v>
      </c>
      <c r="M125" s="4">
        <v>116400000</v>
      </c>
      <c r="N125" s="4"/>
      <c r="O125" s="4"/>
      <c r="P125" s="4"/>
      <c r="Q125" s="4"/>
      <c r="R125" s="4"/>
      <c r="T125" s="27">
        <v>38982</v>
      </c>
      <c r="U125" s="4">
        <v>1314.78</v>
      </c>
      <c r="V125" s="4">
        <v>6600000000</v>
      </c>
    </row>
    <row r="126" spans="2:22" x14ac:dyDescent="0.2">
      <c r="B126" s="27">
        <v>36889</v>
      </c>
      <c r="C126" s="4">
        <v>57.335900000000002</v>
      </c>
      <c r="D126" s="4">
        <v>13210000</v>
      </c>
      <c r="E126" s="4">
        <v>-109</v>
      </c>
      <c r="F126" s="4"/>
      <c r="G126" s="4"/>
      <c r="H126" s="4"/>
      <c r="I126" s="4"/>
      <c r="K126" s="27">
        <v>38975</v>
      </c>
      <c r="L126" s="4">
        <v>28.04</v>
      </c>
      <c r="M126" s="4">
        <v>128330000</v>
      </c>
      <c r="N126" s="4"/>
      <c r="O126" s="4"/>
      <c r="P126" s="4"/>
      <c r="Q126" s="4"/>
      <c r="R126" s="4"/>
      <c r="T126" s="27">
        <v>38975</v>
      </c>
      <c r="U126" s="4">
        <v>1319.86</v>
      </c>
      <c r="V126" s="4">
        <v>7289999872</v>
      </c>
    </row>
    <row r="127" spans="2:22" x14ac:dyDescent="0.2">
      <c r="B127" s="27">
        <v>36882</v>
      </c>
      <c r="C127" s="4">
        <v>53.987400000000001</v>
      </c>
      <c r="D127" s="4">
        <v>19000000</v>
      </c>
      <c r="E127" s="4"/>
      <c r="F127" s="4"/>
      <c r="G127" s="4"/>
      <c r="H127" s="4"/>
      <c r="I127" s="4"/>
      <c r="K127" s="27">
        <v>38968</v>
      </c>
      <c r="L127" s="4">
        <v>27.59</v>
      </c>
      <c r="M127" s="4">
        <v>94410000</v>
      </c>
      <c r="N127" s="4"/>
      <c r="O127" s="4"/>
      <c r="P127" s="4"/>
      <c r="Q127" s="4"/>
      <c r="R127" s="4"/>
      <c r="T127" s="27">
        <v>38968</v>
      </c>
      <c r="U127" s="4">
        <v>1298.92</v>
      </c>
      <c r="V127" s="4">
        <v>4579999744</v>
      </c>
    </row>
    <row r="128" spans="2:22" x14ac:dyDescent="0.2">
      <c r="B128" s="27">
        <v>36875</v>
      </c>
      <c r="C128" s="4">
        <v>56.043500000000002</v>
      </c>
      <c r="D128" s="4">
        <v>25950000</v>
      </c>
      <c r="E128" s="4"/>
      <c r="F128" s="4"/>
      <c r="G128" s="4"/>
      <c r="H128" s="4"/>
      <c r="I128" s="4"/>
      <c r="K128" s="27">
        <v>38961</v>
      </c>
      <c r="L128" s="4">
        <v>27.96</v>
      </c>
      <c r="M128" s="4">
        <v>122020000</v>
      </c>
      <c r="N128" s="4"/>
      <c r="O128" s="4"/>
      <c r="P128" s="4"/>
      <c r="Q128" s="4"/>
      <c r="R128" s="4"/>
      <c r="T128" s="27">
        <v>38961</v>
      </c>
      <c r="U128" s="4">
        <v>1311.01</v>
      </c>
      <c r="V128" s="4">
        <v>5180000256</v>
      </c>
    </row>
    <row r="129" spans="2:22" x14ac:dyDescent="0.2">
      <c r="B129" s="27">
        <v>36868</v>
      </c>
      <c r="C129" s="4">
        <v>55.456099999999999</v>
      </c>
      <c r="D129" s="4">
        <v>19840000</v>
      </c>
      <c r="E129" s="4"/>
      <c r="F129" s="4"/>
      <c r="G129" s="4"/>
      <c r="H129" s="4"/>
      <c r="I129" s="4"/>
      <c r="K129" s="27">
        <v>38954</v>
      </c>
      <c r="L129" s="4">
        <v>27.23</v>
      </c>
      <c r="M129" s="4">
        <v>108760000</v>
      </c>
      <c r="N129" s="4"/>
      <c r="O129" s="4"/>
      <c r="P129" s="4"/>
      <c r="Q129" s="4"/>
      <c r="R129" s="4"/>
      <c r="T129" s="27">
        <v>38954</v>
      </c>
      <c r="U129" s="4">
        <v>1295.0899999999999</v>
      </c>
      <c r="V129" s="4">
        <v>4739999744</v>
      </c>
    </row>
    <row r="130" spans="2:22" x14ac:dyDescent="0.2">
      <c r="B130" s="27">
        <v>36861</v>
      </c>
      <c r="C130" s="4">
        <v>54.046199999999999</v>
      </c>
      <c r="D130" s="4">
        <v>30470000</v>
      </c>
      <c r="E130" s="4"/>
      <c r="F130" s="4"/>
      <c r="G130" s="4"/>
      <c r="H130" s="4"/>
      <c r="I130" s="4"/>
      <c r="K130" s="27">
        <v>38947</v>
      </c>
      <c r="L130" s="4">
        <v>27.05</v>
      </c>
      <c r="M130" s="4">
        <v>130700000</v>
      </c>
      <c r="N130" s="4"/>
      <c r="O130" s="4"/>
      <c r="P130" s="4"/>
      <c r="Q130" s="4"/>
      <c r="R130" s="4"/>
      <c r="T130" s="27">
        <v>38947</v>
      </c>
      <c r="U130" s="4">
        <v>1302.3</v>
      </c>
      <c r="V130" s="4">
        <v>6360000000</v>
      </c>
    </row>
    <row r="131" spans="2:22" x14ac:dyDescent="0.2">
      <c r="B131" s="27">
        <v>36854</v>
      </c>
      <c r="C131" s="4">
        <v>54.2224</v>
      </c>
      <c r="D131" s="4">
        <v>9830000</v>
      </c>
      <c r="E131" s="4"/>
      <c r="F131" s="4"/>
      <c r="G131" s="4"/>
      <c r="H131" s="4"/>
      <c r="I131" s="4"/>
      <c r="K131" s="27">
        <v>38940</v>
      </c>
      <c r="L131" s="4">
        <v>25.82</v>
      </c>
      <c r="M131" s="4">
        <v>137050000</v>
      </c>
      <c r="N131" s="4"/>
      <c r="O131" s="4"/>
      <c r="P131" s="4"/>
      <c r="Q131" s="4"/>
      <c r="R131" s="4"/>
      <c r="T131" s="27">
        <v>38940</v>
      </c>
      <c r="U131" s="4">
        <v>1266.74</v>
      </c>
      <c r="V131" s="4">
        <v>6070000128</v>
      </c>
    </row>
    <row r="132" spans="2:22" x14ac:dyDescent="0.2">
      <c r="B132" s="27">
        <v>36847</v>
      </c>
      <c r="C132" s="4">
        <v>56.219799999999999</v>
      </c>
      <c r="D132" s="4">
        <v>19470000</v>
      </c>
      <c r="E132" s="4"/>
      <c r="F132" s="4"/>
      <c r="G132" s="4"/>
      <c r="H132" s="4"/>
      <c r="I132" s="4"/>
      <c r="K132" s="27">
        <v>38933</v>
      </c>
      <c r="L132" s="4">
        <v>25.98</v>
      </c>
      <c r="M132" s="4">
        <v>206390000</v>
      </c>
      <c r="N132" s="4"/>
      <c r="O132" s="4"/>
      <c r="P132" s="4"/>
      <c r="Q132" s="4"/>
      <c r="R132" s="4"/>
      <c r="T132" s="27">
        <v>38933</v>
      </c>
      <c r="U132" s="4">
        <v>1279.3599999999999</v>
      </c>
      <c r="V132" s="4">
        <v>6840000000</v>
      </c>
    </row>
    <row r="133" spans="2:22" x14ac:dyDescent="0.2">
      <c r="B133" s="27">
        <v>36840</v>
      </c>
      <c r="C133" s="4">
        <v>55.691000000000003</v>
      </c>
      <c r="D133" s="4">
        <v>22130000</v>
      </c>
      <c r="E133" s="4"/>
      <c r="F133" s="4"/>
      <c r="G133" s="4"/>
      <c r="H133" s="4"/>
      <c r="I133" s="4"/>
      <c r="K133" s="27">
        <v>38926</v>
      </c>
      <c r="L133" s="4">
        <v>26.11</v>
      </c>
      <c r="M133" s="4">
        <v>188540000</v>
      </c>
      <c r="N133" s="4"/>
      <c r="O133" s="4"/>
      <c r="P133" s="4"/>
      <c r="Q133" s="4"/>
      <c r="R133" s="4"/>
      <c r="T133" s="27">
        <v>38926</v>
      </c>
      <c r="U133" s="4">
        <v>1278.55</v>
      </c>
      <c r="V133" s="4">
        <v>8049999872</v>
      </c>
    </row>
    <row r="134" spans="2:22" x14ac:dyDescent="0.2">
      <c r="B134" s="27">
        <v>36833</v>
      </c>
      <c r="C134" s="4">
        <v>52.871200000000002</v>
      </c>
      <c r="D134" s="4">
        <v>35250000</v>
      </c>
      <c r="E134" s="4"/>
      <c r="F134" s="4"/>
      <c r="G134" s="4"/>
      <c r="H134" s="4"/>
      <c r="I134" s="4"/>
      <c r="K134" s="27">
        <v>38919</v>
      </c>
      <c r="L134" s="4">
        <v>23.83</v>
      </c>
      <c r="M134" s="4">
        <v>154600000</v>
      </c>
      <c r="N134" s="4"/>
      <c r="O134" s="4"/>
      <c r="P134" s="4"/>
      <c r="Q134" s="4"/>
      <c r="R134" s="4"/>
      <c r="T134" s="27">
        <v>38919</v>
      </c>
      <c r="U134" s="4">
        <v>1240.29</v>
      </c>
      <c r="V134" s="4">
        <v>8810000384</v>
      </c>
    </row>
    <row r="135" spans="2:22" x14ac:dyDescent="0.2">
      <c r="B135" s="27">
        <v>36826</v>
      </c>
      <c r="C135" s="4">
        <v>51.343800000000002</v>
      </c>
      <c r="D135" s="4">
        <v>26860000</v>
      </c>
      <c r="E135" s="4"/>
      <c r="F135" s="4"/>
      <c r="G135" s="4"/>
      <c r="H135" s="4"/>
      <c r="I135" s="4"/>
      <c r="K135" s="27">
        <v>38912</v>
      </c>
      <c r="L135" s="4">
        <v>22.42</v>
      </c>
      <c r="M135" s="4">
        <v>112560000</v>
      </c>
      <c r="N135" s="4"/>
      <c r="O135" s="4"/>
      <c r="P135" s="4"/>
      <c r="Q135" s="4"/>
      <c r="R135" s="4"/>
      <c r="T135" s="27">
        <v>38912</v>
      </c>
      <c r="U135" s="4">
        <v>1236.2</v>
      </c>
      <c r="V135" s="4">
        <v>7539999744</v>
      </c>
    </row>
    <row r="136" spans="2:22" x14ac:dyDescent="0.2">
      <c r="B136" s="27">
        <v>36819</v>
      </c>
      <c r="C136" s="4">
        <v>47.701599999999999</v>
      </c>
      <c r="D136" s="4">
        <v>28140000</v>
      </c>
      <c r="E136" s="4"/>
      <c r="F136" s="4"/>
      <c r="G136" s="4"/>
      <c r="H136" s="4"/>
      <c r="I136" s="4"/>
      <c r="K136" s="27">
        <v>38905</v>
      </c>
      <c r="L136" s="4">
        <v>23.68</v>
      </c>
      <c r="M136" s="4">
        <v>83500000</v>
      </c>
      <c r="N136" s="4"/>
      <c r="O136" s="4"/>
      <c r="P136" s="4"/>
      <c r="Q136" s="4"/>
      <c r="R136" s="4"/>
      <c r="T136" s="27">
        <v>38905</v>
      </c>
      <c r="U136" s="4">
        <v>1265.48</v>
      </c>
      <c r="V136" s="4">
        <v>4409999872</v>
      </c>
    </row>
    <row r="137" spans="2:22" x14ac:dyDescent="0.2">
      <c r="B137" s="27">
        <v>36812</v>
      </c>
      <c r="C137" s="4">
        <v>51.637599999999999</v>
      </c>
      <c r="D137" s="4">
        <v>31000000</v>
      </c>
      <c r="E137" s="4"/>
      <c r="F137" s="4"/>
      <c r="G137" s="4"/>
      <c r="H137" s="4"/>
      <c r="I137" s="4"/>
      <c r="K137" s="27">
        <v>38898</v>
      </c>
      <c r="L137" s="4">
        <v>23.47</v>
      </c>
      <c r="M137" s="4">
        <v>130100000</v>
      </c>
      <c r="N137" s="4">
        <v>-1725</v>
      </c>
      <c r="O137" s="4"/>
      <c r="P137" s="4"/>
      <c r="Q137" s="4"/>
      <c r="R137" s="4"/>
      <c r="T137" s="27">
        <v>38898</v>
      </c>
      <c r="U137" s="4">
        <v>1270.2</v>
      </c>
      <c r="V137" s="4">
        <v>7420000256</v>
      </c>
    </row>
    <row r="138" spans="2:22" x14ac:dyDescent="0.2">
      <c r="B138" s="27">
        <v>36805</v>
      </c>
      <c r="C138" s="4">
        <v>53.4587</v>
      </c>
      <c r="D138" s="4">
        <v>19300000</v>
      </c>
      <c r="E138" s="4"/>
      <c r="F138" s="4"/>
      <c r="G138" s="4"/>
      <c r="H138" s="4"/>
      <c r="I138" s="4"/>
      <c r="K138" s="27">
        <v>38891</v>
      </c>
      <c r="L138" s="4">
        <v>22.64</v>
      </c>
      <c r="M138" s="4">
        <v>160400000</v>
      </c>
      <c r="N138" s="4"/>
      <c r="O138" s="4"/>
      <c r="P138" s="4"/>
      <c r="Q138" s="4"/>
      <c r="R138" s="4"/>
      <c r="T138" s="27">
        <v>38891</v>
      </c>
      <c r="U138" s="4">
        <v>1244.5</v>
      </c>
      <c r="V138" s="4">
        <v>6860000256</v>
      </c>
    </row>
    <row r="139" spans="2:22" x14ac:dyDescent="0.2">
      <c r="B139" s="27">
        <v>36798</v>
      </c>
      <c r="C139" s="4">
        <v>56.572200000000002</v>
      </c>
      <c r="D139" s="4">
        <v>31440000</v>
      </c>
      <c r="E139" s="4">
        <v>-179</v>
      </c>
      <c r="F139" s="4"/>
      <c r="G139" s="4"/>
      <c r="H139" s="4"/>
      <c r="I139" s="4"/>
      <c r="K139" s="27">
        <v>38884</v>
      </c>
      <c r="L139" s="4">
        <v>23.43</v>
      </c>
      <c r="M139" s="4">
        <v>137940000</v>
      </c>
      <c r="N139" s="4"/>
      <c r="O139" s="4"/>
      <c r="P139" s="4"/>
      <c r="Q139" s="4"/>
      <c r="R139" s="4"/>
      <c r="T139" s="27">
        <v>38884</v>
      </c>
      <c r="U139" s="4">
        <v>1251.54</v>
      </c>
      <c r="V139" s="4">
        <v>9029999616</v>
      </c>
    </row>
    <row r="140" spans="2:22" x14ac:dyDescent="0.2">
      <c r="B140" s="27">
        <v>36791</v>
      </c>
      <c r="C140" s="4">
        <v>55.456099999999999</v>
      </c>
      <c r="D140" s="4">
        <v>23340000</v>
      </c>
      <c r="E140" s="4"/>
      <c r="F140" s="4"/>
      <c r="G140" s="4"/>
      <c r="H140" s="4"/>
      <c r="I140" s="4"/>
      <c r="K140" s="27">
        <v>38877</v>
      </c>
      <c r="L140" s="4">
        <v>23.53</v>
      </c>
      <c r="M140" s="4">
        <v>144090000</v>
      </c>
      <c r="N140" s="4"/>
      <c r="O140" s="4"/>
      <c r="P140" s="4"/>
      <c r="Q140" s="4"/>
      <c r="R140" s="4"/>
      <c r="T140" s="27">
        <v>38877</v>
      </c>
      <c r="U140" s="4">
        <v>1252.3</v>
      </c>
      <c r="V140" s="4">
        <v>8369999872</v>
      </c>
    </row>
    <row r="141" spans="2:22" x14ac:dyDescent="0.2">
      <c r="B141" s="27">
        <v>36784</v>
      </c>
      <c r="C141" s="4">
        <v>50.756399999999999</v>
      </c>
      <c r="D141" s="4">
        <v>20340000</v>
      </c>
      <c r="E141" s="4"/>
      <c r="F141" s="4"/>
      <c r="G141" s="4"/>
      <c r="H141" s="4"/>
      <c r="I141" s="4"/>
      <c r="K141" s="27">
        <v>38870</v>
      </c>
      <c r="L141" s="4">
        <v>24.19</v>
      </c>
      <c r="M141" s="4">
        <v>94790000</v>
      </c>
      <c r="N141" s="4"/>
      <c r="O141" s="4"/>
      <c r="P141" s="4"/>
      <c r="Q141" s="4"/>
      <c r="R141" s="4"/>
      <c r="T141" s="27">
        <v>38870</v>
      </c>
      <c r="U141" s="4">
        <v>1288.22</v>
      </c>
      <c r="V141" s="4">
        <v>6230000128</v>
      </c>
    </row>
    <row r="142" spans="2:22" x14ac:dyDescent="0.2">
      <c r="B142" s="27">
        <v>36777</v>
      </c>
      <c r="C142" s="4">
        <v>51.542099999999998</v>
      </c>
      <c r="D142" s="4">
        <v>13790000</v>
      </c>
      <c r="E142" s="4"/>
      <c r="F142" s="4"/>
      <c r="G142" s="4"/>
      <c r="H142" s="4"/>
      <c r="I142" s="4"/>
      <c r="K142" s="27">
        <v>38863</v>
      </c>
      <c r="L142" s="4">
        <v>24</v>
      </c>
      <c r="M142" s="4">
        <v>130150000</v>
      </c>
      <c r="N142" s="4"/>
      <c r="O142" s="4"/>
      <c r="P142" s="4"/>
      <c r="Q142" s="4"/>
      <c r="R142" s="4"/>
      <c r="T142" s="27">
        <v>38863</v>
      </c>
      <c r="U142" s="4">
        <v>1280.1600000000001</v>
      </c>
      <c r="V142" s="4">
        <v>8179999744</v>
      </c>
    </row>
    <row r="143" spans="2:22" x14ac:dyDescent="0.2">
      <c r="B143" s="27">
        <v>36770</v>
      </c>
      <c r="C143" s="4">
        <v>54.868600000000001</v>
      </c>
      <c r="D143" s="4">
        <v>14030000</v>
      </c>
      <c r="E143" s="4"/>
      <c r="F143" s="4"/>
      <c r="G143" s="4"/>
      <c r="H143" s="4"/>
      <c r="I143" s="4"/>
      <c r="K143" s="27">
        <v>38856</v>
      </c>
      <c r="L143" s="4">
        <v>23.82</v>
      </c>
      <c r="M143" s="4">
        <v>144900000</v>
      </c>
      <c r="N143" s="4"/>
      <c r="O143" s="4"/>
      <c r="P143" s="4"/>
      <c r="Q143" s="4"/>
      <c r="R143" s="4"/>
      <c r="T143" s="27">
        <v>38856</v>
      </c>
      <c r="U143" s="4">
        <v>1267.03</v>
      </c>
      <c r="V143" s="4">
        <v>8839999488</v>
      </c>
    </row>
    <row r="144" spans="2:22" x14ac:dyDescent="0.2">
      <c r="B144" s="27">
        <v>36763</v>
      </c>
      <c r="C144" s="4">
        <v>55.456099999999999</v>
      </c>
      <c r="D144" s="4">
        <v>12420000</v>
      </c>
      <c r="E144" s="4"/>
      <c r="F144" s="4"/>
      <c r="G144" s="4"/>
      <c r="H144" s="4"/>
      <c r="I144" s="4"/>
      <c r="K144" s="27">
        <v>38849</v>
      </c>
      <c r="L144" s="4">
        <v>24.5</v>
      </c>
      <c r="M144" s="4">
        <v>123230000</v>
      </c>
      <c r="N144" s="4"/>
      <c r="O144" s="4"/>
      <c r="P144" s="4"/>
      <c r="Q144" s="4"/>
      <c r="R144" s="4"/>
      <c r="T144" s="27">
        <v>38849</v>
      </c>
      <c r="U144" s="4">
        <v>1291.24</v>
      </c>
      <c r="V144" s="4">
        <v>7870000128</v>
      </c>
    </row>
    <row r="145" spans="2:22" x14ac:dyDescent="0.2">
      <c r="B145" s="27">
        <v>36756</v>
      </c>
      <c r="C145" s="4">
        <v>54.497799999999998</v>
      </c>
      <c r="D145" s="4">
        <v>15280000</v>
      </c>
      <c r="E145" s="4"/>
      <c r="F145" s="4"/>
      <c r="G145" s="4"/>
      <c r="H145" s="4"/>
      <c r="I145" s="4"/>
      <c r="K145" s="27">
        <v>38842</v>
      </c>
      <c r="L145" s="4">
        <v>25.41</v>
      </c>
      <c r="M145" s="4">
        <v>121230000</v>
      </c>
      <c r="N145" s="4"/>
      <c r="O145" s="4"/>
      <c r="P145" s="4"/>
      <c r="Q145" s="4"/>
      <c r="R145" s="4"/>
      <c r="T145" s="27">
        <v>38842</v>
      </c>
      <c r="U145" s="4">
        <v>1325.76</v>
      </c>
      <c r="V145" s="4">
        <v>7980000256</v>
      </c>
    </row>
    <row r="146" spans="2:22" x14ac:dyDescent="0.2">
      <c r="B146" s="27">
        <v>36749</v>
      </c>
      <c r="C146" s="4">
        <v>52.8125</v>
      </c>
      <c r="D146" s="4">
        <v>25430000</v>
      </c>
      <c r="E146" s="4"/>
      <c r="F146" s="4"/>
      <c r="G146" s="4"/>
      <c r="H146" s="4"/>
      <c r="I146" s="4"/>
      <c r="K146" s="27">
        <v>38835</v>
      </c>
      <c r="L146" s="4">
        <v>25.33</v>
      </c>
      <c r="M146" s="4">
        <v>134600000</v>
      </c>
      <c r="N146" s="4"/>
      <c r="O146" s="4"/>
      <c r="P146" s="4"/>
      <c r="Q146" s="4"/>
      <c r="R146" s="4"/>
      <c r="T146" s="27">
        <v>38835</v>
      </c>
      <c r="U146" s="4">
        <v>1310.6099999999999</v>
      </c>
      <c r="V146" s="4">
        <v>8869999616</v>
      </c>
    </row>
    <row r="147" spans="2:22" x14ac:dyDescent="0.2">
      <c r="B147" s="27">
        <v>36742</v>
      </c>
      <c r="C147" s="4">
        <v>53.4</v>
      </c>
      <c r="D147" s="4">
        <v>23450000</v>
      </c>
      <c r="E147" s="4"/>
      <c r="F147" s="4"/>
      <c r="G147" s="4"/>
      <c r="H147" s="4"/>
      <c r="I147" s="4"/>
      <c r="K147" s="27">
        <v>38828</v>
      </c>
      <c r="L147" s="4">
        <v>24.87</v>
      </c>
      <c r="M147" s="4">
        <v>125650000</v>
      </c>
      <c r="N147" s="4"/>
      <c r="O147" s="4"/>
      <c r="P147" s="4"/>
      <c r="Q147" s="4"/>
      <c r="R147" s="4"/>
      <c r="T147" s="27">
        <v>38828</v>
      </c>
      <c r="U147" s="4">
        <v>1311.28</v>
      </c>
      <c r="V147" s="4">
        <v>8190000128</v>
      </c>
    </row>
    <row r="148" spans="2:22" x14ac:dyDescent="0.2">
      <c r="B148" s="27">
        <v>36735</v>
      </c>
      <c r="C148" s="4">
        <v>52.695</v>
      </c>
      <c r="D148" s="4">
        <v>33280000</v>
      </c>
      <c r="E148" s="4"/>
      <c r="F148" s="4"/>
      <c r="G148" s="4"/>
      <c r="H148" s="4"/>
      <c r="I148" s="4"/>
      <c r="K148" s="27">
        <v>38821</v>
      </c>
      <c r="L148" s="4">
        <v>24.5</v>
      </c>
      <c r="M148" s="4">
        <v>78000000</v>
      </c>
      <c r="N148" s="4"/>
      <c r="O148" s="4"/>
      <c r="P148" s="4"/>
      <c r="Q148" s="4"/>
      <c r="R148" s="4"/>
      <c r="T148" s="27">
        <v>38821</v>
      </c>
      <c r="U148" s="4">
        <v>1289.1199999999999</v>
      </c>
      <c r="V148" s="4">
        <v>5209999872</v>
      </c>
    </row>
    <row r="149" spans="2:22" x14ac:dyDescent="0.2">
      <c r="B149" s="27">
        <v>36728</v>
      </c>
      <c r="C149" s="4">
        <v>48.8765</v>
      </c>
      <c r="D149" s="4">
        <v>17330000</v>
      </c>
      <c r="E149" s="4"/>
      <c r="F149" s="4"/>
      <c r="G149" s="4"/>
      <c r="H149" s="4"/>
      <c r="I149" s="4"/>
      <c r="K149" s="27">
        <v>38814</v>
      </c>
      <c r="L149" s="4">
        <v>24.69</v>
      </c>
      <c r="M149" s="4">
        <v>104940000</v>
      </c>
      <c r="N149" s="4"/>
      <c r="O149" s="4"/>
      <c r="P149" s="4"/>
      <c r="Q149" s="4"/>
      <c r="R149" s="4"/>
      <c r="T149" s="27">
        <v>38814</v>
      </c>
      <c r="U149" s="4">
        <v>1295.5</v>
      </c>
      <c r="V149" s="4">
        <v>7510000128</v>
      </c>
    </row>
    <row r="150" spans="2:22" x14ac:dyDescent="0.2">
      <c r="B150" s="27">
        <v>36721</v>
      </c>
      <c r="C150" s="4">
        <v>52.401299999999999</v>
      </c>
      <c r="D150" s="4">
        <v>19640000</v>
      </c>
      <c r="E150" s="4"/>
      <c r="F150" s="4"/>
      <c r="G150" s="4"/>
      <c r="H150" s="4"/>
      <c r="I150" s="4"/>
      <c r="K150" s="27">
        <v>38807</v>
      </c>
      <c r="L150" s="4">
        <v>24.92</v>
      </c>
      <c r="M150" s="4">
        <v>121190000</v>
      </c>
      <c r="N150" s="4">
        <v>-1743</v>
      </c>
      <c r="O150" s="4"/>
      <c r="P150" s="4"/>
      <c r="Q150" s="4"/>
      <c r="R150" s="4"/>
      <c r="T150" s="27">
        <v>38807</v>
      </c>
      <c r="U150" s="4">
        <v>1294.83</v>
      </c>
      <c r="V150" s="4">
        <v>7379999744</v>
      </c>
    </row>
    <row r="151" spans="2:22" x14ac:dyDescent="0.2">
      <c r="B151" s="27">
        <v>36714</v>
      </c>
      <c r="C151" s="4">
        <v>51.520099999999999</v>
      </c>
      <c r="D151" s="4">
        <v>12050000</v>
      </c>
      <c r="E151" s="4"/>
      <c r="F151" s="4"/>
      <c r="G151" s="4"/>
      <c r="H151" s="4"/>
      <c r="I151" s="4"/>
      <c r="K151" s="27">
        <v>38800</v>
      </c>
      <c r="L151" s="4">
        <v>26.02</v>
      </c>
      <c r="M151" s="4">
        <v>102300000</v>
      </c>
      <c r="N151" s="4"/>
      <c r="O151" s="4"/>
      <c r="P151" s="4"/>
      <c r="Q151" s="4"/>
      <c r="R151" s="4"/>
      <c r="T151" s="27">
        <v>38800</v>
      </c>
      <c r="U151" s="4">
        <v>1302.95</v>
      </c>
      <c r="V151" s="4">
        <v>7329999872</v>
      </c>
    </row>
    <row r="152" spans="2:22" x14ac:dyDescent="0.2">
      <c r="B152" s="27">
        <v>36707</v>
      </c>
      <c r="C152" s="4">
        <v>48.582799999999999</v>
      </c>
      <c r="D152" s="4">
        <v>26900000</v>
      </c>
      <c r="E152" s="4">
        <v>-171</v>
      </c>
      <c r="F152" s="4"/>
      <c r="G152" s="4"/>
      <c r="H152" s="4"/>
      <c r="I152" s="4"/>
      <c r="K152" s="27">
        <v>38793</v>
      </c>
      <c r="L152" s="4">
        <v>26.39</v>
      </c>
      <c r="M152" s="4">
        <v>122420000</v>
      </c>
      <c r="N152" s="4"/>
      <c r="O152" s="4"/>
      <c r="P152" s="4"/>
      <c r="Q152" s="4"/>
      <c r="R152" s="4"/>
      <c r="T152" s="27">
        <v>38793</v>
      </c>
      <c r="U152" s="4">
        <v>1307.25</v>
      </c>
      <c r="V152" s="4">
        <v>8089999872</v>
      </c>
    </row>
    <row r="153" spans="2:22" x14ac:dyDescent="0.2">
      <c r="B153" s="27">
        <v>36700</v>
      </c>
      <c r="C153" s="4">
        <v>49.8752</v>
      </c>
      <c r="D153" s="4">
        <v>19890000</v>
      </c>
      <c r="E153" s="4"/>
      <c r="F153" s="4"/>
      <c r="G153" s="4"/>
      <c r="H153" s="4"/>
      <c r="I153" s="4"/>
      <c r="K153" s="27">
        <v>38786</v>
      </c>
      <c r="L153" s="4">
        <v>26.08</v>
      </c>
      <c r="M153" s="4">
        <v>111190000</v>
      </c>
      <c r="N153" s="4"/>
      <c r="O153" s="4"/>
      <c r="P153" s="4"/>
      <c r="Q153" s="4"/>
      <c r="R153" s="4"/>
      <c r="T153" s="27">
        <v>38786</v>
      </c>
      <c r="U153" s="4">
        <v>1281.58</v>
      </c>
      <c r="V153" s="4">
        <v>7489999872</v>
      </c>
    </row>
    <row r="154" spans="2:22" x14ac:dyDescent="0.2">
      <c r="B154" s="27">
        <v>36693</v>
      </c>
      <c r="C154" s="4">
        <v>52.695</v>
      </c>
      <c r="D154" s="4">
        <v>17420000</v>
      </c>
      <c r="E154" s="4"/>
      <c r="F154" s="4"/>
      <c r="G154" s="4"/>
      <c r="H154" s="4"/>
      <c r="I154" s="4"/>
      <c r="K154" s="27">
        <v>38779</v>
      </c>
      <c r="L154" s="4">
        <v>26.34</v>
      </c>
      <c r="M154" s="4">
        <v>136900000</v>
      </c>
      <c r="N154" s="4"/>
      <c r="O154" s="4"/>
      <c r="P154" s="4"/>
      <c r="Q154" s="4"/>
      <c r="R154" s="4"/>
      <c r="T154" s="27">
        <v>38779</v>
      </c>
      <c r="U154" s="4">
        <v>1287.23</v>
      </c>
      <c r="V154" s="4">
        <v>8060000256</v>
      </c>
    </row>
    <row r="155" spans="2:22" x14ac:dyDescent="0.2">
      <c r="B155" s="27">
        <v>36686</v>
      </c>
      <c r="C155" s="4">
        <v>48.935299999999998</v>
      </c>
      <c r="D155" s="4">
        <v>14440000</v>
      </c>
      <c r="E155" s="4"/>
      <c r="F155" s="4"/>
      <c r="G155" s="4"/>
      <c r="H155" s="4"/>
      <c r="I155" s="4"/>
      <c r="K155" s="27">
        <v>38772</v>
      </c>
      <c r="L155" s="4">
        <v>26.37</v>
      </c>
      <c r="M155" s="4">
        <v>91210000</v>
      </c>
      <c r="N155" s="4"/>
      <c r="O155" s="4"/>
      <c r="P155" s="4"/>
      <c r="Q155" s="4"/>
      <c r="R155" s="4"/>
      <c r="T155" s="27">
        <v>38772</v>
      </c>
      <c r="U155" s="4">
        <v>1289.43</v>
      </c>
      <c r="V155" s="4">
        <v>5510000128</v>
      </c>
    </row>
    <row r="156" spans="2:22" x14ac:dyDescent="0.2">
      <c r="B156" s="27">
        <v>36679</v>
      </c>
      <c r="C156" s="4">
        <v>46.350499999999997</v>
      </c>
      <c r="D156" s="4">
        <v>12420000</v>
      </c>
      <c r="E156" s="4"/>
      <c r="F156" s="4"/>
      <c r="G156" s="4"/>
      <c r="H156" s="4"/>
      <c r="I156" s="4"/>
      <c r="K156" s="27">
        <v>38765</v>
      </c>
      <c r="L156" s="4">
        <v>25.82</v>
      </c>
      <c r="M156" s="4">
        <v>132210000</v>
      </c>
      <c r="N156" s="4"/>
      <c r="O156" s="4"/>
      <c r="P156" s="4"/>
      <c r="Q156" s="4"/>
      <c r="R156" s="4"/>
      <c r="T156" s="27">
        <v>38765</v>
      </c>
      <c r="U156" s="4">
        <v>1287.24</v>
      </c>
      <c r="V156" s="4">
        <v>7379999744</v>
      </c>
    </row>
    <row r="157" spans="2:22" x14ac:dyDescent="0.2">
      <c r="B157" s="27">
        <v>36672</v>
      </c>
      <c r="C157" s="4">
        <v>48.641500000000001</v>
      </c>
      <c r="D157" s="4">
        <v>17560000</v>
      </c>
      <c r="E157" s="4"/>
      <c r="F157" s="4"/>
      <c r="G157" s="4"/>
      <c r="H157" s="4"/>
      <c r="I157" s="4"/>
      <c r="K157" s="27">
        <v>38758</v>
      </c>
      <c r="L157" s="4">
        <v>25.68</v>
      </c>
      <c r="M157" s="4">
        <v>216750000</v>
      </c>
      <c r="N157" s="4"/>
      <c r="O157" s="4"/>
      <c r="P157" s="4"/>
      <c r="Q157" s="4"/>
      <c r="R157" s="4"/>
      <c r="T157" s="27">
        <v>38758</v>
      </c>
      <c r="U157" s="4">
        <v>1266.99</v>
      </c>
      <c r="V157" s="4">
        <v>7889999872</v>
      </c>
    </row>
    <row r="158" spans="2:22" x14ac:dyDescent="0.2">
      <c r="B158" s="27">
        <v>36665</v>
      </c>
      <c r="C158" s="4">
        <v>51.637599999999999</v>
      </c>
      <c r="D158" s="4">
        <v>16160000</v>
      </c>
      <c r="E158" s="4"/>
      <c r="F158" s="4"/>
      <c r="G158" s="4"/>
      <c r="H158" s="4"/>
      <c r="I158" s="4"/>
      <c r="K158" s="27">
        <v>38751</v>
      </c>
      <c r="L158" s="4">
        <v>25.28</v>
      </c>
      <c r="M158" s="4">
        <v>144760000</v>
      </c>
      <c r="N158" s="4"/>
      <c r="O158" s="4"/>
      <c r="P158" s="4"/>
      <c r="Q158" s="4"/>
      <c r="R158" s="4"/>
      <c r="T158" s="27">
        <v>38751</v>
      </c>
      <c r="U158" s="4">
        <v>1264.03</v>
      </c>
      <c r="V158" s="4">
        <v>8750000128</v>
      </c>
    </row>
    <row r="159" spans="2:22" x14ac:dyDescent="0.2">
      <c r="B159" s="27">
        <v>36658</v>
      </c>
      <c r="C159" s="4">
        <v>50.2864</v>
      </c>
      <c r="D159" s="4">
        <v>22310000</v>
      </c>
      <c r="E159" s="4"/>
      <c r="F159" s="4"/>
      <c r="G159" s="4"/>
      <c r="H159" s="4"/>
      <c r="I159" s="4"/>
      <c r="K159" s="27">
        <v>38744</v>
      </c>
      <c r="L159" s="4">
        <v>25.99</v>
      </c>
      <c r="M159" s="4">
        <v>186880000</v>
      </c>
      <c r="N159" s="4"/>
      <c r="O159" s="4"/>
      <c r="P159" s="4"/>
      <c r="Q159" s="4"/>
      <c r="R159" s="4"/>
      <c r="T159" s="27">
        <v>38744</v>
      </c>
      <c r="U159" s="4">
        <v>1283.72</v>
      </c>
      <c r="V159" s="4">
        <v>8979999744</v>
      </c>
    </row>
    <row r="160" spans="2:22" x14ac:dyDescent="0.2">
      <c r="B160" s="27">
        <v>36651</v>
      </c>
      <c r="C160" s="4">
        <v>50.756399999999999</v>
      </c>
      <c r="D160" s="4">
        <v>27720000</v>
      </c>
      <c r="E160" s="4"/>
      <c r="F160" s="4"/>
      <c r="G160" s="4"/>
      <c r="H160" s="4"/>
      <c r="I160" s="4"/>
      <c r="K160" s="27">
        <v>38737</v>
      </c>
      <c r="L160" s="4">
        <v>24.71</v>
      </c>
      <c r="M160" s="4">
        <v>174900000</v>
      </c>
      <c r="N160" s="4"/>
      <c r="O160" s="4"/>
      <c r="P160" s="4"/>
      <c r="Q160" s="4"/>
      <c r="R160" s="4"/>
      <c r="T160" s="27">
        <v>38737</v>
      </c>
      <c r="U160" s="4">
        <v>1261.48</v>
      </c>
      <c r="V160" s="4">
        <v>6300000256</v>
      </c>
    </row>
    <row r="161" spans="2:22" x14ac:dyDescent="0.2">
      <c r="B161" s="27">
        <v>36644</v>
      </c>
      <c r="C161" s="4">
        <v>46.937899999999999</v>
      </c>
      <c r="D161" s="4">
        <v>33440000</v>
      </c>
      <c r="E161" s="4"/>
      <c r="F161" s="4"/>
      <c r="G161" s="4"/>
      <c r="H161" s="4"/>
      <c r="I161" s="4"/>
      <c r="K161" s="27">
        <v>38730</v>
      </c>
      <c r="L161" s="4">
        <v>24.67</v>
      </c>
      <c r="M161" s="4">
        <v>133140000</v>
      </c>
      <c r="N161" s="4"/>
      <c r="O161" s="4"/>
      <c r="P161" s="4"/>
      <c r="Q161" s="4"/>
      <c r="R161" s="4"/>
      <c r="T161" s="27">
        <v>38730</v>
      </c>
      <c r="U161" s="4">
        <v>1287.5999999999999</v>
      </c>
      <c r="V161" s="4">
        <v>6849999872</v>
      </c>
    </row>
    <row r="162" spans="2:22" x14ac:dyDescent="0.2">
      <c r="B162" s="27">
        <v>36637</v>
      </c>
      <c r="C162" s="4">
        <v>54.751100000000001</v>
      </c>
      <c r="D162" s="4">
        <v>27580000</v>
      </c>
      <c r="E162" s="4"/>
      <c r="F162" s="4"/>
      <c r="G162" s="4"/>
      <c r="H162" s="4"/>
      <c r="I162" s="4"/>
      <c r="K162" s="27">
        <v>38723</v>
      </c>
      <c r="L162" s="4">
        <v>24.85</v>
      </c>
      <c r="M162" s="4">
        <v>153150000</v>
      </c>
      <c r="N162" s="4"/>
      <c r="O162" s="4"/>
      <c r="P162" s="4"/>
      <c r="Q162" s="4"/>
      <c r="R162" s="4"/>
      <c r="T162" s="27">
        <v>38723</v>
      </c>
      <c r="U162" s="4">
        <v>1285.45</v>
      </c>
      <c r="V162" s="4">
        <v>5920000000</v>
      </c>
    </row>
    <row r="163" spans="2:22" x14ac:dyDescent="0.2">
      <c r="B163" s="27">
        <v>36630</v>
      </c>
      <c r="C163" s="4">
        <v>49.933999999999997</v>
      </c>
      <c r="D163" s="4">
        <v>33390000</v>
      </c>
      <c r="E163" s="4"/>
      <c r="F163" s="4"/>
      <c r="G163" s="4"/>
      <c r="H163" s="4"/>
      <c r="I163" s="4"/>
      <c r="K163" s="27">
        <v>38716</v>
      </c>
      <c r="L163" s="4">
        <v>23.32</v>
      </c>
      <c r="M163" s="4">
        <v>107920000</v>
      </c>
      <c r="N163" s="4">
        <v>-1378</v>
      </c>
      <c r="O163" s="4"/>
      <c r="P163" s="4"/>
      <c r="Q163" s="4"/>
      <c r="R163" s="4"/>
      <c r="T163" s="27">
        <v>38716</v>
      </c>
      <c r="U163" s="4">
        <v>1248.29</v>
      </c>
      <c r="V163" s="4">
        <v>3300000000</v>
      </c>
    </row>
    <row r="164" spans="2:22" x14ac:dyDescent="0.2">
      <c r="B164" s="27">
        <v>36623</v>
      </c>
      <c r="C164" s="4">
        <v>49.992699999999999</v>
      </c>
      <c r="D164" s="4">
        <v>41610000</v>
      </c>
      <c r="E164" s="4"/>
      <c r="F164" s="4"/>
      <c r="G164" s="4"/>
      <c r="H164" s="4"/>
      <c r="I164" s="4"/>
      <c r="K164" s="27">
        <v>38709</v>
      </c>
      <c r="L164" s="4">
        <v>23.96</v>
      </c>
      <c r="M164" s="4">
        <v>273740000</v>
      </c>
      <c r="N164" s="4"/>
      <c r="O164" s="4"/>
      <c r="P164" s="4"/>
      <c r="Q164" s="4"/>
      <c r="R164" s="4"/>
      <c r="T164" s="27">
        <v>38709</v>
      </c>
      <c r="U164" s="4">
        <v>1268.6600000000001</v>
      </c>
      <c r="V164" s="4">
        <v>5489999872</v>
      </c>
    </row>
    <row r="165" spans="2:22" x14ac:dyDescent="0.2">
      <c r="B165" s="27">
        <v>36616</v>
      </c>
      <c r="C165" s="4">
        <v>48.406599999999997</v>
      </c>
      <c r="D165" s="4">
        <v>19590000</v>
      </c>
      <c r="E165" s="4">
        <v>-163</v>
      </c>
      <c r="F165" s="4"/>
      <c r="G165" s="4"/>
      <c r="H165" s="4"/>
      <c r="I165" s="4"/>
      <c r="K165" s="27">
        <v>38702</v>
      </c>
      <c r="L165" s="4">
        <v>22.58</v>
      </c>
      <c r="M165" s="4">
        <v>328320000</v>
      </c>
      <c r="N165" s="4"/>
      <c r="O165" s="4"/>
      <c r="P165" s="4"/>
      <c r="Q165" s="4"/>
      <c r="R165" s="4"/>
      <c r="T165" s="27">
        <v>38702</v>
      </c>
      <c r="U165" s="4">
        <v>1267.32</v>
      </c>
      <c r="V165" s="4">
        <v>7200000000</v>
      </c>
    </row>
    <row r="166" spans="2:22" x14ac:dyDescent="0.2">
      <c r="B166" s="27">
        <v>36609</v>
      </c>
      <c r="C166" s="4">
        <v>44.411799999999999</v>
      </c>
      <c r="D166" s="4">
        <v>22640000</v>
      </c>
      <c r="E166" s="4"/>
      <c r="F166" s="4"/>
      <c r="G166" s="4"/>
      <c r="H166" s="4"/>
      <c r="I166" s="4"/>
      <c r="K166" s="27">
        <v>38695</v>
      </c>
      <c r="L166" s="4">
        <v>20.6</v>
      </c>
      <c r="M166" s="4">
        <v>170640000</v>
      </c>
      <c r="N166" s="4"/>
      <c r="O166" s="4"/>
      <c r="P166" s="4"/>
      <c r="Q166" s="4"/>
      <c r="R166" s="4"/>
      <c r="T166" s="27">
        <v>38695</v>
      </c>
      <c r="U166" s="4">
        <v>1259.3699999999999</v>
      </c>
      <c r="V166" s="4">
        <v>6249999872</v>
      </c>
    </row>
    <row r="167" spans="2:22" x14ac:dyDescent="0.2">
      <c r="B167" s="27">
        <v>36602</v>
      </c>
      <c r="C167" s="4">
        <v>43.706899999999997</v>
      </c>
      <c r="D167" s="4">
        <v>25070000</v>
      </c>
      <c r="E167" s="4"/>
      <c r="F167" s="4"/>
      <c r="G167" s="4"/>
      <c r="H167" s="4"/>
      <c r="I167" s="4"/>
      <c r="K167" s="27">
        <v>38688</v>
      </c>
      <c r="L167" s="4">
        <v>21.3</v>
      </c>
      <c r="M167" s="4">
        <v>145970000</v>
      </c>
      <c r="N167" s="4"/>
      <c r="O167" s="4"/>
      <c r="P167" s="4"/>
      <c r="Q167" s="4"/>
      <c r="R167" s="4"/>
      <c r="T167" s="27">
        <v>38688</v>
      </c>
      <c r="U167" s="4">
        <v>1265.08</v>
      </c>
      <c r="V167" s="4">
        <v>6630000128</v>
      </c>
    </row>
    <row r="168" spans="2:22" x14ac:dyDescent="0.2">
      <c r="B168" s="27">
        <v>36595</v>
      </c>
      <c r="C168" s="4">
        <v>37.362299999999998</v>
      </c>
      <c r="D168" s="4">
        <v>21160000</v>
      </c>
      <c r="E168" s="4"/>
      <c r="F168" s="4"/>
      <c r="G168" s="4"/>
      <c r="H168" s="4"/>
      <c r="I168" s="4"/>
      <c r="K168" s="27">
        <v>38681</v>
      </c>
      <c r="L168" s="4">
        <v>21.67</v>
      </c>
      <c r="M168" s="4">
        <v>93670000</v>
      </c>
      <c r="N168" s="4"/>
      <c r="O168" s="4"/>
      <c r="P168" s="4"/>
      <c r="Q168" s="4"/>
      <c r="R168" s="4"/>
      <c r="T168" s="27">
        <v>38681</v>
      </c>
      <c r="U168" s="4">
        <v>1268.25</v>
      </c>
      <c r="V168" s="4">
        <v>4289999872</v>
      </c>
    </row>
    <row r="169" spans="2:22" x14ac:dyDescent="0.2">
      <c r="B169" s="27">
        <v>36588</v>
      </c>
      <c r="C169" s="4">
        <v>34.718800000000002</v>
      </c>
      <c r="D169" s="4">
        <v>13670000</v>
      </c>
      <c r="E169" s="4"/>
      <c r="F169" s="4"/>
      <c r="G169" s="4"/>
      <c r="H169" s="4"/>
      <c r="I169" s="4"/>
      <c r="K169" s="27">
        <v>38674</v>
      </c>
      <c r="L169" s="4">
        <v>21.6</v>
      </c>
      <c r="M169" s="4">
        <v>173270000</v>
      </c>
      <c r="N169" s="4"/>
      <c r="O169" s="4"/>
      <c r="P169" s="4"/>
      <c r="Q169" s="4"/>
      <c r="R169" s="4"/>
      <c r="T169" s="27">
        <v>38674</v>
      </c>
      <c r="U169" s="4">
        <v>1248.27</v>
      </c>
      <c r="V169" s="4">
        <v>6670000128</v>
      </c>
    </row>
    <row r="170" spans="2:22" x14ac:dyDescent="0.2">
      <c r="B170" s="27">
        <v>36581</v>
      </c>
      <c r="C170" s="4">
        <v>36.304900000000004</v>
      </c>
      <c r="D170" s="4">
        <v>9790000</v>
      </c>
      <c r="E170" s="4"/>
      <c r="F170" s="4"/>
      <c r="G170" s="4"/>
      <c r="H170" s="4"/>
      <c r="I170" s="4"/>
      <c r="K170" s="27">
        <v>38667</v>
      </c>
      <c r="L170" s="4">
        <v>22.43</v>
      </c>
      <c r="M170" s="4">
        <v>131740000</v>
      </c>
      <c r="N170" s="4"/>
      <c r="O170" s="4"/>
      <c r="P170" s="4"/>
      <c r="Q170" s="4"/>
      <c r="R170" s="4"/>
      <c r="T170" s="27">
        <v>38667</v>
      </c>
      <c r="U170" s="4">
        <v>1234.71</v>
      </c>
      <c r="V170" s="4">
        <v>6259999744</v>
      </c>
    </row>
    <row r="171" spans="2:22" x14ac:dyDescent="0.2">
      <c r="B171" s="27">
        <v>36574</v>
      </c>
      <c r="C171" s="4">
        <v>36.7455</v>
      </c>
      <c r="D171" s="4">
        <v>11970000</v>
      </c>
      <c r="E171" s="4"/>
      <c r="F171" s="4"/>
      <c r="G171" s="4"/>
      <c r="H171" s="4"/>
      <c r="I171" s="4"/>
      <c r="K171" s="27">
        <v>38660</v>
      </c>
      <c r="L171" s="4">
        <v>22.26</v>
      </c>
      <c r="M171" s="4">
        <v>227460000</v>
      </c>
      <c r="N171" s="4"/>
      <c r="O171" s="4"/>
      <c r="P171" s="4"/>
      <c r="Q171" s="4"/>
      <c r="R171" s="4"/>
      <c r="T171" s="27">
        <v>38660</v>
      </c>
      <c r="U171" s="4">
        <v>1220.1400000000001</v>
      </c>
      <c r="V171" s="4">
        <v>7840000000</v>
      </c>
    </row>
    <row r="172" spans="2:22" x14ac:dyDescent="0.2">
      <c r="B172" s="27">
        <v>36567</v>
      </c>
      <c r="C172" s="4">
        <v>38.008499999999998</v>
      </c>
      <c r="D172" s="4">
        <v>16120000</v>
      </c>
      <c r="E172" s="4"/>
      <c r="F172" s="4"/>
      <c r="G172" s="4"/>
      <c r="H172" s="4"/>
      <c r="I172" s="4"/>
      <c r="K172" s="27">
        <v>38653</v>
      </c>
      <c r="L172" s="4">
        <v>21.5</v>
      </c>
      <c r="M172" s="4">
        <v>212510000</v>
      </c>
      <c r="N172" s="4"/>
      <c r="O172" s="4"/>
      <c r="P172" s="4"/>
      <c r="Q172" s="4"/>
      <c r="R172" s="4"/>
      <c r="T172" s="27">
        <v>38653</v>
      </c>
      <c r="U172" s="4">
        <v>1198.4100000000001</v>
      </c>
      <c r="V172" s="4">
        <v>6950000128</v>
      </c>
    </row>
    <row r="173" spans="2:22" x14ac:dyDescent="0.2">
      <c r="B173" s="27">
        <v>36560</v>
      </c>
      <c r="C173" s="4">
        <v>39.712200000000003</v>
      </c>
      <c r="D173" s="4">
        <v>24190000</v>
      </c>
      <c r="E173" s="4"/>
      <c r="F173" s="4"/>
      <c r="G173" s="4"/>
      <c r="H173" s="4"/>
      <c r="I173" s="4"/>
      <c r="K173" s="27">
        <v>38646</v>
      </c>
      <c r="L173" s="4">
        <v>21.25</v>
      </c>
      <c r="M173" s="4">
        <v>293640000</v>
      </c>
      <c r="N173" s="4"/>
      <c r="O173" s="4"/>
      <c r="P173" s="4"/>
      <c r="Q173" s="4"/>
      <c r="R173" s="4"/>
      <c r="T173" s="27">
        <v>38646</v>
      </c>
      <c r="U173" s="4">
        <v>1179.5899999999999</v>
      </c>
      <c r="V173" s="4">
        <v>7280000000</v>
      </c>
    </row>
    <row r="174" spans="2:22" x14ac:dyDescent="0.2">
      <c r="B174" s="27">
        <v>36553</v>
      </c>
      <c r="C174" s="4">
        <v>33.837600000000002</v>
      </c>
      <c r="D174" s="4">
        <v>17760000</v>
      </c>
      <c r="E174" s="4"/>
      <c r="F174" s="4"/>
      <c r="G174" s="4"/>
      <c r="H174" s="4"/>
      <c r="I174" s="4"/>
      <c r="K174" s="27">
        <v>38639</v>
      </c>
      <c r="L174" s="4">
        <v>24.32</v>
      </c>
      <c r="M174" s="4">
        <v>154060000</v>
      </c>
      <c r="N174" s="4"/>
      <c r="O174" s="4"/>
      <c r="P174" s="4"/>
      <c r="Q174" s="4"/>
      <c r="R174" s="4"/>
      <c r="T174" s="27">
        <v>38639</v>
      </c>
      <c r="U174" s="4">
        <v>1186.57</v>
      </c>
      <c r="V174" s="4">
        <v>6880000000</v>
      </c>
    </row>
    <row r="175" spans="2:22" x14ac:dyDescent="0.2">
      <c r="B175" s="27">
        <v>36546</v>
      </c>
      <c r="C175" s="4">
        <v>33.837600000000002</v>
      </c>
      <c r="D175" s="4">
        <v>12990000</v>
      </c>
      <c r="E175" s="4"/>
      <c r="F175" s="4"/>
      <c r="G175" s="4"/>
      <c r="H175" s="4"/>
      <c r="I175" s="4"/>
      <c r="K175" s="27">
        <v>38632</v>
      </c>
      <c r="L175" s="4">
        <v>24.39</v>
      </c>
      <c r="M175" s="4">
        <v>122500000</v>
      </c>
      <c r="N175" s="4"/>
      <c r="O175" s="4"/>
      <c r="P175" s="4"/>
      <c r="Q175" s="4"/>
      <c r="R175" s="4"/>
      <c r="T175" s="27">
        <v>38632</v>
      </c>
      <c r="U175" s="4">
        <v>1195.9000000000001</v>
      </c>
      <c r="V175" s="4">
        <v>7200000000</v>
      </c>
    </row>
    <row r="176" spans="2:22" x14ac:dyDescent="0.2">
      <c r="B176" s="27">
        <v>36539</v>
      </c>
      <c r="C176" s="4">
        <v>34.836300000000001</v>
      </c>
      <c r="D176" s="4">
        <v>18020000</v>
      </c>
      <c r="E176" s="4"/>
      <c r="F176" s="4"/>
      <c r="G176" s="4"/>
      <c r="H176" s="4"/>
      <c r="I176" s="4"/>
      <c r="K176" s="27">
        <v>38625</v>
      </c>
      <c r="L176" s="4">
        <v>24.97</v>
      </c>
      <c r="M176" s="4">
        <v>125190000</v>
      </c>
      <c r="N176" s="4">
        <v>-1247</v>
      </c>
      <c r="O176" s="4"/>
      <c r="P176" s="4"/>
      <c r="Q176" s="4"/>
      <c r="R176" s="4"/>
      <c r="T176" s="27">
        <v>38625</v>
      </c>
      <c r="U176" s="4">
        <v>1228.81</v>
      </c>
      <c r="V176" s="4">
        <v>6240000000</v>
      </c>
    </row>
    <row r="177" spans="2:22" x14ac:dyDescent="0.2">
      <c r="B177" s="27">
        <v>36532</v>
      </c>
      <c r="C177" s="4">
        <v>36.069899999999997</v>
      </c>
      <c r="D177" s="4">
        <v>15390000</v>
      </c>
      <c r="E177" s="4"/>
      <c r="F177" s="4"/>
      <c r="G177" s="4"/>
      <c r="H177" s="4"/>
      <c r="I177" s="4"/>
      <c r="K177" s="27">
        <v>38618</v>
      </c>
      <c r="L177" s="4">
        <v>24.87</v>
      </c>
      <c r="M177" s="4">
        <v>122430000</v>
      </c>
      <c r="N177" s="4"/>
      <c r="O177" s="4"/>
      <c r="P177" s="4"/>
      <c r="Q177" s="4"/>
      <c r="R177" s="4"/>
      <c r="T177" s="27">
        <v>38618</v>
      </c>
      <c r="U177" s="4">
        <v>1215.29</v>
      </c>
      <c r="V177" s="4">
        <v>6670000128</v>
      </c>
    </row>
    <row r="178" spans="2:22" x14ac:dyDescent="0.2">
      <c r="B178" s="27">
        <v>36525</v>
      </c>
      <c r="C178" s="4">
        <v>33.308900000000001</v>
      </c>
      <c r="D178" s="4">
        <v>11910000</v>
      </c>
      <c r="E178" s="4">
        <v>-162</v>
      </c>
      <c r="F178" s="4"/>
      <c r="G178" s="4"/>
      <c r="H178" s="4"/>
      <c r="I178" s="4"/>
      <c r="K178" s="27">
        <v>38611</v>
      </c>
      <c r="L178" s="4">
        <v>25.9</v>
      </c>
      <c r="M178" s="4">
        <v>97150000</v>
      </c>
      <c r="N178" s="4"/>
      <c r="O178" s="4"/>
      <c r="P178" s="4"/>
      <c r="Q178" s="4"/>
      <c r="R178" s="4"/>
      <c r="T178" s="27">
        <v>38611</v>
      </c>
      <c r="U178" s="4">
        <v>1237.9100000000001</v>
      </c>
      <c r="V178" s="4">
        <v>7430000128</v>
      </c>
    </row>
    <row r="179" spans="2:22" x14ac:dyDescent="0.2">
      <c r="B179" s="27">
        <v>36518</v>
      </c>
      <c r="C179" s="4">
        <v>35.247500000000002</v>
      </c>
      <c r="D179" s="4">
        <v>29180000</v>
      </c>
      <c r="E179" s="4"/>
      <c r="F179" s="4"/>
      <c r="G179" s="4"/>
      <c r="H179" s="4"/>
      <c r="I179" s="4"/>
      <c r="K179" s="27">
        <v>38604</v>
      </c>
      <c r="L179" s="4">
        <v>26.33</v>
      </c>
      <c r="M179" s="4">
        <v>116030000</v>
      </c>
      <c r="N179" s="4"/>
      <c r="O179" s="4"/>
      <c r="P179" s="4"/>
      <c r="Q179" s="4"/>
      <c r="R179" s="4"/>
      <c r="T179" s="27">
        <v>38604</v>
      </c>
      <c r="U179" s="4">
        <v>1241.48</v>
      </c>
      <c r="V179" s="4">
        <v>4720000000</v>
      </c>
    </row>
    <row r="180" spans="2:22" x14ac:dyDescent="0.2">
      <c r="B180" s="27">
        <v>36511</v>
      </c>
      <c r="C180" s="4">
        <v>39.242199999999997</v>
      </c>
      <c r="D180" s="4">
        <v>16090000</v>
      </c>
      <c r="E180" s="4"/>
      <c r="F180" s="4"/>
      <c r="G180" s="4"/>
      <c r="H180" s="4"/>
      <c r="I180" s="4"/>
      <c r="K180" s="27">
        <v>38597</v>
      </c>
      <c r="L180" s="4">
        <v>25.33</v>
      </c>
      <c r="M180" s="4">
        <v>107320000</v>
      </c>
      <c r="N180" s="4"/>
      <c r="O180" s="4"/>
      <c r="P180" s="4"/>
      <c r="Q180" s="4"/>
      <c r="R180" s="4"/>
      <c r="T180" s="27">
        <v>38597</v>
      </c>
      <c r="U180" s="4">
        <v>1218.02</v>
      </c>
      <c r="V180" s="4">
        <v>5820000256</v>
      </c>
    </row>
    <row r="181" spans="2:22" x14ac:dyDescent="0.2">
      <c r="B181" s="27">
        <v>36504</v>
      </c>
      <c r="C181" s="4">
        <v>41.180799999999998</v>
      </c>
      <c r="D181" s="4">
        <v>12730000</v>
      </c>
      <c r="E181" s="4"/>
      <c r="F181" s="4"/>
      <c r="G181" s="4"/>
      <c r="H181" s="4"/>
      <c r="I181" s="4"/>
      <c r="K181" s="27">
        <v>38590</v>
      </c>
      <c r="L181" s="4">
        <v>24.89</v>
      </c>
      <c r="M181" s="4">
        <v>122140000</v>
      </c>
      <c r="N181" s="4"/>
      <c r="O181" s="4"/>
      <c r="P181" s="4"/>
      <c r="Q181" s="4"/>
      <c r="R181" s="4"/>
      <c r="T181" s="27">
        <v>38590</v>
      </c>
      <c r="U181" s="4">
        <v>1205.0999999999999</v>
      </c>
      <c r="V181" s="4">
        <v>5020000256</v>
      </c>
    </row>
    <row r="182" spans="2:22" x14ac:dyDescent="0.2">
      <c r="B182" s="27">
        <v>36497</v>
      </c>
      <c r="C182" s="4">
        <v>41.114699999999999</v>
      </c>
      <c r="D182" s="4">
        <v>14000000</v>
      </c>
      <c r="E182" s="4"/>
      <c r="F182" s="4"/>
      <c r="G182" s="4"/>
      <c r="H182" s="4"/>
      <c r="I182" s="4"/>
      <c r="K182" s="27">
        <v>38583</v>
      </c>
      <c r="L182" s="4">
        <v>25.55</v>
      </c>
      <c r="M182" s="4">
        <v>102700000</v>
      </c>
      <c r="N182" s="4"/>
      <c r="O182" s="4"/>
      <c r="P182" s="4"/>
      <c r="Q182" s="4"/>
      <c r="R182" s="4"/>
      <c r="T182" s="27">
        <v>38583</v>
      </c>
      <c r="U182" s="4">
        <v>1219.71</v>
      </c>
      <c r="V182" s="4">
        <v>5249999872</v>
      </c>
    </row>
    <row r="183" spans="2:22" x14ac:dyDescent="0.2">
      <c r="B183" s="27">
        <v>36490</v>
      </c>
      <c r="C183" s="4">
        <v>41.944499999999998</v>
      </c>
      <c r="D183" s="4">
        <v>8410000</v>
      </c>
      <c r="E183" s="4"/>
      <c r="F183" s="4"/>
      <c r="G183" s="4"/>
      <c r="H183" s="4"/>
      <c r="I183" s="4"/>
      <c r="K183" s="27">
        <v>38576</v>
      </c>
      <c r="L183" s="4">
        <v>26.16</v>
      </c>
      <c r="M183" s="4">
        <v>98090000</v>
      </c>
      <c r="N183" s="4"/>
      <c r="O183" s="4"/>
      <c r="P183" s="4"/>
      <c r="Q183" s="4"/>
      <c r="R183" s="4"/>
      <c r="T183" s="27">
        <v>38576</v>
      </c>
      <c r="U183" s="4">
        <v>1230.3900000000001</v>
      </c>
      <c r="V183" s="4">
        <v>5790000128</v>
      </c>
    </row>
    <row r="184" spans="2:22" x14ac:dyDescent="0.2">
      <c r="B184" s="27">
        <v>36483</v>
      </c>
      <c r="C184" s="4">
        <v>44.353099999999998</v>
      </c>
      <c r="D184" s="4">
        <v>14070000</v>
      </c>
      <c r="E184" s="4"/>
      <c r="F184" s="4"/>
      <c r="G184" s="4"/>
      <c r="H184" s="4"/>
      <c r="I184" s="4"/>
      <c r="K184" s="27">
        <v>38569</v>
      </c>
      <c r="L184" s="4">
        <v>26.25</v>
      </c>
      <c r="M184" s="4">
        <v>97580000</v>
      </c>
      <c r="N184" s="4"/>
      <c r="O184" s="4"/>
      <c r="P184" s="4"/>
      <c r="Q184" s="4"/>
      <c r="R184" s="4"/>
      <c r="T184" s="27">
        <v>38569</v>
      </c>
      <c r="U184" s="4">
        <v>1226.42</v>
      </c>
      <c r="V184" s="4">
        <v>5889999872</v>
      </c>
    </row>
    <row r="185" spans="2:22" x14ac:dyDescent="0.2">
      <c r="B185" s="27">
        <v>36476</v>
      </c>
      <c r="C185" s="4">
        <v>42.708199999999998</v>
      </c>
      <c r="D185" s="4">
        <v>20510000</v>
      </c>
      <c r="E185" s="4"/>
      <c r="F185" s="4"/>
      <c r="G185" s="4"/>
      <c r="H185" s="4"/>
      <c r="I185" s="4"/>
      <c r="K185" s="27">
        <v>38562</v>
      </c>
      <c r="L185" s="4">
        <v>26.5</v>
      </c>
      <c r="M185" s="4">
        <v>110520000</v>
      </c>
      <c r="N185" s="4"/>
      <c r="O185" s="4"/>
      <c r="P185" s="4"/>
      <c r="Q185" s="4"/>
      <c r="R185" s="4"/>
      <c r="T185" s="27">
        <v>38562</v>
      </c>
      <c r="U185" s="4">
        <v>1234.18</v>
      </c>
      <c r="V185" s="4">
        <v>5800000000</v>
      </c>
    </row>
    <row r="186" spans="2:22" x14ac:dyDescent="0.2">
      <c r="B186" s="27">
        <v>36469</v>
      </c>
      <c r="C186" s="4">
        <v>42.649500000000003</v>
      </c>
      <c r="D186" s="4">
        <v>23100000</v>
      </c>
      <c r="E186" s="4"/>
      <c r="F186" s="4"/>
      <c r="G186" s="4"/>
      <c r="H186" s="4"/>
      <c r="I186" s="4"/>
      <c r="K186" s="27">
        <v>38555</v>
      </c>
      <c r="L186" s="4">
        <v>26.5</v>
      </c>
      <c r="M186" s="4">
        <v>159810000</v>
      </c>
      <c r="N186" s="4"/>
      <c r="O186" s="4"/>
      <c r="P186" s="4"/>
      <c r="Q186" s="4"/>
      <c r="R186" s="4"/>
      <c r="T186" s="27">
        <v>38555</v>
      </c>
      <c r="U186" s="4">
        <v>1233.68</v>
      </c>
      <c r="V186" s="4">
        <v>6360000000</v>
      </c>
    </row>
    <row r="187" spans="2:22" x14ac:dyDescent="0.2">
      <c r="B187" s="27">
        <v>36462</v>
      </c>
      <c r="C187" s="4">
        <v>36.187399999999997</v>
      </c>
      <c r="D187" s="4">
        <v>7880000</v>
      </c>
      <c r="E187" s="4"/>
      <c r="F187" s="4"/>
      <c r="G187" s="4"/>
      <c r="H187" s="4"/>
      <c r="I187" s="4"/>
      <c r="K187" s="27">
        <v>38548</v>
      </c>
      <c r="L187" s="4">
        <v>27.57</v>
      </c>
      <c r="M187" s="4">
        <v>109690000</v>
      </c>
      <c r="N187" s="4"/>
      <c r="O187" s="4"/>
      <c r="P187" s="4"/>
      <c r="Q187" s="4"/>
      <c r="R187" s="4"/>
      <c r="T187" s="27">
        <v>38548</v>
      </c>
      <c r="U187" s="4">
        <v>1227.92</v>
      </c>
      <c r="V187" s="4">
        <v>6000000000</v>
      </c>
    </row>
    <row r="188" spans="2:22" x14ac:dyDescent="0.2">
      <c r="B188" s="27">
        <v>36455</v>
      </c>
      <c r="C188" s="4">
        <v>37.127400000000002</v>
      </c>
      <c r="D188" s="4">
        <v>10770000</v>
      </c>
      <c r="E188" s="4"/>
      <c r="F188" s="4"/>
      <c r="G188" s="4"/>
      <c r="H188" s="4"/>
      <c r="I188" s="4"/>
      <c r="K188" s="27">
        <v>38541</v>
      </c>
      <c r="L188" s="4">
        <v>27.14</v>
      </c>
      <c r="M188" s="4">
        <v>115430000</v>
      </c>
      <c r="N188" s="4"/>
      <c r="O188" s="4"/>
      <c r="P188" s="4"/>
      <c r="Q188" s="4"/>
      <c r="R188" s="4"/>
      <c r="T188" s="27">
        <v>38541</v>
      </c>
      <c r="U188" s="4">
        <v>1211.8599999999999</v>
      </c>
      <c r="V188" s="4">
        <v>4860000256</v>
      </c>
    </row>
    <row r="189" spans="2:22" x14ac:dyDescent="0.2">
      <c r="B189" s="27">
        <v>36448</v>
      </c>
      <c r="C189" s="4">
        <v>33.426400000000001</v>
      </c>
      <c r="D189" s="4">
        <v>12000000</v>
      </c>
      <c r="E189" s="4"/>
      <c r="F189" s="4"/>
      <c r="G189" s="4"/>
      <c r="H189" s="4"/>
      <c r="I189" s="4"/>
      <c r="K189" s="27">
        <v>38534</v>
      </c>
      <c r="L189" s="4">
        <v>27.1</v>
      </c>
      <c r="M189" s="4">
        <v>164780000</v>
      </c>
      <c r="N189" s="4">
        <v>-1530</v>
      </c>
      <c r="O189" s="4"/>
      <c r="P189" s="4"/>
      <c r="Q189" s="4"/>
      <c r="R189" s="4"/>
      <c r="T189" s="27">
        <v>38534</v>
      </c>
      <c r="U189" s="4">
        <v>1194.44</v>
      </c>
      <c r="V189" s="4">
        <v>5800000000</v>
      </c>
    </row>
    <row r="190" spans="2:22" x14ac:dyDescent="0.2">
      <c r="B190" s="27">
        <v>36441</v>
      </c>
      <c r="C190" s="4">
        <v>36.246200000000002</v>
      </c>
      <c r="D190" s="4">
        <v>14410000</v>
      </c>
      <c r="E190" s="4"/>
      <c r="F190" s="4"/>
      <c r="G190" s="4"/>
      <c r="H190" s="4"/>
      <c r="I190" s="4"/>
      <c r="K190" s="27">
        <v>38527</v>
      </c>
      <c r="L190" s="4">
        <v>28.52</v>
      </c>
      <c r="M190" s="4">
        <v>142180000</v>
      </c>
      <c r="N190" s="4"/>
      <c r="O190" s="4"/>
      <c r="P190" s="4"/>
      <c r="Q190" s="4"/>
      <c r="R190" s="4"/>
      <c r="T190" s="27">
        <v>38527</v>
      </c>
      <c r="U190" s="4">
        <v>1191.57</v>
      </c>
      <c r="V190" s="4">
        <v>6270000128</v>
      </c>
    </row>
    <row r="191" spans="2:22" x14ac:dyDescent="0.2">
      <c r="B191" s="27">
        <v>36434</v>
      </c>
      <c r="C191" s="4">
        <v>33.308900000000001</v>
      </c>
      <c r="D191" s="4">
        <v>12330000</v>
      </c>
      <c r="E191" s="4">
        <v>-160</v>
      </c>
      <c r="F191" s="4"/>
      <c r="G191" s="4"/>
      <c r="H191" s="4"/>
      <c r="I191" s="4"/>
      <c r="K191" s="27">
        <v>38520</v>
      </c>
      <c r="L191" s="4">
        <v>28.78</v>
      </c>
      <c r="M191" s="4">
        <v>114190000</v>
      </c>
      <c r="N191" s="4"/>
      <c r="O191" s="4"/>
      <c r="P191" s="4"/>
      <c r="Q191" s="4"/>
      <c r="R191" s="4"/>
      <c r="T191" s="27">
        <v>38520</v>
      </c>
      <c r="U191" s="4">
        <v>1216.96</v>
      </c>
      <c r="V191" s="4">
        <v>6120000000</v>
      </c>
    </row>
    <row r="192" spans="2:22" x14ac:dyDescent="0.2">
      <c r="B192" s="27">
        <v>36427</v>
      </c>
      <c r="C192" s="4">
        <v>32.8977</v>
      </c>
      <c r="D192" s="4">
        <v>13040000</v>
      </c>
      <c r="E192" s="4"/>
      <c r="F192" s="4"/>
      <c r="G192" s="4"/>
      <c r="H192" s="4"/>
      <c r="I192" s="4"/>
      <c r="K192" s="27">
        <v>38513</v>
      </c>
      <c r="L192" s="4">
        <v>27.68</v>
      </c>
      <c r="M192" s="4">
        <v>106480000</v>
      </c>
      <c r="N192" s="4"/>
      <c r="O192" s="4"/>
      <c r="P192" s="4"/>
      <c r="Q192" s="4"/>
      <c r="R192" s="4"/>
      <c r="T192" s="27">
        <v>38513</v>
      </c>
      <c r="U192" s="4">
        <v>1198.1099999999999</v>
      </c>
      <c r="V192" s="4">
        <v>5489999872</v>
      </c>
    </row>
    <row r="193" spans="2:22" x14ac:dyDescent="0.2">
      <c r="B193" s="27">
        <v>36420</v>
      </c>
      <c r="C193" s="4">
        <v>35.717500000000001</v>
      </c>
      <c r="D193" s="4">
        <v>16540000</v>
      </c>
      <c r="E193" s="4"/>
      <c r="F193" s="4"/>
      <c r="G193" s="4"/>
      <c r="H193" s="4"/>
      <c r="I193" s="4"/>
      <c r="K193" s="27">
        <v>38506</v>
      </c>
      <c r="L193" s="4">
        <v>27.96</v>
      </c>
      <c r="M193" s="4">
        <v>78050000</v>
      </c>
      <c r="N193" s="4"/>
      <c r="O193" s="4"/>
      <c r="P193" s="4"/>
      <c r="Q193" s="4"/>
      <c r="R193" s="4"/>
      <c r="T193" s="27">
        <v>38506</v>
      </c>
      <c r="U193" s="4">
        <v>1196.02</v>
      </c>
      <c r="V193" s="4">
        <v>4649999872</v>
      </c>
    </row>
    <row r="194" spans="2:22" x14ac:dyDescent="0.2">
      <c r="B194" s="27">
        <v>36413</v>
      </c>
      <c r="C194" s="4">
        <v>35.776200000000003</v>
      </c>
      <c r="D194" s="4">
        <v>9570000</v>
      </c>
      <c r="E194" s="4"/>
      <c r="F194" s="4"/>
      <c r="G194" s="4"/>
      <c r="H194" s="4"/>
      <c r="I194" s="4"/>
      <c r="K194" s="27">
        <v>38499</v>
      </c>
      <c r="L194" s="4">
        <v>28.35</v>
      </c>
      <c r="M194" s="4">
        <v>99380000</v>
      </c>
      <c r="N194" s="4"/>
      <c r="O194" s="4"/>
      <c r="P194" s="4"/>
      <c r="Q194" s="4"/>
      <c r="R194" s="4"/>
      <c r="T194" s="27">
        <v>38499</v>
      </c>
      <c r="U194" s="4">
        <v>1198.78</v>
      </c>
      <c r="V194" s="4">
        <v>5230000128</v>
      </c>
    </row>
    <row r="195" spans="2:22" x14ac:dyDescent="0.2">
      <c r="B195" s="27">
        <v>36406</v>
      </c>
      <c r="C195" s="4">
        <v>37.362299999999998</v>
      </c>
      <c r="D195" s="4">
        <v>10180000</v>
      </c>
      <c r="E195" s="4"/>
      <c r="F195" s="4"/>
      <c r="G195" s="4"/>
      <c r="H195" s="4"/>
      <c r="I195" s="4"/>
      <c r="K195" s="27">
        <v>38492</v>
      </c>
      <c r="L195" s="4">
        <v>28.58</v>
      </c>
      <c r="M195" s="4">
        <v>115210000</v>
      </c>
      <c r="N195" s="4"/>
      <c r="O195" s="4"/>
      <c r="P195" s="4"/>
      <c r="Q195" s="4"/>
      <c r="R195" s="4"/>
      <c r="T195" s="27">
        <v>38492</v>
      </c>
      <c r="U195" s="4">
        <v>1189.28</v>
      </c>
      <c r="V195" s="4">
        <v>6249999872</v>
      </c>
    </row>
    <row r="196" spans="2:22" x14ac:dyDescent="0.2">
      <c r="B196" s="27">
        <v>36399</v>
      </c>
      <c r="C196" s="4">
        <v>40.417099999999998</v>
      </c>
      <c r="D196" s="4">
        <v>16520000</v>
      </c>
      <c r="E196" s="4"/>
      <c r="F196" s="4"/>
      <c r="G196" s="4"/>
      <c r="H196" s="4"/>
      <c r="I196" s="4"/>
      <c r="K196" s="27">
        <v>38485</v>
      </c>
      <c r="L196" s="4">
        <v>27.86</v>
      </c>
      <c r="M196" s="4">
        <v>87880000</v>
      </c>
      <c r="N196" s="4"/>
      <c r="O196" s="4"/>
      <c r="P196" s="4"/>
      <c r="Q196" s="4"/>
      <c r="R196" s="4"/>
      <c r="T196" s="27">
        <v>38485</v>
      </c>
      <c r="U196" s="4">
        <v>1154.05</v>
      </c>
      <c r="V196" s="4">
        <v>6390000128</v>
      </c>
    </row>
    <row r="197" spans="2:22" x14ac:dyDescent="0.2">
      <c r="B197" s="27">
        <v>36392</v>
      </c>
      <c r="C197" s="4">
        <v>38.772199999999998</v>
      </c>
      <c r="D197" s="4">
        <v>13870000</v>
      </c>
      <c r="E197" s="4"/>
      <c r="F197" s="4"/>
      <c r="G197" s="4"/>
      <c r="H197" s="4"/>
      <c r="I197" s="4"/>
      <c r="K197" s="27">
        <v>38478</v>
      </c>
      <c r="L197" s="4">
        <v>27.61</v>
      </c>
      <c r="M197" s="4">
        <v>96460000</v>
      </c>
      <c r="N197" s="4"/>
      <c r="O197" s="4"/>
      <c r="P197" s="4"/>
      <c r="Q197" s="4"/>
      <c r="R197" s="4"/>
      <c r="T197" s="27">
        <v>38478</v>
      </c>
      <c r="U197" s="4">
        <v>1171.3399999999999</v>
      </c>
      <c r="V197" s="4">
        <v>6689999872</v>
      </c>
    </row>
    <row r="198" spans="2:22" x14ac:dyDescent="0.2">
      <c r="B198" s="27">
        <v>36385</v>
      </c>
      <c r="C198" s="4">
        <v>37.832299999999996</v>
      </c>
      <c r="D198" s="4">
        <v>12710000</v>
      </c>
      <c r="E198" s="4"/>
      <c r="F198" s="4"/>
      <c r="G198" s="4"/>
      <c r="H198" s="4"/>
      <c r="I198" s="4"/>
      <c r="K198" s="27">
        <v>38471</v>
      </c>
      <c r="L198" s="4">
        <v>27.17</v>
      </c>
      <c r="M198" s="4">
        <v>106120000</v>
      </c>
      <c r="N198" s="4"/>
      <c r="O198" s="4"/>
      <c r="P198" s="4"/>
      <c r="Q198" s="4"/>
      <c r="R198" s="4"/>
      <c r="T198" s="27">
        <v>38471</v>
      </c>
      <c r="U198" s="4">
        <v>1156.8499999999999</v>
      </c>
      <c r="V198" s="4">
        <v>6870000128</v>
      </c>
    </row>
    <row r="199" spans="2:22" x14ac:dyDescent="0.2">
      <c r="B199" s="27">
        <v>36378</v>
      </c>
      <c r="C199" s="4">
        <v>37.009900000000002</v>
      </c>
      <c r="D199" s="4">
        <v>14010000</v>
      </c>
      <c r="E199" s="4"/>
      <c r="F199" s="4"/>
      <c r="G199" s="4"/>
      <c r="H199" s="4"/>
      <c r="I199" s="4"/>
      <c r="K199" s="27">
        <v>38464</v>
      </c>
      <c r="L199" s="4">
        <v>27.22</v>
      </c>
      <c r="M199" s="4">
        <v>124960000</v>
      </c>
      <c r="N199" s="4"/>
      <c r="O199" s="4"/>
      <c r="P199" s="4"/>
      <c r="Q199" s="4"/>
      <c r="R199" s="4"/>
      <c r="T199" s="27">
        <v>38464</v>
      </c>
      <c r="U199" s="4">
        <v>1152.1199999999999</v>
      </c>
      <c r="V199" s="4">
        <v>7670000128</v>
      </c>
    </row>
    <row r="200" spans="2:22" x14ac:dyDescent="0.2">
      <c r="B200" s="27">
        <v>36371</v>
      </c>
      <c r="C200" s="4">
        <v>36.892400000000002</v>
      </c>
      <c r="D200" s="4">
        <v>11140000</v>
      </c>
      <c r="E200" s="4"/>
      <c r="F200" s="4"/>
      <c r="G200" s="4"/>
      <c r="H200" s="4"/>
      <c r="I200" s="4"/>
      <c r="K200" s="27">
        <v>38457</v>
      </c>
      <c r="L200" s="4">
        <v>27.71</v>
      </c>
      <c r="M200" s="4">
        <v>187180000</v>
      </c>
      <c r="N200" s="4"/>
      <c r="O200" s="4"/>
      <c r="P200" s="4"/>
      <c r="Q200" s="4"/>
      <c r="R200" s="4"/>
      <c r="T200" s="27">
        <v>38457</v>
      </c>
      <c r="U200" s="4">
        <v>1142.6199999999999</v>
      </c>
      <c r="V200" s="4">
        <v>7320000000</v>
      </c>
    </row>
    <row r="201" spans="2:22" x14ac:dyDescent="0.2">
      <c r="B201" s="27">
        <v>36364</v>
      </c>
      <c r="C201" s="4">
        <v>37.479799999999997</v>
      </c>
      <c r="D201" s="4">
        <v>9450000</v>
      </c>
      <c r="E201" s="4"/>
      <c r="F201" s="4"/>
      <c r="G201" s="4"/>
      <c r="H201" s="4"/>
      <c r="I201" s="4"/>
      <c r="K201" s="27">
        <v>38450</v>
      </c>
      <c r="L201" s="4">
        <v>26.6</v>
      </c>
      <c r="M201" s="4">
        <v>202000000</v>
      </c>
      <c r="N201" s="4"/>
      <c r="O201" s="4"/>
      <c r="P201" s="4"/>
      <c r="Q201" s="4"/>
      <c r="R201" s="4"/>
      <c r="T201" s="27">
        <v>38450</v>
      </c>
      <c r="U201" s="4">
        <v>1181.2</v>
      </c>
      <c r="V201" s="4">
        <v>6289999872</v>
      </c>
    </row>
    <row r="202" spans="2:22" x14ac:dyDescent="0.2">
      <c r="B202" s="27">
        <v>36357</v>
      </c>
      <c r="C202" s="4">
        <v>37.656100000000002</v>
      </c>
      <c r="D202" s="4">
        <v>8300000</v>
      </c>
      <c r="E202" s="4"/>
      <c r="F202" s="4"/>
      <c r="G202" s="4"/>
      <c r="H202" s="4"/>
      <c r="I202" s="4"/>
      <c r="K202" s="27">
        <v>38443</v>
      </c>
      <c r="L202" s="4">
        <v>26.15</v>
      </c>
      <c r="M202" s="4">
        <v>110660000</v>
      </c>
      <c r="N202" s="4">
        <v>-1400</v>
      </c>
      <c r="O202" s="4"/>
      <c r="P202" s="4"/>
      <c r="Q202" s="4"/>
      <c r="R202" s="4"/>
      <c r="T202" s="27">
        <v>38443</v>
      </c>
      <c r="U202" s="4">
        <v>1172.92</v>
      </c>
      <c r="V202" s="4">
        <v>6849999872</v>
      </c>
    </row>
    <row r="203" spans="2:22" x14ac:dyDescent="0.2">
      <c r="B203" s="27">
        <v>36350</v>
      </c>
      <c r="C203" s="4">
        <v>39.418399999999998</v>
      </c>
      <c r="D203" s="4">
        <v>7840000</v>
      </c>
      <c r="E203" s="4"/>
      <c r="F203" s="4"/>
      <c r="G203" s="4"/>
      <c r="H203" s="4"/>
      <c r="I203" s="4"/>
      <c r="K203" s="27">
        <v>38436</v>
      </c>
      <c r="L203" s="4">
        <v>26.17</v>
      </c>
      <c r="M203" s="4">
        <v>96880000</v>
      </c>
      <c r="N203" s="4"/>
      <c r="O203" s="4"/>
      <c r="P203" s="4"/>
      <c r="Q203" s="4"/>
      <c r="R203" s="4"/>
      <c r="T203" s="27">
        <v>38436</v>
      </c>
      <c r="U203" s="4">
        <v>1171.42</v>
      </c>
      <c r="V203" s="4">
        <v>5280000000</v>
      </c>
    </row>
    <row r="204" spans="2:22" x14ac:dyDescent="0.2">
      <c r="B204" s="27">
        <v>36343</v>
      </c>
      <c r="C204" s="4">
        <v>39.359699999999997</v>
      </c>
      <c r="D204" s="4">
        <v>14980000</v>
      </c>
      <c r="E204" s="4">
        <v>-159</v>
      </c>
      <c r="F204" s="4"/>
      <c r="G204" s="4"/>
      <c r="H204" s="4"/>
      <c r="I204" s="4"/>
      <c r="K204" s="27">
        <v>38429</v>
      </c>
      <c r="L204" s="4">
        <v>25.83</v>
      </c>
      <c r="M204" s="4">
        <v>107190000</v>
      </c>
      <c r="N204" s="4"/>
      <c r="O204" s="4"/>
      <c r="P204" s="4"/>
      <c r="Q204" s="4"/>
      <c r="R204" s="4"/>
      <c r="T204" s="27">
        <v>38429</v>
      </c>
      <c r="U204" s="4">
        <v>1189.6500000000001</v>
      </c>
      <c r="V204" s="4">
        <v>7329999872</v>
      </c>
    </row>
    <row r="205" spans="2:22" x14ac:dyDescent="0.2">
      <c r="B205" s="27">
        <v>36336</v>
      </c>
      <c r="C205" s="4">
        <v>37.127400000000002</v>
      </c>
      <c r="D205" s="4">
        <v>9600000</v>
      </c>
      <c r="E205" s="4"/>
      <c r="F205" s="4"/>
      <c r="G205" s="4"/>
      <c r="H205" s="4"/>
      <c r="I205" s="4"/>
      <c r="K205" s="27">
        <v>38422</v>
      </c>
      <c r="L205" s="4">
        <v>26.36</v>
      </c>
      <c r="M205" s="4">
        <v>102660000</v>
      </c>
      <c r="N205" s="4"/>
      <c r="O205" s="4"/>
      <c r="P205" s="4"/>
      <c r="Q205" s="4"/>
      <c r="R205" s="4"/>
      <c r="T205" s="27">
        <v>38422</v>
      </c>
      <c r="U205" s="4">
        <v>1200.07</v>
      </c>
      <c r="V205" s="4">
        <v>6409999872</v>
      </c>
    </row>
    <row r="206" spans="2:22" x14ac:dyDescent="0.2">
      <c r="B206" s="27">
        <v>36329</v>
      </c>
      <c r="C206" s="4">
        <v>38.889699999999998</v>
      </c>
      <c r="D206" s="4">
        <v>6880000</v>
      </c>
      <c r="E206" s="4"/>
      <c r="F206" s="4"/>
      <c r="G206" s="4"/>
      <c r="H206" s="4"/>
      <c r="I206" s="4"/>
      <c r="K206" s="27">
        <v>38415</v>
      </c>
      <c r="L206" s="4">
        <v>26.85</v>
      </c>
      <c r="M206" s="4">
        <v>118480000</v>
      </c>
      <c r="N206" s="4"/>
      <c r="O206" s="4"/>
      <c r="P206" s="4"/>
      <c r="Q206" s="4"/>
      <c r="R206" s="4"/>
      <c r="T206" s="27">
        <v>38415</v>
      </c>
      <c r="U206" s="4">
        <v>1222.1300000000001</v>
      </c>
      <c r="V206" s="4">
        <v>6760000000</v>
      </c>
    </row>
    <row r="207" spans="2:22" x14ac:dyDescent="0.2">
      <c r="B207" s="27">
        <v>36322</v>
      </c>
      <c r="C207" s="4">
        <v>39.653399999999998</v>
      </c>
      <c r="D207" s="4">
        <v>9670000</v>
      </c>
      <c r="E207" s="4"/>
      <c r="F207" s="4"/>
      <c r="G207" s="4"/>
      <c r="H207" s="4"/>
      <c r="I207" s="4"/>
      <c r="K207" s="27">
        <v>38408</v>
      </c>
      <c r="L207" s="4">
        <v>26.86</v>
      </c>
      <c r="M207" s="4">
        <v>158650000</v>
      </c>
      <c r="N207" s="4"/>
      <c r="O207" s="4"/>
      <c r="P207" s="4"/>
      <c r="Q207" s="4"/>
      <c r="R207" s="4"/>
      <c r="T207" s="27">
        <v>38408</v>
      </c>
      <c r="U207" s="4">
        <v>1211.3699999999999</v>
      </c>
      <c r="V207" s="4">
        <v>5299999744</v>
      </c>
    </row>
    <row r="208" spans="2:22" x14ac:dyDescent="0.2">
      <c r="B208" s="27">
        <v>36315</v>
      </c>
      <c r="C208" s="4">
        <v>40.769599999999997</v>
      </c>
      <c r="D208" s="4">
        <v>10150000</v>
      </c>
      <c r="E208" s="4"/>
      <c r="F208" s="4"/>
      <c r="G208" s="4"/>
      <c r="H208" s="4"/>
      <c r="I208" s="4"/>
      <c r="K208" s="27">
        <v>38401</v>
      </c>
      <c r="L208" s="4">
        <v>26.8</v>
      </c>
      <c r="M208" s="4">
        <v>202090000</v>
      </c>
      <c r="N208" s="4"/>
      <c r="O208" s="4"/>
      <c r="P208" s="4"/>
      <c r="Q208" s="4"/>
      <c r="R208" s="4"/>
      <c r="T208" s="27">
        <v>38401</v>
      </c>
      <c r="U208" s="4">
        <v>1201.5899999999999</v>
      </c>
      <c r="V208" s="4">
        <v>6310000128</v>
      </c>
    </row>
    <row r="209" spans="2:22" x14ac:dyDescent="0.2">
      <c r="B209" s="27">
        <v>36308</v>
      </c>
      <c r="C209" s="4">
        <v>39.007199999999997</v>
      </c>
      <c r="D209" s="4">
        <v>16940000</v>
      </c>
      <c r="E209" s="4"/>
      <c r="F209" s="4"/>
      <c r="G209" s="4"/>
      <c r="H209" s="4"/>
      <c r="I209" s="4"/>
      <c r="K209" s="27">
        <v>38394</v>
      </c>
      <c r="L209" s="4">
        <v>25.15</v>
      </c>
      <c r="M209" s="4">
        <v>181340000</v>
      </c>
      <c r="N209" s="4"/>
      <c r="O209" s="4"/>
      <c r="P209" s="4"/>
      <c r="Q209" s="4"/>
      <c r="R209" s="4"/>
      <c r="T209" s="27">
        <v>38394</v>
      </c>
      <c r="U209" s="4">
        <v>1205.3</v>
      </c>
      <c r="V209" s="4">
        <v>6200000000</v>
      </c>
    </row>
    <row r="210" spans="2:22" x14ac:dyDescent="0.2">
      <c r="B210" s="27">
        <v>36301</v>
      </c>
      <c r="C210" s="4">
        <v>41.709499999999998</v>
      </c>
      <c r="D210" s="4">
        <v>11490000</v>
      </c>
      <c r="E210" s="4"/>
      <c r="F210" s="4"/>
      <c r="G210" s="4"/>
      <c r="H210" s="4"/>
      <c r="I210" s="4"/>
      <c r="K210" s="27">
        <v>38387</v>
      </c>
      <c r="L210" s="4">
        <v>24.23</v>
      </c>
      <c r="M210" s="4">
        <v>184640000</v>
      </c>
      <c r="N210" s="4"/>
      <c r="O210" s="4"/>
      <c r="P210" s="4"/>
      <c r="Q210" s="4"/>
      <c r="R210" s="4"/>
      <c r="T210" s="27">
        <v>38387</v>
      </c>
      <c r="U210" s="4">
        <v>1203.03</v>
      </c>
      <c r="V210" s="4">
        <v>6950000128</v>
      </c>
    </row>
    <row r="211" spans="2:22" x14ac:dyDescent="0.2">
      <c r="B211" s="27">
        <v>36294</v>
      </c>
      <c r="C211" s="4">
        <v>44.999299999999998</v>
      </c>
      <c r="D211" s="4">
        <v>13740000</v>
      </c>
      <c r="E211" s="4"/>
      <c r="F211" s="4"/>
      <c r="G211" s="4"/>
      <c r="H211" s="4"/>
      <c r="I211" s="4"/>
      <c r="K211" s="27">
        <v>38380</v>
      </c>
      <c r="L211" s="4">
        <v>24.35</v>
      </c>
      <c r="M211" s="4">
        <v>144610000</v>
      </c>
      <c r="N211" s="4"/>
      <c r="O211" s="4"/>
      <c r="P211" s="4"/>
      <c r="Q211" s="4"/>
      <c r="R211" s="4"/>
      <c r="T211" s="27">
        <v>38380</v>
      </c>
      <c r="U211" s="4">
        <v>1171.3599999999999</v>
      </c>
      <c r="V211" s="4">
        <v>7080000000</v>
      </c>
    </row>
    <row r="212" spans="2:22" x14ac:dyDescent="0.2">
      <c r="B212" s="27">
        <v>36287</v>
      </c>
      <c r="C212" s="4">
        <v>46.4679</v>
      </c>
      <c r="D212" s="4">
        <v>19580000</v>
      </c>
      <c r="E212" s="4"/>
      <c r="F212" s="4"/>
      <c r="G212" s="4"/>
      <c r="H212" s="4"/>
      <c r="I212" s="4"/>
      <c r="K212" s="27">
        <v>38373</v>
      </c>
      <c r="L212" s="4">
        <v>24.48</v>
      </c>
      <c r="M212" s="4">
        <v>156940000</v>
      </c>
      <c r="N212" s="4"/>
      <c r="O212" s="4"/>
      <c r="P212" s="4"/>
      <c r="Q212" s="4"/>
      <c r="R212" s="4"/>
      <c r="T212" s="27">
        <v>38373</v>
      </c>
      <c r="U212" s="4">
        <v>1167.8699999999999</v>
      </c>
      <c r="V212" s="4">
        <v>5630000128</v>
      </c>
    </row>
    <row r="213" spans="2:22" x14ac:dyDescent="0.2">
      <c r="B213" s="27">
        <v>36280</v>
      </c>
      <c r="C213" s="4">
        <v>42.531999999999996</v>
      </c>
      <c r="D213" s="4">
        <v>11120000</v>
      </c>
      <c r="E213" s="4"/>
      <c r="F213" s="4"/>
      <c r="G213" s="4"/>
      <c r="H213" s="4"/>
      <c r="I213" s="4"/>
      <c r="K213" s="27">
        <v>38366</v>
      </c>
      <c r="L213" s="4">
        <v>25.25</v>
      </c>
      <c r="M213" s="4">
        <v>126750000</v>
      </c>
      <c r="N213" s="4"/>
      <c r="O213" s="4"/>
      <c r="P213" s="4"/>
      <c r="Q213" s="4"/>
      <c r="R213" s="4"/>
      <c r="T213" s="27">
        <v>38366</v>
      </c>
      <c r="U213" s="4">
        <v>1184.52</v>
      </c>
      <c r="V213" s="4">
        <v>6529999872</v>
      </c>
    </row>
    <row r="214" spans="2:22" x14ac:dyDescent="0.2">
      <c r="B214" s="27">
        <v>36273</v>
      </c>
      <c r="C214" s="4">
        <v>43.883099999999999</v>
      </c>
      <c r="D214" s="4">
        <v>21370000</v>
      </c>
      <c r="E214" s="4"/>
      <c r="F214" s="4"/>
      <c r="G214" s="4"/>
      <c r="H214" s="4"/>
      <c r="I214" s="4"/>
      <c r="K214" s="27">
        <v>38359</v>
      </c>
      <c r="L214" s="4">
        <v>26.3</v>
      </c>
      <c r="M214" s="4">
        <v>158520000</v>
      </c>
      <c r="N214" s="4"/>
      <c r="O214" s="4"/>
      <c r="P214" s="4"/>
      <c r="Q214" s="4"/>
      <c r="R214" s="4"/>
      <c r="T214" s="27">
        <v>38359</v>
      </c>
      <c r="U214" s="4">
        <v>1186.19</v>
      </c>
      <c r="V214" s="4">
        <v>6969999872</v>
      </c>
    </row>
    <row r="215" spans="2:22" x14ac:dyDescent="0.2">
      <c r="B215" s="27">
        <v>36266</v>
      </c>
      <c r="C215" s="4">
        <v>39.770899999999997</v>
      </c>
      <c r="D215" s="4">
        <v>16390000</v>
      </c>
      <c r="E215" s="4"/>
      <c r="F215" s="4"/>
      <c r="G215" s="4"/>
      <c r="H215" s="4"/>
      <c r="I215" s="4"/>
      <c r="K215" s="27">
        <v>38352</v>
      </c>
      <c r="L215" s="4">
        <v>26.89</v>
      </c>
      <c r="M215" s="4">
        <v>166280000</v>
      </c>
      <c r="N215" s="4">
        <v>-1261</v>
      </c>
      <c r="O215" s="4"/>
      <c r="P215" s="4"/>
      <c r="Q215" s="4"/>
      <c r="R215" s="4"/>
      <c r="T215" s="27">
        <v>38352</v>
      </c>
      <c r="U215" s="4">
        <v>1211.92</v>
      </c>
      <c r="V215" s="4">
        <v>3849999872</v>
      </c>
    </row>
    <row r="216" spans="2:22" x14ac:dyDescent="0.2">
      <c r="B216" s="27">
        <v>36259</v>
      </c>
      <c r="C216" s="4">
        <v>43.236899999999999</v>
      </c>
      <c r="D216" s="4">
        <v>10300000</v>
      </c>
      <c r="E216" s="4"/>
      <c r="F216" s="4"/>
      <c r="G216" s="4"/>
      <c r="H216" s="4"/>
      <c r="I216" s="4"/>
      <c r="K216" s="27">
        <v>38345</v>
      </c>
      <c r="L216" s="4">
        <v>26.07</v>
      </c>
      <c r="M216" s="4">
        <v>349760000</v>
      </c>
      <c r="N216" s="4"/>
      <c r="O216" s="4"/>
      <c r="P216" s="4"/>
      <c r="Q216" s="4"/>
      <c r="R216" s="4"/>
      <c r="T216" s="27">
        <v>38345</v>
      </c>
      <c r="U216" s="4">
        <v>1210.1300000000001</v>
      </c>
      <c r="V216" s="4">
        <v>4700000256</v>
      </c>
    </row>
    <row r="217" spans="2:22" x14ac:dyDescent="0.2">
      <c r="B217" s="27">
        <v>36252</v>
      </c>
      <c r="C217" s="4">
        <v>43.060699999999997</v>
      </c>
      <c r="D217" s="4">
        <v>9700000</v>
      </c>
      <c r="E217" s="4">
        <v>-160</v>
      </c>
      <c r="F217" s="4"/>
      <c r="G217" s="4"/>
      <c r="H217" s="4"/>
      <c r="I217" s="4"/>
      <c r="K217" s="27">
        <v>38338</v>
      </c>
      <c r="L217" s="4">
        <v>25.75</v>
      </c>
      <c r="M217" s="4">
        <v>456760000</v>
      </c>
      <c r="N217" s="4"/>
      <c r="O217" s="4"/>
      <c r="P217" s="4"/>
      <c r="Q217" s="4"/>
      <c r="R217" s="4"/>
      <c r="T217" s="27">
        <v>38338</v>
      </c>
      <c r="U217" s="4">
        <v>1194.22</v>
      </c>
      <c r="V217" s="4">
        <v>8120000000</v>
      </c>
    </row>
    <row r="218" spans="2:22" x14ac:dyDescent="0.2">
      <c r="B218" s="27">
        <v>36245</v>
      </c>
      <c r="C218" s="4">
        <v>43.354399999999998</v>
      </c>
      <c r="D218" s="4">
        <v>9970000</v>
      </c>
      <c r="E218" s="4"/>
      <c r="F218" s="4"/>
      <c r="G218" s="4"/>
      <c r="H218" s="4"/>
      <c r="I218" s="4"/>
      <c r="K218" s="27">
        <v>38331</v>
      </c>
      <c r="L218" s="4">
        <v>27.09</v>
      </c>
      <c r="M218" s="4">
        <v>168880000</v>
      </c>
      <c r="N218" s="4"/>
      <c r="O218" s="4"/>
      <c r="P218" s="4"/>
      <c r="Q218" s="4"/>
      <c r="R218" s="4"/>
      <c r="T218" s="27">
        <v>38331</v>
      </c>
      <c r="U218" s="4">
        <v>1188</v>
      </c>
      <c r="V218" s="4">
        <v>6360000000</v>
      </c>
    </row>
    <row r="219" spans="2:22" x14ac:dyDescent="0.2">
      <c r="B219" s="27">
        <v>36238</v>
      </c>
      <c r="C219" s="4">
        <v>45.704300000000003</v>
      </c>
      <c r="D219" s="4">
        <v>18000000</v>
      </c>
      <c r="E219" s="4"/>
      <c r="F219" s="4"/>
      <c r="G219" s="4"/>
      <c r="H219" s="4"/>
      <c r="I219" s="4"/>
      <c r="K219" s="27">
        <v>38324</v>
      </c>
      <c r="L219" s="4">
        <v>27.89</v>
      </c>
      <c r="M219" s="4">
        <v>181290000</v>
      </c>
      <c r="N219" s="4"/>
      <c r="O219" s="4"/>
      <c r="P219" s="4"/>
      <c r="Q219" s="4"/>
      <c r="R219" s="4"/>
      <c r="T219" s="27">
        <v>38324</v>
      </c>
      <c r="U219" s="4">
        <v>1191.17</v>
      </c>
      <c r="V219" s="4">
        <v>6790000128</v>
      </c>
    </row>
    <row r="220" spans="2:22" x14ac:dyDescent="0.2">
      <c r="B220" s="27">
        <v>36231</v>
      </c>
      <c r="C220" s="4">
        <v>45.762999999999998</v>
      </c>
      <c r="D220" s="4">
        <v>12160000</v>
      </c>
      <c r="E220" s="4"/>
      <c r="F220" s="4"/>
      <c r="G220" s="4"/>
      <c r="H220" s="4"/>
      <c r="I220" s="4"/>
      <c r="K220" s="27">
        <v>38317</v>
      </c>
      <c r="L220" s="4">
        <v>27.16</v>
      </c>
      <c r="M220" s="4">
        <v>103290000</v>
      </c>
      <c r="N220" s="4"/>
      <c r="O220" s="4"/>
      <c r="P220" s="4"/>
      <c r="Q220" s="4"/>
      <c r="R220" s="4"/>
      <c r="T220" s="27">
        <v>38317</v>
      </c>
      <c r="U220" s="4">
        <v>1182.6500000000001</v>
      </c>
      <c r="V220" s="4">
        <v>3710000128</v>
      </c>
    </row>
    <row r="221" spans="2:22" x14ac:dyDescent="0.2">
      <c r="B221" s="27">
        <v>36224</v>
      </c>
      <c r="C221" s="4">
        <v>46.056699999999999</v>
      </c>
      <c r="D221" s="4">
        <v>17350000</v>
      </c>
      <c r="E221" s="4"/>
      <c r="F221" s="4"/>
      <c r="G221" s="4"/>
      <c r="H221" s="4"/>
      <c r="I221" s="4"/>
      <c r="K221" s="27">
        <v>38310</v>
      </c>
      <c r="L221" s="4">
        <v>27.23</v>
      </c>
      <c r="M221" s="4">
        <v>151910000</v>
      </c>
      <c r="N221" s="4"/>
      <c r="O221" s="4"/>
      <c r="P221" s="4"/>
      <c r="Q221" s="4"/>
      <c r="R221" s="4"/>
      <c r="T221" s="27">
        <v>38310</v>
      </c>
      <c r="U221" s="4">
        <v>1170.3399999999999</v>
      </c>
      <c r="V221" s="4">
        <v>6300000256</v>
      </c>
    </row>
    <row r="222" spans="2:22" x14ac:dyDescent="0.2">
      <c r="B222" s="27">
        <v>36217</v>
      </c>
      <c r="C222" s="4">
        <v>42.825699999999998</v>
      </c>
      <c r="D222" s="4">
        <v>12650000</v>
      </c>
      <c r="E222" s="4"/>
      <c r="F222" s="4"/>
      <c r="G222" s="4"/>
      <c r="H222" s="4"/>
      <c r="I222" s="4"/>
      <c r="K222" s="27">
        <v>38303</v>
      </c>
      <c r="L222" s="4">
        <v>27.45</v>
      </c>
      <c r="M222" s="4">
        <v>183020000</v>
      </c>
      <c r="N222" s="4"/>
      <c r="O222" s="4"/>
      <c r="P222" s="4"/>
      <c r="Q222" s="4"/>
      <c r="R222" s="4"/>
      <c r="T222" s="27">
        <v>38303</v>
      </c>
      <c r="U222" s="4">
        <v>1184.17</v>
      </c>
      <c r="V222" s="4">
        <v>6190000128</v>
      </c>
    </row>
    <row r="223" spans="2:22" x14ac:dyDescent="0.2">
      <c r="B223" s="27">
        <v>36210</v>
      </c>
      <c r="C223" s="4">
        <v>42.649500000000003</v>
      </c>
      <c r="D223" s="4">
        <v>9310000</v>
      </c>
      <c r="E223" s="4"/>
      <c r="F223" s="4"/>
      <c r="G223" s="4"/>
      <c r="H223" s="4"/>
      <c r="I223" s="4"/>
      <c r="K223" s="27">
        <v>38296</v>
      </c>
      <c r="L223" s="4">
        <v>28.79</v>
      </c>
      <c r="M223" s="4">
        <v>224240000</v>
      </c>
      <c r="N223" s="4"/>
      <c r="O223" s="4"/>
      <c r="P223" s="4"/>
      <c r="Q223" s="4"/>
      <c r="R223" s="4"/>
      <c r="T223" s="27">
        <v>38296</v>
      </c>
      <c r="U223" s="4">
        <v>1166.17</v>
      </c>
      <c r="V223" s="4">
        <v>7169999872</v>
      </c>
    </row>
    <row r="224" spans="2:22" x14ac:dyDescent="0.2">
      <c r="B224" s="27">
        <v>36203</v>
      </c>
      <c r="C224" s="4">
        <v>44.529299999999999</v>
      </c>
      <c r="D224" s="4">
        <v>13330000</v>
      </c>
      <c r="E224" s="4"/>
      <c r="F224" s="4"/>
      <c r="G224" s="4"/>
      <c r="H224" s="4"/>
      <c r="I224" s="4"/>
      <c r="K224" s="27">
        <v>38289</v>
      </c>
      <c r="L224" s="4">
        <v>28.95</v>
      </c>
      <c r="M224" s="4">
        <v>118510000</v>
      </c>
      <c r="N224" s="4"/>
      <c r="O224" s="4"/>
      <c r="P224" s="4"/>
      <c r="Q224" s="4"/>
      <c r="R224" s="4"/>
      <c r="T224" s="27">
        <v>38289</v>
      </c>
      <c r="U224" s="4">
        <v>1130.2</v>
      </c>
      <c r="V224" s="4">
        <v>6700000256</v>
      </c>
    </row>
    <row r="225" spans="2:22" x14ac:dyDescent="0.2">
      <c r="B225" s="27">
        <v>36196</v>
      </c>
      <c r="C225" s="4">
        <v>45.292999999999999</v>
      </c>
      <c r="D225" s="4">
        <v>18350000</v>
      </c>
      <c r="E225" s="4"/>
      <c r="F225" s="4"/>
      <c r="G225" s="4"/>
      <c r="H225" s="4"/>
      <c r="I225" s="4"/>
      <c r="K225" s="27">
        <v>38282</v>
      </c>
      <c r="L225" s="4">
        <v>27.74</v>
      </c>
      <c r="M225" s="4">
        <v>124780000</v>
      </c>
      <c r="N225" s="4"/>
      <c r="O225" s="4"/>
      <c r="P225" s="4"/>
      <c r="Q225" s="4"/>
      <c r="R225" s="4"/>
      <c r="T225" s="27">
        <v>38282</v>
      </c>
      <c r="U225" s="4">
        <v>1095.73</v>
      </c>
      <c r="V225" s="4">
        <v>6780000256</v>
      </c>
    </row>
    <row r="226" spans="2:22" x14ac:dyDescent="0.2">
      <c r="B226" s="27">
        <v>36189</v>
      </c>
      <c r="C226" s="4">
        <v>44.705599999999997</v>
      </c>
      <c r="D226" s="4">
        <v>24030000</v>
      </c>
      <c r="E226" s="4"/>
      <c r="F226" s="4"/>
      <c r="G226" s="4"/>
      <c r="H226" s="4"/>
      <c r="I226" s="4"/>
      <c r="K226" s="27">
        <v>38275</v>
      </c>
      <c r="L226" s="4">
        <v>28.5</v>
      </c>
      <c r="M226" s="4">
        <v>166380000</v>
      </c>
      <c r="N226" s="4"/>
      <c r="O226" s="4"/>
      <c r="P226" s="4"/>
      <c r="Q226" s="4"/>
      <c r="R226" s="4"/>
      <c r="T226" s="27">
        <v>38275</v>
      </c>
      <c r="U226" s="4">
        <v>1108.2</v>
      </c>
      <c r="V226" s="4">
        <v>5920000000</v>
      </c>
    </row>
    <row r="227" spans="2:22" x14ac:dyDescent="0.2">
      <c r="B227" s="27">
        <v>36182</v>
      </c>
      <c r="C227" s="4">
        <v>36.892400000000002</v>
      </c>
      <c r="D227" s="4">
        <v>30790000</v>
      </c>
      <c r="E227" s="4"/>
      <c r="F227" s="4"/>
      <c r="G227" s="4"/>
      <c r="H227" s="4"/>
      <c r="I227" s="4"/>
      <c r="K227" s="27">
        <v>38268</v>
      </c>
      <c r="L227" s="4">
        <v>29.8</v>
      </c>
      <c r="M227" s="4">
        <v>168530000</v>
      </c>
      <c r="N227" s="4"/>
      <c r="O227" s="4"/>
      <c r="P227" s="4"/>
      <c r="Q227" s="4"/>
      <c r="R227" s="4"/>
      <c r="T227" s="27">
        <v>38268</v>
      </c>
      <c r="U227" s="4">
        <v>1122.1400000000001</v>
      </c>
      <c r="V227" s="4">
        <v>6019999744</v>
      </c>
    </row>
    <row r="228" spans="2:22" x14ac:dyDescent="0.2">
      <c r="B228" s="27">
        <v>36175</v>
      </c>
      <c r="C228" s="4">
        <v>36.657400000000003</v>
      </c>
      <c r="D228" s="4">
        <v>19780000</v>
      </c>
      <c r="E228" s="4"/>
      <c r="F228" s="4"/>
      <c r="G228" s="4"/>
      <c r="H228" s="4"/>
      <c r="I228" s="4"/>
      <c r="K228" s="27">
        <v>38261</v>
      </c>
      <c r="L228" s="4">
        <v>30.97</v>
      </c>
      <c r="M228" s="4">
        <v>150540000</v>
      </c>
      <c r="N228" s="4"/>
      <c r="O228" s="4"/>
      <c r="P228" s="4"/>
      <c r="Q228" s="4"/>
      <c r="R228" s="4"/>
      <c r="T228" s="27">
        <v>38261</v>
      </c>
      <c r="U228" s="4">
        <v>1131.5</v>
      </c>
      <c r="V228" s="4">
        <v>6320000000</v>
      </c>
    </row>
    <row r="229" spans="2:22" x14ac:dyDescent="0.2">
      <c r="B229" s="27">
        <v>36168</v>
      </c>
      <c r="C229" s="4">
        <v>42.649500000000003</v>
      </c>
      <c r="D229" s="4">
        <v>19650000</v>
      </c>
      <c r="E229" s="4"/>
      <c r="F229" s="4"/>
      <c r="G229" s="4"/>
      <c r="H229" s="4"/>
      <c r="I229" s="4"/>
      <c r="K229" s="27">
        <v>38254</v>
      </c>
      <c r="L229" s="4">
        <v>29.66</v>
      </c>
      <c r="M229" s="4">
        <v>125710000</v>
      </c>
      <c r="N229" s="4">
        <v>-1259</v>
      </c>
      <c r="O229" s="4"/>
      <c r="P229" s="4"/>
      <c r="Q229" s="4"/>
      <c r="R229" s="4"/>
      <c r="T229" s="27">
        <v>38254</v>
      </c>
      <c r="U229" s="4">
        <v>1110.1099999999999</v>
      </c>
      <c r="V229" s="4">
        <v>5649999872</v>
      </c>
    </row>
    <row r="230" spans="2:22" x14ac:dyDescent="0.2">
      <c r="B230" s="27">
        <v>36161</v>
      </c>
      <c r="C230" s="4">
        <v>44.646799999999999</v>
      </c>
      <c r="D230" s="4">
        <v>11170000</v>
      </c>
      <c r="E230" s="4">
        <v>-19</v>
      </c>
      <c r="F230" s="4"/>
      <c r="G230" s="4"/>
      <c r="H230" s="4"/>
      <c r="I230" s="4"/>
      <c r="K230" s="27">
        <v>38247</v>
      </c>
      <c r="L230" s="4">
        <v>31.72</v>
      </c>
      <c r="M230" s="4">
        <v>91640000</v>
      </c>
      <c r="N230" s="4"/>
      <c r="O230" s="4"/>
      <c r="P230" s="4"/>
      <c r="Q230" s="4"/>
      <c r="R230" s="4"/>
      <c r="T230" s="27">
        <v>38247</v>
      </c>
      <c r="U230" s="4">
        <v>1128.55</v>
      </c>
      <c r="V230" s="4">
        <v>5680000000</v>
      </c>
    </row>
    <row r="231" spans="2:22" x14ac:dyDescent="0.2">
      <c r="B231" s="27">
        <v>36154</v>
      </c>
      <c r="C231" s="4">
        <v>43.119399999999999</v>
      </c>
      <c r="D231" s="4">
        <v>7760000</v>
      </c>
      <c r="E231" s="4"/>
      <c r="F231" s="4"/>
      <c r="G231" s="4"/>
      <c r="H231" s="4"/>
      <c r="I231" s="4"/>
      <c r="K231" s="27">
        <v>38240</v>
      </c>
      <c r="L231" s="4">
        <v>31.86</v>
      </c>
      <c r="M231" s="4">
        <v>68360000</v>
      </c>
      <c r="N231" s="4"/>
      <c r="O231" s="4"/>
      <c r="P231" s="4"/>
      <c r="Q231" s="4"/>
      <c r="R231" s="4"/>
      <c r="T231" s="27">
        <v>38240</v>
      </c>
      <c r="U231" s="4">
        <v>1123.92</v>
      </c>
      <c r="V231" s="4">
        <v>4470000128</v>
      </c>
    </row>
    <row r="232" spans="2:22" x14ac:dyDescent="0.2">
      <c r="B232" s="27">
        <v>36147</v>
      </c>
      <c r="C232" s="4">
        <v>40.417099999999998</v>
      </c>
      <c r="D232" s="4">
        <v>11650000</v>
      </c>
      <c r="E232" s="4"/>
      <c r="F232" s="4"/>
      <c r="G232" s="4"/>
      <c r="H232" s="4"/>
      <c r="I232" s="4"/>
      <c r="K232" s="27">
        <v>38233</v>
      </c>
      <c r="L232" s="4">
        <v>32.549999999999997</v>
      </c>
      <c r="M232" s="4">
        <v>70850000</v>
      </c>
      <c r="N232" s="4"/>
      <c r="O232" s="4"/>
      <c r="P232" s="4"/>
      <c r="Q232" s="4"/>
      <c r="R232" s="4"/>
      <c r="T232" s="27">
        <v>38233</v>
      </c>
      <c r="U232" s="4">
        <v>1113.6300000000001</v>
      </c>
      <c r="V232" s="4">
        <v>4369999872</v>
      </c>
    </row>
    <row r="233" spans="2:22" x14ac:dyDescent="0.2">
      <c r="B233" s="27">
        <v>36140</v>
      </c>
      <c r="C233" s="4">
        <v>39.712200000000003</v>
      </c>
      <c r="D233" s="4">
        <v>12250000</v>
      </c>
      <c r="E233" s="4"/>
      <c r="F233" s="4"/>
      <c r="G233" s="4"/>
      <c r="H233" s="4"/>
      <c r="I233" s="4"/>
      <c r="K233" s="27">
        <v>38226</v>
      </c>
      <c r="L233" s="4">
        <v>32.65</v>
      </c>
      <c r="M233" s="4">
        <v>63910000</v>
      </c>
      <c r="N233" s="4"/>
      <c r="O233" s="4"/>
      <c r="P233" s="4"/>
      <c r="Q233" s="4"/>
      <c r="R233" s="4"/>
      <c r="T233" s="27">
        <v>38226</v>
      </c>
      <c r="U233" s="4">
        <v>1107.77</v>
      </c>
      <c r="V233" s="4">
        <v>3950000128</v>
      </c>
    </row>
    <row r="234" spans="2:22" x14ac:dyDescent="0.2">
      <c r="B234" s="27">
        <v>36133</v>
      </c>
      <c r="C234" s="4">
        <v>40.417099999999998</v>
      </c>
      <c r="D234" s="4">
        <v>24750000</v>
      </c>
      <c r="E234" s="4"/>
      <c r="F234" s="4"/>
      <c r="G234" s="4"/>
      <c r="H234" s="4"/>
      <c r="I234" s="4"/>
      <c r="K234" s="27">
        <v>38219</v>
      </c>
      <c r="L234" s="4">
        <v>31.74</v>
      </c>
      <c r="M234" s="4">
        <v>67560000</v>
      </c>
      <c r="N234" s="4"/>
      <c r="O234" s="4"/>
      <c r="P234" s="4"/>
      <c r="Q234" s="4"/>
      <c r="R234" s="4"/>
      <c r="T234" s="27">
        <v>38219</v>
      </c>
      <c r="U234" s="4">
        <v>1098.3499999999999</v>
      </c>
      <c r="V234" s="4">
        <v>4889999872</v>
      </c>
    </row>
    <row r="235" spans="2:22" x14ac:dyDescent="0.2">
      <c r="B235" s="27">
        <v>36126</v>
      </c>
      <c r="C235" s="4">
        <v>41.944499999999998</v>
      </c>
      <c r="D235" s="4">
        <v>20190000</v>
      </c>
      <c r="E235" s="4"/>
      <c r="F235" s="4"/>
      <c r="G235" s="4"/>
      <c r="H235" s="4"/>
      <c r="I235" s="4"/>
      <c r="K235" s="27">
        <v>38212</v>
      </c>
      <c r="L235" s="4">
        <v>31.15</v>
      </c>
      <c r="M235" s="4">
        <v>60300000</v>
      </c>
      <c r="N235" s="4"/>
      <c r="O235" s="4"/>
      <c r="P235" s="4"/>
      <c r="Q235" s="4"/>
      <c r="R235" s="4"/>
      <c r="T235" s="27">
        <v>38212</v>
      </c>
      <c r="U235" s="4">
        <v>1064.8</v>
      </c>
      <c r="V235" s="4">
        <v>5030000128</v>
      </c>
    </row>
    <row r="236" spans="2:22" x14ac:dyDescent="0.2">
      <c r="B236" s="27">
        <v>36119</v>
      </c>
      <c r="C236" s="4">
        <v>38.419800000000002</v>
      </c>
      <c r="D236" s="4">
        <v>21290000</v>
      </c>
      <c r="E236" s="4"/>
      <c r="F236" s="4"/>
      <c r="G236" s="4"/>
      <c r="H236" s="4"/>
      <c r="I236" s="4"/>
      <c r="K236" s="27">
        <v>38205</v>
      </c>
      <c r="L236" s="4">
        <v>31.18</v>
      </c>
      <c r="M236" s="4">
        <v>79650000</v>
      </c>
      <c r="N236" s="4"/>
      <c r="O236" s="4"/>
      <c r="P236" s="4"/>
      <c r="Q236" s="4"/>
      <c r="R236" s="4"/>
      <c r="T236" s="27">
        <v>38205</v>
      </c>
      <c r="U236" s="4">
        <v>1063.97</v>
      </c>
      <c r="V236" s="4">
        <v>5270000128</v>
      </c>
    </row>
    <row r="237" spans="2:22" x14ac:dyDescent="0.2">
      <c r="B237" s="27">
        <v>36112</v>
      </c>
      <c r="C237" s="4">
        <v>36.246200000000002</v>
      </c>
      <c r="D237" s="4">
        <v>22660000</v>
      </c>
      <c r="E237" s="4"/>
      <c r="F237" s="4"/>
      <c r="G237" s="4"/>
      <c r="H237" s="4"/>
      <c r="I237" s="4"/>
      <c r="K237" s="27">
        <v>38198</v>
      </c>
      <c r="L237" s="4">
        <v>31.96</v>
      </c>
      <c r="M237" s="4">
        <v>89540000</v>
      </c>
      <c r="N237" s="4"/>
      <c r="O237" s="4"/>
      <c r="P237" s="4"/>
      <c r="Q237" s="4"/>
      <c r="R237" s="4"/>
      <c r="T237" s="27">
        <v>38198</v>
      </c>
      <c r="U237" s="4">
        <v>1101.72</v>
      </c>
      <c r="V237" s="4">
        <v>5859999744</v>
      </c>
    </row>
    <row r="238" spans="2:22" x14ac:dyDescent="0.2">
      <c r="B238" s="27">
        <v>36105</v>
      </c>
      <c r="C238" s="4">
        <v>37.538600000000002</v>
      </c>
      <c r="D238" s="4">
        <v>32350000</v>
      </c>
      <c r="E238" s="4"/>
      <c r="F238" s="4"/>
      <c r="G238" s="4"/>
      <c r="H238" s="4"/>
      <c r="I238" s="4"/>
      <c r="K238" s="27">
        <v>38191</v>
      </c>
      <c r="L238" s="4">
        <v>32.299999999999997</v>
      </c>
      <c r="M238" s="4">
        <v>80320000</v>
      </c>
      <c r="N238" s="4"/>
      <c r="O238" s="4"/>
      <c r="P238" s="4"/>
      <c r="Q238" s="4"/>
      <c r="R238" s="4"/>
      <c r="T238" s="27">
        <v>38191</v>
      </c>
      <c r="U238" s="4">
        <v>1086.2</v>
      </c>
      <c r="V238" s="4">
        <v>5969999872</v>
      </c>
    </row>
    <row r="239" spans="2:22" x14ac:dyDescent="0.2">
      <c r="B239" s="27">
        <v>36098</v>
      </c>
      <c r="C239" s="4">
        <v>38.184800000000003</v>
      </c>
      <c r="D239" s="4">
        <v>18940000</v>
      </c>
      <c r="E239" s="4"/>
      <c r="F239" s="4"/>
      <c r="G239" s="4"/>
      <c r="H239" s="4"/>
      <c r="I239" s="4"/>
      <c r="K239" s="27">
        <v>38184</v>
      </c>
      <c r="L239" s="4">
        <v>32.380000000000003</v>
      </c>
      <c r="M239" s="4">
        <v>108040000</v>
      </c>
      <c r="N239" s="4"/>
      <c r="O239" s="4"/>
      <c r="P239" s="4"/>
      <c r="Q239" s="4"/>
      <c r="R239" s="4"/>
      <c r="T239" s="27">
        <v>38184</v>
      </c>
      <c r="U239" s="4">
        <v>1101.4000000000001</v>
      </c>
      <c r="V239" s="4">
        <v>5470000128</v>
      </c>
    </row>
    <row r="240" spans="2:22" x14ac:dyDescent="0.2">
      <c r="B240" s="27">
        <v>36091</v>
      </c>
      <c r="C240" s="4">
        <v>35.6</v>
      </c>
      <c r="D240" s="4">
        <v>32000000</v>
      </c>
      <c r="E240" s="4"/>
      <c r="F240" s="4"/>
      <c r="G240" s="4"/>
      <c r="H240" s="4"/>
      <c r="I240" s="4"/>
      <c r="K240" s="27">
        <v>38177</v>
      </c>
      <c r="L240" s="4">
        <v>34</v>
      </c>
      <c r="M240" s="4">
        <v>52690000</v>
      </c>
      <c r="N240" s="4"/>
      <c r="O240" s="4"/>
      <c r="P240" s="4"/>
      <c r="Q240" s="4"/>
      <c r="R240" s="4"/>
      <c r="T240" s="27">
        <v>38177</v>
      </c>
      <c r="U240" s="4">
        <v>1112.81</v>
      </c>
      <c r="V240" s="4">
        <v>4470000128</v>
      </c>
    </row>
    <row r="241" spans="2:22" x14ac:dyDescent="0.2">
      <c r="B241" s="27">
        <v>36084</v>
      </c>
      <c r="C241" s="4">
        <v>37.127400000000002</v>
      </c>
      <c r="D241" s="4">
        <v>81220000</v>
      </c>
      <c r="E241" s="4"/>
      <c r="F241" s="4"/>
      <c r="G241" s="4"/>
      <c r="H241" s="4"/>
      <c r="I241" s="4"/>
      <c r="K241" s="27">
        <v>38170</v>
      </c>
      <c r="L241" s="4">
        <v>33.94</v>
      </c>
      <c r="M241" s="4">
        <v>81520000</v>
      </c>
      <c r="N241" s="4"/>
      <c r="O241" s="4"/>
      <c r="P241" s="4"/>
      <c r="Q241" s="4"/>
      <c r="R241" s="4"/>
      <c r="T241" s="27">
        <v>38170</v>
      </c>
      <c r="U241" s="4">
        <v>1125.3800000000001</v>
      </c>
      <c r="V241" s="4">
        <v>5369999872</v>
      </c>
    </row>
    <row r="242" spans="2:22" x14ac:dyDescent="0.2">
      <c r="B242" s="27">
        <v>36077</v>
      </c>
      <c r="C242" s="4">
        <v>46.232999999999997</v>
      </c>
      <c r="D242" s="4">
        <v>12550000</v>
      </c>
      <c r="E242" s="4"/>
      <c r="F242" s="4"/>
      <c r="G242" s="4"/>
      <c r="H242" s="4"/>
      <c r="I242" s="4"/>
      <c r="K242" s="27">
        <v>38163</v>
      </c>
      <c r="L242" s="4">
        <v>33.82</v>
      </c>
      <c r="M242" s="4">
        <v>93390000</v>
      </c>
      <c r="N242" s="4">
        <v>-1280</v>
      </c>
      <c r="O242" s="4"/>
      <c r="P242" s="4"/>
      <c r="Q242" s="4"/>
      <c r="R242" s="4"/>
      <c r="T242" s="27">
        <v>38163</v>
      </c>
      <c r="U242" s="4">
        <v>1134.43</v>
      </c>
      <c r="V242" s="4">
        <v>5750000128</v>
      </c>
    </row>
    <row r="243" spans="2:22" x14ac:dyDescent="0.2">
      <c r="B243" s="27">
        <v>36070</v>
      </c>
      <c r="C243" s="4">
        <v>48.8765</v>
      </c>
      <c r="D243" s="4">
        <v>21040000</v>
      </c>
      <c r="E243" s="4">
        <v>-18</v>
      </c>
      <c r="F243" s="4"/>
      <c r="G243" s="4"/>
      <c r="H243" s="4"/>
      <c r="I243" s="4"/>
      <c r="K243" s="27">
        <v>38156</v>
      </c>
      <c r="L243" s="4">
        <v>35.43</v>
      </c>
      <c r="M243" s="4">
        <v>75400000</v>
      </c>
      <c r="N243" s="4"/>
      <c r="O243" s="4"/>
      <c r="P243" s="4"/>
      <c r="Q243" s="4"/>
      <c r="R243" s="4"/>
      <c r="T243" s="27">
        <v>38156</v>
      </c>
      <c r="U243" s="4">
        <v>1135.02</v>
      </c>
      <c r="V243" s="4">
        <v>5100000256</v>
      </c>
    </row>
    <row r="244" spans="2:22" x14ac:dyDescent="0.2">
      <c r="B244" s="27">
        <v>36063</v>
      </c>
      <c r="C244" s="4">
        <v>58.2759</v>
      </c>
      <c r="D244" s="4">
        <v>8260000</v>
      </c>
      <c r="E244" s="4"/>
      <c r="F244" s="4"/>
      <c r="G244" s="4"/>
      <c r="H244" s="4"/>
      <c r="I244" s="4"/>
      <c r="K244" s="27">
        <v>38149</v>
      </c>
      <c r="L244" s="4">
        <v>35.659999999999997</v>
      </c>
      <c r="M244" s="4">
        <v>46180000</v>
      </c>
      <c r="N244" s="4"/>
      <c r="O244" s="4"/>
      <c r="P244" s="4"/>
      <c r="Q244" s="4"/>
      <c r="R244" s="4"/>
      <c r="T244" s="27">
        <v>38149</v>
      </c>
      <c r="U244" s="4">
        <v>1136.47</v>
      </c>
      <c r="V244" s="4">
        <v>3760000000</v>
      </c>
    </row>
    <row r="245" spans="2:22" x14ac:dyDescent="0.2">
      <c r="B245" s="27">
        <v>36056</v>
      </c>
      <c r="C245" s="4">
        <v>54.633600000000001</v>
      </c>
      <c r="D245" s="4">
        <v>8140000</v>
      </c>
      <c r="E245" s="4"/>
      <c r="F245" s="4"/>
      <c r="G245" s="4"/>
      <c r="H245" s="4"/>
      <c r="I245" s="4"/>
      <c r="K245" s="27">
        <v>38142</v>
      </c>
      <c r="L245" s="4">
        <v>35.619999999999997</v>
      </c>
      <c r="M245" s="4">
        <v>59160000</v>
      </c>
      <c r="N245" s="4"/>
      <c r="O245" s="4"/>
      <c r="P245" s="4"/>
      <c r="Q245" s="4"/>
      <c r="R245" s="4"/>
      <c r="T245" s="27">
        <v>38142</v>
      </c>
      <c r="U245" s="4">
        <v>1122.5</v>
      </c>
      <c r="V245" s="4">
        <v>3849999872</v>
      </c>
    </row>
    <row r="246" spans="2:22" x14ac:dyDescent="0.2">
      <c r="B246" s="27">
        <v>36049</v>
      </c>
      <c r="C246" s="4">
        <v>53.811199999999999</v>
      </c>
      <c r="D246" s="4">
        <v>7170000</v>
      </c>
      <c r="E246" s="4"/>
      <c r="F246" s="4"/>
      <c r="G246" s="4"/>
      <c r="H246" s="4"/>
      <c r="I246" s="4"/>
      <c r="K246" s="27">
        <v>38135</v>
      </c>
      <c r="L246" s="4">
        <v>35.340000000000003</v>
      </c>
      <c r="M246" s="4">
        <v>65590000</v>
      </c>
      <c r="N246" s="4"/>
      <c r="O246" s="4"/>
      <c r="P246" s="4"/>
      <c r="Q246" s="4"/>
      <c r="R246" s="4"/>
      <c r="T246" s="27">
        <v>38135</v>
      </c>
      <c r="U246" s="4">
        <v>1120.68</v>
      </c>
      <c r="V246" s="4">
        <v>5390000128</v>
      </c>
    </row>
    <row r="247" spans="2:22" x14ac:dyDescent="0.2">
      <c r="B247" s="27">
        <v>36042</v>
      </c>
      <c r="C247" s="4">
        <v>49.170299999999997</v>
      </c>
      <c r="D247" s="4">
        <v>16090000</v>
      </c>
      <c r="E247" s="4"/>
      <c r="F247" s="4"/>
      <c r="G247" s="4"/>
      <c r="H247" s="4"/>
      <c r="I247" s="4"/>
      <c r="K247" s="27">
        <v>38128</v>
      </c>
      <c r="L247" s="4">
        <v>34.81</v>
      </c>
      <c r="M247" s="4">
        <v>64410000</v>
      </c>
      <c r="N247" s="4"/>
      <c r="O247" s="4"/>
      <c r="P247" s="4"/>
      <c r="Q247" s="4"/>
      <c r="R247" s="4"/>
      <c r="T247" s="27">
        <v>38128</v>
      </c>
      <c r="U247" s="4">
        <v>1093.56</v>
      </c>
      <c r="V247" s="4">
        <v>5310000128</v>
      </c>
    </row>
    <row r="248" spans="2:22" x14ac:dyDescent="0.2">
      <c r="B248" s="27">
        <v>36035</v>
      </c>
      <c r="C248" s="4">
        <v>57.5122</v>
      </c>
      <c r="D248" s="4">
        <v>16030000</v>
      </c>
      <c r="E248" s="4"/>
      <c r="F248" s="4"/>
      <c r="G248" s="4"/>
      <c r="H248" s="4"/>
      <c r="I248" s="4"/>
      <c r="K248" s="27">
        <v>38121</v>
      </c>
      <c r="L248" s="4">
        <v>35.6</v>
      </c>
      <c r="M248" s="4">
        <v>73260000</v>
      </c>
      <c r="N248" s="4"/>
      <c r="O248" s="4"/>
      <c r="P248" s="4"/>
      <c r="Q248" s="4"/>
      <c r="R248" s="4"/>
      <c r="T248" s="27">
        <v>38121</v>
      </c>
      <c r="U248" s="4">
        <v>1095.7</v>
      </c>
      <c r="V248" s="4">
        <v>6060000256</v>
      </c>
    </row>
    <row r="249" spans="2:22" x14ac:dyDescent="0.2">
      <c r="B249" s="27">
        <v>36028</v>
      </c>
      <c r="C249" s="4">
        <v>54.046199999999999</v>
      </c>
      <c r="D249" s="4">
        <v>9310000</v>
      </c>
      <c r="E249" s="4"/>
      <c r="F249" s="4"/>
      <c r="G249" s="4"/>
      <c r="H249" s="4"/>
      <c r="I249" s="4"/>
      <c r="K249" s="27">
        <v>38114</v>
      </c>
      <c r="L249" s="4">
        <v>36.36</v>
      </c>
      <c r="M249" s="4">
        <v>71390000</v>
      </c>
      <c r="N249" s="4"/>
      <c r="O249" s="4"/>
      <c r="P249" s="4"/>
      <c r="Q249" s="4"/>
      <c r="R249" s="4"/>
      <c r="T249" s="27">
        <v>38114</v>
      </c>
      <c r="U249" s="4">
        <v>1098.7</v>
      </c>
      <c r="V249" s="4">
        <v>5910000128</v>
      </c>
    </row>
    <row r="250" spans="2:22" x14ac:dyDescent="0.2">
      <c r="B250" s="27">
        <v>36021</v>
      </c>
      <c r="C250" s="4">
        <v>52.1663</v>
      </c>
      <c r="D250" s="4">
        <v>7210000</v>
      </c>
      <c r="E250" s="4"/>
      <c r="F250" s="4"/>
      <c r="G250" s="4"/>
      <c r="H250" s="4"/>
      <c r="I250" s="4"/>
      <c r="K250" s="27">
        <v>38107</v>
      </c>
      <c r="L250" s="4">
        <v>35.76</v>
      </c>
      <c r="M250" s="4">
        <v>78630000</v>
      </c>
      <c r="N250" s="4"/>
      <c r="O250" s="4"/>
      <c r="P250" s="4"/>
      <c r="Q250" s="4"/>
      <c r="R250" s="4"/>
      <c r="T250" s="27">
        <v>38107</v>
      </c>
      <c r="U250" s="4">
        <v>1107.31</v>
      </c>
      <c r="V250" s="4">
        <v>6190000128</v>
      </c>
    </row>
    <row r="251" spans="2:22" x14ac:dyDescent="0.2">
      <c r="B251" s="27">
        <v>36014</v>
      </c>
      <c r="C251" s="4">
        <v>52.283799999999999</v>
      </c>
      <c r="D251" s="4">
        <v>10490000</v>
      </c>
      <c r="E251" s="4"/>
      <c r="F251" s="4"/>
      <c r="G251" s="4"/>
      <c r="H251" s="4"/>
      <c r="I251" s="4"/>
      <c r="K251" s="27">
        <v>38100</v>
      </c>
      <c r="L251" s="4">
        <v>36.42</v>
      </c>
      <c r="M251" s="4">
        <v>88360000</v>
      </c>
      <c r="N251" s="4"/>
      <c r="O251" s="4"/>
      <c r="P251" s="4"/>
      <c r="Q251" s="4"/>
      <c r="R251" s="4"/>
      <c r="T251" s="27">
        <v>38100</v>
      </c>
      <c r="U251" s="4">
        <v>1140.5999999999999</v>
      </c>
      <c r="V251" s="4">
        <v>6070000128</v>
      </c>
    </row>
    <row r="252" spans="2:22" x14ac:dyDescent="0.2">
      <c r="B252" s="27">
        <v>36007</v>
      </c>
      <c r="C252" s="4">
        <v>53.223700000000001</v>
      </c>
      <c r="D252" s="4">
        <v>7710000</v>
      </c>
      <c r="E252" s="4"/>
      <c r="F252" s="4"/>
      <c r="G252" s="4"/>
      <c r="H252" s="4"/>
      <c r="I252" s="4"/>
      <c r="K252" s="27">
        <v>38093</v>
      </c>
      <c r="L252" s="4">
        <v>37.619999999999997</v>
      </c>
      <c r="M252" s="4">
        <v>113800000</v>
      </c>
      <c r="N252" s="4"/>
      <c r="O252" s="4"/>
      <c r="P252" s="4"/>
      <c r="Q252" s="4"/>
      <c r="R252" s="4"/>
      <c r="T252" s="27">
        <v>38093</v>
      </c>
      <c r="U252" s="4">
        <v>1134.6099999999999</v>
      </c>
      <c r="V252" s="4">
        <v>5430000128</v>
      </c>
    </row>
    <row r="253" spans="2:22" x14ac:dyDescent="0.2">
      <c r="B253" s="27">
        <v>36000</v>
      </c>
      <c r="C253" s="4">
        <v>54.281100000000002</v>
      </c>
      <c r="D253" s="4">
        <v>9110000</v>
      </c>
      <c r="E253" s="4"/>
      <c r="F253" s="4"/>
      <c r="G253" s="4"/>
      <c r="H253" s="4"/>
      <c r="I253" s="4"/>
      <c r="K253" s="27">
        <v>38086</v>
      </c>
      <c r="L253" s="4">
        <v>35.6</v>
      </c>
      <c r="M253" s="4">
        <v>62980000</v>
      </c>
      <c r="N253" s="4"/>
      <c r="O253" s="4"/>
      <c r="P253" s="4"/>
      <c r="Q253" s="4"/>
      <c r="R253" s="4"/>
      <c r="T253" s="27">
        <v>38086</v>
      </c>
      <c r="U253" s="4">
        <v>1139.32</v>
      </c>
      <c r="V253" s="4">
        <v>4200000000</v>
      </c>
    </row>
    <row r="254" spans="2:22" x14ac:dyDescent="0.2">
      <c r="B254" s="27">
        <v>35993</v>
      </c>
      <c r="C254" s="4">
        <v>55.162300000000002</v>
      </c>
      <c r="D254" s="4">
        <v>11790000</v>
      </c>
      <c r="E254" s="4"/>
      <c r="F254" s="4"/>
      <c r="G254" s="4"/>
      <c r="H254" s="4"/>
      <c r="I254" s="4"/>
      <c r="K254" s="27">
        <v>38079</v>
      </c>
      <c r="L254" s="4">
        <v>36</v>
      </c>
      <c r="M254" s="4">
        <v>90830000</v>
      </c>
      <c r="N254" s="4"/>
      <c r="O254" s="4"/>
      <c r="P254" s="4"/>
      <c r="Q254" s="4"/>
      <c r="R254" s="4"/>
      <c r="T254" s="27">
        <v>38079</v>
      </c>
      <c r="U254" s="4">
        <v>1141.81</v>
      </c>
      <c r="V254" s="4">
        <v>5800000000</v>
      </c>
    </row>
    <row r="255" spans="2:22" x14ac:dyDescent="0.2">
      <c r="B255" s="27">
        <v>35986</v>
      </c>
      <c r="C255" s="4">
        <v>49.405200000000001</v>
      </c>
      <c r="D255" s="4">
        <v>11970000</v>
      </c>
      <c r="E255" s="4"/>
      <c r="F255" s="4"/>
      <c r="G255" s="4"/>
      <c r="H255" s="4"/>
      <c r="I255" s="4"/>
      <c r="K255" s="27">
        <v>38072</v>
      </c>
      <c r="L255" s="4">
        <v>34.29</v>
      </c>
      <c r="M255" s="4">
        <v>94910000</v>
      </c>
      <c r="N255" s="4">
        <v>-1282</v>
      </c>
      <c r="O255" s="4"/>
      <c r="P255" s="4"/>
      <c r="Q255" s="4"/>
      <c r="R255" s="4"/>
      <c r="T255" s="27">
        <v>38072</v>
      </c>
      <c r="U255" s="4">
        <v>1108.06</v>
      </c>
      <c r="V255" s="4">
        <v>5870000128</v>
      </c>
    </row>
    <row r="256" spans="2:22" x14ac:dyDescent="0.2">
      <c r="B256" s="27">
        <v>35979</v>
      </c>
      <c r="C256" s="4">
        <v>52.577500000000001</v>
      </c>
      <c r="D256" s="4">
        <v>8930000</v>
      </c>
      <c r="E256" s="4">
        <v>-18</v>
      </c>
      <c r="F256" s="4"/>
      <c r="G256" s="4"/>
      <c r="H256" s="4"/>
      <c r="I256" s="4"/>
      <c r="K256" s="27">
        <v>38065</v>
      </c>
      <c r="L256" s="4">
        <v>33.950000000000003</v>
      </c>
      <c r="M256" s="4">
        <v>110260000</v>
      </c>
      <c r="N256" s="4"/>
      <c r="O256" s="4"/>
      <c r="P256" s="4"/>
      <c r="Q256" s="4"/>
      <c r="R256" s="4"/>
      <c r="T256" s="27">
        <v>38065</v>
      </c>
      <c r="U256" s="4">
        <v>1109.78</v>
      </c>
      <c r="V256" s="4">
        <v>5750000128</v>
      </c>
    </row>
    <row r="257" spans="2:22" x14ac:dyDescent="0.2">
      <c r="B257" s="27">
        <v>35972</v>
      </c>
      <c r="C257" s="4">
        <v>53.752400000000002</v>
      </c>
      <c r="D257" s="4">
        <v>9470000</v>
      </c>
      <c r="E257" s="4"/>
      <c r="F257" s="4"/>
      <c r="G257" s="4"/>
      <c r="H257" s="4"/>
      <c r="I257" s="4"/>
      <c r="K257" s="27">
        <v>38058</v>
      </c>
      <c r="L257" s="4">
        <v>35.29</v>
      </c>
      <c r="M257" s="4">
        <v>102260000</v>
      </c>
      <c r="N257" s="4"/>
      <c r="O257" s="4"/>
      <c r="P257" s="4"/>
      <c r="Q257" s="4"/>
      <c r="R257" s="4"/>
      <c r="T257" s="27">
        <v>38058</v>
      </c>
      <c r="U257" s="4">
        <v>1120.57</v>
      </c>
      <c r="V257" s="4">
        <v>6289999872</v>
      </c>
    </row>
    <row r="258" spans="2:22" x14ac:dyDescent="0.2">
      <c r="B258" s="27">
        <v>35965</v>
      </c>
      <c r="C258" s="4">
        <v>54.809899999999999</v>
      </c>
      <c r="D258" s="4">
        <v>9160000</v>
      </c>
      <c r="E258" s="4"/>
      <c r="F258" s="4"/>
      <c r="G258" s="4"/>
      <c r="H258" s="4"/>
      <c r="I258" s="4"/>
      <c r="K258" s="27">
        <v>38051</v>
      </c>
      <c r="L258" s="4">
        <v>37.17</v>
      </c>
      <c r="M258" s="4">
        <v>72260000</v>
      </c>
      <c r="N258" s="4"/>
      <c r="O258" s="4"/>
      <c r="P258" s="4"/>
      <c r="Q258" s="4"/>
      <c r="R258" s="4"/>
      <c r="T258" s="27">
        <v>38051</v>
      </c>
      <c r="U258" s="4">
        <v>1156.8699999999999</v>
      </c>
      <c r="V258" s="4">
        <v>5480000000</v>
      </c>
    </row>
    <row r="259" spans="2:22" x14ac:dyDescent="0.2">
      <c r="B259" s="27">
        <v>35958</v>
      </c>
      <c r="C259" s="4">
        <v>54.868600000000001</v>
      </c>
      <c r="D259" s="4">
        <v>11630000</v>
      </c>
      <c r="E259" s="4"/>
      <c r="F259" s="4"/>
      <c r="G259" s="4"/>
      <c r="H259" s="4"/>
      <c r="I259" s="4"/>
      <c r="K259" s="27">
        <v>38044</v>
      </c>
      <c r="L259" s="4">
        <v>36.65</v>
      </c>
      <c r="M259" s="4">
        <v>73360000</v>
      </c>
      <c r="N259" s="4"/>
      <c r="O259" s="4"/>
      <c r="P259" s="4"/>
      <c r="Q259" s="4"/>
      <c r="R259" s="4"/>
      <c r="T259" s="27">
        <v>38044</v>
      </c>
      <c r="U259" s="4">
        <v>1144.94</v>
      </c>
      <c r="V259" s="4">
        <v>5920000000</v>
      </c>
    </row>
    <row r="260" spans="2:22" x14ac:dyDescent="0.2">
      <c r="B260" s="27">
        <v>35951</v>
      </c>
      <c r="C260" s="4">
        <v>54.5749</v>
      </c>
      <c r="D260" s="4">
        <v>26730000</v>
      </c>
      <c r="E260" s="4"/>
      <c r="F260" s="4"/>
      <c r="G260" s="4"/>
      <c r="H260" s="4"/>
      <c r="I260" s="4"/>
      <c r="K260" s="27">
        <v>38037</v>
      </c>
      <c r="L260" s="4">
        <v>37.270000000000003</v>
      </c>
      <c r="M260" s="4">
        <v>53290000</v>
      </c>
      <c r="N260" s="4"/>
      <c r="O260" s="4"/>
      <c r="P260" s="4"/>
      <c r="Q260" s="4"/>
      <c r="R260" s="4"/>
      <c r="T260" s="27">
        <v>38037</v>
      </c>
      <c r="U260" s="4">
        <v>1144.1099999999999</v>
      </c>
      <c r="V260" s="4">
        <v>4700000256</v>
      </c>
    </row>
    <row r="261" spans="2:22" x14ac:dyDescent="0.2">
      <c r="B261" s="27">
        <v>35944</v>
      </c>
      <c r="C261" s="4">
        <v>52.0488</v>
      </c>
      <c r="D261" s="4">
        <v>7080000</v>
      </c>
      <c r="E261" s="4"/>
      <c r="F261" s="4"/>
      <c r="G261" s="4"/>
      <c r="H261" s="4"/>
      <c r="I261" s="4"/>
      <c r="K261" s="27">
        <v>38030</v>
      </c>
      <c r="L261" s="4">
        <v>37.380000000000003</v>
      </c>
      <c r="M261" s="4">
        <v>83020000</v>
      </c>
      <c r="N261" s="4"/>
      <c r="O261" s="4"/>
      <c r="P261" s="4"/>
      <c r="Q261" s="4"/>
      <c r="R261" s="4"/>
      <c r="T261" s="27">
        <v>38030</v>
      </c>
      <c r="U261" s="4">
        <v>1145.81</v>
      </c>
      <c r="V261" s="4">
        <v>5710000128</v>
      </c>
    </row>
    <row r="262" spans="2:22" x14ac:dyDescent="0.2">
      <c r="B262" s="27">
        <v>35937</v>
      </c>
      <c r="C262" s="4">
        <v>54.3399</v>
      </c>
      <c r="D262" s="4">
        <v>6680000</v>
      </c>
      <c r="E262" s="4"/>
      <c r="F262" s="4"/>
      <c r="G262" s="4"/>
      <c r="H262" s="4"/>
      <c r="I262" s="4"/>
      <c r="K262" s="27">
        <v>38023</v>
      </c>
      <c r="L262" s="4">
        <v>38.85</v>
      </c>
      <c r="M262" s="4">
        <v>137640000</v>
      </c>
      <c r="N262" s="4"/>
      <c r="O262" s="4"/>
      <c r="P262" s="4"/>
      <c r="Q262" s="4"/>
      <c r="R262" s="4"/>
      <c r="T262" s="27">
        <v>38023</v>
      </c>
      <c r="U262" s="4">
        <v>1142.76</v>
      </c>
      <c r="V262" s="4">
        <v>6430000128</v>
      </c>
    </row>
    <row r="263" spans="2:22" x14ac:dyDescent="0.2">
      <c r="B263" s="27">
        <v>35930</v>
      </c>
      <c r="C263" s="4">
        <v>52.225000000000001</v>
      </c>
      <c r="D263" s="4">
        <v>9480000</v>
      </c>
      <c r="E263" s="4"/>
      <c r="F263" s="4"/>
      <c r="G263" s="4"/>
      <c r="H263" s="4"/>
      <c r="I263" s="4"/>
      <c r="K263" s="27">
        <v>38016</v>
      </c>
      <c r="L263" s="4">
        <v>36.630000000000003</v>
      </c>
      <c r="M263" s="4">
        <v>89370000</v>
      </c>
      <c r="N263" s="4"/>
      <c r="O263" s="4"/>
      <c r="P263" s="4"/>
      <c r="Q263" s="4"/>
      <c r="R263" s="4"/>
      <c r="T263" s="27">
        <v>38016</v>
      </c>
      <c r="U263" s="4">
        <v>1131.1300000000001</v>
      </c>
      <c r="V263" s="4">
        <v>7139999744</v>
      </c>
    </row>
    <row r="264" spans="2:22" x14ac:dyDescent="0.2">
      <c r="B264" s="27">
        <v>35923</v>
      </c>
      <c r="C264" s="4">
        <v>50.2864</v>
      </c>
      <c r="D264" s="4">
        <v>5350000</v>
      </c>
      <c r="E264" s="4"/>
      <c r="F264" s="4"/>
      <c r="G264" s="4"/>
      <c r="H264" s="4"/>
      <c r="I264" s="4"/>
      <c r="K264" s="27">
        <v>38009</v>
      </c>
      <c r="L264" s="4">
        <v>36.14</v>
      </c>
      <c r="M264" s="4">
        <v>79610000</v>
      </c>
      <c r="N264" s="4"/>
      <c r="O264" s="4"/>
      <c r="P264" s="4"/>
      <c r="Q264" s="4"/>
      <c r="R264" s="4"/>
      <c r="T264" s="27">
        <v>38009</v>
      </c>
      <c r="U264" s="4">
        <v>1141.55</v>
      </c>
      <c r="V264" s="4">
        <v>5649999872</v>
      </c>
    </row>
    <row r="265" spans="2:22" x14ac:dyDescent="0.2">
      <c r="B265" s="27">
        <v>35916</v>
      </c>
      <c r="C265" s="4">
        <v>51.108899999999998</v>
      </c>
      <c r="D265" s="4">
        <v>5920000</v>
      </c>
      <c r="E265" s="4"/>
      <c r="F265" s="4"/>
      <c r="G265" s="4"/>
      <c r="H265" s="4"/>
      <c r="I265" s="4"/>
      <c r="K265" s="27">
        <v>38002</v>
      </c>
      <c r="L265" s="4">
        <v>35</v>
      </c>
      <c r="M265" s="4">
        <v>96970000</v>
      </c>
      <c r="N265" s="4"/>
      <c r="O265" s="4"/>
      <c r="P265" s="4"/>
      <c r="Q265" s="4"/>
      <c r="R265" s="4"/>
      <c r="T265" s="27">
        <v>38002</v>
      </c>
      <c r="U265" s="4">
        <v>1139.82</v>
      </c>
      <c r="V265" s="4">
        <v>6849999872</v>
      </c>
    </row>
    <row r="266" spans="2:22" x14ac:dyDescent="0.2">
      <c r="B266" s="27">
        <v>35909</v>
      </c>
      <c r="C266" s="4">
        <v>51.0501</v>
      </c>
      <c r="D266" s="4">
        <v>6290000</v>
      </c>
      <c r="E266" s="4"/>
      <c r="F266" s="4"/>
      <c r="G266" s="4"/>
      <c r="H266" s="4"/>
      <c r="I266" s="4"/>
      <c r="K266" s="27">
        <v>37995</v>
      </c>
      <c r="L266" s="4">
        <v>36.06</v>
      </c>
      <c r="M266" s="4">
        <v>105070000</v>
      </c>
      <c r="N266" s="4"/>
      <c r="O266" s="4"/>
      <c r="P266" s="4"/>
      <c r="Q266" s="4"/>
      <c r="R266" s="4"/>
      <c r="T266" s="27">
        <v>37995</v>
      </c>
      <c r="U266" s="4">
        <v>1121.8499999999999</v>
      </c>
      <c r="V266" s="4">
        <v>7000000000</v>
      </c>
    </row>
    <row r="267" spans="2:22" x14ac:dyDescent="0.2">
      <c r="B267" s="27">
        <v>35902</v>
      </c>
      <c r="C267" s="4">
        <v>53.164999999999999</v>
      </c>
      <c r="D267" s="4">
        <v>6490000</v>
      </c>
      <c r="E267" s="4"/>
      <c r="F267" s="4"/>
      <c r="G267" s="4"/>
      <c r="H267" s="4"/>
      <c r="I267" s="4"/>
      <c r="K267" s="27">
        <v>37988</v>
      </c>
      <c r="L267" s="4">
        <v>35.549999999999997</v>
      </c>
      <c r="M267" s="4">
        <v>61560000</v>
      </c>
      <c r="N267" s="4">
        <v>-1077</v>
      </c>
      <c r="O267" s="4"/>
      <c r="P267" s="4"/>
      <c r="Q267" s="4"/>
      <c r="R267" s="4"/>
      <c r="T267" s="27">
        <v>37988</v>
      </c>
      <c r="U267" s="4">
        <v>1108.48</v>
      </c>
      <c r="V267" s="4">
        <v>3430000128</v>
      </c>
    </row>
    <row r="268" spans="2:22" x14ac:dyDescent="0.2">
      <c r="B268" s="27">
        <v>35895</v>
      </c>
      <c r="C268" s="4">
        <v>53.282499999999999</v>
      </c>
      <c r="D268" s="4">
        <v>6860000</v>
      </c>
      <c r="E268" s="4"/>
      <c r="F268" s="4"/>
      <c r="G268" s="4"/>
      <c r="H268" s="4"/>
      <c r="I268" s="4"/>
      <c r="K268" s="27">
        <v>37981</v>
      </c>
      <c r="L268" s="4">
        <v>34.75</v>
      </c>
      <c r="M268" s="4">
        <v>42500000</v>
      </c>
      <c r="N268" s="4"/>
      <c r="O268" s="4"/>
      <c r="P268" s="4"/>
      <c r="Q268" s="4"/>
      <c r="R268" s="4"/>
      <c r="T268" s="27">
        <v>37981</v>
      </c>
      <c r="U268" s="4">
        <v>1095.8900000000001</v>
      </c>
      <c r="V268" s="4">
        <v>2620000000</v>
      </c>
    </row>
    <row r="269" spans="2:22" x14ac:dyDescent="0.2">
      <c r="B269" s="27">
        <v>35888</v>
      </c>
      <c r="C269" s="4">
        <v>51.637599999999999</v>
      </c>
      <c r="D269" s="4">
        <v>8350000</v>
      </c>
      <c r="E269" s="4">
        <v>-18</v>
      </c>
      <c r="F269" s="4"/>
      <c r="G269" s="4"/>
      <c r="H269" s="4"/>
      <c r="I269" s="4"/>
      <c r="K269" s="27">
        <v>37974</v>
      </c>
      <c r="L269" s="4">
        <v>34.270000000000003</v>
      </c>
      <c r="M269" s="4">
        <v>96670000</v>
      </c>
      <c r="N269" s="4"/>
      <c r="O269" s="4"/>
      <c r="P269" s="4"/>
      <c r="Q269" s="4"/>
      <c r="R269" s="4"/>
      <c r="T269" s="27">
        <v>37974</v>
      </c>
      <c r="U269" s="4">
        <v>1088.67</v>
      </c>
      <c r="V269" s="4">
        <v>6430000128</v>
      </c>
    </row>
    <row r="270" spans="2:22" x14ac:dyDescent="0.2">
      <c r="B270" s="27">
        <v>35881</v>
      </c>
      <c r="C270" s="4">
        <v>48.171599999999998</v>
      </c>
      <c r="D270" s="4">
        <v>7490000</v>
      </c>
      <c r="E270" s="4"/>
      <c r="F270" s="4"/>
      <c r="G270" s="4"/>
      <c r="H270" s="4"/>
      <c r="I270" s="4"/>
      <c r="K270" s="27">
        <v>37967</v>
      </c>
      <c r="L270" s="4">
        <v>34.4</v>
      </c>
      <c r="M270" s="4">
        <v>73640000</v>
      </c>
      <c r="N270" s="4"/>
      <c r="O270" s="4"/>
      <c r="P270" s="4"/>
      <c r="Q270" s="4"/>
      <c r="R270" s="4"/>
      <c r="T270" s="27">
        <v>37967</v>
      </c>
      <c r="U270" s="4">
        <v>1074.1400000000001</v>
      </c>
      <c r="V270" s="4">
        <v>5560000000</v>
      </c>
    </row>
    <row r="271" spans="2:22" x14ac:dyDescent="0.2">
      <c r="B271" s="27">
        <v>35874</v>
      </c>
      <c r="C271" s="4">
        <v>47.2316</v>
      </c>
      <c r="D271" s="4">
        <v>6840000</v>
      </c>
      <c r="E271" s="4"/>
      <c r="F271" s="4"/>
      <c r="G271" s="4"/>
      <c r="H271" s="4"/>
      <c r="I271" s="4"/>
      <c r="K271" s="27">
        <v>37960</v>
      </c>
      <c r="L271" s="4">
        <v>34.200000000000003</v>
      </c>
      <c r="M271" s="4">
        <v>87480000</v>
      </c>
      <c r="N271" s="4"/>
      <c r="O271" s="4"/>
      <c r="P271" s="4"/>
      <c r="Q271" s="4"/>
      <c r="R271" s="4"/>
      <c r="T271" s="27">
        <v>37960</v>
      </c>
      <c r="U271" s="4">
        <v>1061.5</v>
      </c>
      <c r="V271" s="4">
        <v>5939999744</v>
      </c>
    </row>
    <row r="272" spans="2:22" x14ac:dyDescent="0.2">
      <c r="B272" s="27">
        <v>35867</v>
      </c>
      <c r="C272" s="4">
        <v>47.760399999999997</v>
      </c>
      <c r="D272" s="4">
        <v>8590000</v>
      </c>
      <c r="E272" s="4"/>
      <c r="F272" s="4"/>
      <c r="G272" s="4"/>
      <c r="H272" s="4"/>
      <c r="I272" s="4"/>
      <c r="K272" s="27">
        <v>37953</v>
      </c>
      <c r="L272" s="4">
        <v>33.57</v>
      </c>
      <c r="M272" s="4">
        <v>65500000</v>
      </c>
      <c r="N272" s="4"/>
      <c r="O272" s="4"/>
      <c r="P272" s="4"/>
      <c r="Q272" s="4"/>
      <c r="R272" s="4"/>
      <c r="T272" s="27">
        <v>37953</v>
      </c>
      <c r="U272" s="4">
        <v>1058.2</v>
      </c>
      <c r="V272" s="4">
        <v>3600000000</v>
      </c>
    </row>
    <row r="273" spans="2:22" x14ac:dyDescent="0.2">
      <c r="B273" s="27">
        <v>35860</v>
      </c>
      <c r="C273" s="4">
        <v>48.289099999999998</v>
      </c>
      <c r="D273" s="4">
        <v>4930000</v>
      </c>
      <c r="E273" s="4"/>
      <c r="F273" s="4"/>
      <c r="G273" s="4"/>
      <c r="H273" s="4"/>
      <c r="I273" s="4"/>
      <c r="K273" s="27">
        <v>37946</v>
      </c>
      <c r="L273" s="4">
        <v>33.18</v>
      </c>
      <c r="M273" s="4">
        <v>105330000</v>
      </c>
      <c r="N273" s="4"/>
      <c r="O273" s="4"/>
      <c r="P273" s="4"/>
      <c r="Q273" s="4"/>
      <c r="R273" s="4"/>
      <c r="T273" s="27">
        <v>37946</v>
      </c>
      <c r="U273" s="4">
        <v>1035.28</v>
      </c>
      <c r="V273" s="4">
        <v>5740000256</v>
      </c>
    </row>
    <row r="274" spans="2:22" x14ac:dyDescent="0.2">
      <c r="B274" s="27">
        <v>35853</v>
      </c>
      <c r="C274" s="4">
        <v>48.054099999999998</v>
      </c>
      <c r="D274" s="4">
        <v>5730000</v>
      </c>
      <c r="E274" s="4"/>
      <c r="F274" s="4"/>
      <c r="G274" s="4"/>
      <c r="H274" s="4"/>
      <c r="I274" s="4"/>
      <c r="K274" s="27">
        <v>37939</v>
      </c>
      <c r="L274" s="4">
        <v>34.08</v>
      </c>
      <c r="M274" s="4">
        <v>127590000</v>
      </c>
      <c r="N274" s="4"/>
      <c r="O274" s="4"/>
      <c r="P274" s="4"/>
      <c r="Q274" s="4"/>
      <c r="R274" s="4"/>
      <c r="T274" s="27">
        <v>37939</v>
      </c>
      <c r="U274" s="4">
        <v>1050.3499999999999</v>
      </c>
      <c r="V274" s="4">
        <v>5470000128</v>
      </c>
    </row>
    <row r="275" spans="2:22" x14ac:dyDescent="0.2">
      <c r="B275" s="27">
        <v>35846</v>
      </c>
      <c r="C275" s="4">
        <v>47.877800000000001</v>
      </c>
      <c r="D275" s="4">
        <v>8070000</v>
      </c>
      <c r="E275" s="4"/>
      <c r="F275" s="4"/>
      <c r="G275" s="4"/>
      <c r="H275" s="4"/>
      <c r="I275" s="4"/>
      <c r="K275" s="27">
        <v>37932</v>
      </c>
      <c r="L275" s="4">
        <v>31.77</v>
      </c>
      <c r="M275" s="4">
        <v>90080000</v>
      </c>
      <c r="N275" s="4"/>
      <c r="O275" s="4"/>
      <c r="P275" s="4"/>
      <c r="Q275" s="4"/>
      <c r="R275" s="4"/>
      <c r="T275" s="27">
        <v>37932</v>
      </c>
      <c r="U275" s="4">
        <v>1053.21</v>
      </c>
      <c r="V275" s="4">
        <v>6270000128</v>
      </c>
    </row>
    <row r="276" spans="2:22" x14ac:dyDescent="0.2">
      <c r="B276" s="27">
        <v>35839</v>
      </c>
      <c r="C276" s="4">
        <v>47.055399999999999</v>
      </c>
      <c r="D276" s="4">
        <v>8770000</v>
      </c>
      <c r="E276" s="4"/>
      <c r="F276" s="4"/>
      <c r="G276" s="4"/>
      <c r="H276" s="4"/>
      <c r="I276" s="4"/>
      <c r="K276" s="27">
        <v>37925</v>
      </c>
      <c r="L276" s="4">
        <v>31.6</v>
      </c>
      <c r="M276" s="4">
        <v>100970000</v>
      </c>
      <c r="N276" s="4"/>
      <c r="O276" s="4"/>
      <c r="P276" s="4"/>
      <c r="Q276" s="4"/>
      <c r="R276" s="4"/>
      <c r="T276" s="27">
        <v>37925</v>
      </c>
      <c r="U276" s="4">
        <v>1050.71</v>
      </c>
      <c r="V276" s="4">
        <v>6649999872</v>
      </c>
    </row>
    <row r="277" spans="2:22" x14ac:dyDescent="0.2">
      <c r="B277" s="27">
        <v>35832</v>
      </c>
      <c r="C277" s="4">
        <v>46.996699999999997</v>
      </c>
      <c r="D277" s="4">
        <v>15510000</v>
      </c>
      <c r="E277" s="4"/>
      <c r="F277" s="4"/>
      <c r="G277" s="4"/>
      <c r="H277" s="4"/>
      <c r="I277" s="4"/>
      <c r="K277" s="27">
        <v>37918</v>
      </c>
      <c r="L277" s="4">
        <v>30.84</v>
      </c>
      <c r="M277" s="4">
        <v>92980000</v>
      </c>
      <c r="N277" s="4"/>
      <c r="O277" s="4"/>
      <c r="P277" s="4"/>
      <c r="Q277" s="4"/>
      <c r="R277" s="4"/>
      <c r="T277" s="27">
        <v>37918</v>
      </c>
      <c r="U277" s="4">
        <v>1028.9100000000001</v>
      </c>
      <c r="V277" s="4">
        <v>6329999872</v>
      </c>
    </row>
    <row r="278" spans="2:22" x14ac:dyDescent="0.2">
      <c r="B278" s="27">
        <v>35825</v>
      </c>
      <c r="C278" s="4">
        <v>44.588099999999997</v>
      </c>
      <c r="D278" s="4">
        <v>11040000</v>
      </c>
      <c r="E278" s="4"/>
      <c r="F278" s="4"/>
      <c r="G278" s="4"/>
      <c r="H278" s="4"/>
      <c r="I278" s="4"/>
      <c r="K278" s="27">
        <v>37911</v>
      </c>
      <c r="L278" s="4">
        <v>30.56</v>
      </c>
      <c r="M278" s="4">
        <v>83210000</v>
      </c>
      <c r="N278" s="4"/>
      <c r="O278" s="4"/>
      <c r="P278" s="4"/>
      <c r="Q278" s="4"/>
      <c r="R278" s="4"/>
      <c r="T278" s="27">
        <v>37911</v>
      </c>
      <c r="U278" s="4">
        <v>1039.32</v>
      </c>
      <c r="V278" s="4">
        <v>5840000000</v>
      </c>
    </row>
    <row r="279" spans="2:22" x14ac:dyDescent="0.2">
      <c r="B279" s="27">
        <v>35818</v>
      </c>
      <c r="C279" s="4">
        <v>40.828400000000002</v>
      </c>
      <c r="D279" s="4">
        <v>8430000</v>
      </c>
      <c r="E279" s="4"/>
      <c r="F279" s="4"/>
      <c r="G279" s="4"/>
      <c r="H279" s="4"/>
      <c r="I279" s="4"/>
      <c r="K279" s="27">
        <v>37904</v>
      </c>
      <c r="L279" s="4">
        <v>30.75</v>
      </c>
      <c r="M279" s="4">
        <v>76120000</v>
      </c>
      <c r="N279" s="4"/>
      <c r="O279" s="4"/>
      <c r="P279" s="4"/>
      <c r="Q279" s="4"/>
      <c r="R279" s="4"/>
      <c r="T279" s="27">
        <v>37904</v>
      </c>
      <c r="U279" s="4">
        <v>1038.06</v>
      </c>
      <c r="V279" s="4">
        <v>5529999872</v>
      </c>
    </row>
    <row r="280" spans="2:22" x14ac:dyDescent="0.2">
      <c r="B280" s="27">
        <v>35811</v>
      </c>
      <c r="C280" s="4">
        <v>39.066000000000003</v>
      </c>
      <c r="D280" s="4">
        <v>7230000</v>
      </c>
      <c r="E280" s="4"/>
      <c r="F280" s="4"/>
      <c r="G280" s="4"/>
      <c r="H280" s="4"/>
      <c r="I280" s="4"/>
      <c r="K280" s="27">
        <v>37897</v>
      </c>
      <c r="L280" s="4">
        <v>30.78</v>
      </c>
      <c r="M280" s="4">
        <v>97160000</v>
      </c>
      <c r="N280" s="4"/>
      <c r="O280" s="4"/>
      <c r="P280" s="4"/>
      <c r="Q280" s="4"/>
      <c r="R280" s="4"/>
      <c r="T280" s="27">
        <v>37897</v>
      </c>
      <c r="U280" s="4">
        <v>1029.8499999999999</v>
      </c>
      <c r="V280" s="4">
        <v>6419999744</v>
      </c>
    </row>
    <row r="281" spans="2:22" x14ac:dyDescent="0.2">
      <c r="B281" s="27">
        <v>35804</v>
      </c>
      <c r="C281" s="4">
        <v>36.716099999999997</v>
      </c>
      <c r="D281" s="4">
        <v>9180000</v>
      </c>
      <c r="E281" s="4"/>
      <c r="F281" s="4"/>
      <c r="G281" s="4"/>
      <c r="H281" s="4"/>
      <c r="I281" s="4"/>
      <c r="K281" s="27">
        <v>37890</v>
      </c>
      <c r="L281" s="4">
        <v>30.56</v>
      </c>
      <c r="M281" s="4">
        <v>90160000</v>
      </c>
      <c r="N281" s="4">
        <v>-1187</v>
      </c>
      <c r="O281" s="4"/>
      <c r="P281" s="4"/>
      <c r="Q281" s="4"/>
      <c r="R281" s="4"/>
      <c r="T281" s="27">
        <v>37890</v>
      </c>
      <c r="U281" s="4">
        <v>996.85</v>
      </c>
      <c r="V281" s="4">
        <v>6209999872</v>
      </c>
    </row>
    <row r="282" spans="2:22" x14ac:dyDescent="0.2">
      <c r="B282" s="27">
        <v>35797</v>
      </c>
      <c r="C282" s="4">
        <v>39.007199999999997</v>
      </c>
      <c r="D282" s="4">
        <v>4440000</v>
      </c>
      <c r="E282" s="4"/>
      <c r="F282" s="4"/>
      <c r="G282" s="4"/>
      <c r="H282" s="4"/>
      <c r="I282" s="4"/>
      <c r="K282" s="27">
        <v>37883</v>
      </c>
      <c r="L282" s="4">
        <v>31.45</v>
      </c>
      <c r="M282" s="4">
        <v>95420000</v>
      </c>
      <c r="N282" s="4"/>
      <c r="O282" s="4"/>
      <c r="P282" s="4"/>
      <c r="Q282" s="4"/>
      <c r="R282" s="4"/>
      <c r="T282" s="27">
        <v>37883</v>
      </c>
      <c r="U282" s="4">
        <v>1036.3</v>
      </c>
      <c r="V282" s="4">
        <v>5950000128</v>
      </c>
    </row>
    <row r="283" spans="2:22" x14ac:dyDescent="0.2">
      <c r="K283" s="27">
        <v>37876</v>
      </c>
      <c r="L283" s="4">
        <v>31.9</v>
      </c>
      <c r="M283" s="4">
        <v>97540000</v>
      </c>
      <c r="N283" s="4"/>
      <c r="O283" s="4"/>
      <c r="P283" s="4"/>
      <c r="Q283" s="4"/>
      <c r="R283" s="4"/>
      <c r="T283" s="27">
        <v>37876</v>
      </c>
      <c r="U283" s="4">
        <v>1018.63</v>
      </c>
      <c r="V283" s="4">
        <v>6110000128</v>
      </c>
    </row>
    <row r="284" spans="2:22" x14ac:dyDescent="0.2">
      <c r="K284" s="27">
        <v>37869</v>
      </c>
      <c r="L284" s="4">
        <v>30.51</v>
      </c>
      <c r="M284" s="4">
        <v>95320000</v>
      </c>
      <c r="N284" s="4"/>
      <c r="O284" s="4"/>
      <c r="P284" s="4"/>
      <c r="Q284" s="4"/>
      <c r="R284" s="4"/>
      <c r="T284" s="27">
        <v>37869</v>
      </c>
      <c r="U284" s="4">
        <v>1021.39</v>
      </c>
      <c r="V284" s="4">
        <v>5529999872</v>
      </c>
    </row>
    <row r="285" spans="2:22" x14ac:dyDescent="0.2">
      <c r="K285" s="27">
        <v>37862</v>
      </c>
      <c r="L285" s="4">
        <v>29.92</v>
      </c>
      <c r="M285" s="4">
        <v>91620000</v>
      </c>
      <c r="N285" s="4"/>
      <c r="O285" s="4"/>
      <c r="P285" s="4"/>
      <c r="Q285" s="4"/>
      <c r="R285" s="4"/>
      <c r="T285" s="27">
        <v>37862</v>
      </c>
      <c r="U285" s="4">
        <v>1008.01</v>
      </c>
      <c r="V285" s="4">
        <v>4700000256</v>
      </c>
    </row>
    <row r="286" spans="2:22" x14ac:dyDescent="0.2">
      <c r="K286" s="27">
        <v>37855</v>
      </c>
      <c r="L286" s="4">
        <v>29.55</v>
      </c>
      <c r="M286" s="4">
        <v>153530000</v>
      </c>
      <c r="N286" s="4"/>
      <c r="O286" s="4"/>
      <c r="P286" s="4"/>
      <c r="Q286" s="4"/>
      <c r="R286" s="4"/>
      <c r="T286" s="27">
        <v>37855</v>
      </c>
      <c r="U286" s="4">
        <v>993.06</v>
      </c>
      <c r="V286" s="4">
        <v>5820000256</v>
      </c>
    </row>
    <row r="287" spans="2:22" x14ac:dyDescent="0.2">
      <c r="K287" s="27">
        <v>37848</v>
      </c>
      <c r="L287" s="4">
        <v>31.42</v>
      </c>
      <c r="M287" s="4">
        <v>107240000</v>
      </c>
      <c r="N287" s="4"/>
      <c r="O287" s="4"/>
      <c r="P287" s="4"/>
      <c r="Q287" s="4"/>
      <c r="R287" s="4"/>
      <c r="T287" s="27">
        <v>37848</v>
      </c>
      <c r="U287" s="4">
        <v>990.67</v>
      </c>
      <c r="V287" s="4">
        <v>4590000128</v>
      </c>
    </row>
    <row r="288" spans="2:22" x14ac:dyDescent="0.2">
      <c r="K288" s="27">
        <v>37841</v>
      </c>
      <c r="L288" s="4">
        <v>32.97</v>
      </c>
      <c r="M288" s="4">
        <v>68730000</v>
      </c>
      <c r="N288" s="4"/>
      <c r="O288" s="4"/>
      <c r="P288" s="4"/>
      <c r="Q288" s="4"/>
      <c r="R288" s="4"/>
      <c r="T288" s="27">
        <v>37841</v>
      </c>
      <c r="U288" s="4">
        <v>977.59</v>
      </c>
      <c r="V288" s="4">
        <v>5840000000</v>
      </c>
    </row>
    <row r="289" spans="11:22" x14ac:dyDescent="0.2">
      <c r="K289" s="27">
        <v>37834</v>
      </c>
      <c r="L289" s="4">
        <v>32.68</v>
      </c>
      <c r="M289" s="4">
        <v>95280000</v>
      </c>
      <c r="N289" s="4"/>
      <c r="O289" s="4"/>
      <c r="P289" s="4"/>
      <c r="Q289" s="4"/>
      <c r="R289" s="4"/>
      <c r="T289" s="27">
        <v>37834</v>
      </c>
      <c r="U289" s="4">
        <v>980.15</v>
      </c>
      <c r="V289" s="4">
        <v>6220000256</v>
      </c>
    </row>
    <row r="290" spans="11:22" x14ac:dyDescent="0.2">
      <c r="K290" s="27">
        <v>37827</v>
      </c>
      <c r="L290" s="4">
        <v>33.04</v>
      </c>
      <c r="M290" s="4">
        <v>88100000</v>
      </c>
      <c r="N290" s="4"/>
      <c r="O290" s="4"/>
      <c r="P290" s="4"/>
      <c r="Q290" s="4"/>
      <c r="R290" s="4"/>
      <c r="T290" s="27">
        <v>37827</v>
      </c>
      <c r="U290" s="4">
        <v>998.68</v>
      </c>
      <c r="V290" s="4">
        <v>6419999744</v>
      </c>
    </row>
    <row r="291" spans="11:22" x14ac:dyDescent="0.2">
      <c r="K291" s="27">
        <v>37820</v>
      </c>
      <c r="L291" s="4">
        <v>33.39</v>
      </c>
      <c r="M291" s="4">
        <v>81210000</v>
      </c>
      <c r="N291" s="4"/>
      <c r="O291" s="4"/>
      <c r="P291" s="4"/>
      <c r="Q291" s="4"/>
      <c r="R291" s="4"/>
      <c r="T291" s="27">
        <v>37820</v>
      </c>
      <c r="U291" s="4">
        <v>993.32</v>
      </c>
      <c r="V291" s="4">
        <v>7009999872</v>
      </c>
    </row>
    <row r="292" spans="11:22" x14ac:dyDescent="0.2">
      <c r="K292" s="27">
        <v>37813</v>
      </c>
      <c r="L292" s="4">
        <v>34.200000000000003</v>
      </c>
      <c r="M292" s="4">
        <v>87930000</v>
      </c>
      <c r="N292" s="4"/>
      <c r="O292" s="4"/>
      <c r="P292" s="4"/>
      <c r="Q292" s="4"/>
      <c r="R292" s="4"/>
      <c r="T292" s="27">
        <v>37813</v>
      </c>
      <c r="U292" s="4">
        <v>998.14</v>
      </c>
      <c r="V292" s="4">
        <v>6569999872</v>
      </c>
    </row>
    <row r="293" spans="11:22" x14ac:dyDescent="0.2">
      <c r="K293" s="27">
        <v>37806</v>
      </c>
      <c r="L293" s="4">
        <v>34.229999999999997</v>
      </c>
      <c r="M293" s="4">
        <v>76190000</v>
      </c>
      <c r="N293" s="4"/>
      <c r="O293" s="4"/>
      <c r="P293" s="4"/>
      <c r="Q293" s="4"/>
      <c r="R293" s="4"/>
      <c r="T293" s="27">
        <v>37806</v>
      </c>
      <c r="U293" s="4">
        <v>985.7</v>
      </c>
      <c r="V293" s="4">
        <v>4729999872</v>
      </c>
    </row>
    <row r="294" spans="11:22" x14ac:dyDescent="0.2">
      <c r="K294" s="27">
        <v>37799</v>
      </c>
      <c r="L294" s="4">
        <v>35</v>
      </c>
      <c r="M294" s="4">
        <v>97350000</v>
      </c>
      <c r="N294" s="4">
        <v>-1183</v>
      </c>
      <c r="O294" s="4"/>
      <c r="P294" s="4"/>
      <c r="Q294" s="4"/>
      <c r="R294" s="4"/>
      <c r="T294" s="27">
        <v>37799</v>
      </c>
      <c r="U294" s="4">
        <v>976.22</v>
      </c>
      <c r="V294" s="4">
        <v>6270000128</v>
      </c>
    </row>
    <row r="295" spans="11:22" x14ac:dyDescent="0.2">
      <c r="K295" s="27">
        <v>37792</v>
      </c>
      <c r="L295" s="4">
        <v>35.57</v>
      </c>
      <c r="M295" s="4">
        <v>167480000</v>
      </c>
      <c r="N295" s="4"/>
      <c r="O295" s="4"/>
      <c r="P295" s="4"/>
      <c r="Q295" s="4"/>
      <c r="R295" s="4"/>
      <c r="T295" s="27">
        <v>37792</v>
      </c>
      <c r="U295" s="4">
        <v>995.69</v>
      </c>
      <c r="V295" s="4">
        <v>7420000256</v>
      </c>
    </row>
    <row r="296" spans="11:22" x14ac:dyDescent="0.2">
      <c r="K296" s="27">
        <v>37785</v>
      </c>
      <c r="L296" s="4">
        <v>33.08</v>
      </c>
      <c r="M296" s="4">
        <v>91700000</v>
      </c>
      <c r="N296" s="4"/>
      <c r="O296" s="4"/>
      <c r="P296" s="4"/>
      <c r="Q296" s="4"/>
      <c r="R296" s="4"/>
      <c r="T296" s="27">
        <v>37785</v>
      </c>
      <c r="U296" s="4">
        <v>988.61</v>
      </c>
      <c r="V296" s="4">
        <v>6590000128</v>
      </c>
    </row>
    <row r="297" spans="11:22" x14ac:dyDescent="0.2">
      <c r="K297" s="27">
        <v>37778</v>
      </c>
      <c r="L297" s="4">
        <v>33.090000000000003</v>
      </c>
      <c r="M297" s="4">
        <v>117250000</v>
      </c>
      <c r="N297" s="4"/>
      <c r="O297" s="4"/>
      <c r="P297" s="4"/>
      <c r="Q297" s="4"/>
      <c r="R297" s="4"/>
      <c r="T297" s="27">
        <v>37778</v>
      </c>
      <c r="U297" s="4">
        <v>987.76</v>
      </c>
      <c r="V297" s="4">
        <v>8249999872</v>
      </c>
    </row>
    <row r="298" spans="11:22" x14ac:dyDescent="0.2">
      <c r="K298" s="27">
        <v>37771</v>
      </c>
      <c r="L298" s="4">
        <v>31.02</v>
      </c>
      <c r="M298" s="4">
        <v>87520000</v>
      </c>
      <c r="N298" s="4"/>
      <c r="O298" s="4"/>
      <c r="P298" s="4"/>
      <c r="Q298" s="4"/>
      <c r="R298" s="4"/>
      <c r="T298" s="27">
        <v>37771</v>
      </c>
      <c r="U298" s="4">
        <v>963.59</v>
      </c>
      <c r="V298" s="4">
        <v>6270000128</v>
      </c>
    </row>
    <row r="299" spans="11:22" x14ac:dyDescent="0.2">
      <c r="K299" s="27">
        <v>37764</v>
      </c>
      <c r="L299" s="4">
        <v>31.88</v>
      </c>
      <c r="M299" s="4">
        <v>146230000</v>
      </c>
      <c r="N299" s="4"/>
      <c r="O299" s="4"/>
      <c r="P299" s="4"/>
      <c r="Q299" s="4"/>
      <c r="R299" s="4"/>
      <c r="T299" s="27">
        <v>37764</v>
      </c>
      <c r="U299" s="4">
        <v>933.22</v>
      </c>
      <c r="V299" s="4">
        <v>6649999872</v>
      </c>
    </row>
    <row r="300" spans="11:22" x14ac:dyDescent="0.2">
      <c r="K300" s="27">
        <v>37757</v>
      </c>
      <c r="L300" s="4">
        <v>33.61</v>
      </c>
      <c r="M300" s="4">
        <v>94640000</v>
      </c>
      <c r="N300" s="4"/>
      <c r="O300" s="4"/>
      <c r="P300" s="4"/>
      <c r="Q300" s="4"/>
      <c r="R300" s="4"/>
      <c r="T300" s="27">
        <v>37757</v>
      </c>
      <c r="U300" s="4">
        <v>944.3</v>
      </c>
      <c r="V300" s="4">
        <v>6860000256</v>
      </c>
    </row>
    <row r="301" spans="11:22" x14ac:dyDescent="0.2">
      <c r="K301" s="27">
        <v>37750</v>
      </c>
      <c r="L301" s="4">
        <v>32.65</v>
      </c>
      <c r="M301" s="4">
        <v>101450000</v>
      </c>
      <c r="N301" s="4"/>
      <c r="O301" s="4"/>
      <c r="P301" s="4"/>
      <c r="Q301" s="4"/>
      <c r="R301" s="4"/>
      <c r="T301" s="27">
        <v>37750</v>
      </c>
      <c r="U301" s="4">
        <v>933.41</v>
      </c>
      <c r="V301" s="4">
        <v>7020000256</v>
      </c>
    </row>
    <row r="302" spans="11:22" x14ac:dyDescent="0.2">
      <c r="K302" s="27">
        <v>37743</v>
      </c>
      <c r="L302" s="4">
        <v>31.55</v>
      </c>
      <c r="M302" s="4">
        <v>122380000</v>
      </c>
      <c r="N302" s="4"/>
      <c r="O302" s="4"/>
      <c r="P302" s="4"/>
      <c r="Q302" s="4"/>
      <c r="R302" s="4"/>
      <c r="T302" s="27">
        <v>37743</v>
      </c>
      <c r="U302" s="4">
        <v>930.08</v>
      </c>
      <c r="V302" s="4">
        <v>7049999872</v>
      </c>
    </row>
    <row r="303" spans="11:22" x14ac:dyDescent="0.2">
      <c r="K303" s="27">
        <v>37736</v>
      </c>
      <c r="L303" s="4">
        <v>30.37</v>
      </c>
      <c r="M303" s="4">
        <v>122720000</v>
      </c>
      <c r="N303" s="4"/>
      <c r="O303" s="4"/>
      <c r="P303" s="4"/>
      <c r="Q303" s="4"/>
      <c r="R303" s="4"/>
      <c r="T303" s="27">
        <v>37736</v>
      </c>
      <c r="U303" s="4">
        <v>898.81</v>
      </c>
      <c r="V303" s="4">
        <v>7020000256</v>
      </c>
    </row>
    <row r="304" spans="11:22" x14ac:dyDescent="0.2">
      <c r="K304" s="27">
        <v>37729</v>
      </c>
      <c r="L304" s="4">
        <v>31.36</v>
      </c>
      <c r="M304" s="4">
        <v>85230000</v>
      </c>
      <c r="N304" s="4"/>
      <c r="O304" s="4"/>
      <c r="P304" s="4"/>
      <c r="Q304" s="4"/>
      <c r="R304" s="4"/>
      <c r="T304" s="27">
        <v>37729</v>
      </c>
      <c r="U304" s="4">
        <v>893.58</v>
      </c>
      <c r="V304" s="4">
        <v>5440000000</v>
      </c>
    </row>
    <row r="305" spans="11:22" x14ac:dyDescent="0.2">
      <c r="K305" s="27">
        <v>37722</v>
      </c>
      <c r="L305" s="4">
        <v>31.51</v>
      </c>
      <c r="M305" s="4">
        <v>75630000</v>
      </c>
      <c r="N305" s="4"/>
      <c r="O305" s="4"/>
      <c r="P305" s="4"/>
      <c r="Q305" s="4"/>
      <c r="R305" s="4"/>
      <c r="T305" s="27">
        <v>37722</v>
      </c>
      <c r="U305" s="4">
        <v>868.3</v>
      </c>
      <c r="V305" s="4">
        <v>6360000000</v>
      </c>
    </row>
    <row r="306" spans="11:22" x14ac:dyDescent="0.2">
      <c r="K306" s="27">
        <v>37715</v>
      </c>
      <c r="L306" s="4">
        <v>32.799999999999997</v>
      </c>
      <c r="M306" s="4">
        <v>101530000</v>
      </c>
      <c r="N306" s="4"/>
      <c r="O306" s="4"/>
      <c r="P306" s="4"/>
      <c r="Q306" s="4"/>
      <c r="R306" s="4"/>
      <c r="T306" s="27">
        <v>37715</v>
      </c>
      <c r="U306" s="4">
        <v>878.85</v>
      </c>
      <c r="V306" s="4">
        <v>7430000128</v>
      </c>
    </row>
    <row r="307" spans="11:22" x14ac:dyDescent="0.2">
      <c r="K307" s="27">
        <v>37708</v>
      </c>
      <c r="L307" s="4">
        <v>31.81</v>
      </c>
      <c r="M307" s="4">
        <v>93400000</v>
      </c>
      <c r="N307" s="4">
        <v>-906</v>
      </c>
      <c r="O307" s="4"/>
      <c r="P307" s="4"/>
      <c r="Q307" s="4"/>
      <c r="R307" s="4"/>
      <c r="T307" s="27">
        <v>37708</v>
      </c>
      <c r="U307" s="4">
        <v>863.5</v>
      </c>
      <c r="V307" s="4">
        <v>6620000256</v>
      </c>
    </row>
    <row r="308" spans="11:22" x14ac:dyDescent="0.2">
      <c r="K308" s="27">
        <v>37701</v>
      </c>
      <c r="L308" s="4">
        <v>31.96</v>
      </c>
      <c r="M308" s="4">
        <v>105200000</v>
      </c>
      <c r="N308" s="4"/>
      <c r="O308" s="4"/>
      <c r="P308" s="4"/>
      <c r="Q308" s="4"/>
      <c r="R308" s="4"/>
      <c r="T308" s="27">
        <v>37701</v>
      </c>
      <c r="U308" s="4">
        <v>895.79</v>
      </c>
      <c r="V308" s="4">
        <v>8880000000</v>
      </c>
    </row>
    <row r="309" spans="11:22" x14ac:dyDescent="0.2">
      <c r="K309" s="27">
        <v>37694</v>
      </c>
      <c r="L309" s="4">
        <v>28.95</v>
      </c>
      <c r="M309" s="4">
        <v>80910000</v>
      </c>
      <c r="N309" s="4"/>
      <c r="O309" s="4"/>
      <c r="P309" s="4"/>
      <c r="Q309" s="4"/>
      <c r="R309" s="4"/>
      <c r="T309" s="27">
        <v>37694</v>
      </c>
      <c r="U309" s="4">
        <v>833.27</v>
      </c>
      <c r="V309" s="4">
        <v>8019999744</v>
      </c>
    </row>
    <row r="310" spans="11:22" x14ac:dyDescent="0.2">
      <c r="K310" s="27">
        <v>37687</v>
      </c>
      <c r="L310" s="4">
        <v>29.98</v>
      </c>
      <c r="M310" s="4">
        <v>76030000</v>
      </c>
      <c r="N310" s="4"/>
      <c r="O310" s="4"/>
      <c r="P310" s="4"/>
      <c r="Q310" s="4"/>
      <c r="R310" s="4"/>
      <c r="T310" s="27">
        <v>37687</v>
      </c>
      <c r="U310" s="4">
        <v>828.89</v>
      </c>
      <c r="V310" s="4">
        <v>6840000000</v>
      </c>
    </row>
    <row r="311" spans="11:22" x14ac:dyDescent="0.2">
      <c r="K311" s="27">
        <v>37680</v>
      </c>
      <c r="L311" s="4">
        <v>29.82</v>
      </c>
      <c r="M311" s="4">
        <v>98810000</v>
      </c>
      <c r="N311" s="4"/>
      <c r="O311" s="4"/>
      <c r="P311" s="4"/>
      <c r="Q311" s="4"/>
      <c r="R311" s="4"/>
      <c r="T311" s="27">
        <v>37680</v>
      </c>
      <c r="U311" s="4">
        <v>841.15</v>
      </c>
      <c r="V311" s="4">
        <v>6849999872</v>
      </c>
    </row>
    <row r="312" spans="11:22" x14ac:dyDescent="0.2">
      <c r="K312" s="27">
        <v>37673</v>
      </c>
      <c r="L312" s="4">
        <v>28.94</v>
      </c>
      <c r="M312" s="4">
        <v>57700000</v>
      </c>
      <c r="N312" s="4"/>
      <c r="O312" s="4"/>
      <c r="P312" s="4"/>
      <c r="Q312" s="4"/>
      <c r="R312" s="4"/>
      <c r="T312" s="27">
        <v>37673</v>
      </c>
      <c r="U312" s="4">
        <v>848.17</v>
      </c>
      <c r="V312" s="4">
        <v>5200000000</v>
      </c>
    </row>
    <row r="313" spans="11:22" x14ac:dyDescent="0.2">
      <c r="K313" s="27">
        <v>37666</v>
      </c>
      <c r="L313" s="4">
        <v>28.56</v>
      </c>
      <c r="M313" s="4">
        <v>85510000</v>
      </c>
      <c r="N313" s="4"/>
      <c r="O313" s="4"/>
      <c r="P313" s="4"/>
      <c r="Q313" s="4"/>
      <c r="R313" s="4"/>
      <c r="T313" s="27">
        <v>37666</v>
      </c>
      <c r="U313" s="4">
        <v>834.89</v>
      </c>
      <c r="V313" s="4">
        <v>7009999872</v>
      </c>
    </row>
    <row r="314" spans="11:22" x14ac:dyDescent="0.2">
      <c r="K314" s="27">
        <v>37659</v>
      </c>
      <c r="L314" s="4">
        <v>29.3</v>
      </c>
      <c r="M314" s="4">
        <v>80230000</v>
      </c>
      <c r="N314" s="4"/>
      <c r="O314" s="4"/>
      <c r="P314" s="4"/>
      <c r="Q314" s="4"/>
      <c r="R314" s="4"/>
      <c r="T314" s="27">
        <v>37659</v>
      </c>
      <c r="U314" s="4">
        <v>829.69</v>
      </c>
      <c r="V314" s="4">
        <v>7320000000</v>
      </c>
    </row>
    <row r="315" spans="11:22" x14ac:dyDescent="0.2">
      <c r="K315" s="27">
        <v>37652</v>
      </c>
      <c r="L315" s="4">
        <v>30.36</v>
      </c>
      <c r="M315" s="4">
        <v>98900000</v>
      </c>
      <c r="N315" s="4"/>
      <c r="O315" s="4"/>
      <c r="P315" s="4"/>
      <c r="Q315" s="4"/>
      <c r="R315" s="4"/>
      <c r="T315" s="27">
        <v>37652</v>
      </c>
      <c r="U315" s="4">
        <v>855.7</v>
      </c>
      <c r="V315" s="4">
        <v>8070000128</v>
      </c>
    </row>
    <row r="316" spans="11:22" x14ac:dyDescent="0.2">
      <c r="K316" s="27">
        <v>37645</v>
      </c>
      <c r="L316" s="4">
        <v>30.25</v>
      </c>
      <c r="M316" s="4">
        <v>84810000</v>
      </c>
      <c r="N316" s="4"/>
      <c r="O316" s="4"/>
      <c r="P316" s="4"/>
      <c r="Q316" s="4"/>
      <c r="R316" s="4"/>
      <c r="T316" s="27">
        <v>37645</v>
      </c>
      <c r="U316" s="4">
        <v>861.4</v>
      </c>
      <c r="V316" s="4">
        <v>6540000256</v>
      </c>
    </row>
    <row r="317" spans="11:22" x14ac:dyDescent="0.2">
      <c r="K317" s="27">
        <v>37638</v>
      </c>
      <c r="L317" s="4">
        <v>30.04</v>
      </c>
      <c r="M317" s="4">
        <v>91440000</v>
      </c>
      <c r="N317" s="4"/>
      <c r="O317" s="4"/>
      <c r="P317" s="4"/>
      <c r="Q317" s="4"/>
      <c r="R317" s="4"/>
      <c r="T317" s="27">
        <v>37638</v>
      </c>
      <c r="U317" s="4">
        <v>901.78</v>
      </c>
      <c r="V317" s="4">
        <v>7809999872</v>
      </c>
    </row>
    <row r="318" spans="11:22" x14ac:dyDescent="0.2">
      <c r="K318" s="27">
        <v>37631</v>
      </c>
      <c r="L318" s="4">
        <v>30.8</v>
      </c>
      <c r="M318" s="4">
        <v>77590000</v>
      </c>
      <c r="N318" s="4"/>
      <c r="O318" s="4"/>
      <c r="P318" s="4"/>
      <c r="Q318" s="4"/>
      <c r="R318" s="4"/>
      <c r="T318" s="27">
        <v>37631</v>
      </c>
      <c r="U318" s="4">
        <v>927.57</v>
      </c>
      <c r="V318" s="4">
        <v>8300000256</v>
      </c>
    </row>
    <row r="319" spans="11:22" x14ac:dyDescent="0.2">
      <c r="K319" s="27">
        <v>37624</v>
      </c>
      <c r="L319" s="4">
        <v>31.78</v>
      </c>
      <c r="M319" s="4">
        <v>57400000</v>
      </c>
      <c r="N319" s="4">
        <v>-786</v>
      </c>
      <c r="O319" s="4"/>
      <c r="P319" s="4"/>
      <c r="Q319" s="4"/>
      <c r="R319" s="4"/>
      <c r="T319" s="27">
        <v>37624</v>
      </c>
      <c r="U319" s="4">
        <v>908.59</v>
      </c>
      <c r="V319" s="4">
        <v>4769999872</v>
      </c>
    </row>
    <row r="320" spans="11:22" x14ac:dyDescent="0.2">
      <c r="K320" s="27">
        <v>37617</v>
      </c>
      <c r="L320" s="4">
        <v>29.79</v>
      </c>
      <c r="M320" s="4">
        <v>54990000</v>
      </c>
      <c r="N320" s="4"/>
      <c r="O320" s="4"/>
      <c r="P320" s="4"/>
      <c r="Q320" s="4"/>
      <c r="R320" s="4"/>
      <c r="T320" s="27">
        <v>37617</v>
      </c>
      <c r="U320" s="4">
        <v>875.4</v>
      </c>
      <c r="V320" s="4">
        <v>3180000000</v>
      </c>
    </row>
    <row r="321" spans="11:22" x14ac:dyDescent="0.2">
      <c r="K321" s="27">
        <v>37610</v>
      </c>
      <c r="L321" s="4">
        <v>30.49</v>
      </c>
      <c r="M321" s="4">
        <v>101010000</v>
      </c>
      <c r="N321" s="4"/>
      <c r="O321" s="4"/>
      <c r="P321" s="4"/>
      <c r="Q321" s="4"/>
      <c r="R321" s="4"/>
      <c r="T321" s="27">
        <v>37610</v>
      </c>
      <c r="U321" s="4">
        <v>895.75</v>
      </c>
      <c r="V321" s="4">
        <v>7960000000</v>
      </c>
    </row>
    <row r="322" spans="11:22" x14ac:dyDescent="0.2">
      <c r="K322" s="27">
        <v>37603</v>
      </c>
      <c r="L322" s="4">
        <v>30.5</v>
      </c>
      <c r="M322" s="4">
        <v>81500000</v>
      </c>
      <c r="N322" s="4"/>
      <c r="O322" s="4"/>
      <c r="P322" s="4"/>
      <c r="Q322" s="4"/>
      <c r="R322" s="4"/>
      <c r="T322" s="27">
        <v>37603</v>
      </c>
      <c r="U322" s="4">
        <v>889.48</v>
      </c>
      <c r="V322" s="4">
        <v>6849999872</v>
      </c>
    </row>
    <row r="323" spans="11:22" x14ac:dyDescent="0.2">
      <c r="K323" s="27">
        <v>37596</v>
      </c>
      <c r="L323" s="4">
        <v>31</v>
      </c>
      <c r="M323" s="4">
        <v>80440000</v>
      </c>
      <c r="N323" s="4"/>
      <c r="O323" s="4"/>
      <c r="P323" s="4"/>
      <c r="Q323" s="4"/>
      <c r="R323" s="4"/>
      <c r="T323" s="27">
        <v>37596</v>
      </c>
      <c r="U323" s="4">
        <v>912.23</v>
      </c>
      <c r="V323" s="4">
        <v>7960000000</v>
      </c>
    </row>
    <row r="324" spans="11:22" x14ac:dyDescent="0.2">
      <c r="K324" s="27">
        <v>37589</v>
      </c>
      <c r="L324" s="4">
        <v>31.53</v>
      </c>
      <c r="M324" s="4">
        <v>71250000</v>
      </c>
      <c r="N324" s="4"/>
      <c r="O324" s="4"/>
      <c r="P324" s="4"/>
      <c r="Q324" s="4"/>
      <c r="R324" s="4"/>
      <c r="T324" s="27">
        <v>37589</v>
      </c>
      <c r="U324" s="4">
        <v>936.31</v>
      </c>
      <c r="V324" s="4">
        <v>5750000128</v>
      </c>
    </row>
    <row r="325" spans="11:22" x14ac:dyDescent="0.2">
      <c r="K325" s="27">
        <v>37582</v>
      </c>
      <c r="L325" s="4">
        <v>32.369999999999997</v>
      </c>
      <c r="M325" s="4">
        <v>92560000</v>
      </c>
      <c r="N325" s="4"/>
      <c r="O325" s="4"/>
      <c r="P325" s="4"/>
      <c r="Q325" s="4"/>
      <c r="R325" s="4"/>
      <c r="T325" s="27">
        <v>37582</v>
      </c>
      <c r="U325" s="4">
        <v>930.55</v>
      </c>
      <c r="V325" s="4">
        <v>9180000256</v>
      </c>
    </row>
    <row r="326" spans="11:22" x14ac:dyDescent="0.2">
      <c r="K326" s="27">
        <v>37575</v>
      </c>
      <c r="L326" s="4">
        <v>33.049999999999997</v>
      </c>
      <c r="M326" s="4">
        <v>66270000</v>
      </c>
      <c r="N326" s="4"/>
      <c r="O326" s="4"/>
      <c r="P326" s="4"/>
      <c r="Q326" s="4"/>
      <c r="R326" s="4"/>
      <c r="T326" s="27">
        <v>37575</v>
      </c>
      <c r="U326" s="4">
        <v>909.83</v>
      </c>
      <c r="V326" s="4">
        <v>8099999744</v>
      </c>
    </row>
    <row r="327" spans="11:22" x14ac:dyDescent="0.2">
      <c r="K327" s="27">
        <v>37568</v>
      </c>
      <c r="L327" s="4">
        <v>33.869999999999997</v>
      </c>
      <c r="M327" s="4">
        <v>87310000</v>
      </c>
      <c r="N327" s="4"/>
      <c r="O327" s="4"/>
      <c r="P327" s="4"/>
      <c r="Q327" s="4"/>
      <c r="R327" s="4"/>
      <c r="T327" s="27">
        <v>37568</v>
      </c>
      <c r="U327" s="4">
        <v>894.74</v>
      </c>
      <c r="V327" s="4">
        <v>9139999744</v>
      </c>
    </row>
    <row r="328" spans="11:22" x14ac:dyDescent="0.2">
      <c r="K328" s="27">
        <v>37561</v>
      </c>
      <c r="L328" s="4">
        <v>32.14</v>
      </c>
      <c r="M328" s="4">
        <v>74100000</v>
      </c>
      <c r="N328" s="4"/>
      <c r="O328" s="4"/>
      <c r="P328" s="4"/>
      <c r="Q328" s="4"/>
      <c r="R328" s="4"/>
      <c r="T328" s="27">
        <v>37561</v>
      </c>
      <c r="U328" s="4">
        <v>900.96</v>
      </c>
      <c r="V328" s="4">
        <v>8659999744</v>
      </c>
    </row>
    <row r="329" spans="11:22" x14ac:dyDescent="0.2">
      <c r="K329" s="27">
        <v>37554</v>
      </c>
      <c r="L329" s="4">
        <v>31.9</v>
      </c>
      <c r="M329" s="4">
        <v>91580000</v>
      </c>
      <c r="N329" s="4"/>
      <c r="O329" s="4"/>
      <c r="P329" s="4"/>
      <c r="Q329" s="4"/>
      <c r="R329" s="4"/>
      <c r="T329" s="27">
        <v>37554</v>
      </c>
      <c r="U329" s="4">
        <v>897.65</v>
      </c>
      <c r="V329" s="4">
        <v>8920000512</v>
      </c>
    </row>
    <row r="330" spans="11:22" x14ac:dyDescent="0.2">
      <c r="K330" s="27">
        <v>37547</v>
      </c>
      <c r="L330" s="4">
        <v>33.49</v>
      </c>
      <c r="M330" s="4">
        <v>93360000</v>
      </c>
      <c r="N330" s="4"/>
      <c r="O330" s="4"/>
      <c r="P330" s="4"/>
      <c r="Q330" s="4"/>
      <c r="R330" s="4"/>
      <c r="T330" s="27">
        <v>37547</v>
      </c>
      <c r="U330" s="4">
        <v>884.39</v>
      </c>
      <c r="V330" s="4">
        <v>9379999744</v>
      </c>
    </row>
    <row r="331" spans="11:22" x14ac:dyDescent="0.2">
      <c r="K331" s="27">
        <v>37540</v>
      </c>
      <c r="L331" s="4">
        <v>30.15</v>
      </c>
      <c r="M331" s="4">
        <v>96940000</v>
      </c>
      <c r="N331" s="4"/>
      <c r="O331" s="4"/>
      <c r="P331" s="4"/>
      <c r="Q331" s="4"/>
      <c r="R331" s="4"/>
      <c r="T331" s="27">
        <v>37540</v>
      </c>
      <c r="U331" s="4">
        <v>835.32</v>
      </c>
      <c r="V331" s="4">
        <v>10750000128</v>
      </c>
    </row>
    <row r="332" spans="11:22" x14ac:dyDescent="0.2">
      <c r="K332" s="27">
        <v>37533</v>
      </c>
      <c r="L332" s="4">
        <v>28.55</v>
      </c>
      <c r="M332" s="4">
        <v>90420000</v>
      </c>
      <c r="N332" s="4"/>
      <c r="O332" s="4"/>
      <c r="P332" s="4"/>
      <c r="Q332" s="4"/>
      <c r="R332" s="4"/>
      <c r="T332" s="27">
        <v>37533</v>
      </c>
      <c r="U332" s="4">
        <v>800.58</v>
      </c>
      <c r="V332" s="4">
        <v>9809999872</v>
      </c>
    </row>
    <row r="333" spans="11:22" x14ac:dyDescent="0.2">
      <c r="K333" s="27">
        <v>37526</v>
      </c>
      <c r="L333" s="4">
        <v>28.58</v>
      </c>
      <c r="M333" s="4">
        <v>99050000</v>
      </c>
      <c r="N333" s="4">
        <v>-788</v>
      </c>
      <c r="O333" s="4"/>
      <c r="P333" s="4"/>
      <c r="Q333" s="4"/>
      <c r="R333" s="4"/>
      <c r="T333" s="27">
        <v>37526</v>
      </c>
      <c r="U333" s="4">
        <v>827.37</v>
      </c>
      <c r="V333" s="4">
        <v>9109999616</v>
      </c>
    </row>
    <row r="334" spans="11:22" x14ac:dyDescent="0.2">
      <c r="K334" s="27">
        <v>37519</v>
      </c>
      <c r="L334" s="4">
        <v>28.74</v>
      </c>
      <c r="M334" s="4">
        <v>87040000</v>
      </c>
      <c r="N334" s="4"/>
      <c r="O334" s="4"/>
      <c r="P334" s="4"/>
      <c r="Q334" s="4"/>
      <c r="R334" s="4"/>
      <c r="T334" s="27">
        <v>37519</v>
      </c>
      <c r="U334" s="4">
        <v>845.39</v>
      </c>
      <c r="V334" s="4">
        <v>8569999872</v>
      </c>
    </row>
    <row r="335" spans="11:22" x14ac:dyDescent="0.2">
      <c r="K335" s="27">
        <v>37512</v>
      </c>
      <c r="L335" s="4">
        <v>29.77</v>
      </c>
      <c r="M335" s="4">
        <v>80740000</v>
      </c>
      <c r="N335" s="4"/>
      <c r="O335" s="4"/>
      <c r="P335" s="4"/>
      <c r="Q335" s="4"/>
      <c r="R335" s="4"/>
      <c r="T335" s="27">
        <v>37512</v>
      </c>
      <c r="U335" s="4">
        <v>889.81</v>
      </c>
      <c r="V335" s="4">
        <v>6460000256</v>
      </c>
    </row>
    <row r="336" spans="11:22" x14ac:dyDescent="0.2">
      <c r="K336" s="27">
        <v>37505</v>
      </c>
      <c r="L336" s="4">
        <v>30.75</v>
      </c>
      <c r="M336" s="4">
        <v>77840000</v>
      </c>
      <c r="N336" s="4"/>
      <c r="O336" s="4"/>
      <c r="P336" s="4"/>
      <c r="Q336" s="4"/>
      <c r="R336" s="4"/>
      <c r="T336" s="27">
        <v>37505</v>
      </c>
      <c r="U336" s="4">
        <v>893.92</v>
      </c>
      <c r="V336" s="4">
        <v>6140000256</v>
      </c>
    </row>
    <row r="337" spans="11:22" x14ac:dyDescent="0.2">
      <c r="K337" s="27">
        <v>37498</v>
      </c>
      <c r="L337" s="4">
        <v>33.08</v>
      </c>
      <c r="M337" s="4">
        <v>65900000</v>
      </c>
      <c r="N337" s="4"/>
      <c r="O337" s="4"/>
      <c r="P337" s="4"/>
      <c r="Q337" s="4"/>
      <c r="R337" s="4"/>
      <c r="T337" s="27">
        <v>37498</v>
      </c>
      <c r="U337" s="4">
        <v>916.07</v>
      </c>
      <c r="V337" s="4">
        <v>6489999872</v>
      </c>
    </row>
    <row r="338" spans="11:22" x14ac:dyDescent="0.2">
      <c r="K338" s="27">
        <v>37491</v>
      </c>
      <c r="L338" s="4">
        <v>34.54</v>
      </c>
      <c r="M338" s="4">
        <v>64580000</v>
      </c>
      <c r="N338" s="4"/>
      <c r="O338" s="4"/>
      <c r="P338" s="4"/>
      <c r="Q338" s="4"/>
      <c r="R338" s="4"/>
      <c r="T338" s="27">
        <v>37491</v>
      </c>
      <c r="U338" s="4">
        <v>940.86</v>
      </c>
      <c r="V338" s="4">
        <v>7249999872</v>
      </c>
    </row>
    <row r="339" spans="11:22" x14ac:dyDescent="0.2">
      <c r="K339" s="27">
        <v>37484</v>
      </c>
      <c r="L339" s="4">
        <v>33.119999999999997</v>
      </c>
      <c r="M339" s="4">
        <v>79860000</v>
      </c>
      <c r="N339" s="4"/>
      <c r="O339" s="4"/>
      <c r="P339" s="4"/>
      <c r="Q339" s="4"/>
      <c r="R339" s="4"/>
      <c r="T339" s="27">
        <v>37484</v>
      </c>
      <c r="U339" s="4">
        <v>928.77</v>
      </c>
      <c r="V339" s="4">
        <v>7760000000</v>
      </c>
    </row>
    <row r="340" spans="11:22" x14ac:dyDescent="0.2">
      <c r="K340" s="27">
        <v>37477</v>
      </c>
      <c r="L340" s="4">
        <v>32.51</v>
      </c>
      <c r="M340" s="4">
        <v>93800000</v>
      </c>
      <c r="N340" s="4"/>
      <c r="O340" s="4"/>
      <c r="P340" s="4"/>
      <c r="Q340" s="4"/>
      <c r="R340" s="4"/>
      <c r="T340" s="27">
        <v>37477</v>
      </c>
      <c r="U340" s="4">
        <v>908.64</v>
      </c>
      <c r="V340" s="4">
        <v>8419999744</v>
      </c>
    </row>
    <row r="341" spans="11:22" x14ac:dyDescent="0.2">
      <c r="K341" s="27">
        <v>37470</v>
      </c>
      <c r="L341" s="4">
        <v>30.9</v>
      </c>
      <c r="M341" s="4">
        <v>111660000</v>
      </c>
      <c r="N341" s="4"/>
      <c r="O341" s="4"/>
      <c r="P341" s="4"/>
      <c r="Q341" s="4"/>
      <c r="R341" s="4"/>
      <c r="T341" s="27">
        <v>37470</v>
      </c>
      <c r="U341" s="4">
        <v>864.24</v>
      </c>
      <c r="V341" s="4">
        <v>9680000000</v>
      </c>
    </row>
    <row r="342" spans="11:22" x14ac:dyDescent="0.2">
      <c r="K342" s="27">
        <v>37463</v>
      </c>
      <c r="L342" s="4">
        <v>29.46</v>
      </c>
      <c r="M342" s="4">
        <v>172640000</v>
      </c>
      <c r="N342" s="4"/>
      <c r="O342" s="4"/>
      <c r="P342" s="4"/>
      <c r="Q342" s="4"/>
      <c r="R342" s="4"/>
      <c r="T342" s="27">
        <v>37463</v>
      </c>
      <c r="U342" s="4">
        <v>852.84</v>
      </c>
      <c r="V342" s="4">
        <v>12659999744</v>
      </c>
    </row>
    <row r="343" spans="11:22" x14ac:dyDescent="0.2">
      <c r="K343" s="27">
        <v>37456</v>
      </c>
      <c r="L343" s="4">
        <v>26.82</v>
      </c>
      <c r="M343" s="4">
        <v>292569984</v>
      </c>
      <c r="N343" s="4"/>
      <c r="O343" s="4"/>
      <c r="P343" s="4"/>
      <c r="Q343" s="4"/>
      <c r="R343" s="4"/>
      <c r="T343" s="27">
        <v>37456</v>
      </c>
      <c r="U343" s="4">
        <v>847.76</v>
      </c>
      <c r="V343" s="4">
        <v>12220000256</v>
      </c>
    </row>
    <row r="344" spans="11:22" x14ac:dyDescent="0.2">
      <c r="K344" s="27">
        <v>37449</v>
      </c>
      <c r="L344" s="4">
        <v>32.200000000000003</v>
      </c>
      <c r="M344" s="4">
        <v>110430000</v>
      </c>
      <c r="N344" s="4"/>
      <c r="O344" s="4"/>
      <c r="P344" s="4"/>
      <c r="Q344" s="4"/>
      <c r="R344" s="4"/>
      <c r="T344" s="27">
        <v>37449</v>
      </c>
      <c r="U344" s="4">
        <v>921.39</v>
      </c>
      <c r="V344" s="4">
        <v>9840000000</v>
      </c>
    </row>
    <row r="345" spans="11:22" x14ac:dyDescent="0.2">
      <c r="K345" s="27">
        <v>37442</v>
      </c>
      <c r="L345" s="4">
        <v>34.39</v>
      </c>
      <c r="M345" s="4">
        <v>62770000</v>
      </c>
      <c r="N345" s="4"/>
      <c r="O345" s="4"/>
      <c r="P345" s="4"/>
      <c r="Q345" s="4"/>
      <c r="R345" s="4"/>
      <c r="T345" s="27">
        <v>37442</v>
      </c>
      <c r="U345" s="4">
        <v>989.03</v>
      </c>
      <c r="V345" s="4">
        <v>6259999744</v>
      </c>
    </row>
    <row r="346" spans="11:22" x14ac:dyDescent="0.2">
      <c r="K346" s="27">
        <v>37435</v>
      </c>
      <c r="L346" s="4">
        <v>35</v>
      </c>
      <c r="M346" s="4">
        <v>103030000</v>
      </c>
      <c r="N346" s="4">
        <v>-796</v>
      </c>
      <c r="O346" s="4"/>
      <c r="P346" s="4"/>
      <c r="Q346" s="4"/>
      <c r="R346" s="4"/>
      <c r="T346" s="27">
        <v>37435</v>
      </c>
      <c r="U346" s="4">
        <v>989.81</v>
      </c>
      <c r="V346" s="4">
        <v>10659999744</v>
      </c>
    </row>
    <row r="347" spans="11:22" x14ac:dyDescent="0.2">
      <c r="K347" s="27">
        <v>37428</v>
      </c>
      <c r="L347" s="4">
        <v>34.03</v>
      </c>
      <c r="M347" s="4">
        <v>73330000</v>
      </c>
      <c r="N347" s="4"/>
      <c r="O347" s="4"/>
      <c r="P347" s="4"/>
      <c r="Q347" s="4"/>
      <c r="R347" s="4"/>
      <c r="T347" s="27">
        <v>37428</v>
      </c>
      <c r="U347" s="4">
        <v>989.14</v>
      </c>
      <c r="V347" s="4">
        <v>8750000128</v>
      </c>
    </row>
    <row r="348" spans="11:22" x14ac:dyDescent="0.2">
      <c r="K348" s="27">
        <v>37421</v>
      </c>
      <c r="L348" s="4">
        <v>35.340000000000003</v>
      </c>
      <c r="M348" s="4">
        <v>75880000</v>
      </c>
      <c r="N348" s="4"/>
      <c r="O348" s="4"/>
      <c r="P348" s="4"/>
      <c r="Q348" s="4"/>
      <c r="R348" s="4"/>
      <c r="T348" s="27">
        <v>37421</v>
      </c>
      <c r="U348" s="4">
        <v>1007.28</v>
      </c>
      <c r="V348" s="4">
        <v>8890000384</v>
      </c>
    </row>
    <row r="349" spans="11:22" x14ac:dyDescent="0.2">
      <c r="K349" s="27">
        <v>37414</v>
      </c>
      <c r="L349" s="4">
        <v>34.5</v>
      </c>
      <c r="M349" s="4">
        <v>80220000</v>
      </c>
      <c r="N349" s="4"/>
      <c r="O349" s="4"/>
      <c r="P349" s="4"/>
      <c r="Q349" s="4"/>
      <c r="R349" s="4"/>
      <c r="T349" s="27">
        <v>37414</v>
      </c>
      <c r="U349" s="4">
        <v>1027.53</v>
      </c>
      <c r="V349" s="4">
        <v>9109999616</v>
      </c>
    </row>
    <row r="350" spans="11:22" x14ac:dyDescent="0.2">
      <c r="K350" s="27">
        <v>37407</v>
      </c>
      <c r="L350" s="4">
        <v>34.6</v>
      </c>
      <c r="M350" s="4">
        <v>51530000</v>
      </c>
      <c r="N350" s="4"/>
      <c r="O350" s="4"/>
      <c r="P350" s="4"/>
      <c r="Q350" s="4"/>
      <c r="R350" s="4"/>
      <c r="T350" s="27">
        <v>37407</v>
      </c>
      <c r="U350" s="4">
        <v>1067.1400000000001</v>
      </c>
      <c r="V350" s="4">
        <v>5329999872</v>
      </c>
    </row>
    <row r="351" spans="11:22" x14ac:dyDescent="0.2">
      <c r="K351" s="27">
        <v>37400</v>
      </c>
      <c r="L351" s="4">
        <v>35.49</v>
      </c>
      <c r="M351" s="4">
        <v>51360000</v>
      </c>
      <c r="N351" s="4"/>
      <c r="O351" s="4"/>
      <c r="P351" s="4"/>
      <c r="Q351" s="4"/>
      <c r="R351" s="4"/>
      <c r="T351" s="27">
        <v>37400</v>
      </c>
      <c r="U351" s="4">
        <v>1083.82</v>
      </c>
      <c r="V351" s="4">
        <v>6590000128</v>
      </c>
    </row>
    <row r="352" spans="11:22" x14ac:dyDescent="0.2">
      <c r="K352" s="27">
        <v>37393</v>
      </c>
      <c r="L352" s="4">
        <v>37.090000000000003</v>
      </c>
      <c r="M352" s="4">
        <v>82780000</v>
      </c>
      <c r="N352" s="4"/>
      <c r="O352" s="4"/>
      <c r="P352" s="4"/>
      <c r="Q352" s="4"/>
      <c r="R352" s="4"/>
      <c r="T352" s="27">
        <v>37393</v>
      </c>
      <c r="U352" s="4">
        <v>1106.5899999999999</v>
      </c>
      <c r="V352" s="4">
        <v>8979999744</v>
      </c>
    </row>
    <row r="353" spans="11:22" x14ac:dyDescent="0.2">
      <c r="K353" s="27">
        <v>37386</v>
      </c>
      <c r="L353" s="4">
        <v>36.22</v>
      </c>
      <c r="M353" s="4">
        <v>55080000</v>
      </c>
      <c r="N353" s="4"/>
      <c r="O353" s="4"/>
      <c r="P353" s="4"/>
      <c r="Q353" s="4"/>
      <c r="R353" s="4"/>
      <c r="T353" s="27">
        <v>37386</v>
      </c>
      <c r="U353" s="4">
        <v>1054.99</v>
      </c>
      <c r="V353" s="4">
        <v>9299999744</v>
      </c>
    </row>
    <row r="354" spans="11:22" x14ac:dyDescent="0.2">
      <c r="K354" s="27">
        <v>37379</v>
      </c>
      <c r="L354" s="4">
        <v>36.75</v>
      </c>
      <c r="M354" s="4">
        <v>72370000</v>
      </c>
      <c r="N354" s="4"/>
      <c r="O354" s="4"/>
      <c r="P354" s="4"/>
      <c r="Q354" s="4"/>
      <c r="R354" s="4"/>
      <c r="T354" s="27">
        <v>37379</v>
      </c>
      <c r="U354" s="4">
        <v>1073.43</v>
      </c>
      <c r="V354" s="4">
        <v>10049999872</v>
      </c>
    </row>
    <row r="355" spans="11:22" x14ac:dyDescent="0.2">
      <c r="K355" s="27">
        <v>37372</v>
      </c>
      <c r="L355" s="4">
        <v>36.76</v>
      </c>
      <c r="M355" s="4">
        <v>82320000</v>
      </c>
      <c r="N355" s="4"/>
      <c r="O355" s="4"/>
      <c r="P355" s="4"/>
      <c r="Q355" s="4"/>
      <c r="R355" s="4"/>
      <c r="T355" s="27">
        <v>37372</v>
      </c>
      <c r="U355" s="4">
        <v>1076.32</v>
      </c>
      <c r="V355" s="4">
        <v>8999999488</v>
      </c>
    </row>
    <row r="356" spans="11:22" x14ac:dyDescent="0.2">
      <c r="K356" s="27">
        <v>37365</v>
      </c>
      <c r="L356" s="4">
        <v>37.799999999999997</v>
      </c>
      <c r="M356" s="4">
        <v>96650000</v>
      </c>
      <c r="N356" s="4"/>
      <c r="O356" s="4"/>
      <c r="P356" s="4"/>
      <c r="Q356" s="4"/>
      <c r="R356" s="4"/>
      <c r="T356" s="27">
        <v>37365</v>
      </c>
      <c r="U356" s="4">
        <v>1125.17</v>
      </c>
      <c r="V356" s="4">
        <v>8169999872</v>
      </c>
    </row>
    <row r="357" spans="11:22" x14ac:dyDescent="0.2">
      <c r="K357" s="27">
        <v>37358</v>
      </c>
      <c r="L357" s="4">
        <v>39.29</v>
      </c>
      <c r="M357" s="4">
        <v>67560000</v>
      </c>
      <c r="N357" s="4"/>
      <c r="O357" s="4"/>
      <c r="P357" s="4"/>
      <c r="Q357" s="4"/>
      <c r="R357" s="4"/>
      <c r="T357" s="27">
        <v>37358</v>
      </c>
      <c r="U357" s="4">
        <v>1111.01</v>
      </c>
      <c r="V357" s="4">
        <v>8510000128</v>
      </c>
    </row>
    <row r="358" spans="11:22" x14ac:dyDescent="0.2">
      <c r="K358" s="27">
        <v>37351</v>
      </c>
      <c r="L358" s="4">
        <v>38</v>
      </c>
      <c r="M358" s="4">
        <v>72620000</v>
      </c>
      <c r="N358" s="4"/>
      <c r="O358" s="4"/>
      <c r="P358" s="4"/>
      <c r="Q358" s="4"/>
      <c r="R358" s="4"/>
      <c r="T358" s="27">
        <v>37351</v>
      </c>
      <c r="U358" s="4">
        <v>1122.73</v>
      </c>
      <c r="V358" s="4">
        <v>7360000000</v>
      </c>
    </row>
    <row r="359" spans="11:22" x14ac:dyDescent="0.2">
      <c r="K359" s="27">
        <v>37344</v>
      </c>
      <c r="L359" s="4">
        <v>39.74</v>
      </c>
      <c r="M359" s="4">
        <v>38470000</v>
      </c>
      <c r="N359" s="4">
        <v>-798</v>
      </c>
      <c r="O359" s="4"/>
      <c r="P359" s="4"/>
      <c r="Q359" s="4"/>
      <c r="R359" s="4"/>
      <c r="T359" s="27">
        <v>37344</v>
      </c>
      <c r="U359" s="4">
        <v>1147.3900000000001</v>
      </c>
      <c r="V359" s="4">
        <v>5660000256</v>
      </c>
    </row>
    <row r="360" spans="11:22" x14ac:dyDescent="0.2">
      <c r="K360" s="27">
        <v>37337</v>
      </c>
      <c r="L360" s="4">
        <v>40.51</v>
      </c>
      <c r="M360" s="4">
        <v>51220000</v>
      </c>
      <c r="N360" s="4"/>
      <c r="O360" s="4"/>
      <c r="P360" s="4"/>
      <c r="Q360" s="4"/>
      <c r="R360" s="4"/>
      <c r="T360" s="27">
        <v>37337</v>
      </c>
      <c r="U360" s="4">
        <v>1148.69</v>
      </c>
      <c r="V360" s="4">
        <v>7560000000</v>
      </c>
    </row>
    <row r="361" spans="11:22" x14ac:dyDescent="0.2">
      <c r="K361" s="27">
        <v>37330</v>
      </c>
      <c r="L361" s="4">
        <v>41.37</v>
      </c>
      <c r="M361" s="4">
        <v>68270000</v>
      </c>
      <c r="N361" s="4"/>
      <c r="O361" s="4"/>
      <c r="P361" s="4"/>
      <c r="Q361" s="4"/>
      <c r="R361" s="4"/>
      <c r="T361" s="27">
        <v>37330</v>
      </c>
      <c r="U361" s="4">
        <v>1166.1600000000001</v>
      </c>
      <c r="V361" s="4">
        <v>8360000000</v>
      </c>
    </row>
    <row r="362" spans="11:22" x14ac:dyDescent="0.2">
      <c r="K362" s="27">
        <v>37323</v>
      </c>
      <c r="L362" s="4">
        <v>40.01</v>
      </c>
      <c r="M362" s="4">
        <v>82480000</v>
      </c>
      <c r="N362" s="4"/>
      <c r="O362" s="4"/>
      <c r="P362" s="4"/>
      <c r="Q362" s="4"/>
      <c r="R362" s="4"/>
      <c r="T362" s="27">
        <v>37323</v>
      </c>
      <c r="U362" s="4">
        <v>1164.31</v>
      </c>
      <c r="V362" s="4">
        <v>10060000256</v>
      </c>
    </row>
    <row r="363" spans="11:22" x14ac:dyDescent="0.2">
      <c r="K363" s="27">
        <v>37316</v>
      </c>
      <c r="L363" s="4">
        <v>41.64</v>
      </c>
      <c r="M363" s="4">
        <v>48430000</v>
      </c>
      <c r="N363" s="4"/>
      <c r="O363" s="4"/>
      <c r="P363" s="4"/>
      <c r="Q363" s="4"/>
      <c r="R363" s="4"/>
      <c r="T363" s="27">
        <v>37316</v>
      </c>
      <c r="U363" s="4">
        <v>1131.78</v>
      </c>
      <c r="V363" s="4">
        <v>8849999872</v>
      </c>
    </row>
    <row r="364" spans="11:22" x14ac:dyDescent="0.2">
      <c r="K364" s="27">
        <v>37309</v>
      </c>
      <c r="L364" s="4">
        <v>41.11</v>
      </c>
      <c r="M364" s="4">
        <v>37850000</v>
      </c>
      <c r="N364" s="4"/>
      <c r="O364" s="4"/>
      <c r="P364" s="4"/>
      <c r="Q364" s="4"/>
      <c r="R364" s="4"/>
      <c r="T364" s="27">
        <v>37309</v>
      </c>
      <c r="U364" s="4">
        <v>1089.8399999999999</v>
      </c>
      <c r="V364" s="4">
        <v>7310000128</v>
      </c>
    </row>
    <row r="365" spans="11:22" x14ac:dyDescent="0.2">
      <c r="K365" s="27">
        <v>37302</v>
      </c>
      <c r="L365" s="4">
        <v>41.11</v>
      </c>
      <c r="M365" s="4">
        <v>47800000</v>
      </c>
      <c r="N365" s="4"/>
      <c r="O365" s="4"/>
      <c r="P365" s="4"/>
      <c r="Q365" s="4"/>
      <c r="R365" s="4"/>
      <c r="T365" s="27">
        <v>37302</v>
      </c>
      <c r="U365" s="4">
        <v>1104.18</v>
      </c>
      <c r="V365" s="4">
        <v>7769999872</v>
      </c>
    </row>
    <row r="366" spans="11:22" x14ac:dyDescent="0.2">
      <c r="K366" s="27">
        <v>37295</v>
      </c>
      <c r="L366" s="4">
        <v>40.700000000000003</v>
      </c>
      <c r="M366" s="4">
        <v>58770000</v>
      </c>
      <c r="N366" s="4"/>
      <c r="O366" s="4"/>
      <c r="P366" s="4"/>
      <c r="Q366" s="4"/>
      <c r="R366" s="4"/>
      <c r="T366" s="27">
        <v>37295</v>
      </c>
      <c r="U366" s="4">
        <v>1096.22</v>
      </c>
      <c r="V366" s="4">
        <v>10010000384</v>
      </c>
    </row>
    <row r="367" spans="11:22" x14ac:dyDescent="0.2">
      <c r="K367" s="27">
        <v>37288</v>
      </c>
      <c r="L367" s="4">
        <v>42.15</v>
      </c>
      <c r="M367" s="4">
        <v>55610000</v>
      </c>
      <c r="N367" s="4"/>
      <c r="O367" s="4"/>
      <c r="P367" s="4"/>
      <c r="Q367" s="4"/>
      <c r="R367" s="4"/>
      <c r="T367" s="27">
        <v>37288</v>
      </c>
      <c r="U367" s="4">
        <v>1122.19</v>
      </c>
      <c r="V367" s="4">
        <v>9349999616</v>
      </c>
    </row>
    <row r="368" spans="11:22" x14ac:dyDescent="0.2">
      <c r="K368" s="27">
        <v>37281</v>
      </c>
      <c r="L368" s="4">
        <v>41.7</v>
      </c>
      <c r="M368" s="4">
        <v>55330000</v>
      </c>
      <c r="N368" s="4"/>
      <c r="O368" s="4"/>
      <c r="P368" s="4"/>
      <c r="Q368" s="4"/>
      <c r="R368" s="4"/>
      <c r="T368" s="27">
        <v>37281</v>
      </c>
      <c r="U368" s="4">
        <v>1133.28</v>
      </c>
      <c r="V368" s="4">
        <v>6830000128</v>
      </c>
    </row>
    <row r="369" spans="11:22" x14ac:dyDescent="0.2">
      <c r="K369" s="27">
        <v>37274</v>
      </c>
      <c r="L369" s="4">
        <v>40.1</v>
      </c>
      <c r="M369" s="4">
        <v>57640000</v>
      </c>
      <c r="N369" s="4"/>
      <c r="O369" s="4"/>
      <c r="P369" s="4"/>
      <c r="Q369" s="4"/>
      <c r="R369" s="4"/>
      <c r="T369" s="27">
        <v>37274</v>
      </c>
      <c r="U369" s="4">
        <v>1127.57</v>
      </c>
      <c r="V369" s="4">
        <v>8390000128</v>
      </c>
    </row>
    <row r="370" spans="11:22" x14ac:dyDescent="0.2">
      <c r="K370" s="27">
        <v>37267</v>
      </c>
      <c r="L370" s="4">
        <v>40.6</v>
      </c>
      <c r="M370" s="4">
        <v>56490000</v>
      </c>
      <c r="N370" s="4"/>
      <c r="O370" s="4"/>
      <c r="P370" s="4"/>
      <c r="Q370" s="4"/>
      <c r="R370" s="4"/>
      <c r="T370" s="27">
        <v>37267</v>
      </c>
      <c r="U370" s="4">
        <v>1145.5999999999999</v>
      </c>
      <c r="V370" s="4">
        <v>8179999744</v>
      </c>
    </row>
    <row r="371" spans="11:22" x14ac:dyDescent="0.2">
      <c r="K371" s="27">
        <v>37260</v>
      </c>
      <c r="L371" s="4">
        <v>39.4</v>
      </c>
      <c r="M371" s="4">
        <v>49140000</v>
      </c>
      <c r="N371" s="4">
        <v>-677</v>
      </c>
      <c r="O371" s="4"/>
      <c r="P371" s="4"/>
      <c r="Q371" s="4"/>
      <c r="R371" s="4"/>
      <c r="T371" s="27">
        <v>37260</v>
      </c>
      <c r="U371" s="4">
        <v>1172.51</v>
      </c>
      <c r="V371" s="4">
        <v>6369999872</v>
      </c>
    </row>
    <row r="372" spans="11:22" x14ac:dyDescent="0.2">
      <c r="K372" s="27">
        <v>37253</v>
      </c>
      <c r="L372" s="4">
        <v>40.4</v>
      </c>
      <c r="M372" s="4">
        <v>30010000</v>
      </c>
      <c r="N372" s="4"/>
      <c r="O372" s="4"/>
      <c r="P372" s="4"/>
      <c r="Q372" s="4"/>
      <c r="R372" s="4"/>
      <c r="T372" s="27">
        <v>37253</v>
      </c>
      <c r="U372" s="4">
        <v>1161.02</v>
      </c>
      <c r="V372" s="4">
        <v>3380000000</v>
      </c>
    </row>
    <row r="373" spans="11:22" x14ac:dyDescent="0.2">
      <c r="K373" s="27">
        <v>37246</v>
      </c>
      <c r="L373" s="4">
        <v>41</v>
      </c>
      <c r="M373" s="4">
        <v>89330000</v>
      </c>
      <c r="N373" s="4"/>
      <c r="O373" s="4"/>
      <c r="P373" s="4"/>
      <c r="Q373" s="4"/>
      <c r="R373" s="4"/>
      <c r="T373" s="27">
        <v>37246</v>
      </c>
      <c r="U373" s="4">
        <v>1144.8900000000001</v>
      </c>
      <c r="V373" s="4">
        <v>8929999872</v>
      </c>
    </row>
    <row r="374" spans="11:22" x14ac:dyDescent="0.2">
      <c r="K374" s="27">
        <v>37239</v>
      </c>
      <c r="L374" s="4">
        <v>39.44</v>
      </c>
      <c r="M374" s="4">
        <v>108030000</v>
      </c>
      <c r="N374" s="4"/>
      <c r="O374" s="4"/>
      <c r="P374" s="4"/>
      <c r="Q374" s="4"/>
      <c r="R374" s="4"/>
      <c r="T374" s="27">
        <v>37239</v>
      </c>
      <c r="U374" s="4">
        <v>1123.0899999999999</v>
      </c>
      <c r="V374" s="4">
        <v>8440000000</v>
      </c>
    </row>
    <row r="375" spans="11:22" x14ac:dyDescent="0.2">
      <c r="K375" s="27">
        <v>37232</v>
      </c>
      <c r="L375" s="4">
        <v>43.1</v>
      </c>
      <c r="M375" s="4">
        <v>53020000</v>
      </c>
      <c r="N375" s="4"/>
      <c r="O375" s="4"/>
      <c r="P375" s="4"/>
      <c r="Q375" s="4"/>
      <c r="R375" s="4"/>
      <c r="T375" s="27">
        <v>37232</v>
      </c>
      <c r="U375" s="4">
        <v>1158.31</v>
      </c>
      <c r="V375" s="4">
        <v>8789999616</v>
      </c>
    </row>
    <row r="376" spans="11:22" x14ac:dyDescent="0.2">
      <c r="K376" s="27">
        <v>37225</v>
      </c>
      <c r="L376" s="4">
        <v>43.31</v>
      </c>
      <c r="M376" s="4">
        <v>47460000</v>
      </c>
      <c r="N376" s="4"/>
      <c r="O376" s="4"/>
      <c r="P376" s="4"/>
      <c r="Q376" s="4"/>
      <c r="R376" s="4"/>
      <c r="T376" s="27">
        <v>37225</v>
      </c>
      <c r="U376" s="4">
        <v>1139.45</v>
      </c>
      <c r="V376" s="4">
        <v>8400000000</v>
      </c>
    </row>
    <row r="377" spans="11:22" x14ac:dyDescent="0.2">
      <c r="K377" s="27">
        <v>37218</v>
      </c>
      <c r="L377" s="4">
        <v>43.65</v>
      </c>
      <c r="M377" s="4">
        <v>37750000</v>
      </c>
      <c r="N377" s="4"/>
      <c r="O377" s="4"/>
      <c r="P377" s="4"/>
      <c r="Q377" s="4"/>
      <c r="R377" s="4"/>
      <c r="T377" s="27">
        <v>37218</v>
      </c>
      <c r="U377" s="4">
        <v>1150.3399999999999</v>
      </c>
      <c r="V377" s="4">
        <v>5139999744</v>
      </c>
    </row>
    <row r="378" spans="11:22" x14ac:dyDescent="0.2">
      <c r="K378" s="27">
        <v>37211</v>
      </c>
      <c r="L378" s="4">
        <v>42.73</v>
      </c>
      <c r="M378" s="4">
        <v>47930000</v>
      </c>
      <c r="N378" s="4"/>
      <c r="O378" s="4"/>
      <c r="P378" s="4"/>
      <c r="Q378" s="4"/>
      <c r="R378" s="4"/>
      <c r="T378" s="27">
        <v>37211</v>
      </c>
      <c r="U378" s="4">
        <v>1138.6500000000001</v>
      </c>
      <c r="V378" s="4">
        <v>8520000000</v>
      </c>
    </row>
    <row r="379" spans="11:22" x14ac:dyDescent="0.2">
      <c r="K379" s="27">
        <v>37204</v>
      </c>
      <c r="L379" s="4">
        <v>42.13</v>
      </c>
      <c r="M379" s="4">
        <v>51610000</v>
      </c>
      <c r="N379" s="4"/>
      <c r="O379" s="4"/>
      <c r="P379" s="4"/>
      <c r="Q379" s="4"/>
      <c r="R379" s="4"/>
      <c r="T379" s="27">
        <v>37204</v>
      </c>
      <c r="U379" s="4">
        <v>1120.31</v>
      </c>
      <c r="V379" s="4">
        <v>8700000256</v>
      </c>
    </row>
    <row r="380" spans="11:22" x14ac:dyDescent="0.2">
      <c r="K380" s="27">
        <v>37197</v>
      </c>
      <c r="L380" s="4">
        <v>42.2</v>
      </c>
      <c r="M380" s="4">
        <v>54920000</v>
      </c>
      <c r="N380" s="4"/>
      <c r="O380" s="4"/>
      <c r="P380" s="4"/>
      <c r="Q380" s="4"/>
      <c r="R380" s="4"/>
      <c r="T380" s="27">
        <v>37197</v>
      </c>
      <c r="U380" s="4">
        <v>1087.2</v>
      </c>
      <c r="V380" s="4">
        <v>8000000000</v>
      </c>
    </row>
    <row r="381" spans="11:22" x14ac:dyDescent="0.2">
      <c r="K381" s="27">
        <v>37190</v>
      </c>
      <c r="L381" s="4">
        <v>42.7</v>
      </c>
      <c r="M381" s="4">
        <v>59200000</v>
      </c>
      <c r="N381" s="4"/>
      <c r="O381" s="4"/>
      <c r="P381" s="4"/>
      <c r="Q381" s="4"/>
      <c r="R381" s="4"/>
      <c r="T381" s="27">
        <v>37190</v>
      </c>
      <c r="U381" s="4">
        <v>1104.6099999999999</v>
      </c>
      <c r="V381" s="4">
        <v>8400000000</v>
      </c>
    </row>
    <row r="382" spans="11:22" x14ac:dyDescent="0.2">
      <c r="K382" s="27">
        <v>37183</v>
      </c>
      <c r="L382" s="4">
        <v>42.33</v>
      </c>
      <c r="M382" s="4">
        <v>63150000</v>
      </c>
      <c r="N382" s="4"/>
      <c r="O382" s="4"/>
      <c r="P382" s="4"/>
      <c r="Q382" s="4"/>
      <c r="R382" s="4"/>
      <c r="T382" s="27">
        <v>37183</v>
      </c>
      <c r="U382" s="4">
        <v>1073.48</v>
      </c>
      <c r="V382" s="4">
        <v>8030000128</v>
      </c>
    </row>
    <row r="383" spans="11:22" x14ac:dyDescent="0.2">
      <c r="K383" s="27">
        <v>37176</v>
      </c>
      <c r="L383" s="4">
        <v>40.86</v>
      </c>
      <c r="M383" s="4">
        <v>59420000</v>
      </c>
      <c r="N383" s="4"/>
      <c r="O383" s="4"/>
      <c r="P383" s="4"/>
      <c r="Q383" s="4"/>
      <c r="R383" s="4"/>
      <c r="T383" s="27">
        <v>37176</v>
      </c>
      <c r="U383" s="4">
        <v>1091.6500000000001</v>
      </c>
      <c r="V383" s="4">
        <v>8419999744</v>
      </c>
    </row>
    <row r="384" spans="11:22" x14ac:dyDescent="0.2">
      <c r="K384" s="27">
        <v>37169</v>
      </c>
      <c r="L384" s="4">
        <v>41.79</v>
      </c>
      <c r="M384" s="4">
        <v>74100000</v>
      </c>
      <c r="N384" s="4"/>
      <c r="O384" s="4"/>
      <c r="P384" s="4"/>
      <c r="Q384" s="4"/>
      <c r="R384" s="4"/>
      <c r="T384" s="27">
        <v>37169</v>
      </c>
      <c r="U384" s="4">
        <v>1071.3800000000001</v>
      </c>
      <c r="V384" s="4">
        <v>9600000000</v>
      </c>
    </row>
    <row r="385" spans="11:22" x14ac:dyDescent="0.2">
      <c r="K385" s="27">
        <v>37162</v>
      </c>
      <c r="L385" s="4">
        <v>40.1</v>
      </c>
      <c r="M385" s="4">
        <v>93420000</v>
      </c>
      <c r="N385" s="4">
        <v>-679</v>
      </c>
      <c r="O385" s="4"/>
      <c r="P385" s="4"/>
      <c r="Q385" s="4"/>
      <c r="R385" s="4"/>
      <c r="T385" s="27">
        <v>37162</v>
      </c>
      <c r="U385" s="4">
        <v>1040.94</v>
      </c>
      <c r="V385" s="4">
        <v>9850000384</v>
      </c>
    </row>
    <row r="386" spans="11:22" x14ac:dyDescent="0.2">
      <c r="K386" s="27">
        <v>37155</v>
      </c>
      <c r="L386" s="4">
        <v>35.799999999999997</v>
      </c>
      <c r="M386" s="4">
        <v>108010000</v>
      </c>
      <c r="N386" s="4"/>
      <c r="O386" s="4"/>
      <c r="P386" s="4"/>
      <c r="Q386" s="4"/>
      <c r="R386" s="4"/>
      <c r="T386" s="27">
        <v>37155</v>
      </c>
      <c r="U386" s="4">
        <v>965.8</v>
      </c>
      <c r="V386" s="4">
        <v>12289999872</v>
      </c>
    </row>
    <row r="387" spans="11:22" x14ac:dyDescent="0.2">
      <c r="K387" s="27">
        <v>37148</v>
      </c>
      <c r="L387" s="4">
        <v>38.17</v>
      </c>
      <c r="M387" s="4">
        <v>11040000</v>
      </c>
      <c r="N387" s="4"/>
      <c r="O387" s="4"/>
      <c r="P387" s="4"/>
      <c r="Q387" s="4"/>
      <c r="R387" s="4"/>
      <c r="T387" s="27">
        <v>37148</v>
      </c>
      <c r="U387" s="4">
        <v>1092.54</v>
      </c>
      <c r="V387" s="4">
        <v>1580000000</v>
      </c>
    </row>
    <row r="388" spans="11:22" x14ac:dyDescent="0.2">
      <c r="K388" s="27">
        <v>37141</v>
      </c>
      <c r="L388" s="4">
        <v>37</v>
      </c>
      <c r="M388" s="4">
        <v>55470000</v>
      </c>
      <c r="N388" s="4"/>
      <c r="O388" s="4"/>
      <c r="P388" s="4"/>
      <c r="Q388" s="4"/>
      <c r="R388" s="4"/>
      <c r="T388" s="27">
        <v>37141</v>
      </c>
      <c r="U388" s="4">
        <v>1085.78</v>
      </c>
      <c r="V388" s="4">
        <v>7020000256</v>
      </c>
    </row>
    <row r="389" spans="11:22" x14ac:dyDescent="0.2">
      <c r="K389" s="27">
        <v>37134</v>
      </c>
      <c r="L389" s="4">
        <v>38.31</v>
      </c>
      <c r="M389" s="4">
        <v>63380000</v>
      </c>
      <c r="N389" s="4"/>
      <c r="O389" s="4"/>
      <c r="P389" s="4"/>
      <c r="Q389" s="4"/>
      <c r="R389" s="4"/>
      <c r="T389" s="27">
        <v>37134</v>
      </c>
      <c r="U389" s="4">
        <v>1133.58</v>
      </c>
      <c r="V389" s="4">
        <v>6289999872</v>
      </c>
    </row>
    <row r="390" spans="11:22" x14ac:dyDescent="0.2">
      <c r="K390" s="27">
        <v>37127</v>
      </c>
      <c r="L390" s="4">
        <v>41.33</v>
      </c>
      <c r="M390" s="4">
        <v>58160000</v>
      </c>
      <c r="N390" s="4"/>
      <c r="O390" s="4"/>
      <c r="P390" s="4"/>
      <c r="Q390" s="4"/>
      <c r="R390" s="4"/>
      <c r="T390" s="27">
        <v>37127</v>
      </c>
      <c r="U390" s="4">
        <v>1184.93</v>
      </c>
      <c r="V390" s="4">
        <v>6089999872</v>
      </c>
    </row>
    <row r="391" spans="11:22" x14ac:dyDescent="0.2">
      <c r="K391" s="27">
        <v>37120</v>
      </c>
      <c r="L391" s="4">
        <v>41.75</v>
      </c>
      <c r="M391" s="4">
        <v>41980000</v>
      </c>
      <c r="N391" s="4"/>
      <c r="O391" s="4"/>
      <c r="P391" s="4"/>
      <c r="Q391" s="4"/>
      <c r="R391" s="4"/>
      <c r="T391" s="27">
        <v>37120</v>
      </c>
      <c r="U391" s="4">
        <v>1161.97</v>
      </c>
      <c r="V391" s="4">
        <v>5800000000</v>
      </c>
    </row>
    <row r="392" spans="11:22" x14ac:dyDescent="0.2">
      <c r="K392" s="27">
        <v>37113</v>
      </c>
      <c r="L392" s="4">
        <v>41.1</v>
      </c>
      <c r="M392" s="4">
        <v>43640000</v>
      </c>
      <c r="N392" s="4"/>
      <c r="O392" s="4"/>
      <c r="P392" s="4"/>
      <c r="Q392" s="4"/>
      <c r="R392" s="4"/>
      <c r="T392" s="27">
        <v>37113</v>
      </c>
      <c r="U392" s="4">
        <v>1190.1600000000001</v>
      </c>
      <c r="V392" s="4">
        <v>5969999872</v>
      </c>
    </row>
    <row r="393" spans="11:22" x14ac:dyDescent="0.2">
      <c r="K393" s="27">
        <v>37106</v>
      </c>
      <c r="L393" s="4">
        <v>40.74</v>
      </c>
      <c r="M393" s="4">
        <v>44360000</v>
      </c>
      <c r="N393" s="4"/>
      <c r="O393" s="4"/>
      <c r="P393" s="4"/>
      <c r="Q393" s="4"/>
      <c r="R393" s="4"/>
      <c r="T393" s="27">
        <v>37106</v>
      </c>
      <c r="U393" s="4">
        <v>1214.3499999999999</v>
      </c>
      <c r="V393" s="4">
        <v>6520000000</v>
      </c>
    </row>
    <row r="394" spans="11:22" x14ac:dyDescent="0.2">
      <c r="K394" s="27">
        <v>37099</v>
      </c>
      <c r="L394" s="4">
        <v>39.840000000000003</v>
      </c>
      <c r="M394" s="4">
        <v>46090000</v>
      </c>
      <c r="N394" s="4"/>
      <c r="O394" s="4"/>
      <c r="P394" s="4"/>
      <c r="Q394" s="4"/>
      <c r="R394" s="4"/>
      <c r="T394" s="27">
        <v>37099</v>
      </c>
      <c r="U394" s="4">
        <v>1205.82</v>
      </c>
      <c r="V394" s="4">
        <v>6889999872</v>
      </c>
    </row>
    <row r="395" spans="11:22" x14ac:dyDescent="0.2">
      <c r="K395" s="27">
        <v>37092</v>
      </c>
      <c r="L395" s="4">
        <v>41.42</v>
      </c>
      <c r="M395" s="4">
        <v>75440000</v>
      </c>
      <c r="N395" s="4"/>
      <c r="O395" s="4"/>
      <c r="P395" s="4"/>
      <c r="Q395" s="4"/>
      <c r="R395" s="4"/>
      <c r="T395" s="27">
        <v>37092</v>
      </c>
      <c r="U395" s="4">
        <v>1210.8499999999999</v>
      </c>
      <c r="V395" s="4">
        <v>7820000256</v>
      </c>
    </row>
    <row r="396" spans="11:22" x14ac:dyDescent="0.2">
      <c r="K396" s="27">
        <v>37085</v>
      </c>
      <c r="L396" s="4">
        <v>38.43</v>
      </c>
      <c r="M396" s="4">
        <v>78910000</v>
      </c>
      <c r="N396" s="4"/>
      <c r="O396" s="4"/>
      <c r="P396" s="4"/>
      <c r="Q396" s="4"/>
      <c r="R396" s="4"/>
      <c r="T396" s="27">
        <v>37085</v>
      </c>
      <c r="U396" s="4">
        <v>1215.68</v>
      </c>
      <c r="V396" s="4">
        <v>7600000000</v>
      </c>
    </row>
    <row r="397" spans="11:22" x14ac:dyDescent="0.2">
      <c r="K397" s="27">
        <v>37078</v>
      </c>
      <c r="L397" s="4">
        <v>40.049999999999997</v>
      </c>
      <c r="M397" s="4">
        <v>47250000</v>
      </c>
      <c r="N397" s="4"/>
      <c r="O397" s="4"/>
      <c r="P397" s="4"/>
      <c r="Q397" s="4"/>
      <c r="R397" s="4"/>
      <c r="T397" s="27">
        <v>37078</v>
      </c>
      <c r="U397" s="4">
        <v>1190.5899999999999</v>
      </c>
      <c r="V397" s="4">
        <v>4350000128</v>
      </c>
    </row>
    <row r="398" spans="11:22" x14ac:dyDescent="0.2">
      <c r="K398" s="27">
        <v>37071</v>
      </c>
      <c r="L398" s="4">
        <v>40.049999999999997</v>
      </c>
      <c r="M398" s="4">
        <v>58910000</v>
      </c>
      <c r="N398" s="4">
        <v>-679</v>
      </c>
      <c r="O398" s="4"/>
      <c r="P398" s="4"/>
      <c r="Q398" s="4"/>
      <c r="R398" s="4"/>
      <c r="T398" s="27">
        <v>37071</v>
      </c>
      <c r="U398" s="4">
        <v>1224.42</v>
      </c>
      <c r="V398" s="4">
        <v>7649999872</v>
      </c>
    </row>
    <row r="399" spans="11:22" x14ac:dyDescent="0.2">
      <c r="K399" s="27">
        <v>37064</v>
      </c>
      <c r="L399" s="4">
        <v>42.79</v>
      </c>
      <c r="M399" s="4">
        <v>61000000</v>
      </c>
      <c r="N399" s="4"/>
      <c r="O399" s="4"/>
      <c r="P399" s="4"/>
      <c r="Q399" s="4"/>
      <c r="R399" s="4"/>
      <c r="T399" s="27">
        <v>37064</v>
      </c>
      <c r="U399" s="4">
        <v>1225.3499999999999</v>
      </c>
      <c r="V399" s="4">
        <v>7880000000</v>
      </c>
    </row>
    <row r="400" spans="11:22" x14ac:dyDescent="0.2">
      <c r="K400" s="27">
        <v>37057</v>
      </c>
      <c r="L400" s="4">
        <v>42.63</v>
      </c>
      <c r="M400" s="4">
        <v>54120000</v>
      </c>
      <c r="N400" s="4"/>
      <c r="O400" s="4"/>
      <c r="P400" s="4"/>
      <c r="Q400" s="4"/>
      <c r="R400" s="4"/>
      <c r="T400" s="27">
        <v>37057</v>
      </c>
      <c r="U400" s="4">
        <v>1214.3599999999999</v>
      </c>
      <c r="V400" s="4">
        <v>7110000128</v>
      </c>
    </row>
    <row r="401" spans="11:22" x14ac:dyDescent="0.2">
      <c r="K401" s="27">
        <v>37050</v>
      </c>
      <c r="L401" s="4">
        <v>43.51</v>
      </c>
      <c r="M401" s="4">
        <v>46920000</v>
      </c>
      <c r="N401" s="4"/>
      <c r="O401" s="4"/>
      <c r="P401" s="4"/>
      <c r="Q401" s="4"/>
      <c r="R401" s="4"/>
      <c r="T401" s="27">
        <v>37050</v>
      </c>
      <c r="U401" s="4">
        <v>1264.96</v>
      </c>
      <c r="V401" s="4">
        <v>6120000000</v>
      </c>
    </row>
    <row r="402" spans="11:22" x14ac:dyDescent="0.2">
      <c r="K402" s="27">
        <v>37043</v>
      </c>
      <c r="L402" s="4">
        <v>42.81</v>
      </c>
      <c r="M402" s="4">
        <v>38420000</v>
      </c>
      <c r="N402" s="4"/>
      <c r="O402" s="4"/>
      <c r="P402" s="4"/>
      <c r="Q402" s="4"/>
      <c r="R402" s="4"/>
      <c r="T402" s="27">
        <v>37043</v>
      </c>
      <c r="U402" s="4">
        <v>1260.67</v>
      </c>
      <c r="V402" s="4">
        <v>5489999872</v>
      </c>
    </row>
    <row r="403" spans="11:22" x14ac:dyDescent="0.2">
      <c r="K403" s="27">
        <v>37036</v>
      </c>
      <c r="L403" s="4">
        <v>41.86</v>
      </c>
      <c r="M403" s="4">
        <v>60810000</v>
      </c>
      <c r="N403" s="4"/>
      <c r="O403" s="4"/>
      <c r="P403" s="4"/>
      <c r="Q403" s="4"/>
      <c r="R403" s="4"/>
      <c r="T403" s="27">
        <v>37036</v>
      </c>
      <c r="U403" s="4">
        <v>1277.8900000000001</v>
      </c>
      <c r="V403" s="4">
        <v>7160000000</v>
      </c>
    </row>
    <row r="404" spans="11:22" x14ac:dyDescent="0.2">
      <c r="K404" s="27">
        <v>37029</v>
      </c>
      <c r="L404" s="4">
        <v>44.85</v>
      </c>
      <c r="M404" s="4">
        <v>66390000</v>
      </c>
      <c r="N404" s="4"/>
      <c r="O404" s="4"/>
      <c r="P404" s="4"/>
      <c r="Q404" s="4"/>
      <c r="R404" s="4"/>
      <c r="T404" s="27">
        <v>37029</v>
      </c>
      <c r="U404" s="4">
        <v>1291.96</v>
      </c>
      <c r="V404" s="4">
        <v>7169999872</v>
      </c>
    </row>
    <row r="405" spans="11:22" x14ac:dyDescent="0.2">
      <c r="K405" s="27">
        <v>37022</v>
      </c>
      <c r="L405" s="4">
        <v>43</v>
      </c>
      <c r="M405" s="4">
        <v>45390000</v>
      </c>
      <c r="N405" s="4"/>
      <c r="O405" s="4"/>
      <c r="P405" s="4"/>
      <c r="Q405" s="4"/>
      <c r="R405" s="4"/>
      <c r="T405" s="27">
        <v>37022</v>
      </c>
      <c r="U405" s="4">
        <v>1245.67</v>
      </c>
      <c r="V405" s="4">
        <v>6369999872</v>
      </c>
    </row>
    <row r="406" spans="11:22" x14ac:dyDescent="0.2">
      <c r="K406" s="27">
        <v>37015</v>
      </c>
      <c r="L406" s="4">
        <v>43.46</v>
      </c>
      <c r="M406" s="4">
        <v>55640000</v>
      </c>
      <c r="N406" s="4"/>
      <c r="O406" s="4"/>
      <c r="P406" s="4"/>
      <c r="Q406" s="4"/>
      <c r="R406" s="4"/>
      <c r="T406" s="27">
        <v>37015</v>
      </c>
      <c r="U406" s="4">
        <v>1266.6099999999999</v>
      </c>
      <c r="V406" s="4">
        <v>7900000256</v>
      </c>
    </row>
    <row r="407" spans="11:22" x14ac:dyDescent="0.2">
      <c r="K407" s="27">
        <v>37008</v>
      </c>
      <c r="L407" s="4">
        <v>43.12</v>
      </c>
      <c r="M407" s="4">
        <v>63360000</v>
      </c>
      <c r="N407" s="4"/>
      <c r="O407" s="4"/>
      <c r="P407" s="4"/>
      <c r="Q407" s="4"/>
      <c r="R407" s="4"/>
      <c r="T407" s="27">
        <v>37008</v>
      </c>
      <c r="U407" s="4">
        <v>1253.05</v>
      </c>
      <c r="V407" s="4">
        <v>7740000256</v>
      </c>
    </row>
    <row r="408" spans="11:22" x14ac:dyDescent="0.2">
      <c r="K408" s="27">
        <v>37001</v>
      </c>
      <c r="L408" s="4">
        <v>40.76</v>
      </c>
      <c r="M408" s="4">
        <v>95020000</v>
      </c>
      <c r="N408" s="4"/>
      <c r="O408" s="4"/>
      <c r="P408" s="4"/>
      <c r="Q408" s="4"/>
      <c r="R408" s="4"/>
      <c r="T408" s="27">
        <v>37001</v>
      </c>
      <c r="U408" s="4">
        <v>1242.98</v>
      </c>
      <c r="V408" s="4">
        <v>9790000128</v>
      </c>
    </row>
    <row r="409" spans="11:22" x14ac:dyDescent="0.2">
      <c r="K409" s="27">
        <v>36994</v>
      </c>
      <c r="L409" s="4">
        <v>40.700000000000003</v>
      </c>
      <c r="M409" s="4">
        <v>53020000</v>
      </c>
      <c r="N409" s="4"/>
      <c r="O409" s="4"/>
      <c r="P409" s="4"/>
      <c r="Q409" s="4"/>
      <c r="R409" s="4"/>
      <c r="T409" s="27">
        <v>36994</v>
      </c>
      <c r="U409" s="4">
        <v>1183.5</v>
      </c>
      <c r="V409" s="4">
        <v>6760000000</v>
      </c>
    </row>
    <row r="410" spans="11:22" x14ac:dyDescent="0.2">
      <c r="K410" s="27">
        <v>36987</v>
      </c>
      <c r="L410" s="4">
        <v>41.08</v>
      </c>
      <c r="M410" s="4">
        <v>70370000</v>
      </c>
      <c r="N410" s="4"/>
      <c r="O410" s="4"/>
      <c r="P410" s="4"/>
      <c r="Q410" s="4"/>
      <c r="R410" s="4"/>
      <c r="T410" s="27">
        <v>36987</v>
      </c>
      <c r="U410" s="4">
        <v>1128.43</v>
      </c>
      <c r="V410" s="4">
        <v>9210000384</v>
      </c>
    </row>
    <row r="411" spans="11:22" x14ac:dyDescent="0.2">
      <c r="K411" s="27">
        <v>36980</v>
      </c>
      <c r="L411" s="4">
        <v>40.950000000000003</v>
      </c>
      <c r="M411" s="4">
        <v>73380000</v>
      </c>
      <c r="N411" s="4">
        <v>-680</v>
      </c>
      <c r="O411" s="4"/>
      <c r="P411" s="4"/>
      <c r="Q411" s="4"/>
      <c r="R411" s="4"/>
      <c r="T411" s="27">
        <v>36980</v>
      </c>
      <c r="U411" s="4">
        <v>1160.33</v>
      </c>
      <c r="V411" s="4">
        <v>8550000128</v>
      </c>
    </row>
    <row r="412" spans="11:22" x14ac:dyDescent="0.2">
      <c r="K412" s="27">
        <v>36973</v>
      </c>
      <c r="L412" s="4">
        <v>37.53</v>
      </c>
      <c r="M412" s="4">
        <v>95320000</v>
      </c>
      <c r="N412" s="4"/>
      <c r="O412" s="4"/>
      <c r="P412" s="4"/>
      <c r="Q412" s="4"/>
      <c r="R412" s="4"/>
      <c r="T412" s="27">
        <v>36973</v>
      </c>
      <c r="U412" s="4">
        <v>1139.83</v>
      </c>
      <c r="V412" s="4">
        <v>9379999744</v>
      </c>
    </row>
    <row r="413" spans="11:22" x14ac:dyDescent="0.2">
      <c r="K413" s="27">
        <v>36966</v>
      </c>
      <c r="L413" s="4">
        <v>37.369999999999997</v>
      </c>
      <c r="M413" s="4">
        <v>99920000</v>
      </c>
      <c r="N413" s="4"/>
      <c r="O413" s="4"/>
      <c r="P413" s="4"/>
      <c r="Q413" s="4"/>
      <c r="R413" s="4"/>
      <c r="T413" s="27">
        <v>36966</v>
      </c>
      <c r="U413" s="4">
        <v>1150.53</v>
      </c>
      <c r="V413" s="4">
        <v>9539999744</v>
      </c>
    </row>
    <row r="414" spans="11:22" x14ac:dyDescent="0.2">
      <c r="K414" s="27">
        <v>36959</v>
      </c>
      <c r="L414" s="4">
        <v>42.45</v>
      </c>
      <c r="M414" s="4">
        <v>61630000</v>
      </c>
      <c r="N414" s="4"/>
      <c r="O414" s="4"/>
      <c r="P414" s="4"/>
      <c r="Q414" s="4"/>
      <c r="R414" s="4"/>
      <c r="T414" s="27">
        <v>36959</v>
      </c>
      <c r="U414" s="4">
        <v>1233.42</v>
      </c>
      <c r="V414" s="4">
        <v>7619999744</v>
      </c>
    </row>
    <row r="415" spans="11:22" x14ac:dyDescent="0.2">
      <c r="K415" s="27">
        <v>36952</v>
      </c>
      <c r="L415" s="4">
        <v>43.61</v>
      </c>
      <c r="M415" s="4">
        <v>64050000</v>
      </c>
      <c r="N415" s="4"/>
      <c r="O415" s="4"/>
      <c r="P415" s="4"/>
      <c r="Q415" s="4"/>
      <c r="R415" s="4"/>
      <c r="T415" s="27">
        <v>36952</v>
      </c>
      <c r="U415" s="4">
        <v>1234.18</v>
      </c>
      <c r="V415" s="4">
        <v>8849999872</v>
      </c>
    </row>
    <row r="416" spans="11:22" x14ac:dyDescent="0.2">
      <c r="K416" s="27">
        <v>36945</v>
      </c>
      <c r="L416" s="4">
        <v>44.82</v>
      </c>
      <c r="M416" s="4">
        <v>50380000</v>
      </c>
      <c r="N416" s="4"/>
      <c r="O416" s="4"/>
      <c r="P416" s="4"/>
      <c r="Q416" s="4"/>
      <c r="R416" s="4"/>
      <c r="T416" s="27">
        <v>36945</v>
      </c>
      <c r="U416" s="4">
        <v>1245.8599999999999</v>
      </c>
      <c r="V416" s="4">
        <v>7110000128</v>
      </c>
    </row>
    <row r="417" spans="11:22" x14ac:dyDescent="0.2">
      <c r="K417" s="27">
        <v>36938</v>
      </c>
      <c r="L417" s="4">
        <v>45.26</v>
      </c>
      <c r="M417" s="4">
        <v>63490000</v>
      </c>
      <c r="N417" s="4"/>
      <c r="O417" s="4"/>
      <c r="P417" s="4"/>
      <c r="Q417" s="4"/>
      <c r="R417" s="4"/>
      <c r="T417" s="27">
        <v>36938</v>
      </c>
      <c r="U417" s="4">
        <v>1301.53</v>
      </c>
      <c r="V417" s="4">
        <v>7750000128</v>
      </c>
    </row>
    <row r="418" spans="11:22" x14ac:dyDescent="0.2">
      <c r="K418" s="27">
        <v>36931</v>
      </c>
      <c r="L418" s="4">
        <v>45.04</v>
      </c>
      <c r="M418" s="4">
        <v>67940000</v>
      </c>
      <c r="N418" s="4"/>
      <c r="O418" s="4"/>
      <c r="P418" s="4"/>
      <c r="Q418" s="4"/>
      <c r="R418" s="4"/>
      <c r="T418" s="27">
        <v>36931</v>
      </c>
      <c r="U418" s="4">
        <v>1314.76</v>
      </c>
      <c r="V418" s="4">
        <v>7449999872</v>
      </c>
    </row>
    <row r="419" spans="11:22" x14ac:dyDescent="0.2">
      <c r="K419" s="27">
        <v>36924</v>
      </c>
      <c r="L419" s="4">
        <v>44.9</v>
      </c>
      <c r="M419" s="4">
        <v>52370000</v>
      </c>
      <c r="N419" s="4"/>
      <c r="O419" s="4"/>
      <c r="P419" s="4"/>
      <c r="Q419" s="4"/>
      <c r="R419" s="4"/>
      <c r="T419" s="27">
        <v>36924</v>
      </c>
      <c r="U419" s="4">
        <v>1349.47</v>
      </c>
      <c r="V419" s="4">
        <v>7320000000</v>
      </c>
    </row>
    <row r="420" spans="11:22" x14ac:dyDescent="0.2">
      <c r="K420" s="27">
        <v>36917</v>
      </c>
      <c r="L420" s="4">
        <v>44.3125</v>
      </c>
      <c r="M420" s="4">
        <v>77580000</v>
      </c>
      <c r="N420" s="4"/>
      <c r="O420" s="4"/>
      <c r="P420" s="4"/>
      <c r="Q420" s="4"/>
      <c r="R420" s="4"/>
      <c r="T420" s="27">
        <v>36917</v>
      </c>
      <c r="U420" s="4">
        <v>1354.95</v>
      </c>
      <c r="V420" s="4">
        <v>8280000000</v>
      </c>
    </row>
    <row r="421" spans="11:22" x14ac:dyDescent="0.2">
      <c r="K421" s="27">
        <v>36910</v>
      </c>
      <c r="L421" s="4">
        <v>41.375</v>
      </c>
      <c r="M421" s="4">
        <v>67230000</v>
      </c>
      <c r="N421" s="4"/>
      <c r="O421" s="4"/>
      <c r="P421" s="4"/>
      <c r="Q421" s="4"/>
      <c r="R421" s="4"/>
      <c r="T421" s="27">
        <v>36910</v>
      </c>
      <c r="U421" s="4">
        <v>1342.54</v>
      </c>
      <c r="V421" s="4">
        <v>7289999872</v>
      </c>
    </row>
    <row r="422" spans="11:22" x14ac:dyDescent="0.2">
      <c r="K422" s="27">
        <v>36903</v>
      </c>
      <c r="L422" s="4">
        <v>41.4375</v>
      </c>
      <c r="M422" s="4">
        <v>79730000</v>
      </c>
      <c r="N422" s="4"/>
      <c r="O422" s="4"/>
      <c r="P422" s="4"/>
      <c r="Q422" s="4"/>
      <c r="R422" s="4"/>
      <c r="T422" s="27">
        <v>36903</v>
      </c>
      <c r="U422" s="4">
        <v>1318.32</v>
      </c>
      <c r="V422" s="4">
        <v>8569999872</v>
      </c>
    </row>
    <row r="423" spans="11:22" x14ac:dyDescent="0.2">
      <c r="K423" s="27">
        <v>36896</v>
      </c>
      <c r="L423" s="4">
        <v>42.375</v>
      </c>
      <c r="M423" s="4">
        <v>84380000</v>
      </c>
      <c r="N423" s="4"/>
      <c r="O423" s="4"/>
      <c r="P423" s="4"/>
      <c r="Q423" s="4"/>
      <c r="R423" s="4"/>
      <c r="T423" s="27">
        <v>36896</v>
      </c>
      <c r="U423" s="4">
        <v>1298.3499999999999</v>
      </c>
      <c r="V423" s="4">
        <v>8700000256</v>
      </c>
    </row>
    <row r="424" spans="11:22" x14ac:dyDescent="0.2">
      <c r="K424" s="27">
        <v>36889</v>
      </c>
      <c r="L424" s="4">
        <v>46</v>
      </c>
      <c r="M424" s="4">
        <v>33680000</v>
      </c>
      <c r="N424" s="4">
        <v>-555</v>
      </c>
      <c r="O424" s="4"/>
      <c r="P424" s="4"/>
      <c r="Q424" s="4"/>
      <c r="R424" s="4"/>
      <c r="T424" s="27">
        <v>36889</v>
      </c>
      <c r="U424" s="4">
        <v>1320.28</v>
      </c>
      <c r="V424" s="4">
        <v>4880000000</v>
      </c>
    </row>
    <row r="425" spans="11:22" x14ac:dyDescent="0.2">
      <c r="K425" s="27">
        <v>36882</v>
      </c>
      <c r="L425" s="4">
        <v>44.375</v>
      </c>
      <c r="M425" s="4">
        <v>82330000</v>
      </c>
      <c r="N425" s="4"/>
      <c r="O425" s="4"/>
      <c r="P425" s="4"/>
      <c r="Q425" s="4"/>
      <c r="R425" s="4"/>
      <c r="T425" s="27">
        <v>36882</v>
      </c>
      <c r="U425" s="4">
        <v>1305.97</v>
      </c>
      <c r="V425" s="4">
        <v>8800000000</v>
      </c>
    </row>
    <row r="426" spans="11:22" x14ac:dyDescent="0.2">
      <c r="K426" s="27">
        <v>36875</v>
      </c>
      <c r="L426" s="4">
        <v>45.4375</v>
      </c>
      <c r="M426" s="4">
        <v>79050000</v>
      </c>
      <c r="N426" s="4"/>
      <c r="O426" s="4"/>
      <c r="P426" s="4"/>
      <c r="Q426" s="4"/>
      <c r="R426" s="4"/>
      <c r="T426" s="27">
        <v>36875</v>
      </c>
      <c r="U426" s="4">
        <v>1312.15</v>
      </c>
      <c r="V426" s="4">
        <v>8590000128</v>
      </c>
    </row>
    <row r="427" spans="11:22" x14ac:dyDescent="0.2">
      <c r="K427" s="27">
        <v>36868</v>
      </c>
      <c r="L427" s="4">
        <v>43.5</v>
      </c>
      <c r="M427" s="4">
        <v>66950000</v>
      </c>
      <c r="N427" s="4"/>
      <c r="O427" s="4"/>
      <c r="P427" s="4"/>
      <c r="Q427" s="4"/>
      <c r="R427" s="4"/>
      <c r="T427" s="27">
        <v>36868</v>
      </c>
      <c r="U427" s="4">
        <v>1369.89</v>
      </c>
      <c r="V427" s="4">
        <v>8150000128</v>
      </c>
    </row>
    <row r="428" spans="11:22" x14ac:dyDescent="0.2">
      <c r="K428" s="27">
        <v>36861</v>
      </c>
      <c r="L428" s="4">
        <v>43.5</v>
      </c>
      <c r="M428" s="4">
        <v>74380000</v>
      </c>
      <c r="N428" s="4"/>
      <c r="O428" s="4"/>
      <c r="P428" s="4"/>
      <c r="Q428" s="4"/>
      <c r="R428" s="4"/>
      <c r="T428" s="27">
        <v>36861</v>
      </c>
      <c r="U428" s="4">
        <v>1315.23</v>
      </c>
      <c r="V428" s="4">
        <v>7760000000</v>
      </c>
    </row>
    <row r="429" spans="11:22" x14ac:dyDescent="0.2">
      <c r="K429" s="27">
        <v>36854</v>
      </c>
      <c r="L429" s="4">
        <v>42.3125</v>
      </c>
      <c r="M429" s="4">
        <v>30700000</v>
      </c>
      <c r="N429" s="4"/>
      <c r="O429" s="4"/>
      <c r="P429" s="4"/>
      <c r="Q429" s="4"/>
      <c r="R429" s="4"/>
      <c r="T429" s="27">
        <v>36854</v>
      </c>
      <c r="U429" s="4">
        <v>1341.77</v>
      </c>
      <c r="V429" s="4">
        <v>4430000128</v>
      </c>
    </row>
    <row r="430" spans="11:22" x14ac:dyDescent="0.2">
      <c r="K430" s="27">
        <v>36847</v>
      </c>
      <c r="L430" s="4">
        <v>43</v>
      </c>
      <c r="M430" s="4">
        <v>63420000</v>
      </c>
      <c r="N430" s="4"/>
      <c r="O430" s="4"/>
      <c r="P430" s="4"/>
      <c r="Q430" s="4"/>
      <c r="R430" s="4"/>
      <c r="T430" s="27">
        <v>36847</v>
      </c>
      <c r="U430" s="4">
        <v>1367.72</v>
      </c>
      <c r="V430" s="4">
        <v>6929999872</v>
      </c>
    </row>
    <row r="431" spans="11:22" x14ac:dyDescent="0.2">
      <c r="K431" s="27">
        <v>36840</v>
      </c>
      <c r="L431" s="4">
        <v>44.125</v>
      </c>
      <c r="M431" s="4">
        <v>61280000</v>
      </c>
      <c r="N431" s="4"/>
      <c r="O431" s="4"/>
      <c r="P431" s="4"/>
      <c r="Q431" s="4"/>
      <c r="R431" s="4"/>
      <c r="T431" s="27">
        <v>36840</v>
      </c>
      <c r="U431" s="4">
        <v>1365.98</v>
      </c>
      <c r="V431" s="4">
        <v>6649999872</v>
      </c>
    </row>
    <row r="432" spans="11:22" x14ac:dyDescent="0.2">
      <c r="K432" s="27">
        <v>36833</v>
      </c>
      <c r="L432" s="4">
        <v>43.625</v>
      </c>
      <c r="M432" s="4">
        <v>61040000</v>
      </c>
      <c r="N432" s="4"/>
      <c r="O432" s="4"/>
      <c r="P432" s="4"/>
      <c r="Q432" s="4"/>
      <c r="R432" s="4"/>
      <c r="T432" s="27">
        <v>36833</v>
      </c>
      <c r="U432" s="4">
        <v>1426.69</v>
      </c>
      <c r="V432" s="4">
        <v>7590000128</v>
      </c>
    </row>
    <row r="433" spans="11:22" x14ac:dyDescent="0.2">
      <c r="K433" s="27">
        <v>36826</v>
      </c>
      <c r="L433" s="4">
        <v>44.125</v>
      </c>
      <c r="M433" s="4">
        <v>81910000</v>
      </c>
      <c r="N433" s="4"/>
      <c r="O433" s="4"/>
      <c r="P433" s="4"/>
      <c r="Q433" s="4"/>
      <c r="R433" s="4"/>
      <c r="T433" s="27">
        <v>36826</v>
      </c>
      <c r="U433" s="4">
        <v>1379.58</v>
      </c>
      <c r="V433" s="4">
        <v>7640000000</v>
      </c>
    </row>
    <row r="434" spans="11:22" x14ac:dyDescent="0.2">
      <c r="K434" s="27">
        <v>36819</v>
      </c>
      <c r="L434" s="4">
        <v>43.375</v>
      </c>
      <c r="M434" s="4">
        <v>53300000</v>
      </c>
      <c r="N434" s="4"/>
      <c r="O434" s="4"/>
      <c r="P434" s="4"/>
      <c r="Q434" s="4"/>
      <c r="R434" s="4"/>
      <c r="T434" s="27">
        <v>36819</v>
      </c>
      <c r="U434" s="4">
        <v>1396.93</v>
      </c>
      <c r="V434" s="4">
        <v>7900000256</v>
      </c>
    </row>
    <row r="435" spans="11:22" x14ac:dyDescent="0.2">
      <c r="K435" s="27">
        <v>36812</v>
      </c>
      <c r="L435" s="4">
        <v>42.625</v>
      </c>
      <c r="M435" s="4">
        <v>59630000</v>
      </c>
      <c r="N435" s="4"/>
      <c r="O435" s="4"/>
      <c r="P435" s="4"/>
      <c r="Q435" s="4"/>
      <c r="R435" s="4"/>
      <c r="T435" s="27">
        <v>36812</v>
      </c>
      <c r="U435" s="4">
        <v>1374.17</v>
      </c>
      <c r="V435" s="4">
        <v>7470000128</v>
      </c>
    </row>
    <row r="436" spans="11:22" x14ac:dyDescent="0.2">
      <c r="K436" s="27">
        <v>36805</v>
      </c>
      <c r="L436" s="4">
        <v>44.625</v>
      </c>
      <c r="M436" s="4">
        <v>49880000</v>
      </c>
      <c r="N436" s="4"/>
      <c r="O436" s="4"/>
      <c r="P436" s="4"/>
      <c r="Q436" s="4"/>
      <c r="R436" s="4"/>
      <c r="T436" s="27">
        <v>36805</v>
      </c>
      <c r="U436" s="4">
        <v>1408.99</v>
      </c>
      <c r="V436" s="4">
        <v>7219999744</v>
      </c>
    </row>
    <row r="437" spans="11:22" x14ac:dyDescent="0.2">
      <c r="K437" s="27">
        <v>36798</v>
      </c>
      <c r="L437" s="4">
        <v>44.917999999999999</v>
      </c>
      <c r="M437" s="4">
        <v>57300000</v>
      </c>
      <c r="N437" s="4">
        <v>-554</v>
      </c>
      <c r="O437" s="4"/>
      <c r="P437" s="4"/>
      <c r="Q437" s="4"/>
      <c r="R437" s="4"/>
      <c r="T437" s="27">
        <v>36798</v>
      </c>
      <c r="U437" s="4">
        <v>1436.51</v>
      </c>
      <c r="V437" s="4">
        <v>6819999744</v>
      </c>
    </row>
    <row r="438" spans="11:22" x14ac:dyDescent="0.2">
      <c r="K438" s="27">
        <v>36791</v>
      </c>
      <c r="L438" s="4">
        <v>44.3125</v>
      </c>
      <c r="M438" s="4">
        <v>53240000</v>
      </c>
      <c r="N438" s="4"/>
      <c r="O438" s="4"/>
      <c r="P438" s="4"/>
      <c r="Q438" s="4"/>
      <c r="R438" s="4"/>
      <c r="T438" s="27">
        <v>36791</v>
      </c>
      <c r="U438" s="4">
        <v>1448.72</v>
      </c>
      <c r="V438" s="4">
        <v>6680000000</v>
      </c>
    </row>
    <row r="439" spans="11:22" x14ac:dyDescent="0.2">
      <c r="K439" s="27">
        <v>36784</v>
      </c>
      <c r="L439" s="4">
        <v>41.25</v>
      </c>
      <c r="M439" s="4">
        <v>52400000</v>
      </c>
      <c r="N439" s="4"/>
      <c r="O439" s="4"/>
      <c r="P439" s="4"/>
      <c r="Q439" s="4"/>
      <c r="R439" s="4"/>
      <c r="T439" s="27">
        <v>36784</v>
      </c>
      <c r="U439" s="4">
        <v>1465.81</v>
      </c>
      <c r="V439" s="4">
        <v>6400000000</v>
      </c>
    </row>
    <row r="440" spans="11:22" x14ac:dyDescent="0.2">
      <c r="K440" s="27">
        <v>36777</v>
      </c>
      <c r="L440" s="4">
        <v>40.5</v>
      </c>
      <c r="M440" s="4">
        <v>62400000</v>
      </c>
      <c r="N440" s="4"/>
      <c r="O440" s="4"/>
      <c r="P440" s="4"/>
      <c r="Q440" s="4"/>
      <c r="R440" s="4"/>
      <c r="T440" s="27">
        <v>36777</v>
      </c>
      <c r="U440" s="4">
        <v>1494.5</v>
      </c>
      <c r="V440" s="4">
        <v>4449999872</v>
      </c>
    </row>
    <row r="441" spans="11:22" x14ac:dyDescent="0.2">
      <c r="K441" s="27">
        <v>36770</v>
      </c>
      <c r="L441" s="4">
        <v>43.156300000000002</v>
      </c>
      <c r="M441" s="4">
        <v>45090000</v>
      </c>
      <c r="N441" s="4"/>
      <c r="O441" s="4"/>
      <c r="P441" s="4"/>
      <c r="Q441" s="4"/>
      <c r="R441" s="4"/>
      <c r="T441" s="27">
        <v>36770</v>
      </c>
      <c r="U441" s="4">
        <v>1520.77</v>
      </c>
      <c r="V441" s="4">
        <v>4760000000</v>
      </c>
    </row>
    <row r="442" spans="11:22" x14ac:dyDescent="0.2">
      <c r="K442" s="27">
        <v>36763</v>
      </c>
      <c r="L442" s="4">
        <v>43.8125</v>
      </c>
      <c r="M442" s="4">
        <v>33690000</v>
      </c>
      <c r="N442" s="4"/>
      <c r="O442" s="4"/>
      <c r="P442" s="4"/>
      <c r="Q442" s="4"/>
      <c r="R442" s="4"/>
      <c r="T442" s="27">
        <v>36763</v>
      </c>
      <c r="U442" s="4">
        <v>1506.45</v>
      </c>
      <c r="V442" s="4">
        <v>4329999872</v>
      </c>
    </row>
    <row r="443" spans="11:22" x14ac:dyDescent="0.2">
      <c r="K443" s="27">
        <v>36756</v>
      </c>
      <c r="L443" s="4">
        <v>42.75</v>
      </c>
      <c r="M443" s="4">
        <v>45240000</v>
      </c>
      <c r="N443" s="4"/>
      <c r="O443" s="4"/>
      <c r="P443" s="4"/>
      <c r="Q443" s="4"/>
      <c r="R443" s="4"/>
      <c r="T443" s="27">
        <v>36756</v>
      </c>
      <c r="U443" s="4">
        <v>1491.72</v>
      </c>
      <c r="V443" s="4">
        <v>4819999744</v>
      </c>
    </row>
    <row r="444" spans="11:22" x14ac:dyDescent="0.2">
      <c r="K444" s="27">
        <v>36749</v>
      </c>
      <c r="L444" s="4">
        <v>42.875</v>
      </c>
      <c r="M444" s="4">
        <v>52900000</v>
      </c>
      <c r="N444" s="4"/>
      <c r="O444" s="4"/>
      <c r="P444" s="4"/>
      <c r="Q444" s="4"/>
      <c r="R444" s="4"/>
      <c r="T444" s="27">
        <v>36749</v>
      </c>
      <c r="U444" s="4">
        <v>1471.84</v>
      </c>
      <c r="V444" s="4">
        <v>5200000000</v>
      </c>
    </row>
    <row r="445" spans="11:22" x14ac:dyDescent="0.2">
      <c r="K445" s="27">
        <v>36742</v>
      </c>
      <c r="L445" s="4">
        <v>45.5</v>
      </c>
      <c r="M445" s="4">
        <v>51540000</v>
      </c>
      <c r="N445" s="4"/>
      <c r="O445" s="4"/>
      <c r="P445" s="4"/>
      <c r="Q445" s="4"/>
      <c r="R445" s="4"/>
      <c r="T445" s="27">
        <v>36742</v>
      </c>
      <c r="U445" s="4">
        <v>1462.93</v>
      </c>
      <c r="V445" s="4">
        <v>5400000000</v>
      </c>
    </row>
    <row r="446" spans="11:22" x14ac:dyDescent="0.2">
      <c r="K446" s="27">
        <v>36735</v>
      </c>
      <c r="L446" s="4">
        <v>43.875</v>
      </c>
      <c r="M446" s="4">
        <v>90500000</v>
      </c>
      <c r="N446" s="4"/>
      <c r="O446" s="4"/>
      <c r="P446" s="4"/>
      <c r="Q446" s="4"/>
      <c r="R446" s="4"/>
      <c r="T446" s="27">
        <v>36735</v>
      </c>
      <c r="U446" s="4">
        <v>1419.89</v>
      </c>
      <c r="V446" s="4">
        <v>5640000000</v>
      </c>
    </row>
    <row r="447" spans="11:22" x14ac:dyDescent="0.2">
      <c r="K447" s="27">
        <v>36728</v>
      </c>
      <c r="L447" s="4">
        <v>45.875</v>
      </c>
      <c r="M447" s="4">
        <v>58780000</v>
      </c>
      <c r="N447" s="4"/>
      <c r="O447" s="4"/>
      <c r="P447" s="4"/>
      <c r="Q447" s="4"/>
      <c r="R447" s="4"/>
      <c r="T447" s="27">
        <v>36728</v>
      </c>
      <c r="U447" s="4">
        <v>1480.19</v>
      </c>
      <c r="V447" s="4">
        <v>5390000128</v>
      </c>
    </row>
    <row r="448" spans="11:22" x14ac:dyDescent="0.2">
      <c r="K448" s="27">
        <v>36721</v>
      </c>
      <c r="L448" s="4">
        <v>45.0625</v>
      </c>
      <c r="M448" s="4">
        <v>60680000</v>
      </c>
      <c r="N448" s="4"/>
      <c r="O448" s="4"/>
      <c r="P448" s="4"/>
      <c r="Q448" s="4"/>
      <c r="R448" s="4"/>
      <c r="T448" s="27">
        <v>36721</v>
      </c>
      <c r="U448" s="4">
        <v>1509.98</v>
      </c>
      <c r="V448" s="4">
        <v>5160000000</v>
      </c>
    </row>
    <row r="449" spans="11:22" x14ac:dyDescent="0.2">
      <c r="K449" s="27">
        <v>36714</v>
      </c>
      <c r="L449" s="4">
        <v>45.8125</v>
      </c>
      <c r="M449" s="4">
        <v>39620000</v>
      </c>
      <c r="N449" s="4"/>
      <c r="O449" s="4"/>
      <c r="P449" s="4"/>
      <c r="Q449" s="4"/>
      <c r="R449" s="4"/>
      <c r="T449" s="27">
        <v>36714</v>
      </c>
      <c r="U449" s="4">
        <v>1478.9</v>
      </c>
      <c r="V449" s="4">
        <v>3500000000</v>
      </c>
    </row>
    <row r="450" spans="11:22" x14ac:dyDescent="0.2">
      <c r="K450" s="27">
        <v>36707</v>
      </c>
      <c r="L450" s="4">
        <v>48</v>
      </c>
      <c r="M450" s="4">
        <v>73140000</v>
      </c>
      <c r="N450" s="4">
        <v>-547</v>
      </c>
      <c r="O450" s="4"/>
      <c r="P450" s="4"/>
      <c r="Q450" s="4"/>
      <c r="R450" s="4"/>
      <c r="T450" s="27">
        <v>36707</v>
      </c>
      <c r="U450" s="4">
        <v>1454.6</v>
      </c>
      <c r="V450" s="4">
        <v>5440000000</v>
      </c>
    </row>
    <row r="451" spans="11:22" x14ac:dyDescent="0.2">
      <c r="K451" s="27">
        <v>36700</v>
      </c>
      <c r="L451" s="4">
        <v>45.875</v>
      </c>
      <c r="M451" s="4">
        <v>67010000</v>
      </c>
      <c r="N451" s="4"/>
      <c r="O451" s="4"/>
      <c r="P451" s="4"/>
      <c r="Q451" s="4"/>
      <c r="R451" s="4"/>
      <c r="T451" s="27">
        <v>36700</v>
      </c>
      <c r="U451" s="4">
        <v>1441.48</v>
      </c>
      <c r="V451" s="4">
        <v>5100000256</v>
      </c>
    </row>
    <row r="452" spans="11:22" x14ac:dyDescent="0.2">
      <c r="K452" s="27">
        <v>36693</v>
      </c>
      <c r="L452" s="4">
        <v>47.9375</v>
      </c>
      <c r="M452" s="4">
        <v>50770000</v>
      </c>
      <c r="N452" s="4"/>
      <c r="O452" s="4"/>
      <c r="P452" s="4"/>
      <c r="Q452" s="4"/>
      <c r="R452" s="4"/>
      <c r="T452" s="27">
        <v>36693</v>
      </c>
      <c r="U452" s="4">
        <v>1464.46</v>
      </c>
      <c r="V452" s="4">
        <v>5260000256</v>
      </c>
    </row>
    <row r="453" spans="11:22" x14ac:dyDescent="0.2">
      <c r="K453" s="27">
        <v>36686</v>
      </c>
      <c r="L453" s="4">
        <v>46</v>
      </c>
      <c r="M453" s="4">
        <v>37800000</v>
      </c>
      <c r="N453" s="4"/>
      <c r="O453" s="4"/>
      <c r="P453" s="4"/>
      <c r="Q453" s="4"/>
      <c r="R453" s="4"/>
      <c r="T453" s="27">
        <v>36686</v>
      </c>
      <c r="U453" s="4">
        <v>1456.95</v>
      </c>
      <c r="V453" s="4">
        <v>4560000000</v>
      </c>
    </row>
    <row r="454" spans="11:22" x14ac:dyDescent="0.2">
      <c r="K454" s="27">
        <v>36679</v>
      </c>
      <c r="L454" s="4">
        <v>43.5625</v>
      </c>
      <c r="M454" s="4">
        <v>35670000</v>
      </c>
      <c r="N454" s="4"/>
      <c r="O454" s="4"/>
      <c r="P454" s="4"/>
      <c r="Q454" s="4"/>
      <c r="R454" s="4"/>
      <c r="T454" s="27">
        <v>36679</v>
      </c>
      <c r="U454" s="4">
        <v>1477.26</v>
      </c>
      <c r="V454" s="4">
        <v>4380000256</v>
      </c>
    </row>
    <row r="455" spans="11:22" x14ac:dyDescent="0.2">
      <c r="K455" s="27">
        <v>36672</v>
      </c>
      <c r="L455" s="4">
        <v>45.125</v>
      </c>
      <c r="M455" s="4">
        <v>40520000</v>
      </c>
      <c r="N455" s="4"/>
      <c r="O455" s="4"/>
      <c r="P455" s="4"/>
      <c r="Q455" s="4"/>
      <c r="R455" s="4"/>
      <c r="T455" s="27">
        <v>36672</v>
      </c>
      <c r="U455" s="4">
        <v>1378.02</v>
      </c>
      <c r="V455" s="4">
        <v>5510000128</v>
      </c>
    </row>
    <row r="456" spans="11:22" x14ac:dyDescent="0.2">
      <c r="K456" s="27">
        <v>36665</v>
      </c>
      <c r="L456" s="4">
        <v>44.1875</v>
      </c>
      <c r="M456" s="4">
        <v>49180000</v>
      </c>
      <c r="N456" s="4"/>
      <c r="O456" s="4"/>
      <c r="P456" s="4"/>
      <c r="Q456" s="4"/>
      <c r="R456" s="4"/>
      <c r="T456" s="27">
        <v>36665</v>
      </c>
      <c r="U456" s="4">
        <v>1406.95</v>
      </c>
      <c r="V456" s="4">
        <v>4710000128</v>
      </c>
    </row>
    <row r="457" spans="11:22" x14ac:dyDescent="0.2">
      <c r="K457" s="27">
        <v>36658</v>
      </c>
      <c r="L457" s="4">
        <v>43.085900000000002</v>
      </c>
      <c r="M457" s="4">
        <v>57470000</v>
      </c>
      <c r="N457" s="4"/>
      <c r="O457" s="4"/>
      <c r="P457" s="4"/>
      <c r="Q457" s="4"/>
      <c r="R457" s="4"/>
      <c r="T457" s="27">
        <v>36658</v>
      </c>
      <c r="U457" s="4">
        <v>1420.96</v>
      </c>
      <c r="V457" s="4">
        <v>5000000000</v>
      </c>
    </row>
    <row r="458" spans="11:22" x14ac:dyDescent="0.2">
      <c r="K458" s="27">
        <v>36651</v>
      </c>
      <c r="L458" s="4">
        <v>44.625</v>
      </c>
      <c r="M458" s="4">
        <v>49470000</v>
      </c>
      <c r="N458" s="4"/>
      <c r="O458" s="4"/>
      <c r="P458" s="4"/>
      <c r="Q458" s="4"/>
      <c r="R458" s="4"/>
      <c r="T458" s="27">
        <v>36651</v>
      </c>
      <c r="U458" s="4">
        <v>1432.63</v>
      </c>
      <c r="V458" s="4">
        <v>4929999872</v>
      </c>
    </row>
    <row r="459" spans="11:22" x14ac:dyDescent="0.2">
      <c r="K459" s="27">
        <v>36644</v>
      </c>
      <c r="L459" s="4">
        <v>42.125</v>
      </c>
      <c r="M459" s="4">
        <v>55000000</v>
      </c>
      <c r="N459" s="4"/>
      <c r="O459" s="4"/>
      <c r="P459" s="4"/>
      <c r="Q459" s="4"/>
      <c r="R459" s="4"/>
      <c r="T459" s="27">
        <v>36644</v>
      </c>
      <c r="U459" s="4">
        <v>1452.43</v>
      </c>
      <c r="V459" s="4">
        <v>5520000000</v>
      </c>
    </row>
    <row r="460" spans="11:22" x14ac:dyDescent="0.2">
      <c r="K460" s="27">
        <v>36637</v>
      </c>
      <c r="L460" s="4">
        <v>41.9375</v>
      </c>
      <c r="M460" s="4">
        <v>59020000</v>
      </c>
      <c r="N460" s="4"/>
      <c r="O460" s="4"/>
      <c r="P460" s="4"/>
      <c r="Q460" s="4"/>
      <c r="R460" s="4"/>
      <c r="T460" s="27">
        <v>36637</v>
      </c>
      <c r="U460" s="4">
        <v>1434.54</v>
      </c>
      <c r="V460" s="4">
        <v>4790000128</v>
      </c>
    </row>
    <row r="461" spans="11:22" x14ac:dyDescent="0.2">
      <c r="K461" s="27">
        <v>36630</v>
      </c>
      <c r="L461" s="4">
        <v>37.9375</v>
      </c>
      <c r="M461" s="4">
        <v>71680000</v>
      </c>
      <c r="N461" s="4"/>
      <c r="O461" s="4"/>
      <c r="P461" s="4"/>
      <c r="Q461" s="4"/>
      <c r="R461" s="4"/>
      <c r="T461" s="27">
        <v>36630</v>
      </c>
      <c r="U461" s="4">
        <v>1356.56</v>
      </c>
      <c r="V461" s="4">
        <v>6300000256</v>
      </c>
    </row>
    <row r="462" spans="11:22" x14ac:dyDescent="0.2">
      <c r="K462" s="27">
        <v>36623</v>
      </c>
      <c r="L462" s="4">
        <v>38.8125</v>
      </c>
      <c r="M462" s="4">
        <v>81000000</v>
      </c>
      <c r="N462" s="4"/>
      <c r="O462" s="4"/>
      <c r="P462" s="4"/>
      <c r="Q462" s="4"/>
      <c r="R462" s="4"/>
      <c r="T462" s="27">
        <v>36623</v>
      </c>
      <c r="U462" s="4">
        <v>1516.35</v>
      </c>
      <c r="V462" s="4">
        <v>6369999872</v>
      </c>
    </row>
    <row r="463" spans="11:22" x14ac:dyDescent="0.2">
      <c r="K463" s="27">
        <v>36616</v>
      </c>
      <c r="L463" s="4">
        <v>36.5625</v>
      </c>
      <c r="M463" s="4">
        <v>50610000</v>
      </c>
      <c r="N463" s="4">
        <v>-541</v>
      </c>
      <c r="O463" s="4"/>
      <c r="P463" s="4"/>
      <c r="Q463" s="4"/>
      <c r="R463" s="4"/>
      <c r="T463" s="27">
        <v>36616</v>
      </c>
      <c r="U463" s="4">
        <v>1498.58</v>
      </c>
      <c r="V463" s="4">
        <v>5590000128</v>
      </c>
    </row>
    <row r="464" spans="11:22" x14ac:dyDescent="0.2">
      <c r="K464" s="27">
        <v>36609</v>
      </c>
      <c r="L464" s="4">
        <v>34.875</v>
      </c>
      <c r="M464" s="4">
        <v>57970000</v>
      </c>
      <c r="N464" s="4"/>
      <c r="O464" s="4"/>
      <c r="P464" s="4"/>
      <c r="Q464" s="4"/>
      <c r="R464" s="4"/>
      <c r="T464" s="27">
        <v>36609</v>
      </c>
      <c r="U464" s="4">
        <v>1527.46</v>
      </c>
      <c r="V464" s="4">
        <v>5480000000</v>
      </c>
    </row>
    <row r="465" spans="11:22" x14ac:dyDescent="0.2">
      <c r="K465" s="27">
        <v>36602</v>
      </c>
      <c r="L465" s="4">
        <v>35.8125</v>
      </c>
      <c r="M465" s="4">
        <v>66950000</v>
      </c>
      <c r="N465" s="4"/>
      <c r="O465" s="4"/>
      <c r="P465" s="4"/>
      <c r="Q465" s="4"/>
      <c r="R465" s="4"/>
      <c r="T465" s="27">
        <v>36602</v>
      </c>
      <c r="U465" s="4">
        <v>1464.47</v>
      </c>
      <c r="V465" s="4">
        <v>6520000000</v>
      </c>
    </row>
    <row r="466" spans="11:22" x14ac:dyDescent="0.2">
      <c r="K466" s="27">
        <v>36595</v>
      </c>
      <c r="L466" s="4">
        <v>35</v>
      </c>
      <c r="M466" s="4">
        <v>81600000</v>
      </c>
      <c r="N466" s="4"/>
      <c r="O466" s="4"/>
      <c r="P466" s="4"/>
      <c r="Q466" s="4"/>
      <c r="R466" s="4"/>
      <c r="T466" s="27">
        <v>36595</v>
      </c>
      <c r="U466" s="4">
        <v>1395.07</v>
      </c>
      <c r="V466" s="4">
        <v>5889999872</v>
      </c>
    </row>
    <row r="467" spans="11:22" x14ac:dyDescent="0.2">
      <c r="K467" s="27">
        <v>36588</v>
      </c>
      <c r="L467" s="4">
        <v>32.625</v>
      </c>
      <c r="M467" s="4">
        <v>49310000</v>
      </c>
      <c r="N467" s="4"/>
      <c r="O467" s="4"/>
      <c r="P467" s="4"/>
      <c r="Q467" s="4"/>
      <c r="R467" s="4"/>
      <c r="T467" s="27">
        <v>36588</v>
      </c>
      <c r="U467" s="4">
        <v>1409.17</v>
      </c>
      <c r="V467" s="4">
        <v>6009999872</v>
      </c>
    </row>
    <row r="468" spans="11:22" x14ac:dyDescent="0.2">
      <c r="K468" s="27">
        <v>36581</v>
      </c>
      <c r="L468" s="4">
        <v>32.375</v>
      </c>
      <c r="M468" s="4">
        <v>35370000</v>
      </c>
      <c r="N468" s="4"/>
      <c r="O468" s="4"/>
      <c r="P468" s="4"/>
      <c r="Q468" s="4"/>
      <c r="R468" s="4"/>
      <c r="T468" s="27">
        <v>36581</v>
      </c>
      <c r="U468" s="4">
        <v>1333.36</v>
      </c>
      <c r="V468" s="4">
        <v>4419999744</v>
      </c>
    </row>
    <row r="469" spans="11:22" x14ac:dyDescent="0.2">
      <c r="K469" s="27">
        <v>36574</v>
      </c>
      <c r="L469" s="4">
        <v>34</v>
      </c>
      <c r="M469" s="4">
        <v>44900000</v>
      </c>
      <c r="N469" s="4"/>
      <c r="O469" s="4"/>
      <c r="P469" s="4"/>
      <c r="Q469" s="4"/>
      <c r="R469" s="4"/>
      <c r="T469" s="27">
        <v>36574</v>
      </c>
      <c r="U469" s="4">
        <v>1346.09</v>
      </c>
      <c r="V469" s="4">
        <v>5110000128</v>
      </c>
    </row>
    <row r="470" spans="11:22" x14ac:dyDescent="0.2">
      <c r="K470" s="27">
        <v>36567</v>
      </c>
      <c r="L470" s="4">
        <v>35</v>
      </c>
      <c r="M470" s="4">
        <v>60030000</v>
      </c>
      <c r="N470" s="4"/>
      <c r="O470" s="4"/>
      <c r="P470" s="4"/>
      <c r="Q470" s="4"/>
      <c r="R470" s="4"/>
      <c r="T470" s="27">
        <v>36567</v>
      </c>
      <c r="U470" s="4">
        <v>1387.12</v>
      </c>
      <c r="V470" s="4">
        <v>5020000256</v>
      </c>
    </row>
    <row r="471" spans="11:22" x14ac:dyDescent="0.2">
      <c r="K471" s="27">
        <v>36560</v>
      </c>
      <c r="L471" s="4">
        <v>35.75</v>
      </c>
      <c r="M471" s="4">
        <v>44440000</v>
      </c>
      <c r="N471" s="4"/>
      <c r="O471" s="4"/>
      <c r="P471" s="4"/>
      <c r="Q471" s="4"/>
      <c r="R471" s="4"/>
      <c r="T471" s="27">
        <v>36560</v>
      </c>
      <c r="U471" s="4">
        <v>1424.37</v>
      </c>
      <c r="V471" s="4">
        <v>5219999744</v>
      </c>
    </row>
    <row r="472" spans="11:22" x14ac:dyDescent="0.2">
      <c r="K472" s="27">
        <v>36553</v>
      </c>
      <c r="L472" s="4">
        <v>35.1875</v>
      </c>
      <c r="M472" s="4">
        <v>49580000</v>
      </c>
      <c r="N472" s="4"/>
      <c r="O472" s="4"/>
      <c r="P472" s="4"/>
      <c r="Q472" s="4"/>
      <c r="R472" s="4"/>
      <c r="T472" s="27">
        <v>36553</v>
      </c>
      <c r="U472" s="4">
        <v>1360.16</v>
      </c>
      <c r="V472" s="4">
        <v>5680000000</v>
      </c>
    </row>
    <row r="473" spans="11:22" x14ac:dyDescent="0.2">
      <c r="K473" s="27">
        <v>36546</v>
      </c>
      <c r="L473" s="4">
        <v>35.0625</v>
      </c>
      <c r="M473" s="4">
        <v>41270000</v>
      </c>
      <c r="N473" s="4"/>
      <c r="O473" s="4"/>
      <c r="P473" s="4"/>
      <c r="Q473" s="4"/>
      <c r="R473" s="4"/>
      <c r="T473" s="27">
        <v>36546</v>
      </c>
      <c r="U473" s="4">
        <v>1441.36</v>
      </c>
      <c r="V473" s="4">
        <v>4480000000</v>
      </c>
    </row>
    <row r="474" spans="11:22" x14ac:dyDescent="0.2">
      <c r="K474" s="27">
        <v>36539</v>
      </c>
      <c r="L474" s="4">
        <v>37</v>
      </c>
      <c r="M474" s="4">
        <v>72440000</v>
      </c>
      <c r="N474" s="4"/>
      <c r="O474" s="4"/>
      <c r="P474" s="4"/>
      <c r="Q474" s="4"/>
      <c r="R474" s="4"/>
      <c r="T474" s="27">
        <v>36539</v>
      </c>
      <c r="U474" s="4">
        <v>1465.15</v>
      </c>
      <c r="V474" s="4">
        <v>5489999872</v>
      </c>
    </row>
    <row r="475" spans="11:22" x14ac:dyDescent="0.2">
      <c r="K475" s="27">
        <v>36532</v>
      </c>
      <c r="L475" s="4">
        <v>34.5</v>
      </c>
      <c r="M475" s="4">
        <v>65600000</v>
      </c>
      <c r="N475" s="4"/>
      <c r="O475" s="4"/>
      <c r="P475" s="4"/>
      <c r="Q475" s="4"/>
      <c r="R475" s="4"/>
      <c r="T475" s="27">
        <v>36532</v>
      </c>
      <c r="U475" s="4">
        <v>1441.47</v>
      </c>
      <c r="V475" s="4">
        <v>5809999872</v>
      </c>
    </row>
    <row r="476" spans="11:22" x14ac:dyDescent="0.2">
      <c r="K476" s="27">
        <v>36525</v>
      </c>
      <c r="L476" s="4">
        <v>32.4375</v>
      </c>
      <c r="M476" s="4">
        <v>34750000</v>
      </c>
      <c r="N476" s="4">
        <v>-297</v>
      </c>
      <c r="O476" s="4"/>
      <c r="P476" s="4"/>
      <c r="Q476" s="4"/>
      <c r="R476" s="4"/>
      <c r="T476" s="27">
        <v>36525</v>
      </c>
      <c r="U476" s="4">
        <v>1469.25</v>
      </c>
      <c r="V476" s="4">
        <v>2489999872</v>
      </c>
    </row>
    <row r="477" spans="11:22" x14ac:dyDescent="0.2">
      <c r="K477" s="27">
        <v>36518</v>
      </c>
      <c r="L477" s="4">
        <v>34.125</v>
      </c>
      <c r="M477" s="4">
        <v>41720000</v>
      </c>
      <c r="N477" s="4"/>
      <c r="O477" s="4"/>
      <c r="P477" s="4"/>
      <c r="Q477" s="4"/>
      <c r="R477" s="4"/>
      <c r="T477" s="27">
        <v>36518</v>
      </c>
      <c r="U477" s="4">
        <v>1458.34</v>
      </c>
      <c r="V477" s="4">
        <v>3280000000</v>
      </c>
    </row>
    <row r="478" spans="11:22" x14ac:dyDescent="0.2">
      <c r="K478" s="27">
        <v>36511</v>
      </c>
      <c r="L478" s="4">
        <v>33.25</v>
      </c>
      <c r="M478" s="4">
        <v>83390000</v>
      </c>
      <c r="N478" s="4"/>
      <c r="O478" s="4"/>
      <c r="P478" s="4"/>
      <c r="Q478" s="4"/>
      <c r="R478" s="4"/>
      <c r="T478" s="27">
        <v>36511</v>
      </c>
      <c r="U478" s="4">
        <v>1421.03</v>
      </c>
      <c r="V478" s="4">
        <v>5400000000</v>
      </c>
    </row>
    <row r="479" spans="11:22" x14ac:dyDescent="0.2">
      <c r="K479" s="27">
        <v>36504</v>
      </c>
      <c r="L479" s="4">
        <v>33.875</v>
      </c>
      <c r="M479" s="4">
        <v>62820000</v>
      </c>
      <c r="N479" s="4"/>
      <c r="O479" s="4"/>
      <c r="P479" s="4"/>
      <c r="Q479" s="4"/>
      <c r="R479" s="4"/>
      <c r="T479" s="27">
        <v>36504</v>
      </c>
      <c r="U479" s="4">
        <v>1417.04</v>
      </c>
      <c r="V479" s="4">
        <v>4720000000</v>
      </c>
    </row>
    <row r="480" spans="11:22" x14ac:dyDescent="0.2">
      <c r="K480" s="27">
        <v>36497</v>
      </c>
      <c r="L480" s="4">
        <v>35.75</v>
      </c>
      <c r="M480" s="4">
        <v>59240000</v>
      </c>
      <c r="N480" s="4"/>
      <c r="O480" s="4"/>
      <c r="P480" s="4"/>
      <c r="Q480" s="4"/>
      <c r="R480" s="4"/>
      <c r="T480" s="27">
        <v>36497</v>
      </c>
      <c r="U480" s="4">
        <v>1433.3</v>
      </c>
      <c r="V480" s="4">
        <v>4460000256</v>
      </c>
    </row>
    <row r="481" spans="11:22" x14ac:dyDescent="0.2">
      <c r="K481" s="27">
        <v>36490</v>
      </c>
      <c r="L481" s="4">
        <v>36</v>
      </c>
      <c r="M481" s="4">
        <v>46740000</v>
      </c>
      <c r="N481" s="4"/>
      <c r="O481" s="4"/>
      <c r="P481" s="4"/>
      <c r="Q481" s="4"/>
      <c r="R481" s="4"/>
      <c r="T481" s="27">
        <v>36490</v>
      </c>
      <c r="U481" s="4">
        <v>1416.62</v>
      </c>
      <c r="V481" s="4">
        <v>2689999872</v>
      </c>
    </row>
    <row r="482" spans="11:22" x14ac:dyDescent="0.2">
      <c r="K482" s="27">
        <v>36483</v>
      </c>
      <c r="L482" s="4">
        <v>33.75</v>
      </c>
      <c r="M482" s="4">
        <v>81590000</v>
      </c>
      <c r="N482" s="4"/>
      <c r="O482" s="4"/>
      <c r="P482" s="4"/>
      <c r="Q482" s="4"/>
      <c r="R482" s="4"/>
      <c r="T482" s="27">
        <v>36483</v>
      </c>
      <c r="U482" s="4">
        <v>1422</v>
      </c>
      <c r="V482" s="4">
        <v>4289999872</v>
      </c>
    </row>
    <row r="483" spans="11:22" x14ac:dyDescent="0.2">
      <c r="K483" s="27">
        <v>36476</v>
      </c>
      <c r="L483" s="4">
        <v>35.125</v>
      </c>
      <c r="M483" s="4">
        <v>77330000</v>
      </c>
      <c r="N483" s="4"/>
      <c r="O483" s="4"/>
      <c r="P483" s="4"/>
      <c r="Q483" s="4"/>
      <c r="R483" s="4"/>
      <c r="T483" s="27">
        <v>36476</v>
      </c>
      <c r="U483" s="4">
        <v>1396.06</v>
      </c>
      <c r="V483" s="4">
        <v>4280000000</v>
      </c>
    </row>
    <row r="484" spans="11:22" x14ac:dyDescent="0.2">
      <c r="K484" s="27">
        <v>36469</v>
      </c>
      <c r="L484" s="4">
        <v>34.75</v>
      </c>
      <c r="M484" s="4">
        <v>79230000</v>
      </c>
      <c r="N484" s="4"/>
      <c r="O484" s="4"/>
      <c r="P484" s="4"/>
      <c r="Q484" s="4"/>
      <c r="R484" s="4"/>
      <c r="T484" s="27">
        <v>36469</v>
      </c>
      <c r="U484" s="4">
        <v>1370.23</v>
      </c>
      <c r="V484" s="4">
        <v>4289999872</v>
      </c>
    </row>
    <row r="485" spans="11:22" x14ac:dyDescent="0.2">
      <c r="K485" s="27">
        <v>36462</v>
      </c>
      <c r="L485" s="4">
        <v>39.6875</v>
      </c>
      <c r="M485" s="4">
        <v>52730000</v>
      </c>
      <c r="N485" s="4"/>
      <c r="O485" s="4"/>
      <c r="P485" s="4"/>
      <c r="Q485" s="4"/>
      <c r="R485" s="4"/>
      <c r="T485" s="27">
        <v>36462</v>
      </c>
      <c r="U485" s="4">
        <v>1362.93</v>
      </c>
      <c r="V485" s="4">
        <v>4499999744</v>
      </c>
    </row>
    <row r="486" spans="11:22" x14ac:dyDescent="0.2">
      <c r="K486" s="27">
        <v>36455</v>
      </c>
      <c r="L486" s="4">
        <v>41.625</v>
      </c>
      <c r="M486" s="4">
        <v>63010000</v>
      </c>
      <c r="N486" s="4"/>
      <c r="O486" s="4"/>
      <c r="P486" s="4"/>
      <c r="Q486" s="4"/>
      <c r="R486" s="4"/>
      <c r="T486" s="27">
        <v>36455</v>
      </c>
      <c r="U486" s="4">
        <v>1301.6500000000001</v>
      </c>
      <c r="V486" s="4">
        <v>4550000128</v>
      </c>
    </row>
    <row r="487" spans="11:22" x14ac:dyDescent="0.2">
      <c r="K487" s="27">
        <v>36448</v>
      </c>
      <c r="L487" s="4">
        <v>36.875</v>
      </c>
      <c r="M487" s="4">
        <v>31510000</v>
      </c>
      <c r="N487" s="4"/>
      <c r="O487" s="4"/>
      <c r="P487" s="4"/>
      <c r="Q487" s="4"/>
      <c r="R487" s="4"/>
      <c r="T487" s="27">
        <v>36448</v>
      </c>
      <c r="U487" s="4">
        <v>1247.4100000000001</v>
      </c>
      <c r="V487" s="4">
        <v>3900000000</v>
      </c>
    </row>
    <row r="488" spans="11:22" x14ac:dyDescent="0.2">
      <c r="K488" s="27">
        <v>36441</v>
      </c>
      <c r="L488" s="4">
        <v>39.5</v>
      </c>
      <c r="M488" s="4">
        <v>42510000</v>
      </c>
      <c r="N488" s="4"/>
      <c r="O488" s="4"/>
      <c r="P488" s="4"/>
      <c r="Q488" s="4"/>
      <c r="R488" s="4"/>
      <c r="T488" s="27">
        <v>36441</v>
      </c>
      <c r="U488" s="4">
        <v>1336.02</v>
      </c>
      <c r="V488" s="4">
        <v>4169999872</v>
      </c>
    </row>
    <row r="489" spans="11:22" x14ac:dyDescent="0.2">
      <c r="K489" s="27">
        <v>36434</v>
      </c>
      <c r="L489" s="4">
        <v>37.3125</v>
      </c>
      <c r="M489" s="4">
        <v>35840000</v>
      </c>
      <c r="N489" s="4">
        <v>-456</v>
      </c>
      <c r="O489" s="4"/>
      <c r="P489" s="4"/>
      <c r="Q489" s="4"/>
      <c r="R489" s="4"/>
      <c r="T489" s="27">
        <v>36434</v>
      </c>
      <c r="U489" s="4">
        <v>1282.81</v>
      </c>
      <c r="V489" s="4">
        <v>4089999872</v>
      </c>
    </row>
    <row r="490" spans="11:22" x14ac:dyDescent="0.2">
      <c r="K490" s="27">
        <v>36427</v>
      </c>
      <c r="L490" s="4">
        <v>34.75</v>
      </c>
      <c r="M490" s="4">
        <v>31880000</v>
      </c>
      <c r="N490" s="4"/>
      <c r="O490" s="4"/>
      <c r="P490" s="4"/>
      <c r="Q490" s="4"/>
      <c r="R490" s="4"/>
      <c r="T490" s="27">
        <v>36427</v>
      </c>
      <c r="U490" s="4">
        <v>1277.3599999999999</v>
      </c>
      <c r="V490" s="4">
        <v>3910000128</v>
      </c>
    </row>
    <row r="491" spans="11:22" x14ac:dyDescent="0.2">
      <c r="K491" s="27">
        <v>36420</v>
      </c>
      <c r="L491" s="4">
        <v>36.4375</v>
      </c>
      <c r="M491" s="4">
        <v>30170000</v>
      </c>
      <c r="N491" s="4"/>
      <c r="O491" s="4"/>
      <c r="P491" s="4"/>
      <c r="Q491" s="4"/>
      <c r="R491" s="4"/>
      <c r="T491" s="27">
        <v>36420</v>
      </c>
      <c r="U491" s="4">
        <v>1335.42</v>
      </c>
      <c r="V491" s="4">
        <v>3750000128</v>
      </c>
    </row>
    <row r="492" spans="11:22" x14ac:dyDescent="0.2">
      <c r="K492" s="27">
        <v>36413</v>
      </c>
      <c r="L492" s="4">
        <v>37.25</v>
      </c>
      <c r="M492" s="4">
        <v>22020000</v>
      </c>
      <c r="N492" s="4"/>
      <c r="O492" s="4"/>
      <c r="P492" s="4"/>
      <c r="Q492" s="4"/>
      <c r="R492" s="4"/>
      <c r="T492" s="27">
        <v>36413</v>
      </c>
      <c r="U492" s="4">
        <v>1351.66</v>
      </c>
      <c r="V492" s="4">
        <v>2940000000</v>
      </c>
    </row>
    <row r="493" spans="11:22" x14ac:dyDescent="0.2">
      <c r="K493" s="27">
        <v>36406</v>
      </c>
      <c r="L493" s="4">
        <v>39.25</v>
      </c>
      <c r="M493" s="4">
        <v>33680000</v>
      </c>
      <c r="N493" s="4"/>
      <c r="O493" s="4"/>
      <c r="P493" s="4"/>
      <c r="Q493" s="4"/>
      <c r="R493" s="4"/>
      <c r="T493" s="27">
        <v>36406</v>
      </c>
      <c r="U493" s="4">
        <v>1357.24</v>
      </c>
      <c r="V493" s="4">
        <v>3430000128</v>
      </c>
    </row>
    <row r="494" spans="11:22" x14ac:dyDescent="0.2">
      <c r="K494" s="27">
        <v>36399</v>
      </c>
      <c r="L494" s="4">
        <v>38.625</v>
      </c>
      <c r="M494" s="4">
        <v>57900000</v>
      </c>
      <c r="N494" s="4"/>
      <c r="O494" s="4"/>
      <c r="P494" s="4"/>
      <c r="Q494" s="4"/>
      <c r="R494" s="4"/>
      <c r="T494" s="27">
        <v>36399</v>
      </c>
      <c r="U494" s="4">
        <v>1348.27</v>
      </c>
      <c r="V494" s="4">
        <v>3510000128</v>
      </c>
    </row>
    <row r="495" spans="11:22" x14ac:dyDescent="0.2">
      <c r="K495" s="27">
        <v>36392</v>
      </c>
      <c r="L495" s="4">
        <v>36.9375</v>
      </c>
      <c r="M495" s="4">
        <v>33420000</v>
      </c>
      <c r="N495" s="4"/>
      <c r="O495" s="4"/>
      <c r="P495" s="4"/>
      <c r="Q495" s="4"/>
      <c r="R495" s="4"/>
      <c r="T495" s="27">
        <v>36392</v>
      </c>
      <c r="U495" s="4">
        <v>1336.61</v>
      </c>
      <c r="V495" s="4">
        <v>3169999872</v>
      </c>
    </row>
    <row r="496" spans="11:22" x14ac:dyDescent="0.2">
      <c r="K496" s="27">
        <v>36385</v>
      </c>
      <c r="L496" s="4">
        <v>34.5</v>
      </c>
      <c r="M496" s="4">
        <v>39630000</v>
      </c>
      <c r="N496" s="4"/>
      <c r="O496" s="4"/>
      <c r="P496" s="4"/>
      <c r="Q496" s="4"/>
      <c r="R496" s="4"/>
      <c r="T496" s="27">
        <v>36385</v>
      </c>
      <c r="U496" s="4">
        <v>1327.68</v>
      </c>
      <c r="V496" s="4">
        <v>3550000128</v>
      </c>
    </row>
    <row r="497" spans="11:22" x14ac:dyDescent="0.2">
      <c r="K497" s="27">
        <v>36378</v>
      </c>
      <c r="L497" s="4">
        <v>32.75</v>
      </c>
      <c r="M497" s="4">
        <v>38460000</v>
      </c>
      <c r="N497" s="4"/>
      <c r="O497" s="4"/>
      <c r="P497" s="4"/>
      <c r="Q497" s="4"/>
      <c r="R497" s="4"/>
      <c r="T497" s="27">
        <v>36378</v>
      </c>
      <c r="U497" s="4">
        <v>1300.29</v>
      </c>
      <c r="V497" s="4">
        <v>3430000128</v>
      </c>
    </row>
    <row r="498" spans="11:22" x14ac:dyDescent="0.2">
      <c r="K498" s="27">
        <v>36371</v>
      </c>
      <c r="L498" s="4">
        <v>33.875</v>
      </c>
      <c r="M498" s="4">
        <v>40490000</v>
      </c>
      <c r="N498" s="4"/>
      <c r="O498" s="4"/>
      <c r="P498" s="4"/>
      <c r="Q498" s="4"/>
      <c r="R498" s="4"/>
      <c r="T498" s="27">
        <v>36371</v>
      </c>
      <c r="U498" s="4">
        <v>1328.72</v>
      </c>
      <c r="V498" s="4">
        <v>3169999872</v>
      </c>
    </row>
    <row r="499" spans="11:22" x14ac:dyDescent="0.2">
      <c r="K499" s="27">
        <v>36364</v>
      </c>
      <c r="L499" s="4">
        <v>34.75</v>
      </c>
      <c r="M499" s="4">
        <v>47110000</v>
      </c>
      <c r="N499" s="4"/>
      <c r="O499" s="4"/>
      <c r="P499" s="4"/>
      <c r="Q499" s="4"/>
      <c r="R499" s="4"/>
      <c r="T499" s="27">
        <v>36364</v>
      </c>
      <c r="U499" s="4">
        <v>1356.94</v>
      </c>
      <c r="V499" s="4">
        <v>3329999872</v>
      </c>
    </row>
    <row r="500" spans="11:22" x14ac:dyDescent="0.2">
      <c r="K500" s="27">
        <v>36357</v>
      </c>
      <c r="L500" s="4">
        <v>37.8125</v>
      </c>
      <c r="M500" s="4">
        <v>37040000</v>
      </c>
      <c r="N500" s="4"/>
      <c r="O500" s="4"/>
      <c r="P500" s="4"/>
      <c r="Q500" s="4"/>
      <c r="R500" s="4"/>
      <c r="T500" s="27">
        <v>36357</v>
      </c>
      <c r="U500" s="4">
        <v>1418.78</v>
      </c>
      <c r="V500" s="4">
        <v>3310000128</v>
      </c>
    </row>
    <row r="501" spans="11:22" x14ac:dyDescent="0.2">
      <c r="K501" s="27">
        <v>36350</v>
      </c>
      <c r="L501" s="4">
        <v>37</v>
      </c>
      <c r="M501" s="4">
        <v>48210000</v>
      </c>
      <c r="N501" s="4"/>
      <c r="O501" s="4"/>
      <c r="P501" s="4"/>
      <c r="Q501" s="4"/>
      <c r="R501" s="4"/>
      <c r="T501" s="27">
        <v>36350</v>
      </c>
      <c r="U501" s="4">
        <v>1403.28</v>
      </c>
      <c r="V501" s="4">
        <v>2780000000</v>
      </c>
    </row>
    <row r="502" spans="11:22" x14ac:dyDescent="0.2">
      <c r="K502" s="27">
        <v>36343</v>
      </c>
      <c r="L502" s="4">
        <v>38.625</v>
      </c>
      <c r="M502" s="4">
        <v>77060000</v>
      </c>
      <c r="N502" s="4">
        <v>-610</v>
      </c>
      <c r="O502" s="4"/>
      <c r="P502" s="4"/>
      <c r="Q502" s="4"/>
      <c r="R502" s="4"/>
      <c r="T502" s="27">
        <v>36343</v>
      </c>
      <c r="U502" s="4">
        <v>1391.22</v>
      </c>
      <c r="V502" s="4">
        <v>3540000000</v>
      </c>
    </row>
    <row r="503" spans="11:22" x14ac:dyDescent="0.2">
      <c r="K503" s="27">
        <v>36336</v>
      </c>
      <c r="L503" s="4">
        <v>33.8125</v>
      </c>
      <c r="M503" s="4">
        <v>62460000</v>
      </c>
      <c r="N503" s="4"/>
      <c r="O503" s="4"/>
      <c r="P503" s="4"/>
      <c r="Q503" s="4"/>
      <c r="R503" s="4"/>
      <c r="T503" s="27">
        <v>36336</v>
      </c>
      <c r="U503" s="4">
        <v>1315.31</v>
      </c>
      <c r="V503" s="4">
        <v>3100000000</v>
      </c>
    </row>
    <row r="504" spans="11:22" x14ac:dyDescent="0.2">
      <c r="K504" s="27">
        <v>36329</v>
      </c>
      <c r="L504" s="4">
        <v>33.1875</v>
      </c>
      <c r="M504" s="4">
        <v>83520000</v>
      </c>
      <c r="N504" s="4"/>
      <c r="O504" s="4"/>
      <c r="P504" s="4"/>
      <c r="Q504" s="4"/>
      <c r="R504" s="4"/>
      <c r="T504" s="27">
        <v>36329</v>
      </c>
      <c r="U504" s="4">
        <v>1342.84</v>
      </c>
      <c r="V504" s="4">
        <v>3580000000</v>
      </c>
    </row>
    <row r="505" spans="11:22" x14ac:dyDescent="0.2">
      <c r="K505" s="27">
        <v>36322</v>
      </c>
      <c r="L505" s="4">
        <v>32.5</v>
      </c>
      <c r="M505" s="4">
        <v>128980000</v>
      </c>
      <c r="N505" s="4"/>
      <c r="O505" s="4"/>
      <c r="P505" s="4"/>
      <c r="Q505" s="4"/>
      <c r="R505" s="4"/>
      <c r="T505" s="27">
        <v>36322</v>
      </c>
      <c r="U505" s="4">
        <v>1293.6400000000001</v>
      </c>
      <c r="V505" s="4">
        <v>3070000128</v>
      </c>
    </row>
    <row r="506" spans="11:22" x14ac:dyDescent="0.2">
      <c r="K506" s="27">
        <v>36315</v>
      </c>
      <c r="L506" s="4">
        <v>38.375</v>
      </c>
      <c r="M506" s="4">
        <v>53200000</v>
      </c>
      <c r="N506" s="4"/>
      <c r="O506" s="4"/>
      <c r="P506" s="4"/>
      <c r="Q506" s="4"/>
      <c r="R506" s="4"/>
      <c r="T506" s="27">
        <v>36315</v>
      </c>
      <c r="U506" s="4">
        <v>1327.75</v>
      </c>
      <c r="V506" s="4">
        <v>2569999872</v>
      </c>
    </row>
    <row r="507" spans="11:22" x14ac:dyDescent="0.2">
      <c r="K507" s="27">
        <v>36308</v>
      </c>
      <c r="L507" s="4">
        <v>35.666699999999999</v>
      </c>
      <c r="M507" s="4">
        <v>120230000</v>
      </c>
      <c r="N507" s="4"/>
      <c r="O507" s="4"/>
      <c r="P507" s="4"/>
      <c r="Q507" s="4"/>
      <c r="R507" s="4"/>
      <c r="T507" s="27">
        <v>36308</v>
      </c>
      <c r="U507" s="4">
        <v>1301.8399999999999</v>
      </c>
      <c r="V507" s="4">
        <v>3620000000</v>
      </c>
    </row>
    <row r="508" spans="11:22" x14ac:dyDescent="0.2">
      <c r="K508" s="27">
        <v>36301</v>
      </c>
      <c r="L508" s="4">
        <v>36.75</v>
      </c>
      <c r="M508" s="4">
        <v>49720000</v>
      </c>
      <c r="N508" s="4"/>
      <c r="O508" s="4"/>
      <c r="P508" s="4"/>
      <c r="Q508" s="4"/>
      <c r="R508" s="4"/>
      <c r="T508" s="27">
        <v>36301</v>
      </c>
      <c r="U508" s="4">
        <v>1330.29</v>
      </c>
      <c r="V508" s="4">
        <v>3400000000</v>
      </c>
    </row>
    <row r="509" spans="11:22" x14ac:dyDescent="0.2">
      <c r="K509" s="27">
        <v>36294</v>
      </c>
      <c r="L509" s="4">
        <v>37.729199999999999</v>
      </c>
      <c r="M509" s="4">
        <v>66570000</v>
      </c>
      <c r="N509" s="4"/>
      <c r="O509" s="4"/>
      <c r="P509" s="4"/>
      <c r="Q509" s="4"/>
      <c r="R509" s="4"/>
      <c r="T509" s="27">
        <v>36294</v>
      </c>
      <c r="U509" s="4">
        <v>1337.8</v>
      </c>
      <c r="V509" s="4">
        <v>3620000000</v>
      </c>
    </row>
    <row r="510" spans="11:22" x14ac:dyDescent="0.2">
      <c r="K510" s="27">
        <v>36287</v>
      </c>
      <c r="L510" s="4">
        <v>38.979199999999999</v>
      </c>
      <c r="M510" s="4">
        <v>62450000</v>
      </c>
      <c r="N510" s="4"/>
      <c r="O510" s="4"/>
      <c r="P510" s="4"/>
      <c r="Q510" s="4"/>
      <c r="R510" s="4"/>
      <c r="T510" s="27">
        <v>36287</v>
      </c>
      <c r="U510" s="4">
        <v>1345</v>
      </c>
      <c r="V510" s="4">
        <v>3870000128</v>
      </c>
    </row>
    <row r="511" spans="11:22" x14ac:dyDescent="0.2">
      <c r="K511" s="27">
        <v>36280</v>
      </c>
      <c r="L511" s="4">
        <v>38.354199999999999</v>
      </c>
      <c r="M511" s="4">
        <v>77480000</v>
      </c>
      <c r="N511" s="4"/>
      <c r="O511" s="4"/>
      <c r="P511" s="4"/>
      <c r="Q511" s="4"/>
      <c r="R511" s="4"/>
      <c r="T511" s="27">
        <v>36280</v>
      </c>
      <c r="U511" s="4">
        <v>1335.18</v>
      </c>
      <c r="V511" s="4">
        <v>3940000000</v>
      </c>
    </row>
    <row r="512" spans="11:22" x14ac:dyDescent="0.2">
      <c r="K512" s="27">
        <v>36273</v>
      </c>
      <c r="L512" s="4">
        <v>42.333300000000001</v>
      </c>
      <c r="M512" s="4">
        <v>88330000</v>
      </c>
      <c r="N512" s="4"/>
      <c r="O512" s="4"/>
      <c r="P512" s="4"/>
      <c r="Q512" s="4"/>
      <c r="R512" s="4"/>
      <c r="T512" s="27">
        <v>36273</v>
      </c>
      <c r="U512" s="4">
        <v>1356.85</v>
      </c>
      <c r="V512" s="4">
        <v>4489999872</v>
      </c>
    </row>
    <row r="513" spans="11:22" x14ac:dyDescent="0.2">
      <c r="K513" s="27">
        <v>36266</v>
      </c>
      <c r="L513" s="4">
        <v>42.354199999999999</v>
      </c>
      <c r="M513" s="4">
        <v>94830000</v>
      </c>
      <c r="N513" s="4"/>
      <c r="O513" s="4"/>
      <c r="P513" s="4"/>
      <c r="Q513" s="4"/>
      <c r="R513" s="4"/>
      <c r="T513" s="27">
        <v>36266</v>
      </c>
      <c r="U513" s="4">
        <v>1319</v>
      </c>
      <c r="V513" s="4">
        <v>4209999872</v>
      </c>
    </row>
    <row r="514" spans="11:22" x14ac:dyDescent="0.2">
      <c r="K514" s="27">
        <v>36259</v>
      </c>
      <c r="L514" s="4">
        <v>48.666699999999999</v>
      </c>
      <c r="M514" s="4">
        <v>34130000</v>
      </c>
      <c r="N514" s="4"/>
      <c r="O514" s="4"/>
      <c r="P514" s="4"/>
      <c r="Q514" s="4"/>
      <c r="R514" s="4"/>
      <c r="T514" s="27">
        <v>36259</v>
      </c>
      <c r="U514" s="4">
        <v>1348.35</v>
      </c>
      <c r="V514" s="4">
        <v>3710000128</v>
      </c>
    </row>
    <row r="515" spans="11:22" x14ac:dyDescent="0.2">
      <c r="K515" s="27">
        <v>36252</v>
      </c>
      <c r="L515" s="4">
        <v>46.520800000000001</v>
      </c>
      <c r="M515" s="4">
        <v>25190000</v>
      </c>
      <c r="N515" s="4">
        <v>-285</v>
      </c>
      <c r="O515" s="4"/>
      <c r="P515" s="4"/>
      <c r="Q515" s="4"/>
      <c r="R515" s="4"/>
      <c r="T515" s="27">
        <v>36252</v>
      </c>
      <c r="U515" s="4">
        <v>1293.72</v>
      </c>
      <c r="V515" s="4">
        <v>2700000000</v>
      </c>
    </row>
    <row r="516" spans="11:22" x14ac:dyDescent="0.2">
      <c r="K516" s="27">
        <v>36245</v>
      </c>
      <c r="L516" s="4">
        <v>45</v>
      </c>
      <c r="M516" s="4">
        <v>37850000</v>
      </c>
      <c r="N516" s="4"/>
      <c r="O516" s="4"/>
      <c r="P516" s="4"/>
      <c r="Q516" s="4"/>
      <c r="R516" s="4"/>
      <c r="T516" s="27">
        <v>36245</v>
      </c>
      <c r="U516" s="4">
        <v>1282.8</v>
      </c>
      <c r="V516" s="4">
        <v>3400000000</v>
      </c>
    </row>
    <row r="517" spans="11:22" x14ac:dyDescent="0.2">
      <c r="K517" s="27">
        <v>36238</v>
      </c>
      <c r="L517" s="4">
        <v>46.916699999999999</v>
      </c>
      <c r="M517" s="4">
        <v>33850000</v>
      </c>
      <c r="N517" s="4"/>
      <c r="O517" s="4"/>
      <c r="P517" s="4"/>
      <c r="Q517" s="4"/>
      <c r="R517" s="4"/>
      <c r="T517" s="27">
        <v>36238</v>
      </c>
      <c r="U517" s="4">
        <v>1299.29</v>
      </c>
      <c r="V517" s="4">
        <v>3469999872</v>
      </c>
    </row>
    <row r="518" spans="11:22" x14ac:dyDescent="0.2">
      <c r="K518" s="27">
        <v>36231</v>
      </c>
      <c r="L518" s="4">
        <v>46.791699999999999</v>
      </c>
      <c r="M518" s="4">
        <v>41000000</v>
      </c>
      <c r="N518" s="4"/>
      <c r="O518" s="4"/>
      <c r="P518" s="4"/>
      <c r="Q518" s="4"/>
      <c r="R518" s="4"/>
      <c r="T518" s="27">
        <v>36231</v>
      </c>
      <c r="U518" s="4">
        <v>1294.5899999999999</v>
      </c>
      <c r="V518" s="4">
        <v>3780000000</v>
      </c>
    </row>
    <row r="519" spans="11:22" x14ac:dyDescent="0.2">
      <c r="K519" s="27">
        <v>36224</v>
      </c>
      <c r="L519" s="4">
        <v>45.520800000000001</v>
      </c>
      <c r="M519" s="4">
        <v>35490000</v>
      </c>
      <c r="N519" s="4"/>
      <c r="O519" s="4"/>
      <c r="P519" s="4"/>
      <c r="Q519" s="4"/>
      <c r="R519" s="4"/>
      <c r="T519" s="27">
        <v>36224</v>
      </c>
      <c r="U519" s="4">
        <v>1275.47</v>
      </c>
      <c r="V519" s="4">
        <v>3630000128</v>
      </c>
    </row>
    <row r="520" spans="11:22" x14ac:dyDescent="0.2">
      <c r="K520" s="27">
        <v>36217</v>
      </c>
      <c r="L520" s="4">
        <v>43.979199999999999</v>
      </c>
      <c r="M520" s="4">
        <v>36660000</v>
      </c>
      <c r="N520" s="4"/>
      <c r="O520" s="4"/>
      <c r="P520" s="4"/>
      <c r="Q520" s="4"/>
      <c r="R520" s="4"/>
      <c r="T520" s="27">
        <v>36217</v>
      </c>
      <c r="U520" s="4">
        <v>1238.33</v>
      </c>
      <c r="V520" s="4">
        <v>3560000000</v>
      </c>
    </row>
    <row r="521" spans="11:22" x14ac:dyDescent="0.2">
      <c r="K521" s="27">
        <v>36210</v>
      </c>
      <c r="L521" s="4">
        <v>42.770800000000001</v>
      </c>
      <c r="M521" s="4">
        <v>29570000</v>
      </c>
      <c r="N521" s="4"/>
      <c r="O521" s="4"/>
      <c r="P521" s="4"/>
      <c r="Q521" s="4"/>
      <c r="R521" s="4"/>
      <c r="T521" s="27">
        <v>36210</v>
      </c>
      <c r="U521" s="4">
        <v>1239.22</v>
      </c>
      <c r="V521" s="4">
        <v>2720000000</v>
      </c>
    </row>
    <row r="522" spans="11:22" x14ac:dyDescent="0.2">
      <c r="K522" s="27">
        <v>36203</v>
      </c>
      <c r="L522" s="4">
        <v>43.375</v>
      </c>
      <c r="M522" s="4">
        <v>42890000</v>
      </c>
      <c r="N522" s="4"/>
      <c r="O522" s="4"/>
      <c r="P522" s="4"/>
      <c r="Q522" s="4"/>
      <c r="R522" s="4"/>
      <c r="T522" s="27">
        <v>36203</v>
      </c>
      <c r="U522" s="4">
        <v>1230.1300000000001</v>
      </c>
      <c r="V522" s="4">
        <v>3390000128</v>
      </c>
    </row>
    <row r="523" spans="11:22" x14ac:dyDescent="0.2">
      <c r="K523" s="27">
        <v>36196</v>
      </c>
      <c r="L523" s="4">
        <v>43.625</v>
      </c>
      <c r="M523" s="4">
        <v>49740000</v>
      </c>
      <c r="N523" s="4"/>
      <c r="O523" s="4"/>
      <c r="P523" s="4"/>
      <c r="Q523" s="4"/>
      <c r="R523" s="4"/>
      <c r="T523" s="27">
        <v>36196</v>
      </c>
      <c r="U523" s="4">
        <v>1239.4000000000001</v>
      </c>
      <c r="V523" s="4">
        <v>3809999872</v>
      </c>
    </row>
    <row r="524" spans="11:22" x14ac:dyDescent="0.2">
      <c r="K524" s="27">
        <v>36189</v>
      </c>
      <c r="L524" s="4">
        <v>42.875</v>
      </c>
      <c r="M524" s="4">
        <v>59760000</v>
      </c>
      <c r="N524" s="4"/>
      <c r="O524" s="4"/>
      <c r="P524" s="4"/>
      <c r="Q524" s="4"/>
      <c r="R524" s="4"/>
      <c r="T524" s="27">
        <v>36189</v>
      </c>
      <c r="U524" s="4">
        <v>1279.6400000000001</v>
      </c>
      <c r="V524" s="4">
        <v>3670000128</v>
      </c>
    </row>
    <row r="525" spans="11:22" x14ac:dyDescent="0.2">
      <c r="K525" s="27">
        <v>36182</v>
      </c>
      <c r="L525" s="4">
        <v>38.583300000000001</v>
      </c>
      <c r="M525" s="4">
        <v>41350000</v>
      </c>
      <c r="N525" s="4"/>
      <c r="O525" s="4"/>
      <c r="P525" s="4"/>
      <c r="Q525" s="4"/>
      <c r="R525" s="4"/>
      <c r="T525" s="27">
        <v>36182</v>
      </c>
      <c r="U525" s="4">
        <v>1225.19</v>
      </c>
      <c r="V525" s="4">
        <v>3150000128</v>
      </c>
    </row>
    <row r="526" spans="11:22" x14ac:dyDescent="0.2">
      <c r="K526" s="27">
        <v>36175</v>
      </c>
      <c r="L526" s="4">
        <v>38.645800000000001</v>
      </c>
      <c r="M526" s="4">
        <v>64920000</v>
      </c>
      <c r="N526" s="4"/>
      <c r="O526" s="4"/>
      <c r="P526" s="4"/>
      <c r="Q526" s="4"/>
      <c r="R526" s="4"/>
      <c r="T526" s="27">
        <v>36175</v>
      </c>
      <c r="U526" s="4">
        <v>1243.26</v>
      </c>
      <c r="V526" s="4">
        <v>3790000128</v>
      </c>
    </row>
    <row r="527" spans="11:22" x14ac:dyDescent="0.2">
      <c r="K527" s="27">
        <v>36168</v>
      </c>
      <c r="L527" s="4">
        <v>40.75</v>
      </c>
      <c r="M527" s="4">
        <v>53090000</v>
      </c>
      <c r="N527" s="4"/>
      <c r="O527" s="4"/>
      <c r="P527" s="4"/>
      <c r="Q527" s="4"/>
      <c r="R527" s="4"/>
      <c r="T527" s="27">
        <v>36168</v>
      </c>
      <c r="U527" s="4">
        <v>1275.0899999999999</v>
      </c>
      <c r="V527" s="4">
        <v>4040000000</v>
      </c>
    </row>
    <row r="528" spans="11:22" x14ac:dyDescent="0.2">
      <c r="K528" s="27">
        <v>36161</v>
      </c>
      <c r="L528" s="4">
        <v>41.666699999999999</v>
      </c>
      <c r="M528" s="4">
        <v>33590000</v>
      </c>
      <c r="N528" s="4">
        <v>-235</v>
      </c>
      <c r="O528" s="4"/>
      <c r="P528" s="4"/>
      <c r="Q528" s="4"/>
      <c r="R528" s="4"/>
      <c r="T528" s="27">
        <v>36161</v>
      </c>
      <c r="U528" s="4">
        <v>1229.23</v>
      </c>
      <c r="V528" s="4">
        <v>1820000000</v>
      </c>
    </row>
    <row r="529" spans="11:22" x14ac:dyDescent="0.2">
      <c r="K529" s="27">
        <v>36154</v>
      </c>
      <c r="L529" s="4">
        <v>39.791699999999999</v>
      </c>
      <c r="M529" s="4">
        <v>27380000</v>
      </c>
      <c r="N529" s="4"/>
      <c r="O529" s="4"/>
      <c r="P529" s="4"/>
      <c r="Q529" s="4"/>
      <c r="R529" s="4"/>
      <c r="T529" s="27">
        <v>36154</v>
      </c>
      <c r="U529" s="4">
        <v>1226.27</v>
      </c>
      <c r="V529" s="4">
        <v>1960000000</v>
      </c>
    </row>
    <row r="530" spans="11:22" x14ac:dyDescent="0.2">
      <c r="K530" s="27">
        <v>36147</v>
      </c>
      <c r="L530" s="4">
        <v>38.666699999999999</v>
      </c>
      <c r="M530" s="4">
        <v>40710000</v>
      </c>
      <c r="N530" s="4"/>
      <c r="O530" s="4"/>
      <c r="P530" s="4"/>
      <c r="Q530" s="4"/>
      <c r="R530" s="4"/>
      <c r="T530" s="27">
        <v>36147</v>
      </c>
      <c r="U530" s="4">
        <v>1188.03</v>
      </c>
      <c r="V530" s="4">
        <v>3150000128</v>
      </c>
    </row>
    <row r="531" spans="11:22" x14ac:dyDescent="0.2">
      <c r="K531" s="27">
        <v>36140</v>
      </c>
      <c r="L531" s="4">
        <v>38.291699999999999</v>
      </c>
      <c r="M531" s="4">
        <v>40000000</v>
      </c>
      <c r="N531" s="4"/>
      <c r="O531" s="4"/>
      <c r="P531" s="4"/>
      <c r="Q531" s="4"/>
      <c r="R531" s="4"/>
      <c r="T531" s="27">
        <v>36140</v>
      </c>
      <c r="U531" s="4">
        <v>1166.46</v>
      </c>
      <c r="V531" s="4">
        <v>2960000000</v>
      </c>
    </row>
    <row r="532" spans="11:22" x14ac:dyDescent="0.2">
      <c r="K532" s="27">
        <v>36133</v>
      </c>
      <c r="L532" s="4">
        <v>37.479199999999999</v>
      </c>
      <c r="M532" s="4">
        <v>40470000</v>
      </c>
      <c r="N532" s="4"/>
      <c r="O532" s="4"/>
      <c r="P532" s="4"/>
      <c r="Q532" s="4"/>
      <c r="R532" s="4"/>
      <c r="T532" s="27">
        <v>36133</v>
      </c>
      <c r="U532" s="4">
        <v>1176.74</v>
      </c>
      <c r="V532" s="4">
        <v>3310000128</v>
      </c>
    </row>
    <row r="533" spans="11:22" x14ac:dyDescent="0.2">
      <c r="K533" s="27">
        <v>36126</v>
      </c>
      <c r="L533" s="4">
        <v>38</v>
      </c>
      <c r="M533" s="4">
        <v>36010000</v>
      </c>
      <c r="N533" s="4"/>
      <c r="O533" s="4"/>
      <c r="P533" s="4"/>
      <c r="Q533" s="4"/>
      <c r="R533" s="4"/>
      <c r="T533" s="27">
        <v>36126</v>
      </c>
      <c r="U533" s="4">
        <v>1192.33</v>
      </c>
      <c r="V533" s="4">
        <v>2030000000</v>
      </c>
    </row>
    <row r="534" spans="11:22" x14ac:dyDescent="0.2">
      <c r="K534" s="27">
        <v>36119</v>
      </c>
      <c r="L534" s="4">
        <v>37.291699999999999</v>
      </c>
      <c r="M534" s="4">
        <v>42510000</v>
      </c>
      <c r="N534" s="4"/>
      <c r="O534" s="4"/>
      <c r="P534" s="4"/>
      <c r="Q534" s="4"/>
      <c r="R534" s="4"/>
      <c r="T534" s="27">
        <v>36119</v>
      </c>
      <c r="U534" s="4">
        <v>1163.55</v>
      </c>
      <c r="V534" s="4">
        <v>2940000000</v>
      </c>
    </row>
    <row r="535" spans="11:22" x14ac:dyDescent="0.2">
      <c r="K535" s="27">
        <v>36112</v>
      </c>
      <c r="L535" s="4">
        <v>35.208300000000001</v>
      </c>
      <c r="M535" s="4">
        <v>36990000</v>
      </c>
      <c r="N535" s="4"/>
      <c r="O535" s="4"/>
      <c r="P535" s="4"/>
      <c r="Q535" s="4"/>
      <c r="R535" s="4"/>
      <c r="T535" s="27">
        <v>36112</v>
      </c>
      <c r="U535" s="4">
        <v>1125.72</v>
      </c>
      <c r="V535" s="4">
        <v>2889999872</v>
      </c>
    </row>
    <row r="536" spans="11:22" x14ac:dyDescent="0.2">
      <c r="K536" s="27">
        <v>36105</v>
      </c>
      <c r="L536" s="4">
        <v>36.291699999999999</v>
      </c>
      <c r="M536" s="4">
        <v>48060000</v>
      </c>
      <c r="N536" s="4"/>
      <c r="O536" s="4"/>
      <c r="P536" s="4"/>
      <c r="Q536" s="4"/>
      <c r="R536" s="4"/>
      <c r="T536" s="27">
        <v>36105</v>
      </c>
      <c r="U536" s="4">
        <v>1141.01</v>
      </c>
      <c r="V536" s="4">
        <v>3209999872</v>
      </c>
    </row>
    <row r="537" spans="11:22" x14ac:dyDescent="0.2">
      <c r="K537" s="27">
        <v>36098</v>
      </c>
      <c r="L537" s="4">
        <v>35.770800000000001</v>
      </c>
      <c r="M537" s="4">
        <v>44910000</v>
      </c>
      <c r="N537" s="4"/>
      <c r="O537" s="4"/>
      <c r="P537" s="4"/>
      <c r="Q537" s="4"/>
      <c r="R537" s="4"/>
      <c r="T537" s="27">
        <v>36098</v>
      </c>
      <c r="U537" s="4">
        <v>1098.67</v>
      </c>
      <c r="V537" s="4">
        <v>3120000000</v>
      </c>
    </row>
    <row r="538" spans="11:22" x14ac:dyDescent="0.2">
      <c r="K538" s="27">
        <v>36091</v>
      </c>
      <c r="L538" s="4">
        <v>34.5</v>
      </c>
      <c r="M538" s="4">
        <v>55100000</v>
      </c>
      <c r="N538" s="4"/>
      <c r="O538" s="4"/>
      <c r="P538" s="4"/>
      <c r="Q538" s="4"/>
      <c r="R538" s="4"/>
      <c r="T538" s="27">
        <v>36091</v>
      </c>
      <c r="U538" s="4">
        <v>1070.67</v>
      </c>
      <c r="V538" s="4">
        <v>3489999872</v>
      </c>
    </row>
    <row r="539" spans="11:22" x14ac:dyDescent="0.2">
      <c r="K539" s="27">
        <v>36084</v>
      </c>
      <c r="L539" s="4">
        <v>32.8125</v>
      </c>
      <c r="M539" s="4">
        <v>78030000</v>
      </c>
      <c r="N539" s="4"/>
      <c r="O539" s="4"/>
      <c r="P539" s="4"/>
      <c r="Q539" s="4"/>
      <c r="R539" s="4"/>
      <c r="T539" s="27">
        <v>36084</v>
      </c>
      <c r="U539" s="4">
        <v>1056.42</v>
      </c>
      <c r="V539" s="4">
        <v>3929999872</v>
      </c>
    </row>
    <row r="540" spans="11:22" x14ac:dyDescent="0.2">
      <c r="K540" s="27">
        <v>36077</v>
      </c>
      <c r="L540" s="4">
        <v>31</v>
      </c>
      <c r="M540" s="4">
        <v>87950000</v>
      </c>
      <c r="N540" s="4"/>
      <c r="O540" s="4"/>
      <c r="P540" s="4"/>
      <c r="Q540" s="4"/>
      <c r="R540" s="4"/>
      <c r="T540" s="27">
        <v>36077</v>
      </c>
      <c r="U540" s="4">
        <v>984.39</v>
      </c>
      <c r="V540" s="4">
        <v>4540000256</v>
      </c>
    </row>
    <row r="541" spans="11:22" x14ac:dyDescent="0.2">
      <c r="K541" s="27">
        <v>36070</v>
      </c>
      <c r="L541" s="4">
        <v>33.041699999999999</v>
      </c>
      <c r="M541" s="4">
        <v>54430000</v>
      </c>
      <c r="N541" s="4">
        <v>-250</v>
      </c>
      <c r="O541" s="4"/>
      <c r="P541" s="4"/>
      <c r="Q541" s="4"/>
      <c r="R541" s="4"/>
      <c r="T541" s="27">
        <v>36070</v>
      </c>
      <c r="U541" s="4">
        <v>1002.6</v>
      </c>
      <c r="V541" s="4">
        <v>3710000128</v>
      </c>
    </row>
    <row r="542" spans="11:22" x14ac:dyDescent="0.2">
      <c r="K542" s="27">
        <v>36063</v>
      </c>
      <c r="L542" s="4">
        <v>35.5625</v>
      </c>
      <c r="M542" s="4">
        <v>56350000</v>
      </c>
      <c r="N542" s="4"/>
      <c r="O542" s="4"/>
      <c r="P542" s="4"/>
      <c r="Q542" s="4"/>
      <c r="R542" s="4"/>
      <c r="T542" s="27">
        <v>36063</v>
      </c>
      <c r="U542" s="4">
        <v>1044.75</v>
      </c>
      <c r="V542" s="4">
        <v>3230000128</v>
      </c>
    </row>
    <row r="543" spans="11:22" x14ac:dyDescent="0.2">
      <c r="K543" s="27">
        <v>36056</v>
      </c>
      <c r="L543" s="4">
        <v>32.375</v>
      </c>
      <c r="M543" s="4">
        <v>47280000</v>
      </c>
      <c r="N543" s="4"/>
      <c r="O543" s="4"/>
      <c r="P543" s="4"/>
      <c r="Q543" s="4"/>
      <c r="R543" s="4"/>
      <c r="T543" s="27">
        <v>36056</v>
      </c>
      <c r="U543" s="4">
        <v>1020.09</v>
      </c>
      <c r="V543" s="4">
        <v>3270000128</v>
      </c>
    </row>
    <row r="544" spans="11:22" x14ac:dyDescent="0.2">
      <c r="K544" s="27">
        <v>36049</v>
      </c>
      <c r="L544" s="4">
        <v>33.541699999999999</v>
      </c>
      <c r="M544" s="4">
        <v>62650000</v>
      </c>
      <c r="N544" s="4"/>
      <c r="O544" s="4"/>
      <c r="P544" s="4"/>
      <c r="Q544" s="4"/>
      <c r="R544" s="4"/>
      <c r="T544" s="27">
        <v>36049</v>
      </c>
      <c r="U544" s="4">
        <v>1009.06</v>
      </c>
      <c r="V544" s="4">
        <v>2910000128</v>
      </c>
    </row>
    <row r="545" spans="11:22" x14ac:dyDescent="0.2">
      <c r="K545" s="27">
        <v>36042</v>
      </c>
      <c r="L545" s="4">
        <v>31.791699999999999</v>
      </c>
      <c r="M545" s="4">
        <v>119040000</v>
      </c>
      <c r="N545" s="4"/>
      <c r="O545" s="4"/>
      <c r="P545" s="4"/>
      <c r="Q545" s="4"/>
      <c r="R545" s="4"/>
      <c r="T545" s="27">
        <v>36042</v>
      </c>
      <c r="U545" s="4">
        <v>973.89</v>
      </c>
      <c r="V545" s="4">
        <v>4230000128</v>
      </c>
    </row>
    <row r="546" spans="11:22" x14ac:dyDescent="0.2">
      <c r="K546" s="27">
        <v>36035</v>
      </c>
      <c r="L546" s="4">
        <v>33.875</v>
      </c>
      <c r="M546" s="4">
        <v>67340000</v>
      </c>
      <c r="N546" s="4"/>
      <c r="O546" s="4"/>
      <c r="P546" s="4"/>
      <c r="Q546" s="4"/>
      <c r="R546" s="4"/>
      <c r="T546" s="27">
        <v>36035</v>
      </c>
      <c r="U546" s="4">
        <v>1027.1400000000001</v>
      </c>
      <c r="V546" s="4">
        <v>3249999872</v>
      </c>
    </row>
    <row r="547" spans="11:22" x14ac:dyDescent="0.2">
      <c r="K547" s="27">
        <v>36028</v>
      </c>
      <c r="L547" s="4">
        <v>35.354199999999999</v>
      </c>
      <c r="M547" s="4">
        <v>58320000</v>
      </c>
      <c r="N547" s="4"/>
      <c r="O547" s="4"/>
      <c r="P547" s="4"/>
      <c r="Q547" s="4"/>
      <c r="R547" s="4"/>
      <c r="T547" s="27">
        <v>36028</v>
      </c>
      <c r="U547" s="4">
        <v>1081.24</v>
      </c>
      <c r="V547" s="4">
        <v>2950000128</v>
      </c>
    </row>
    <row r="548" spans="11:22" x14ac:dyDescent="0.2">
      <c r="K548" s="27">
        <v>36021</v>
      </c>
      <c r="L548" s="4">
        <v>33.729199999999999</v>
      </c>
      <c r="M548" s="4">
        <v>58370000</v>
      </c>
      <c r="N548" s="4"/>
      <c r="O548" s="4"/>
      <c r="P548" s="4"/>
      <c r="Q548" s="4"/>
      <c r="R548" s="4"/>
      <c r="T548" s="27">
        <v>36021</v>
      </c>
      <c r="U548" s="4">
        <v>1062.75</v>
      </c>
      <c r="V548" s="4">
        <v>2809999872</v>
      </c>
    </row>
    <row r="549" spans="11:22" x14ac:dyDescent="0.2">
      <c r="K549" s="27">
        <v>36014</v>
      </c>
      <c r="L549" s="4">
        <v>34.5</v>
      </c>
      <c r="M549" s="4">
        <v>60630000</v>
      </c>
      <c r="N549" s="4"/>
      <c r="O549" s="4"/>
      <c r="P549" s="4"/>
      <c r="Q549" s="4"/>
      <c r="R549" s="4"/>
      <c r="T549" s="27">
        <v>36014</v>
      </c>
      <c r="U549" s="4">
        <v>1089.45</v>
      </c>
      <c r="V549" s="4">
        <v>3350000128</v>
      </c>
    </row>
    <row r="550" spans="11:22" x14ac:dyDescent="0.2">
      <c r="K550" s="27">
        <v>36007</v>
      </c>
      <c r="L550" s="4">
        <v>36.604199999999999</v>
      </c>
      <c r="M550" s="4">
        <v>48720000</v>
      </c>
      <c r="N550" s="4"/>
      <c r="O550" s="4"/>
      <c r="P550" s="4"/>
      <c r="Q550" s="4"/>
      <c r="R550" s="4"/>
      <c r="T550" s="27">
        <v>36007</v>
      </c>
      <c r="U550" s="4">
        <v>1120.67</v>
      </c>
      <c r="V550" s="4">
        <v>2830000128</v>
      </c>
    </row>
    <row r="551" spans="11:22" x14ac:dyDescent="0.2">
      <c r="K551" s="27">
        <v>36000</v>
      </c>
      <c r="L551" s="4">
        <v>37.833300000000001</v>
      </c>
      <c r="M551" s="4">
        <v>60820000</v>
      </c>
      <c r="N551" s="4"/>
      <c r="O551" s="4"/>
      <c r="P551" s="4"/>
      <c r="Q551" s="4"/>
      <c r="R551" s="4"/>
      <c r="T551" s="27">
        <v>36000</v>
      </c>
      <c r="U551" s="4">
        <v>1140.8</v>
      </c>
      <c r="V551" s="4">
        <v>2980000000</v>
      </c>
    </row>
    <row r="552" spans="11:22" x14ac:dyDescent="0.2">
      <c r="K552" s="27">
        <v>35993</v>
      </c>
      <c r="L552" s="4">
        <v>38.583300000000001</v>
      </c>
      <c r="M552" s="4">
        <v>58760000</v>
      </c>
      <c r="N552" s="4"/>
      <c r="O552" s="4"/>
      <c r="P552" s="4"/>
      <c r="Q552" s="4"/>
      <c r="R552" s="4"/>
      <c r="T552" s="27">
        <v>35993</v>
      </c>
      <c r="U552" s="4">
        <v>1186.75</v>
      </c>
      <c r="V552" s="4">
        <v>2980000000</v>
      </c>
    </row>
    <row r="553" spans="11:22" x14ac:dyDescent="0.2">
      <c r="K553" s="27">
        <v>35986</v>
      </c>
      <c r="L553" s="4">
        <v>39.270800000000001</v>
      </c>
      <c r="M553" s="4">
        <v>75700000</v>
      </c>
      <c r="N553" s="4"/>
      <c r="O553" s="4"/>
      <c r="P553" s="4"/>
      <c r="Q553" s="4"/>
      <c r="R553" s="4"/>
      <c r="T553" s="27">
        <v>35986</v>
      </c>
      <c r="U553" s="4">
        <v>1164.33</v>
      </c>
      <c r="V553" s="4">
        <v>2449999872</v>
      </c>
    </row>
    <row r="554" spans="11:22" x14ac:dyDescent="0.2">
      <c r="K554" s="27">
        <v>35979</v>
      </c>
      <c r="L554" s="4">
        <v>35.833300000000001</v>
      </c>
      <c r="M554" s="4">
        <v>51250000</v>
      </c>
      <c r="N554" s="4"/>
      <c r="O554" s="4"/>
      <c r="P554" s="4"/>
      <c r="Q554" s="4"/>
      <c r="R554" s="4"/>
      <c r="T554" s="27">
        <v>35979</v>
      </c>
      <c r="U554" s="4">
        <v>1146.42</v>
      </c>
      <c r="V554" s="4">
        <v>2000000000</v>
      </c>
    </row>
    <row r="555" spans="11:22" x14ac:dyDescent="0.2">
      <c r="K555" s="27">
        <v>35972</v>
      </c>
      <c r="L555" s="4">
        <v>37.3125</v>
      </c>
      <c r="M555" s="4">
        <v>49200000</v>
      </c>
      <c r="N555" s="4">
        <v>-246</v>
      </c>
      <c r="O555" s="4"/>
      <c r="P555" s="4"/>
      <c r="Q555" s="4"/>
      <c r="R555" s="4"/>
      <c r="T555" s="27">
        <v>35972</v>
      </c>
      <c r="U555" s="4">
        <v>1133.2</v>
      </c>
      <c r="V555" s="4">
        <v>2630000128</v>
      </c>
    </row>
    <row r="556" spans="11:22" x14ac:dyDescent="0.2">
      <c r="K556" s="27">
        <v>35965</v>
      </c>
      <c r="L556" s="4">
        <v>37.166699999999999</v>
      </c>
      <c r="M556" s="4">
        <v>62010000</v>
      </c>
      <c r="N556" s="4"/>
      <c r="O556" s="4"/>
      <c r="P556" s="4"/>
      <c r="Q556" s="4"/>
      <c r="R556" s="4"/>
      <c r="T556" s="27">
        <v>35965</v>
      </c>
      <c r="U556" s="4">
        <v>1100.6500000000001</v>
      </c>
      <c r="V556" s="4">
        <v>2750000128</v>
      </c>
    </row>
    <row r="557" spans="11:22" x14ac:dyDescent="0.2">
      <c r="K557" s="27">
        <v>35958</v>
      </c>
      <c r="L557" s="4">
        <v>36.4375</v>
      </c>
      <c r="M557" s="4">
        <v>62300000</v>
      </c>
      <c r="N557" s="4"/>
      <c r="O557" s="4"/>
      <c r="P557" s="4"/>
      <c r="Q557" s="4"/>
      <c r="R557" s="4"/>
      <c r="T557" s="27">
        <v>35958</v>
      </c>
      <c r="U557" s="4">
        <v>1098.8399999999999</v>
      </c>
      <c r="V557" s="4">
        <v>2350000128</v>
      </c>
    </row>
    <row r="558" spans="11:22" x14ac:dyDescent="0.2">
      <c r="K558" s="27">
        <v>35951</v>
      </c>
      <c r="L558" s="4">
        <v>36.125</v>
      </c>
      <c r="M558" s="4">
        <v>53950000</v>
      </c>
      <c r="N558" s="4"/>
      <c r="O558" s="4"/>
      <c r="P558" s="4"/>
      <c r="Q558" s="4"/>
      <c r="R558" s="4"/>
      <c r="T558" s="27">
        <v>35951</v>
      </c>
      <c r="U558" s="4">
        <v>1113.8599999999999</v>
      </c>
      <c r="V558" s="4">
        <v>2530000128</v>
      </c>
    </row>
    <row r="559" spans="11:22" x14ac:dyDescent="0.2">
      <c r="K559" s="27">
        <v>35944</v>
      </c>
      <c r="L559" s="4">
        <v>34.9375</v>
      </c>
      <c r="M559" s="4">
        <v>62980000</v>
      </c>
      <c r="N559" s="4"/>
      <c r="O559" s="4"/>
      <c r="P559" s="4"/>
      <c r="Q559" s="4"/>
      <c r="R559" s="4"/>
      <c r="T559" s="27">
        <v>35944</v>
      </c>
      <c r="U559" s="4">
        <v>1090.82</v>
      </c>
      <c r="V559" s="4">
        <v>1880000000</v>
      </c>
    </row>
    <row r="560" spans="11:22" x14ac:dyDescent="0.2">
      <c r="K560" s="27">
        <v>35937</v>
      </c>
      <c r="L560" s="4">
        <v>35.145800000000001</v>
      </c>
      <c r="M560" s="4">
        <v>98480000</v>
      </c>
      <c r="N560" s="4"/>
      <c r="O560" s="4"/>
      <c r="P560" s="4"/>
      <c r="Q560" s="4"/>
      <c r="R560" s="4"/>
      <c r="T560" s="27">
        <v>35937</v>
      </c>
      <c r="U560" s="4">
        <v>1110.47</v>
      </c>
      <c r="V560" s="4">
        <v>2190000128</v>
      </c>
    </row>
    <row r="561" spans="11:22" x14ac:dyDescent="0.2">
      <c r="K561" s="27">
        <v>35930</v>
      </c>
      <c r="L561" s="4">
        <v>34.875</v>
      </c>
      <c r="M561" s="4">
        <v>72420000</v>
      </c>
      <c r="N561" s="4"/>
      <c r="O561" s="4"/>
      <c r="P561" s="4"/>
      <c r="Q561" s="4"/>
      <c r="R561" s="4"/>
      <c r="T561" s="27">
        <v>35930</v>
      </c>
      <c r="U561" s="4">
        <v>1108.73</v>
      </c>
      <c r="V561" s="4">
        <v>2469999872</v>
      </c>
    </row>
    <row r="562" spans="11:22" x14ac:dyDescent="0.2">
      <c r="K562" s="27">
        <v>35923</v>
      </c>
      <c r="L562" s="4">
        <v>37.041699999999999</v>
      </c>
      <c r="M562" s="4">
        <v>74420000</v>
      </c>
      <c r="N562" s="4"/>
      <c r="O562" s="4"/>
      <c r="P562" s="4"/>
      <c r="Q562" s="4"/>
      <c r="R562" s="4"/>
      <c r="T562" s="27">
        <v>35923</v>
      </c>
      <c r="U562" s="4">
        <v>1108.1400000000001</v>
      </c>
      <c r="V562" s="4">
        <v>2240000000</v>
      </c>
    </row>
    <row r="563" spans="11:22" x14ac:dyDescent="0.2">
      <c r="K563" s="27">
        <v>35916</v>
      </c>
      <c r="L563" s="4">
        <v>37.458300000000001</v>
      </c>
      <c r="M563" s="4">
        <v>112710000</v>
      </c>
      <c r="N563" s="4"/>
      <c r="O563" s="4"/>
      <c r="P563" s="4"/>
      <c r="Q563" s="4"/>
      <c r="R563" s="4"/>
      <c r="T563" s="27">
        <v>35916</v>
      </c>
      <c r="U563" s="4">
        <v>1121</v>
      </c>
      <c r="V563" s="4">
        <v>2510000128</v>
      </c>
    </row>
    <row r="564" spans="11:22" x14ac:dyDescent="0.2">
      <c r="K564" s="27">
        <v>35909</v>
      </c>
      <c r="L564" s="4">
        <v>39.416699999999999</v>
      </c>
      <c r="M564" s="4">
        <v>150330000</v>
      </c>
      <c r="N564" s="4"/>
      <c r="O564" s="4"/>
      <c r="P564" s="4"/>
      <c r="Q564" s="4"/>
      <c r="R564" s="4"/>
      <c r="T564" s="27">
        <v>35909</v>
      </c>
      <c r="U564" s="4">
        <v>1107.9000000000001</v>
      </c>
      <c r="V564" s="4">
        <v>2550000128</v>
      </c>
    </row>
    <row r="565" spans="11:22" x14ac:dyDescent="0.2">
      <c r="K565" s="27">
        <v>35902</v>
      </c>
      <c r="L565" s="4">
        <v>35.0625</v>
      </c>
      <c r="M565" s="4">
        <v>76070000</v>
      </c>
      <c r="N565" s="4"/>
      <c r="O565" s="4"/>
      <c r="P565" s="4"/>
      <c r="Q565" s="4"/>
      <c r="R565" s="4"/>
      <c r="T565" s="27">
        <v>35902</v>
      </c>
      <c r="U565" s="4">
        <v>1122.72</v>
      </c>
      <c r="V565" s="4">
        <v>2630000128</v>
      </c>
    </row>
    <row r="566" spans="11:22" x14ac:dyDescent="0.2">
      <c r="K566" s="27">
        <v>35895</v>
      </c>
      <c r="L566" s="4">
        <v>33.083300000000001</v>
      </c>
      <c r="M566" s="4">
        <v>52690000</v>
      </c>
      <c r="N566" s="4"/>
      <c r="O566" s="4"/>
      <c r="P566" s="4"/>
      <c r="Q566" s="4"/>
      <c r="R566" s="4"/>
      <c r="T566" s="27">
        <v>35895</v>
      </c>
      <c r="U566" s="4">
        <v>1110.67</v>
      </c>
      <c r="V566" s="4">
        <v>2000000000</v>
      </c>
    </row>
    <row r="567" spans="11:22" x14ac:dyDescent="0.2">
      <c r="K567" s="27">
        <v>35888</v>
      </c>
      <c r="L567" s="4">
        <v>33.958300000000001</v>
      </c>
      <c r="M567" s="4">
        <v>80960000</v>
      </c>
      <c r="N567" s="4"/>
      <c r="O567" s="4"/>
      <c r="P567" s="4"/>
      <c r="Q567" s="4"/>
      <c r="R567" s="4"/>
      <c r="T567" s="27">
        <v>35888</v>
      </c>
      <c r="U567" s="4">
        <v>1122.7</v>
      </c>
      <c r="V567" s="4">
        <v>2430000128</v>
      </c>
    </row>
    <row r="568" spans="11:22" x14ac:dyDescent="0.2">
      <c r="K568" s="27">
        <v>35881</v>
      </c>
      <c r="L568" s="4">
        <v>31.916699999999999</v>
      </c>
      <c r="M568" s="4">
        <v>91790000</v>
      </c>
      <c r="N568" s="4">
        <v>-245</v>
      </c>
      <c r="O568" s="4"/>
      <c r="P568" s="4"/>
      <c r="Q568" s="4"/>
      <c r="R568" s="4"/>
      <c r="T568" s="27">
        <v>35881</v>
      </c>
      <c r="U568" s="4">
        <v>1095.44</v>
      </c>
      <c r="V568" s="4">
        <v>2510000128</v>
      </c>
    </row>
    <row r="569" spans="11:22" x14ac:dyDescent="0.2">
      <c r="K569" s="27">
        <v>35874</v>
      </c>
      <c r="L569" s="4">
        <v>30.708300000000001</v>
      </c>
      <c r="M569" s="4">
        <v>67370000</v>
      </c>
      <c r="N569" s="4"/>
      <c r="O569" s="4"/>
      <c r="P569" s="4"/>
      <c r="Q569" s="4"/>
      <c r="R569" s="4"/>
      <c r="T569" s="27">
        <v>35874</v>
      </c>
      <c r="U569" s="4">
        <v>1099.1600000000001</v>
      </c>
      <c r="V569" s="4">
        <v>2489999872</v>
      </c>
    </row>
    <row r="570" spans="11:22" x14ac:dyDescent="0.2">
      <c r="K570" s="27">
        <v>35867</v>
      </c>
      <c r="L570" s="4">
        <v>28.625</v>
      </c>
      <c r="M570" s="4">
        <v>41770000</v>
      </c>
      <c r="N570" s="4"/>
      <c r="O570" s="4"/>
      <c r="P570" s="4"/>
      <c r="Q570" s="4"/>
      <c r="R570" s="4"/>
      <c r="T570" s="27">
        <v>35867</v>
      </c>
      <c r="U570" s="4">
        <v>1068.6099999999999</v>
      </c>
      <c r="V570" s="4">
        <v>2590000128</v>
      </c>
    </row>
    <row r="571" spans="11:22" x14ac:dyDescent="0.2">
      <c r="K571" s="27">
        <v>35860</v>
      </c>
      <c r="L571" s="4">
        <v>28.75</v>
      </c>
      <c r="M571" s="4">
        <v>47080000</v>
      </c>
      <c r="N571" s="4"/>
      <c r="O571" s="4"/>
      <c r="P571" s="4"/>
      <c r="Q571" s="4"/>
      <c r="R571" s="4"/>
      <c r="T571" s="27">
        <v>35860</v>
      </c>
      <c r="U571" s="4">
        <v>1055.69</v>
      </c>
      <c r="V571" s="4">
        <v>2720000000</v>
      </c>
    </row>
    <row r="572" spans="11:22" x14ac:dyDescent="0.2">
      <c r="K572" s="27">
        <v>35853</v>
      </c>
      <c r="L572" s="4">
        <v>29.5</v>
      </c>
      <c r="M572" s="4">
        <v>54330000</v>
      </c>
      <c r="N572" s="4"/>
      <c r="O572" s="4"/>
      <c r="P572" s="4"/>
      <c r="Q572" s="4"/>
      <c r="R572" s="4"/>
      <c r="T572" s="27">
        <v>35853</v>
      </c>
      <c r="U572" s="4">
        <v>1049.3399999999999</v>
      </c>
      <c r="V572" s="4">
        <v>2460000000</v>
      </c>
    </row>
    <row r="573" spans="11:22" x14ac:dyDescent="0.2">
      <c r="K573" s="27">
        <v>35846</v>
      </c>
      <c r="L573" s="4">
        <v>29.104199999999999</v>
      </c>
      <c r="M573" s="4">
        <v>34370000</v>
      </c>
      <c r="N573" s="4"/>
      <c r="O573" s="4"/>
      <c r="P573" s="4"/>
      <c r="Q573" s="4"/>
      <c r="R573" s="4"/>
      <c r="T573" s="27">
        <v>35846</v>
      </c>
      <c r="U573" s="4">
        <v>1034.21</v>
      </c>
      <c r="V573" s="4">
        <v>1920000000</v>
      </c>
    </row>
    <row r="574" spans="11:22" x14ac:dyDescent="0.2">
      <c r="K574" s="27">
        <v>35839</v>
      </c>
      <c r="L574" s="4">
        <v>27.875</v>
      </c>
      <c r="M574" s="4">
        <v>40540000</v>
      </c>
      <c r="N574" s="4"/>
      <c r="O574" s="4"/>
      <c r="P574" s="4"/>
      <c r="Q574" s="4"/>
      <c r="R574" s="4"/>
      <c r="T574" s="27">
        <v>35839</v>
      </c>
      <c r="U574" s="4">
        <v>1020.09</v>
      </c>
      <c r="V574" s="4">
        <v>2310000128</v>
      </c>
    </row>
    <row r="575" spans="11:22" x14ac:dyDescent="0.2">
      <c r="K575" s="27">
        <v>35832</v>
      </c>
      <c r="L575" s="4">
        <v>26.958300000000001</v>
      </c>
      <c r="M575" s="4">
        <v>44630000</v>
      </c>
      <c r="N575" s="4"/>
      <c r="O575" s="4"/>
      <c r="P575" s="4"/>
      <c r="Q575" s="4"/>
      <c r="R575" s="4"/>
      <c r="T575" s="27">
        <v>35832</v>
      </c>
      <c r="U575" s="4">
        <v>1012.46</v>
      </c>
      <c r="V575" s="4">
        <v>2760000000</v>
      </c>
    </row>
    <row r="576" spans="11:22" x14ac:dyDescent="0.2">
      <c r="K576" s="27">
        <v>35825</v>
      </c>
      <c r="L576" s="4">
        <v>27.25</v>
      </c>
      <c r="M576" s="4">
        <v>43940000</v>
      </c>
      <c r="N576" s="4"/>
      <c r="O576" s="4"/>
      <c r="P576" s="4"/>
      <c r="Q576" s="4"/>
      <c r="R576" s="4"/>
      <c r="T576" s="27">
        <v>35825</v>
      </c>
      <c r="U576" s="4">
        <v>980.28</v>
      </c>
      <c r="V576" s="4">
        <v>2689999872</v>
      </c>
    </row>
    <row r="577" spans="11:22" x14ac:dyDescent="0.2">
      <c r="K577" s="27">
        <v>35818</v>
      </c>
      <c r="L577" s="4">
        <v>26.020800000000001</v>
      </c>
      <c r="M577" s="4">
        <v>42520000</v>
      </c>
      <c r="N577" s="4"/>
      <c r="O577" s="4"/>
      <c r="P577" s="4"/>
      <c r="Q577" s="4"/>
      <c r="R577" s="4"/>
      <c r="T577" s="27">
        <v>35818</v>
      </c>
      <c r="U577" s="4">
        <v>957.59</v>
      </c>
      <c r="V577" s="4">
        <v>2060000000</v>
      </c>
    </row>
    <row r="578" spans="11:22" x14ac:dyDescent="0.2">
      <c r="K578" s="27">
        <v>35811</v>
      </c>
      <c r="L578" s="4">
        <v>25.666699999999999</v>
      </c>
      <c r="M578" s="4">
        <v>48260000</v>
      </c>
      <c r="N578" s="4"/>
      <c r="O578" s="4"/>
      <c r="P578" s="4"/>
      <c r="Q578" s="4"/>
      <c r="R578" s="4"/>
      <c r="T578" s="27">
        <v>35811</v>
      </c>
      <c r="U578" s="4">
        <v>961.51</v>
      </c>
      <c r="V578" s="4">
        <v>2710000128</v>
      </c>
    </row>
    <row r="579" spans="11:22" x14ac:dyDescent="0.2">
      <c r="K579" s="27">
        <v>35804</v>
      </c>
      <c r="L579" s="4">
        <v>24.645800000000001</v>
      </c>
      <c r="M579" s="4">
        <v>51120000</v>
      </c>
      <c r="N579" s="4"/>
      <c r="O579" s="4"/>
      <c r="P579" s="4"/>
      <c r="Q579" s="4"/>
      <c r="R579" s="4"/>
      <c r="T579" s="27">
        <v>35804</v>
      </c>
      <c r="U579" s="4">
        <v>927.69</v>
      </c>
      <c r="V579" s="4">
        <v>2700000000</v>
      </c>
    </row>
    <row r="580" spans="11:22" x14ac:dyDescent="0.2">
      <c r="K580" s="27">
        <v>35797</v>
      </c>
      <c r="L580" s="4">
        <v>25.229199999999999</v>
      </c>
      <c r="M580" s="4">
        <v>19180000</v>
      </c>
      <c r="N580" s="4"/>
      <c r="O580" s="4"/>
      <c r="P580" s="4"/>
      <c r="Q580" s="4"/>
      <c r="R580" s="4"/>
      <c r="T580" s="27">
        <v>35797</v>
      </c>
      <c r="U580" s="4">
        <v>975.04</v>
      </c>
      <c r="V580" s="4">
        <v>1360000000</v>
      </c>
    </row>
    <row r="581" spans="11:22" x14ac:dyDescent="0.2">
      <c r="T581" s="27">
        <v>35790</v>
      </c>
      <c r="U581" s="4">
        <v>936.46</v>
      </c>
      <c r="V581" s="4">
        <v>1130000000</v>
      </c>
    </row>
    <row r="582" spans="11:22" x14ac:dyDescent="0.2">
      <c r="T582" s="27">
        <v>35783</v>
      </c>
      <c r="U582" s="4">
        <v>946.78</v>
      </c>
      <c r="V582" s="4">
        <v>2740000000</v>
      </c>
    </row>
    <row r="583" spans="11:22" x14ac:dyDescent="0.2">
      <c r="T583" s="27">
        <v>35776</v>
      </c>
      <c r="U583" s="4">
        <v>953.39</v>
      </c>
      <c r="V583" s="4">
        <v>2609999872</v>
      </c>
    </row>
    <row r="584" spans="11:22" x14ac:dyDescent="0.2">
      <c r="T584" s="27">
        <v>35769</v>
      </c>
      <c r="U584" s="4">
        <v>983.79</v>
      </c>
      <c r="V584" s="4">
        <v>2390000128</v>
      </c>
    </row>
    <row r="585" spans="11:22" x14ac:dyDescent="0.2">
      <c r="T585" s="27">
        <v>35762</v>
      </c>
      <c r="U585" s="4">
        <v>955.4</v>
      </c>
      <c r="V585" s="4">
        <v>1390000000</v>
      </c>
    </row>
    <row r="586" spans="11:22" x14ac:dyDescent="0.2">
      <c r="T586" s="27">
        <v>35755</v>
      </c>
      <c r="U586" s="4">
        <v>963.09</v>
      </c>
      <c r="V586" s="4">
        <v>2289999872</v>
      </c>
    </row>
    <row r="587" spans="11:22" x14ac:dyDescent="0.2">
      <c r="T587" s="27">
        <v>35748</v>
      </c>
      <c r="U587" s="4">
        <v>928.35</v>
      </c>
      <c r="V587" s="4">
        <v>2449999872</v>
      </c>
    </row>
    <row r="588" spans="11:22" x14ac:dyDescent="0.2">
      <c r="T588" s="27">
        <v>35741</v>
      </c>
      <c r="U588" s="4">
        <v>927.51</v>
      </c>
      <c r="V588" s="4">
        <v>2270000128</v>
      </c>
    </row>
    <row r="589" spans="11:22" x14ac:dyDescent="0.2">
      <c r="T589" s="27">
        <v>35734</v>
      </c>
      <c r="U589" s="4">
        <v>914.62</v>
      </c>
      <c r="V589" s="4">
        <v>3440000000</v>
      </c>
    </row>
    <row r="590" spans="11:22" x14ac:dyDescent="0.2">
      <c r="T590" s="27">
        <v>35727</v>
      </c>
      <c r="U590" s="4">
        <v>941.64</v>
      </c>
      <c r="V590" s="4">
        <v>2620000000</v>
      </c>
    </row>
    <row r="591" spans="11:22" x14ac:dyDescent="0.2">
      <c r="T591" s="27">
        <v>35720</v>
      </c>
      <c r="U591" s="4">
        <v>944.16</v>
      </c>
      <c r="V591" s="4">
        <v>2329999872</v>
      </c>
    </row>
    <row r="592" spans="11:22" x14ac:dyDescent="0.2">
      <c r="T592" s="27">
        <v>35713</v>
      </c>
      <c r="U592" s="4">
        <v>966.98</v>
      </c>
      <c r="V592" s="4">
        <v>2020000000</v>
      </c>
    </row>
    <row r="593" spans="20:22" x14ac:dyDescent="0.2">
      <c r="T593" s="27">
        <v>35706</v>
      </c>
      <c r="U593" s="4">
        <v>965.03</v>
      </c>
      <c r="V593" s="4">
        <v>2329999872</v>
      </c>
    </row>
    <row r="594" spans="20:22" x14ac:dyDescent="0.2">
      <c r="T594" s="27">
        <v>35699</v>
      </c>
      <c r="U594" s="4">
        <v>945.22</v>
      </c>
      <c r="V594" s="4">
        <v>2130000000</v>
      </c>
    </row>
    <row r="595" spans="20:22" x14ac:dyDescent="0.2">
      <c r="T595" s="27">
        <v>35692</v>
      </c>
      <c r="U595" s="4">
        <v>950.51</v>
      </c>
      <c r="V595" s="4">
        <v>2360000000</v>
      </c>
    </row>
  </sheetData>
  <mergeCells count="3">
    <mergeCell ref="B4:I4"/>
    <mergeCell ref="K4:R4"/>
    <mergeCell ref="T4:V4"/>
  </mergeCells>
  <phoneticPr fontId="4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19E5-2778-486A-A84D-8A43110271AF}">
  <sheetPr>
    <tabColor theme="3" tint="0.59999389629810485"/>
  </sheetPr>
  <dimension ref="A7:AD30"/>
  <sheetViews>
    <sheetView zoomScale="90" zoomScaleNormal="90" workbookViewId="0">
      <selection activeCell="X32" sqref="X32"/>
    </sheetView>
  </sheetViews>
  <sheetFormatPr baseColWidth="10" defaultColWidth="9.1640625" defaultRowHeight="15" x14ac:dyDescent="0.2"/>
  <cols>
    <col min="1" max="2" width="9.1640625" style="1"/>
    <col min="3" max="3" width="15.1640625" style="1" customWidth="1"/>
    <col min="4" max="4" width="16.1640625" style="1" customWidth="1"/>
    <col min="5" max="18" width="9.1640625" style="1"/>
    <col min="19" max="19" width="9.33203125" style="1" bestFit="1" customWidth="1"/>
    <col min="20" max="20" width="10.5" style="1" bestFit="1" customWidth="1"/>
    <col min="21" max="21" width="12" style="1" customWidth="1"/>
    <col min="22" max="22" width="9.1640625" style="1"/>
    <col min="23" max="23" width="13.5" style="1" customWidth="1"/>
    <col min="24" max="24" width="13.83203125" style="1" customWidth="1"/>
    <col min="25" max="27" width="10.5" style="1" bestFit="1" customWidth="1"/>
    <col min="28" max="30" width="10" style="1" bestFit="1" customWidth="1"/>
    <col min="31" max="16384" width="9.1640625" style="1"/>
  </cols>
  <sheetData>
    <row r="7" spans="1:27" ht="16" thickBot="1" x14ac:dyDescent="0.25"/>
    <row r="8" spans="1:27" ht="16" thickBot="1" x14ac:dyDescent="0.25">
      <c r="B8" s="261" t="s">
        <v>619</v>
      </c>
      <c r="C8" s="293"/>
      <c r="D8" s="306"/>
      <c r="E8" s="306"/>
      <c r="F8" s="306"/>
      <c r="G8" s="306"/>
      <c r="H8" s="306"/>
      <c r="I8" s="306"/>
      <c r="J8" s="306"/>
      <c r="K8" s="306"/>
      <c r="L8" s="306"/>
      <c r="M8" s="333"/>
      <c r="N8" s="332"/>
      <c r="O8" s="261" t="s">
        <v>641</v>
      </c>
      <c r="P8" s="293"/>
      <c r="Q8" s="293"/>
      <c r="R8" s="306"/>
      <c r="S8" s="293"/>
      <c r="T8" s="293"/>
      <c r="U8" s="293"/>
      <c r="V8" s="293"/>
      <c r="W8" s="293"/>
      <c r="X8" s="293"/>
      <c r="Y8" s="293"/>
      <c r="Z8" s="293"/>
      <c r="AA8" s="262"/>
    </row>
    <row r="9" spans="1:27" ht="18" customHeight="1" x14ac:dyDescent="0.25">
      <c r="A9" s="230"/>
      <c r="B9" s="337" t="s">
        <v>620</v>
      </c>
      <c r="C9" s="338"/>
      <c r="D9" s="266"/>
      <c r="E9" s="267"/>
      <c r="F9" s="268" t="s">
        <v>621</v>
      </c>
      <c r="G9" s="267"/>
      <c r="H9" s="269"/>
      <c r="I9" s="265"/>
      <c r="J9" s="267"/>
      <c r="K9" s="268" t="s">
        <v>663</v>
      </c>
      <c r="L9" s="267"/>
      <c r="M9" s="269"/>
      <c r="N9" s="230"/>
      <c r="O9" s="291" t="s">
        <v>635</v>
      </c>
      <c r="P9" s="270"/>
      <c r="Q9" s="305"/>
      <c r="R9" s="297"/>
      <c r="S9" s="297"/>
      <c r="T9" s="307" t="s">
        <v>621</v>
      </c>
      <c r="U9" s="307"/>
      <c r="V9" s="298"/>
      <c r="W9" s="297"/>
      <c r="X9" s="297"/>
      <c r="Y9" s="352" t="s">
        <v>663</v>
      </c>
      <c r="Z9" s="297"/>
      <c r="AA9" s="298"/>
    </row>
    <row r="10" spans="1:27" ht="16" thickBot="1" x14ac:dyDescent="0.25">
      <c r="B10" s="339" t="s">
        <v>661</v>
      </c>
      <c r="C10" s="340"/>
      <c r="D10" s="341">
        <v>1997</v>
      </c>
      <c r="E10" s="342">
        <v>1998</v>
      </c>
      <c r="F10" s="342">
        <v>1999</v>
      </c>
      <c r="G10" s="342">
        <v>2000</v>
      </c>
      <c r="H10" s="343">
        <v>2001</v>
      </c>
      <c r="I10" s="344">
        <v>2002</v>
      </c>
      <c r="J10" s="345">
        <v>2003</v>
      </c>
      <c r="K10" s="345">
        <v>2004</v>
      </c>
      <c r="L10" s="345">
        <v>2005</v>
      </c>
      <c r="M10" s="346">
        <v>2006</v>
      </c>
      <c r="N10" s="230"/>
      <c r="O10" s="263" t="s">
        <v>661</v>
      </c>
      <c r="P10" s="264"/>
      <c r="Q10" s="264"/>
      <c r="R10" s="299">
        <v>1997</v>
      </c>
      <c r="S10" s="300">
        <v>1998</v>
      </c>
      <c r="T10" s="300">
        <v>1999</v>
      </c>
      <c r="U10" s="300">
        <v>2000</v>
      </c>
      <c r="V10" s="301">
        <v>2001</v>
      </c>
      <c r="W10" s="302">
        <v>2002</v>
      </c>
      <c r="X10" s="303">
        <v>2003</v>
      </c>
      <c r="Y10" s="303">
        <v>2004</v>
      </c>
      <c r="Z10" s="303">
        <v>2005</v>
      </c>
      <c r="AA10" s="304">
        <v>2006</v>
      </c>
    </row>
    <row r="11" spans="1:27" ht="16" thickBot="1" x14ac:dyDescent="0.25">
      <c r="B11" s="334"/>
      <c r="C11" s="335"/>
      <c r="D11" s="335"/>
      <c r="E11" s="335"/>
      <c r="F11" s="335"/>
      <c r="G11" s="335"/>
      <c r="H11" s="335"/>
      <c r="I11" s="335"/>
      <c r="J11" s="335"/>
      <c r="K11" s="335"/>
      <c r="L11" s="335"/>
      <c r="M11" s="336"/>
      <c r="N11" s="230"/>
      <c r="O11" s="196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</row>
    <row r="12" spans="1:27" ht="17" thickBot="1" x14ac:dyDescent="0.25">
      <c r="B12" s="347" t="s">
        <v>622</v>
      </c>
      <c r="C12" s="348"/>
      <c r="D12" s="348"/>
      <c r="E12" s="349"/>
      <c r="F12" s="350"/>
      <c r="G12" s="350"/>
      <c r="H12" s="350"/>
      <c r="I12" s="350"/>
      <c r="J12" s="350"/>
      <c r="K12" s="350"/>
      <c r="L12" s="350"/>
      <c r="M12" s="351"/>
      <c r="N12" s="230"/>
      <c r="O12" s="198"/>
      <c r="P12" s="308" t="s">
        <v>635</v>
      </c>
      <c r="Q12" s="309"/>
      <c r="R12" s="310"/>
      <c r="S12" s="310"/>
      <c r="T12" s="310"/>
      <c r="U12" s="310"/>
      <c r="V12" s="310"/>
      <c r="W12" s="310"/>
      <c r="X12" s="310"/>
      <c r="Y12" s="310"/>
      <c r="Z12" s="310"/>
      <c r="AA12" s="311"/>
    </row>
    <row r="13" spans="1:27" ht="16" thickBot="1" x14ac:dyDescent="0.25">
      <c r="B13" s="271"/>
      <c r="C13" s="272"/>
      <c r="D13" s="273">
        <v>1997</v>
      </c>
      <c r="E13" s="273">
        <v>1998</v>
      </c>
      <c r="F13" s="273">
        <v>1999</v>
      </c>
      <c r="G13" s="273">
        <v>2000</v>
      </c>
      <c r="H13" s="273">
        <v>2001</v>
      </c>
      <c r="I13" s="274">
        <v>2002</v>
      </c>
      <c r="J13" s="274">
        <v>2003</v>
      </c>
      <c r="K13" s="274">
        <v>2004</v>
      </c>
      <c r="L13" s="274">
        <v>2005</v>
      </c>
      <c r="M13" s="275">
        <v>2006</v>
      </c>
      <c r="N13" s="230"/>
      <c r="O13" s="196"/>
      <c r="P13" s="312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313"/>
    </row>
    <row r="14" spans="1:27" ht="16" thickBot="1" x14ac:dyDescent="0.25">
      <c r="B14" s="327" t="s">
        <v>623</v>
      </c>
      <c r="C14" s="328"/>
      <c r="D14" s="276"/>
      <c r="E14" s="277"/>
      <c r="F14" s="277"/>
      <c r="G14" s="277"/>
      <c r="H14" s="277"/>
      <c r="I14" s="277"/>
      <c r="J14" s="277"/>
      <c r="K14" s="277"/>
      <c r="L14" s="277"/>
      <c r="M14" s="278"/>
      <c r="N14" s="230"/>
      <c r="O14" s="196"/>
      <c r="P14" s="296" t="s">
        <v>636</v>
      </c>
      <c r="Q14" s="314"/>
      <c r="R14" s="315">
        <f>'3.1 Income Statements'!C9</f>
        <v>12504</v>
      </c>
      <c r="S14" s="315">
        <f>'3.1 Income Statements'!D9</f>
        <v>13544</v>
      </c>
      <c r="T14" s="315">
        <f>'3.1 Income Statements'!E9</f>
        <v>27376</v>
      </c>
      <c r="U14" s="315">
        <f>'3.1 Income Statements'!F9</f>
        <v>29355</v>
      </c>
      <c r="V14" s="315">
        <f>'3.1 Income Statements'!G9</f>
        <v>29024</v>
      </c>
      <c r="W14" s="315">
        <f>(1+I15)*V14</f>
        <v>31280.078783813144</v>
      </c>
      <c r="X14" s="315">
        <f>(1+J15)*W14</f>
        <v>33711.525934452773</v>
      </c>
      <c r="Y14" s="315">
        <f>(1+K15)*X14</f>
        <v>36331.973096480251</v>
      </c>
      <c r="Z14" s="315">
        <f>(1+L15)*Y14</f>
        <v>39156.111522508334</v>
      </c>
      <c r="AA14" s="315">
        <f>(1+M15)*Z14</f>
        <v>42199.774438114466</v>
      </c>
    </row>
    <row r="15" spans="1:27" ht="16" thickBot="1" x14ac:dyDescent="0.25">
      <c r="B15" s="329" t="s">
        <v>624</v>
      </c>
      <c r="C15" s="330"/>
      <c r="D15" s="286" t="s">
        <v>625</v>
      </c>
      <c r="E15" s="287">
        <f>('3.1 Income Statements'!D9/'3.1 Income Statements'!C9)-1</f>
        <v>8.3173384516954663E-2</v>
      </c>
      <c r="F15" s="287">
        <f>('3.1 Income Statements'!E9/'3.1 Income Statements'!D9)-1</f>
        <v>1.021264028352038</v>
      </c>
      <c r="G15" s="287">
        <f>('3.1 Income Statements'!F9/'3.1 Income Statements'!E9)-1</f>
        <v>7.2289596727060257E-2</v>
      </c>
      <c r="H15" s="287">
        <f>('3.1 Income Statements'!G9/'3.1 Income Statements'!F9)-1</f>
        <v>-1.1275762221086727E-2</v>
      </c>
      <c r="I15" s="288">
        <f>'1.2 DCF Analysis'!O10</f>
        <v>7.773149062200746E-2</v>
      </c>
      <c r="J15" s="288">
        <f>'1.2 DCF Analysis'!P10</f>
        <v>7.773149062200746E-2</v>
      </c>
      <c r="K15" s="288">
        <f>'1.2 DCF Analysis'!Q10</f>
        <v>7.773149062200746E-2</v>
      </c>
      <c r="L15" s="288">
        <f>'1.2 DCF Analysis'!R10</f>
        <v>7.773149062200746E-2</v>
      </c>
      <c r="M15" s="288">
        <f>'1.2 DCF Analysis'!S10</f>
        <v>7.773149062200746E-2</v>
      </c>
      <c r="N15" s="230"/>
      <c r="O15" s="196"/>
      <c r="P15" s="294" t="s">
        <v>637</v>
      </c>
      <c r="Q15" s="296"/>
      <c r="R15" s="315">
        <f>-('3.1 Income Statements'!C11)</f>
        <v>-1776</v>
      </c>
      <c r="S15" s="315">
        <f>-('3.1 Income Statements'!D11)</f>
        <v>-2094</v>
      </c>
      <c r="T15" s="315">
        <f>-('3.1 Income Statements'!E11)</f>
        <v>-5464</v>
      </c>
      <c r="U15" s="315">
        <f>-('3.1 Income Statements'!F11)</f>
        <v>-5007</v>
      </c>
      <c r="V15" s="315">
        <f>-('3.1 Income Statements'!G11)</f>
        <v>-3823</v>
      </c>
      <c r="W15" s="316">
        <f>-(I16*W14)</f>
        <v>-4100.8183285579025</v>
      </c>
      <c r="X15" s="316">
        <f>-(J16*X14)</f>
        <v>-4251.0234203344944</v>
      </c>
      <c r="Y15" s="316">
        <f>-(K16*Y14)</f>
        <v>-4399.8019419837583</v>
      </c>
      <c r="Z15" s="316">
        <f>-(L16*Z14)</f>
        <v>-4546.024547763217</v>
      </c>
      <c r="AA15" s="316">
        <f>-(M16*AA14)</f>
        <v>-4688.3949400745169</v>
      </c>
    </row>
    <row r="16" spans="1:27" ht="16" thickBot="1" x14ac:dyDescent="0.25">
      <c r="B16" s="329" t="s">
        <v>626</v>
      </c>
      <c r="C16" s="330"/>
      <c r="D16" s="287">
        <f>-R15/R14</f>
        <v>0.14203454894433781</v>
      </c>
      <c r="E16" s="287">
        <f>-S15/S14</f>
        <v>0.15460720614294152</v>
      </c>
      <c r="F16" s="287">
        <f>-T15/T14</f>
        <v>0.19959088252483928</v>
      </c>
      <c r="G16" s="287">
        <f>-U15/U14</f>
        <v>0.1705671946857435</v>
      </c>
      <c r="H16" s="287">
        <f>-V15/V14</f>
        <v>0.13171857772877618</v>
      </c>
      <c r="I16" s="289">
        <f>6*-0.005+0.1611</f>
        <v>0.13109999999999999</v>
      </c>
      <c r="J16" s="289">
        <f>7*-0.005+0.1611</f>
        <v>0.12609999999999999</v>
      </c>
      <c r="K16" s="289">
        <f>8*-0.005+0.1611</f>
        <v>0.12109999999999999</v>
      </c>
      <c r="L16" s="289">
        <f>9*-0.005+0.1611</f>
        <v>0.11609999999999999</v>
      </c>
      <c r="M16" s="289">
        <f>10*-0.005+0.1611</f>
        <v>0.11109999999999999</v>
      </c>
      <c r="N16" s="230"/>
      <c r="O16" s="196"/>
      <c r="P16" s="296" t="s">
        <v>642</v>
      </c>
      <c r="Q16" s="314"/>
      <c r="R16" s="315">
        <f>-('3.1 Income Statements'!C15-'3.1 Income Statements'!C17)</f>
        <v>-4401</v>
      </c>
      <c r="S16" s="315">
        <f>-('3.1 Income Statements'!D15-'3.1 Income Statements'!D17)</f>
        <v>-6577</v>
      </c>
      <c r="T16" s="315">
        <f>-('3.1 Income Statements'!E15-'3.1 Income Statements'!E17)</f>
        <v>-12070</v>
      </c>
      <c r="U16" s="315">
        <f>-('3.1 Income Statements'!F15-'3.1 Income Statements'!F17)</f>
        <v>-11223</v>
      </c>
      <c r="V16" s="315">
        <f>-('3.1 Income Statements'!G15-'3.1 Income Statements'!G17)</f>
        <v>-9646</v>
      </c>
      <c r="W16" s="316">
        <f>-('1.2 DCF Analysis'!O9+'2.3 Assumptions Pfizer'!W17)</f>
        <v>-11039.507094555234</v>
      </c>
      <c r="X16" s="316">
        <f>-('1.2 DCF Analysis'!P9+'2.3 Assumptions Pfizer'!X17)</f>
        <v>-11897.624436747239</v>
      </c>
      <c r="Y16" s="316">
        <f>-('1.2 DCF Analysis'!Q9+'2.3 Assumptions Pfizer'!Y17)</f>
        <v>-12822.444519076422</v>
      </c>
      <c r="Z16" s="316">
        <f>-('1.2 DCF Analysis'!R9+'2.3 Assumptions Pfizer'!Z17)</f>
        <v>-13819.152244962221</v>
      </c>
      <c r="AA16" s="316">
        <f>-('1.2 DCF Analysis'!S9+'2.3 Assumptions Pfizer'!AA17)</f>
        <v>-14893.335548095594</v>
      </c>
    </row>
    <row r="17" spans="2:30" ht="16" thickBot="1" x14ac:dyDescent="0.25">
      <c r="B17" s="329" t="s">
        <v>627</v>
      </c>
      <c r="C17" s="330"/>
      <c r="D17" s="287">
        <f t="shared" ref="D17:M17" si="0">-R16/R14</f>
        <v>0.35196737044145876</v>
      </c>
      <c r="E17" s="287">
        <f t="shared" si="0"/>
        <v>0.48560248080330776</v>
      </c>
      <c r="F17" s="287">
        <f t="shared" si="0"/>
        <v>0.4408971361776739</v>
      </c>
      <c r="G17" s="287">
        <f t="shared" si="0"/>
        <v>0.38231987736331119</v>
      </c>
      <c r="H17" s="287">
        <f t="shared" si="0"/>
        <v>0.33234564498346197</v>
      </c>
      <c r="I17" s="287">
        <f t="shared" si="0"/>
        <v>0.35292452972554444</v>
      </c>
      <c r="J17" s="287">
        <f t="shared" si="0"/>
        <v>0.35292452972554439</v>
      </c>
      <c r="K17" s="287">
        <f t="shared" si="0"/>
        <v>0.35292452972554433</v>
      </c>
      <c r="L17" s="287">
        <f t="shared" si="0"/>
        <v>0.35292452972554433</v>
      </c>
      <c r="M17" s="287">
        <f t="shared" si="0"/>
        <v>0.35292452972554433</v>
      </c>
      <c r="N17" s="230"/>
      <c r="O17" s="196"/>
      <c r="P17" s="294" t="s">
        <v>638</v>
      </c>
      <c r="Q17" s="296"/>
      <c r="R17" s="315">
        <f>-('3.1 Income Statements'!C17)</f>
        <v>-1805</v>
      </c>
      <c r="S17" s="315">
        <f>-('3.1 Income Statements'!D17)</f>
        <v>-2279</v>
      </c>
      <c r="T17" s="315">
        <f>-('3.1 Income Statements'!E17)</f>
        <v>-2776</v>
      </c>
      <c r="U17" s="315">
        <f>-('3.1 Income Statements'!F17)</f>
        <v>-4435</v>
      </c>
      <c r="V17" s="315">
        <f>-('3.1 Income Statements'!G17)</f>
        <v>-4847</v>
      </c>
      <c r="W17" s="316">
        <f>-(I18*W14)</f>
        <v>-4580.0553990295193</v>
      </c>
      <c r="X17" s="316">
        <f>-(J18*X14)</f>
        <v>-4936.0699323274575</v>
      </c>
      <c r="Y17" s="316">
        <f>-(K18*Y14)</f>
        <v>-5319.7580059817428</v>
      </c>
      <c r="Z17" s="316">
        <f>-(L18*Z14)</f>
        <v>-5733.2707255350615</v>
      </c>
      <c r="AA17" s="316">
        <f>-(M18*AA14)</f>
        <v>-6178.9264051704204</v>
      </c>
    </row>
    <row r="18" spans="2:30" ht="16" thickBot="1" x14ac:dyDescent="0.25">
      <c r="B18" s="329" t="s">
        <v>628</v>
      </c>
      <c r="C18" s="330"/>
      <c r="D18" s="286">
        <f>-(R17/R14)</f>
        <v>0.14435380678182982</v>
      </c>
      <c r="E18" s="286">
        <f>-(S17/S14)</f>
        <v>0.1682663910218547</v>
      </c>
      <c r="F18" s="286">
        <f>-(T17/T14)</f>
        <v>0.10140268848626534</v>
      </c>
      <c r="G18" s="286">
        <f>-(U17/U14)</f>
        <v>0.15108158746380515</v>
      </c>
      <c r="H18" s="286">
        <f>-(V17/V14)</f>
        <v>0.16699972436604191</v>
      </c>
      <c r="I18" s="289">
        <f>AVERAGE($D$18,$E$18,$F$18,$G$18,$H$18)</f>
        <v>0.14642083962395941</v>
      </c>
      <c r="J18" s="289">
        <f>AVERAGE($D$18,$E$18,$F$18,$G$18,$H$18)</f>
        <v>0.14642083962395941</v>
      </c>
      <c r="K18" s="289">
        <f>AVERAGE($D$18,$E$18,$F$18,$G$18,$H$18)</f>
        <v>0.14642083962395941</v>
      </c>
      <c r="L18" s="289">
        <f>AVERAGE($D$18,$E$18,$F$18,$G$18,$H$18)</f>
        <v>0.14642083962395941</v>
      </c>
      <c r="M18" s="289">
        <f>AVERAGE($D$18,$E$18,$F$18,$G$18,$H$18)</f>
        <v>0.14642083962395941</v>
      </c>
      <c r="N18" s="230"/>
      <c r="O18" s="196"/>
      <c r="P18" s="323" t="s">
        <v>25</v>
      </c>
      <c r="Q18" s="324"/>
      <c r="R18" s="317">
        <f>SUM(R14,R15,R16,R17)</f>
        <v>4522</v>
      </c>
      <c r="S18" s="317">
        <f t="shared" ref="S18:AA18" si="1">SUM(S14,S15,S16,S17)</f>
        <v>2594</v>
      </c>
      <c r="T18" s="317">
        <f t="shared" si="1"/>
        <v>7066</v>
      </c>
      <c r="U18" s="317">
        <f t="shared" si="1"/>
        <v>8690</v>
      </c>
      <c r="V18" s="317">
        <f t="shared" si="1"/>
        <v>10708</v>
      </c>
      <c r="W18" s="317">
        <f t="shared" si="1"/>
        <v>11559.697961670487</v>
      </c>
      <c r="X18" s="317">
        <f t="shared" si="1"/>
        <v>12626.808145043582</v>
      </c>
      <c r="Y18" s="317">
        <f t="shared" si="1"/>
        <v>13789.968629438326</v>
      </c>
      <c r="Z18" s="317">
        <f t="shared" si="1"/>
        <v>15057.664004247832</v>
      </c>
      <c r="AA18" s="317">
        <f t="shared" si="1"/>
        <v>16439.117544773933</v>
      </c>
    </row>
    <row r="19" spans="2:30" ht="16" thickBot="1" x14ac:dyDescent="0.25">
      <c r="B19" s="329" t="s">
        <v>629</v>
      </c>
      <c r="C19" s="330"/>
      <c r="D19" s="287">
        <v>0.19670000000000001</v>
      </c>
      <c r="E19" s="287">
        <v>0.19670000000000001</v>
      </c>
      <c r="F19" s="287">
        <v>0.31190000000000001</v>
      </c>
      <c r="G19" s="287">
        <v>0.22689999999999999</v>
      </c>
      <c r="H19" s="287">
        <v>0.18729999999999999</v>
      </c>
      <c r="I19" s="289">
        <v>0.4</v>
      </c>
      <c r="J19" s="289">
        <v>0.4</v>
      </c>
      <c r="K19" s="289">
        <v>0.4</v>
      </c>
      <c r="L19" s="289">
        <v>0.4</v>
      </c>
      <c r="M19" s="289">
        <v>0.4</v>
      </c>
      <c r="N19" s="230"/>
      <c r="O19" s="199"/>
      <c r="P19" s="325" t="s">
        <v>639</v>
      </c>
      <c r="Q19" s="326"/>
      <c r="R19" s="318">
        <f t="shared" ref="R19:AA19" si="2">R18/R14</f>
        <v>0.36164427383237363</v>
      </c>
      <c r="S19" s="318">
        <f t="shared" si="2"/>
        <v>0.19152392203189605</v>
      </c>
      <c r="T19" s="318">
        <f t="shared" si="2"/>
        <v>0.25810929281122152</v>
      </c>
      <c r="U19" s="319">
        <f t="shared" si="2"/>
        <v>0.29603134048714019</v>
      </c>
      <c r="V19" s="319">
        <f t="shared" si="2"/>
        <v>0.36893605292171994</v>
      </c>
      <c r="W19" s="318">
        <f t="shared" si="2"/>
        <v>0.36955463065049615</v>
      </c>
      <c r="X19" s="318">
        <f t="shared" si="2"/>
        <v>0.37455463065049621</v>
      </c>
      <c r="Y19" s="318">
        <f t="shared" si="2"/>
        <v>0.37955463065049622</v>
      </c>
      <c r="Z19" s="318">
        <f t="shared" si="2"/>
        <v>0.38455463065049622</v>
      </c>
      <c r="AA19" s="318">
        <f t="shared" si="2"/>
        <v>0.38955463065049623</v>
      </c>
    </row>
    <row r="20" spans="2:30" ht="16" thickBot="1" x14ac:dyDescent="0.25">
      <c r="B20" s="279"/>
      <c r="C20" s="277"/>
      <c r="D20" s="283"/>
      <c r="E20" s="283"/>
      <c r="F20" s="283"/>
      <c r="G20" s="283"/>
      <c r="H20" s="283"/>
      <c r="I20" s="284"/>
      <c r="J20" s="284"/>
      <c r="K20" s="284"/>
      <c r="L20" s="284"/>
      <c r="M20" s="285"/>
      <c r="N20" s="230"/>
      <c r="O20" s="196"/>
      <c r="P20" s="312"/>
      <c r="Q20" s="197"/>
      <c r="R20" s="320"/>
      <c r="S20" s="320"/>
      <c r="T20" s="320"/>
      <c r="U20" s="294"/>
      <c r="V20" s="294"/>
      <c r="W20" s="320"/>
      <c r="X20" s="320"/>
      <c r="Y20" s="320"/>
      <c r="Z20" s="320"/>
      <c r="AA20" s="320"/>
    </row>
    <row r="21" spans="2:30" ht="16" thickBot="1" x14ac:dyDescent="0.25">
      <c r="B21" s="327" t="s">
        <v>630</v>
      </c>
      <c r="C21" s="328"/>
      <c r="D21" s="277"/>
      <c r="E21" s="277"/>
      <c r="F21" s="277"/>
      <c r="G21" s="277"/>
      <c r="H21" s="277"/>
      <c r="I21" s="284"/>
      <c r="J21" s="284"/>
      <c r="K21" s="284"/>
      <c r="L21" s="284"/>
      <c r="M21" s="290"/>
      <c r="N21" s="230"/>
      <c r="O21" s="196"/>
      <c r="P21" s="296" t="s">
        <v>640</v>
      </c>
      <c r="Q21" s="295"/>
      <c r="R21" s="321">
        <f>-('3.3 CF Statements'!Z102)</f>
        <v>-428</v>
      </c>
      <c r="S21" s="321">
        <f>-('3.3 CF Statements'!Y102)</f>
        <v>-489</v>
      </c>
      <c r="T21" s="321">
        <f>-('3.3 CF Statements'!X102)</f>
        <v>-905</v>
      </c>
      <c r="U21" s="321">
        <f>-('3.3 CF Statements'!W102)</f>
        <v>-968</v>
      </c>
      <c r="V21" s="321">
        <f>-('3.3 CF Statements'!V102)</f>
        <v>-1068</v>
      </c>
      <c r="W21" s="320">
        <v>0</v>
      </c>
      <c r="X21" s="320">
        <v>0</v>
      </c>
      <c r="Y21" s="320">
        <v>0</v>
      </c>
      <c r="Z21" s="320">
        <v>0</v>
      </c>
      <c r="AA21" s="320">
        <v>0</v>
      </c>
    </row>
    <row r="22" spans="2:30" ht="16" thickBot="1" x14ac:dyDescent="0.25">
      <c r="B22" s="329" t="s">
        <v>631</v>
      </c>
      <c r="C22" s="328"/>
      <c r="D22" s="287">
        <v>0.30862390204950757</v>
      </c>
      <c r="E22" s="287">
        <v>0.33093823407489292</v>
      </c>
      <c r="F22" s="287">
        <v>0.23744292237442921</v>
      </c>
      <c r="G22" s="287">
        <v>0.14322978420678206</v>
      </c>
      <c r="H22" s="287">
        <v>0.13501987712323815</v>
      </c>
      <c r="I22" s="289">
        <f>AVERAGE($E$22:$H$22)</f>
        <v>0.21165770444483559</v>
      </c>
      <c r="J22" s="289">
        <f>AVERAGE($E$22:$H$22)</f>
        <v>0.21165770444483559</v>
      </c>
      <c r="K22" s="289">
        <f>AVERAGE($E$22:$H$22)</f>
        <v>0.21165770444483559</v>
      </c>
      <c r="L22" s="289">
        <f>AVERAGE($E$22:$H$22)</f>
        <v>0.21165770444483559</v>
      </c>
      <c r="M22" s="289">
        <f>AVERAGE($E$22:$H$22)</f>
        <v>0.21165770444483559</v>
      </c>
      <c r="N22" s="230"/>
      <c r="O22" s="196"/>
      <c r="P22" s="323" t="s">
        <v>246</v>
      </c>
      <c r="Q22" s="324"/>
      <c r="R22" s="317">
        <f>R18+R21</f>
        <v>4094</v>
      </c>
      <c r="S22" s="317">
        <f>S18+S21</f>
        <v>2105</v>
      </c>
      <c r="T22" s="317">
        <f>T18+T21</f>
        <v>6161</v>
      </c>
      <c r="U22" s="322">
        <f>U18+U21</f>
        <v>7722</v>
      </c>
      <c r="V22" s="322">
        <f>V18+V21</f>
        <v>9640</v>
      </c>
      <c r="W22" s="317">
        <f t="shared" ref="W22:Z22" si="3">W18+W21</f>
        <v>11559.697961670487</v>
      </c>
      <c r="X22" s="317">
        <f t="shared" si="3"/>
        <v>12626.808145043582</v>
      </c>
      <c r="Y22" s="317">
        <f t="shared" si="3"/>
        <v>13789.968629438326</v>
      </c>
      <c r="Z22" s="317">
        <f t="shared" si="3"/>
        <v>15057.664004247832</v>
      </c>
      <c r="AA22" s="317">
        <f>AA18+AA21</f>
        <v>16439.117544773933</v>
      </c>
    </row>
    <row r="23" spans="2:30" ht="16" thickBot="1" x14ac:dyDescent="0.25">
      <c r="B23" s="279"/>
      <c r="C23" s="276"/>
      <c r="D23" s="280"/>
      <c r="E23" s="280"/>
      <c r="F23" s="280"/>
      <c r="G23" s="280"/>
      <c r="H23" s="280"/>
      <c r="I23" s="281"/>
      <c r="J23" s="281"/>
      <c r="K23" s="281"/>
      <c r="L23" s="281"/>
      <c r="M23" s="282"/>
      <c r="N23" s="230"/>
      <c r="O23" s="196"/>
      <c r="P23" s="325" t="s">
        <v>639</v>
      </c>
      <c r="Q23" s="326"/>
      <c r="R23" s="318">
        <f t="shared" ref="R23:AA23" si="4">R22/R14</f>
        <v>0.32741522712731924</v>
      </c>
      <c r="S23" s="318">
        <f t="shared" si="4"/>
        <v>0.15541937389249852</v>
      </c>
      <c r="T23" s="318">
        <f t="shared" si="4"/>
        <v>0.22505113968439508</v>
      </c>
      <c r="U23" s="319">
        <f t="shared" si="4"/>
        <v>0.26305569749616758</v>
      </c>
      <c r="V23" s="319">
        <f t="shared" si="4"/>
        <v>0.33213891951488422</v>
      </c>
      <c r="W23" s="318">
        <f t="shared" si="4"/>
        <v>0.36955463065049615</v>
      </c>
      <c r="X23" s="318">
        <f t="shared" si="4"/>
        <v>0.37455463065049621</v>
      </c>
      <c r="Y23" s="318">
        <f t="shared" si="4"/>
        <v>0.37955463065049622</v>
      </c>
      <c r="Z23" s="318">
        <f t="shared" si="4"/>
        <v>0.38455463065049622</v>
      </c>
      <c r="AA23" s="318">
        <f t="shared" si="4"/>
        <v>0.38955463065049623</v>
      </c>
    </row>
    <row r="24" spans="2:30" ht="16" thickBot="1" x14ac:dyDescent="0.25">
      <c r="B24" s="327" t="s">
        <v>632</v>
      </c>
      <c r="C24" s="328"/>
      <c r="D24" s="280"/>
      <c r="E24" s="280"/>
      <c r="F24" s="280"/>
      <c r="G24" s="280"/>
      <c r="H24" s="280"/>
      <c r="I24" s="281"/>
      <c r="J24" s="281"/>
      <c r="K24" s="281"/>
      <c r="L24" s="281"/>
      <c r="M24" s="282"/>
      <c r="N24" s="230"/>
      <c r="P24" s="258" t="s">
        <v>583</v>
      </c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00"/>
      <c r="AC24" s="200"/>
      <c r="AD24" s="200"/>
    </row>
    <row r="25" spans="2:30" ht="16" thickBot="1" x14ac:dyDescent="0.25">
      <c r="B25" s="329" t="s">
        <v>633</v>
      </c>
      <c r="C25" s="330"/>
      <c r="D25" s="286">
        <v>6.4812350279478306E-2</v>
      </c>
      <c r="E25" s="286">
        <v>7.1576620146469538E-2</v>
      </c>
      <c r="F25" s="286">
        <v>6.9710806697108066E-2</v>
      </c>
      <c r="G25" s="286">
        <v>5.0035570310647377E-2</v>
      </c>
      <c r="H25" s="286">
        <v>4.416335381279364E-2</v>
      </c>
      <c r="I25" s="289">
        <f>AVERAGE($D$25:$H$25)</f>
        <v>6.0059740249299373E-2</v>
      </c>
      <c r="J25" s="289">
        <f>AVERAGE($D$25:$H$25)</f>
        <v>6.0059740249299373E-2</v>
      </c>
      <c r="K25" s="289">
        <f>AVERAGE($D$25:$H$25)</f>
        <v>6.0059740249299373E-2</v>
      </c>
      <c r="L25" s="289">
        <f>AVERAGE($D$25:$H$25)</f>
        <v>6.0059740249299373E-2</v>
      </c>
      <c r="M25" s="289">
        <f>AVERAGE($D$25:$H$25)</f>
        <v>6.0059740249299373E-2</v>
      </c>
      <c r="N25" s="230"/>
      <c r="R25" s="199"/>
      <c r="S25" s="199"/>
      <c r="T25" s="199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</row>
    <row r="26" spans="2:30" ht="16" thickBot="1" x14ac:dyDescent="0.25">
      <c r="B26" s="329" t="s">
        <v>634</v>
      </c>
      <c r="C26" s="330"/>
      <c r="D26" s="287">
        <v>8.5706680862390208E-2</v>
      </c>
      <c r="E26" s="287">
        <v>0.11869559209617245</v>
      </c>
      <c r="F26" s="287">
        <v>0.1021613394216134</v>
      </c>
      <c r="G26" s="287">
        <v>6.1180934313493002E-2</v>
      </c>
      <c r="H26" s="287">
        <v>7.3726057101554027E-2</v>
      </c>
      <c r="I26" s="289">
        <f>AVERAGE($E$26:$H$26)</f>
        <v>8.8940980733208219E-2</v>
      </c>
      <c r="J26" s="289">
        <f>AVERAGE($E$26:$H$26)</f>
        <v>8.8940980733208219E-2</v>
      </c>
      <c r="K26" s="289">
        <f>AVERAGE($E$26:$H$26)</f>
        <v>8.8940980733208219E-2</v>
      </c>
      <c r="L26" s="289">
        <f>AVERAGE($E$26:$H$26)</f>
        <v>8.8940980733208219E-2</v>
      </c>
      <c r="M26" s="289">
        <f>AVERAGE($E$26:$H$26)</f>
        <v>8.8940980733208219E-2</v>
      </c>
      <c r="N26" s="331"/>
      <c r="S26" s="201"/>
      <c r="U26" s="202"/>
      <c r="V26" s="202"/>
      <c r="W26" s="202"/>
      <c r="X26" s="202"/>
      <c r="Y26" s="202"/>
    </row>
    <row r="27" spans="2:30" x14ac:dyDescent="0.2">
      <c r="B27" s="258" t="s">
        <v>583</v>
      </c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</row>
    <row r="30" spans="2:30" x14ac:dyDescent="0.2">
      <c r="Q30" s="292">
        <f>W16/W14</f>
        <v>-0.35292452972554444</v>
      </c>
    </row>
  </sheetData>
  <phoneticPr fontId="4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"/>
  <sheetViews>
    <sheetView zoomScale="55" zoomScaleNormal="55" workbookViewId="0">
      <selection activeCell="B10" sqref="B10:B11"/>
    </sheetView>
  </sheetViews>
  <sheetFormatPr baseColWidth="10" defaultColWidth="9.1640625" defaultRowHeight="15" x14ac:dyDescent="0.2"/>
  <cols>
    <col min="1" max="16384" width="9.1640625" style="1"/>
  </cols>
  <sheetData/>
  <phoneticPr fontId="4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99"/>
  </sheetPr>
  <dimension ref="B4:W81"/>
  <sheetViews>
    <sheetView zoomScale="85" zoomScaleNormal="85" workbookViewId="0">
      <selection activeCell="G61" sqref="G61"/>
    </sheetView>
  </sheetViews>
  <sheetFormatPr baseColWidth="10" defaultColWidth="9.1640625" defaultRowHeight="15" x14ac:dyDescent="0.2"/>
  <cols>
    <col min="1" max="1" width="9.1640625" style="1"/>
    <col min="2" max="2" width="44.83203125" style="1" bestFit="1" customWidth="1"/>
    <col min="3" max="16384" width="9.1640625" style="1"/>
  </cols>
  <sheetData>
    <row r="4" spans="2:23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2:23" ht="20" x14ac:dyDescent="0.2">
      <c r="B5" s="22" t="s">
        <v>198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2:23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2:23" x14ac:dyDescent="0.2">
      <c r="B7" s="9" t="s">
        <v>6</v>
      </c>
      <c r="C7" s="10" t="s">
        <v>85</v>
      </c>
      <c r="D7" s="10" t="s">
        <v>37</v>
      </c>
      <c r="E7" s="10" t="s">
        <v>7</v>
      </c>
      <c r="F7" s="10" t="s">
        <v>8</v>
      </c>
      <c r="G7" s="10" t="s">
        <v>9</v>
      </c>
      <c r="H7" s="10" t="s">
        <v>10</v>
      </c>
      <c r="I7" s="10" t="s">
        <v>86</v>
      </c>
      <c r="J7" s="10" t="s">
        <v>87</v>
      </c>
      <c r="K7" s="10" t="s">
        <v>88</v>
      </c>
      <c r="L7" s="10" t="s">
        <v>89</v>
      </c>
      <c r="M7" s="10" t="s">
        <v>90</v>
      </c>
      <c r="N7" s="10" t="s">
        <v>91</v>
      </c>
      <c r="O7" s="10" t="s">
        <v>92</v>
      </c>
      <c r="P7" s="10" t="s">
        <v>93</v>
      </c>
      <c r="Q7" s="10" t="s">
        <v>94</v>
      </c>
      <c r="R7" s="10" t="s">
        <v>95</v>
      </c>
      <c r="S7" s="10" t="s">
        <v>96</v>
      </c>
      <c r="T7" s="10" t="s">
        <v>97</v>
      </c>
      <c r="U7" s="10" t="s">
        <v>98</v>
      </c>
      <c r="V7" s="10" t="s">
        <v>99</v>
      </c>
      <c r="W7" s="10" t="s">
        <v>100</v>
      </c>
    </row>
    <row r="8" spans="2:23" x14ac:dyDescent="0.2">
      <c r="B8" s="11" t="s">
        <v>11</v>
      </c>
      <c r="C8" s="12" t="s">
        <v>101</v>
      </c>
      <c r="D8" s="12" t="s">
        <v>38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102</v>
      </c>
      <c r="J8" s="12" t="s">
        <v>103</v>
      </c>
      <c r="K8" s="12" t="s">
        <v>104</v>
      </c>
      <c r="L8" s="12" t="s">
        <v>105</v>
      </c>
      <c r="M8" s="12" t="s">
        <v>106</v>
      </c>
      <c r="N8" s="12" t="s">
        <v>107</v>
      </c>
      <c r="O8" s="12" t="s">
        <v>108</v>
      </c>
      <c r="P8" s="12" t="s">
        <v>109</v>
      </c>
      <c r="Q8" s="12" t="s">
        <v>110</v>
      </c>
      <c r="R8" s="12" t="s">
        <v>111</v>
      </c>
      <c r="S8" s="12" t="s">
        <v>112</v>
      </c>
      <c r="T8" s="12" t="s">
        <v>113</v>
      </c>
      <c r="U8" s="12" t="s">
        <v>114</v>
      </c>
      <c r="V8" s="12" t="s">
        <v>115</v>
      </c>
      <c r="W8" s="12" t="s">
        <v>116</v>
      </c>
    </row>
    <row r="9" spans="2:23" x14ac:dyDescent="0.2">
      <c r="B9" s="13" t="s">
        <v>16</v>
      </c>
      <c r="C9" s="14">
        <v>12504</v>
      </c>
      <c r="D9" s="14">
        <v>13544</v>
      </c>
      <c r="E9" s="14">
        <v>27376</v>
      </c>
      <c r="F9" s="14">
        <v>29355</v>
      </c>
      <c r="G9" s="14">
        <v>29024</v>
      </c>
      <c r="H9" s="14">
        <v>32373</v>
      </c>
      <c r="I9" s="14">
        <v>45188</v>
      </c>
      <c r="J9" s="14">
        <v>52516</v>
      </c>
      <c r="K9" s="14">
        <v>47405</v>
      </c>
      <c r="L9" s="14">
        <v>48371</v>
      </c>
      <c r="M9" s="14">
        <v>48418</v>
      </c>
      <c r="N9" s="14">
        <v>48296</v>
      </c>
      <c r="O9" s="14">
        <v>49934</v>
      </c>
      <c r="P9" s="14">
        <v>67039</v>
      </c>
      <c r="Q9" s="14">
        <v>65259</v>
      </c>
      <c r="R9" s="14">
        <v>54657</v>
      </c>
      <c r="S9" s="14">
        <v>51452</v>
      </c>
      <c r="T9" s="14">
        <v>49605</v>
      </c>
      <c r="U9" s="14">
        <v>48851</v>
      </c>
      <c r="V9" s="14">
        <v>52824</v>
      </c>
      <c r="W9" s="14">
        <v>52546</v>
      </c>
    </row>
    <row r="10" spans="2:23" x14ac:dyDescent="0.2">
      <c r="B10" s="15" t="s">
        <v>199</v>
      </c>
      <c r="C10" s="16" t="s">
        <v>34</v>
      </c>
      <c r="D10" s="16" t="s">
        <v>34</v>
      </c>
      <c r="E10" s="16" t="s">
        <v>34</v>
      </c>
      <c r="F10" s="16" t="s">
        <v>34</v>
      </c>
      <c r="G10" s="16" t="s">
        <v>34</v>
      </c>
      <c r="H10" s="16" t="s">
        <v>34</v>
      </c>
      <c r="I10" s="16" t="s">
        <v>34</v>
      </c>
      <c r="J10" s="16" t="s">
        <v>34</v>
      </c>
      <c r="K10" s="16" t="s">
        <v>34</v>
      </c>
      <c r="L10" s="16" t="s">
        <v>34</v>
      </c>
      <c r="M10" s="16" t="s">
        <v>34</v>
      </c>
      <c r="N10" s="16" t="s">
        <v>34</v>
      </c>
      <c r="O10" s="16">
        <v>49934</v>
      </c>
      <c r="P10" s="16">
        <v>67039</v>
      </c>
      <c r="Q10" s="16">
        <v>65259</v>
      </c>
      <c r="R10" s="16">
        <v>54657</v>
      </c>
      <c r="S10" s="16">
        <v>51452</v>
      </c>
      <c r="T10" s="16">
        <v>49605</v>
      </c>
      <c r="U10" s="16">
        <v>48851</v>
      </c>
      <c r="V10" s="16">
        <v>52824</v>
      </c>
      <c r="W10" s="16">
        <v>52546</v>
      </c>
    </row>
    <row r="11" spans="2:23" x14ac:dyDescent="0.2">
      <c r="B11" s="15" t="s">
        <v>17</v>
      </c>
      <c r="C11" s="16">
        <v>1776</v>
      </c>
      <c r="D11" s="16">
        <v>2094</v>
      </c>
      <c r="E11" s="16">
        <v>5464</v>
      </c>
      <c r="F11" s="16">
        <v>5007</v>
      </c>
      <c r="G11" s="16">
        <v>3823</v>
      </c>
      <c r="H11" s="16">
        <v>4045</v>
      </c>
      <c r="I11" s="16">
        <v>6932</v>
      </c>
      <c r="J11" s="16">
        <v>7541</v>
      </c>
      <c r="K11" s="16">
        <v>7232</v>
      </c>
      <c r="L11" s="16">
        <v>7640</v>
      </c>
      <c r="M11" s="16">
        <v>7745</v>
      </c>
      <c r="N11" s="16">
        <v>7040</v>
      </c>
      <c r="O11" s="16">
        <v>8649</v>
      </c>
      <c r="P11" s="16">
        <v>15083</v>
      </c>
      <c r="Q11" s="16">
        <v>13264</v>
      </c>
      <c r="R11" s="16">
        <v>9493</v>
      </c>
      <c r="S11" s="16">
        <v>9250</v>
      </c>
      <c r="T11" s="16">
        <v>9139</v>
      </c>
      <c r="U11" s="16">
        <v>9433</v>
      </c>
      <c r="V11" s="16">
        <v>11630</v>
      </c>
      <c r="W11" s="16">
        <v>11154</v>
      </c>
    </row>
    <row r="12" spans="2:23" x14ac:dyDescent="0.2">
      <c r="B12" s="15" t="s">
        <v>200</v>
      </c>
      <c r="C12" s="16" t="s">
        <v>34</v>
      </c>
      <c r="D12" s="16" t="s">
        <v>34</v>
      </c>
      <c r="E12" s="16" t="s">
        <v>34</v>
      </c>
      <c r="F12" s="16" t="s">
        <v>34</v>
      </c>
      <c r="G12" s="16" t="s">
        <v>34</v>
      </c>
      <c r="H12" s="16" t="s">
        <v>34</v>
      </c>
      <c r="I12" s="16" t="s">
        <v>34</v>
      </c>
      <c r="J12" s="16" t="s">
        <v>34</v>
      </c>
      <c r="K12" s="16" t="s">
        <v>34</v>
      </c>
      <c r="L12" s="16" t="s">
        <v>34</v>
      </c>
      <c r="M12" s="16" t="s">
        <v>34</v>
      </c>
      <c r="N12" s="16" t="s">
        <v>34</v>
      </c>
      <c r="O12" s="16">
        <v>8649</v>
      </c>
      <c r="P12" s="16">
        <v>15083</v>
      </c>
      <c r="Q12" s="16">
        <v>13264</v>
      </c>
      <c r="R12" s="16">
        <v>9493</v>
      </c>
      <c r="S12" s="16">
        <v>9250</v>
      </c>
      <c r="T12" s="16">
        <v>9139</v>
      </c>
      <c r="U12" s="16">
        <v>9433</v>
      </c>
      <c r="V12" s="16">
        <v>11630</v>
      </c>
      <c r="W12" s="16">
        <v>11154</v>
      </c>
    </row>
    <row r="13" spans="2:23" x14ac:dyDescent="0.2">
      <c r="B13" s="13" t="s">
        <v>18</v>
      </c>
      <c r="C13" s="14">
        <v>10728</v>
      </c>
      <c r="D13" s="14">
        <v>11450</v>
      </c>
      <c r="E13" s="14">
        <v>21912</v>
      </c>
      <c r="F13" s="14">
        <v>24348</v>
      </c>
      <c r="G13" s="14">
        <v>25201</v>
      </c>
      <c r="H13" s="14">
        <v>28328</v>
      </c>
      <c r="I13" s="14">
        <v>38256</v>
      </c>
      <c r="J13" s="14">
        <v>44975</v>
      </c>
      <c r="K13" s="14">
        <v>40173</v>
      </c>
      <c r="L13" s="14">
        <v>40731</v>
      </c>
      <c r="M13" s="14">
        <v>40673</v>
      </c>
      <c r="N13" s="14">
        <v>41256</v>
      </c>
      <c r="O13" s="14">
        <v>41285</v>
      </c>
      <c r="P13" s="14">
        <v>51956</v>
      </c>
      <c r="Q13" s="14">
        <v>51995</v>
      </c>
      <c r="R13" s="14">
        <v>45164</v>
      </c>
      <c r="S13" s="14">
        <v>42202</v>
      </c>
      <c r="T13" s="14">
        <v>40466</v>
      </c>
      <c r="U13" s="14">
        <v>39418</v>
      </c>
      <c r="V13" s="14">
        <v>41194</v>
      </c>
      <c r="W13" s="14">
        <v>41392</v>
      </c>
    </row>
    <row r="14" spans="2:23" x14ac:dyDescent="0.2">
      <c r="B14" s="15" t="s">
        <v>201</v>
      </c>
      <c r="C14" s="16" t="s">
        <v>34</v>
      </c>
      <c r="D14" s="16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34</v>
      </c>
      <c r="J14" s="16" t="s">
        <v>34</v>
      </c>
      <c r="K14" s="16" t="s">
        <v>34</v>
      </c>
      <c r="L14" s="16" t="s">
        <v>34</v>
      </c>
      <c r="M14" s="16" t="s">
        <v>34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2:23" x14ac:dyDescent="0.2">
      <c r="B15" s="15" t="s">
        <v>19</v>
      </c>
      <c r="C15" s="16">
        <v>6206</v>
      </c>
      <c r="D15" s="16">
        <v>8856</v>
      </c>
      <c r="E15" s="16">
        <v>14846</v>
      </c>
      <c r="F15" s="16">
        <v>15658</v>
      </c>
      <c r="G15" s="16">
        <v>14493</v>
      </c>
      <c r="H15" s="16">
        <v>16012</v>
      </c>
      <c r="I15" s="16">
        <v>22166</v>
      </c>
      <c r="J15" s="16">
        <v>27887</v>
      </c>
      <c r="K15" s="16">
        <v>25968</v>
      </c>
      <c r="L15" s="16">
        <v>26449</v>
      </c>
      <c r="M15" s="16">
        <v>25893</v>
      </c>
      <c r="N15" s="16">
        <v>24200</v>
      </c>
      <c r="O15" s="16">
        <v>25270</v>
      </c>
      <c r="P15" s="16">
        <v>34045</v>
      </c>
      <c r="Q15" s="16">
        <v>32673</v>
      </c>
      <c r="R15" s="16">
        <v>27082</v>
      </c>
      <c r="S15" s="16">
        <v>25314</v>
      </c>
      <c r="T15" s="16">
        <v>25001</v>
      </c>
      <c r="U15" s="16">
        <v>24009</v>
      </c>
      <c r="V15" s="16">
        <v>22703</v>
      </c>
      <c r="W15" s="16">
        <v>25476</v>
      </c>
    </row>
    <row r="16" spans="2:23" x14ac:dyDescent="0.2">
      <c r="B16" s="15" t="s">
        <v>202</v>
      </c>
      <c r="C16" s="16" t="s">
        <v>34</v>
      </c>
      <c r="D16" s="16">
        <v>5568</v>
      </c>
      <c r="E16" s="16">
        <v>10810</v>
      </c>
      <c r="F16" s="16">
        <v>11223</v>
      </c>
      <c r="G16" s="16" t="s">
        <v>34</v>
      </c>
      <c r="H16" s="16" t="s">
        <v>34</v>
      </c>
      <c r="I16" s="16" t="s">
        <v>34</v>
      </c>
      <c r="J16" s="16">
        <v>16903</v>
      </c>
      <c r="K16" s="16">
        <v>15313</v>
      </c>
      <c r="L16" s="16">
        <v>15589</v>
      </c>
      <c r="M16" s="16">
        <v>15626</v>
      </c>
      <c r="N16" s="16">
        <v>14537</v>
      </c>
      <c r="O16" s="16">
        <v>14637</v>
      </c>
      <c r="P16" s="16">
        <v>19302</v>
      </c>
      <c r="Q16" s="16">
        <v>18733</v>
      </c>
      <c r="R16" s="16">
        <v>15018</v>
      </c>
      <c r="S16" s="16">
        <v>14164</v>
      </c>
      <c r="T16" s="16">
        <v>13720</v>
      </c>
      <c r="U16" s="16">
        <v>14325</v>
      </c>
      <c r="V16" s="16">
        <v>14745</v>
      </c>
      <c r="W16" s="16">
        <v>14768</v>
      </c>
    </row>
    <row r="17" spans="2:23" x14ac:dyDescent="0.2">
      <c r="B17" s="15" t="s">
        <v>203</v>
      </c>
      <c r="C17" s="16">
        <v>1805</v>
      </c>
      <c r="D17" s="16">
        <v>2279</v>
      </c>
      <c r="E17" s="16">
        <v>2776</v>
      </c>
      <c r="F17" s="16">
        <v>4435</v>
      </c>
      <c r="G17" s="16">
        <v>4847</v>
      </c>
      <c r="H17" s="16" t="s">
        <v>34</v>
      </c>
      <c r="I17" s="16" t="s">
        <v>34</v>
      </c>
      <c r="J17" s="16" t="s">
        <v>34</v>
      </c>
      <c r="K17" s="16" t="s">
        <v>34</v>
      </c>
      <c r="L17" s="16" t="s">
        <v>34</v>
      </c>
      <c r="M17" s="16" t="s">
        <v>34</v>
      </c>
      <c r="N17" s="16" t="s">
        <v>34</v>
      </c>
      <c r="O17" s="16">
        <v>7776</v>
      </c>
      <c r="P17" s="16">
        <v>9340</v>
      </c>
      <c r="Q17" s="16">
        <v>8396</v>
      </c>
      <c r="R17" s="16">
        <v>6955</v>
      </c>
      <c r="S17" s="16">
        <v>6551</v>
      </c>
      <c r="T17" s="16">
        <v>7150</v>
      </c>
      <c r="U17" s="16">
        <v>7646</v>
      </c>
      <c r="V17" s="16">
        <v>7841</v>
      </c>
      <c r="W17" s="16">
        <v>7596</v>
      </c>
    </row>
    <row r="18" spans="2:23" x14ac:dyDescent="0.2">
      <c r="B18" s="15" t="s">
        <v>204</v>
      </c>
      <c r="C18" s="16" t="s">
        <v>34</v>
      </c>
      <c r="D18" s="16" t="s">
        <v>34</v>
      </c>
      <c r="E18" s="16" t="s">
        <v>34</v>
      </c>
      <c r="F18" s="16" t="s">
        <v>34</v>
      </c>
      <c r="G18" s="16" t="s">
        <v>34</v>
      </c>
      <c r="H18" s="16" t="s">
        <v>34</v>
      </c>
      <c r="I18" s="16" t="s">
        <v>34</v>
      </c>
      <c r="J18" s="16" t="s">
        <v>34</v>
      </c>
      <c r="K18" s="16" t="s">
        <v>34</v>
      </c>
      <c r="L18" s="16" t="s">
        <v>34</v>
      </c>
      <c r="M18" s="16" t="s">
        <v>34</v>
      </c>
      <c r="N18" s="16" t="s">
        <v>34</v>
      </c>
      <c r="O18" s="16">
        <v>2857</v>
      </c>
      <c r="P18" s="16">
        <v>5403</v>
      </c>
      <c r="Q18" s="16">
        <v>5544</v>
      </c>
      <c r="R18" s="16">
        <v>5109</v>
      </c>
      <c r="S18" s="16">
        <v>4599</v>
      </c>
      <c r="T18" s="16">
        <v>4131</v>
      </c>
      <c r="U18" s="16">
        <v>2038</v>
      </c>
      <c r="V18" s="16">
        <v>117</v>
      </c>
      <c r="W18" s="16">
        <v>3112</v>
      </c>
    </row>
    <row r="19" spans="2:23" x14ac:dyDescent="0.2">
      <c r="B19" s="13" t="s">
        <v>205</v>
      </c>
      <c r="C19" s="14">
        <v>3073</v>
      </c>
      <c r="D19" s="14">
        <v>2594</v>
      </c>
      <c r="E19" s="14">
        <v>7066</v>
      </c>
      <c r="F19" s="14">
        <v>8690</v>
      </c>
      <c r="G19" s="14">
        <v>10708</v>
      </c>
      <c r="H19" s="14">
        <v>12316</v>
      </c>
      <c r="I19" s="14">
        <v>16090</v>
      </c>
      <c r="J19" s="14">
        <v>17088</v>
      </c>
      <c r="K19" s="14">
        <v>14205</v>
      </c>
      <c r="L19" s="14">
        <v>14282</v>
      </c>
      <c r="M19" s="14">
        <v>14780</v>
      </c>
      <c r="N19" s="14">
        <v>17056</v>
      </c>
      <c r="O19" s="14">
        <v>16015</v>
      </c>
      <c r="P19" s="14">
        <v>17911</v>
      </c>
      <c r="Q19" s="14">
        <v>19322</v>
      </c>
      <c r="R19" s="14">
        <v>18082</v>
      </c>
      <c r="S19" s="14">
        <v>16888</v>
      </c>
      <c r="T19" s="14">
        <v>15465</v>
      </c>
      <c r="U19" s="14">
        <v>15409</v>
      </c>
      <c r="V19" s="14">
        <v>18491</v>
      </c>
      <c r="W19" s="14">
        <v>15916</v>
      </c>
    </row>
    <row r="20" spans="2:23" x14ac:dyDescent="0.2">
      <c r="B20" s="15" t="s">
        <v>206</v>
      </c>
      <c r="C20" s="16" t="s">
        <v>34</v>
      </c>
      <c r="D20" s="16" t="s">
        <v>34</v>
      </c>
      <c r="E20" s="16" t="s">
        <v>34</v>
      </c>
      <c r="F20" s="16" t="s">
        <v>34</v>
      </c>
      <c r="G20" s="16" t="s">
        <v>34</v>
      </c>
      <c r="H20" s="16" t="s">
        <v>34</v>
      </c>
      <c r="I20" s="16" t="s">
        <v>34</v>
      </c>
      <c r="J20" s="16" t="s">
        <v>34</v>
      </c>
      <c r="K20" s="16" t="s">
        <v>34</v>
      </c>
      <c r="L20" s="16" t="s">
        <v>34</v>
      </c>
      <c r="M20" s="16" t="s">
        <v>34</v>
      </c>
      <c r="N20" s="16" t="s">
        <v>34</v>
      </c>
      <c r="O20" s="16">
        <v>-771</v>
      </c>
      <c r="P20" s="16">
        <v>551</v>
      </c>
      <c r="Q20" s="16">
        <v>692</v>
      </c>
      <c r="R20" s="16">
        <v>855</v>
      </c>
      <c r="S20" s="16">
        <v>66</v>
      </c>
      <c r="T20" s="16">
        <v>-393</v>
      </c>
      <c r="U20" s="16">
        <v>1075</v>
      </c>
      <c r="V20" s="16">
        <v>1351</v>
      </c>
      <c r="W20" s="16">
        <v>316</v>
      </c>
    </row>
    <row r="21" spans="2:23" x14ac:dyDescent="0.2">
      <c r="B21" s="15" t="s">
        <v>207</v>
      </c>
      <c r="C21" s="16" t="s">
        <v>34</v>
      </c>
      <c r="D21" s="16">
        <v>-42</v>
      </c>
      <c r="E21" s="16">
        <v>-64</v>
      </c>
      <c r="F21" s="16">
        <v>-126</v>
      </c>
      <c r="G21" s="16">
        <v>-273</v>
      </c>
      <c r="H21" s="16">
        <v>-131</v>
      </c>
      <c r="I21" s="16">
        <v>-76</v>
      </c>
      <c r="J21" s="16">
        <v>1</v>
      </c>
      <c r="K21" s="16">
        <v>-269</v>
      </c>
      <c r="L21" s="16">
        <v>-408</v>
      </c>
      <c r="M21" s="16">
        <v>-1099</v>
      </c>
      <c r="N21" s="16">
        <v>-726</v>
      </c>
      <c r="O21" s="16">
        <v>487</v>
      </c>
      <c r="P21" s="16">
        <v>1395</v>
      </c>
      <c r="Q21" s="16">
        <v>1225</v>
      </c>
      <c r="R21" s="16">
        <v>1140</v>
      </c>
      <c r="S21" s="16">
        <v>1011</v>
      </c>
      <c r="T21" s="16">
        <v>935</v>
      </c>
      <c r="U21" s="16">
        <v>728</v>
      </c>
      <c r="V21" s="16">
        <v>716</v>
      </c>
      <c r="W21" s="16">
        <v>879</v>
      </c>
    </row>
    <row r="22" spans="2:23" x14ac:dyDescent="0.2">
      <c r="B22" s="23" t="s">
        <v>208</v>
      </c>
      <c r="C22" s="24">
        <v>147</v>
      </c>
      <c r="D22" s="24">
        <v>143</v>
      </c>
      <c r="E22" s="24">
        <v>363</v>
      </c>
      <c r="F22" s="24">
        <v>432</v>
      </c>
      <c r="G22" s="24">
        <v>266</v>
      </c>
      <c r="H22" s="24">
        <v>251</v>
      </c>
      <c r="I22" s="24">
        <v>270</v>
      </c>
      <c r="J22" s="24">
        <v>347</v>
      </c>
      <c r="K22" s="24">
        <v>471</v>
      </c>
      <c r="L22" s="24">
        <v>517</v>
      </c>
      <c r="M22" s="24">
        <v>397</v>
      </c>
      <c r="N22" s="24">
        <v>562</v>
      </c>
      <c r="O22" s="24">
        <v>1233</v>
      </c>
      <c r="P22" s="24">
        <v>1797</v>
      </c>
      <c r="Q22" s="24">
        <v>1681</v>
      </c>
      <c r="R22" s="24">
        <v>1522</v>
      </c>
      <c r="S22" s="24">
        <v>1414</v>
      </c>
      <c r="T22" s="24">
        <v>1360</v>
      </c>
      <c r="U22" s="24">
        <v>1199</v>
      </c>
      <c r="V22" s="24">
        <v>1186</v>
      </c>
      <c r="W22" s="24">
        <v>1270</v>
      </c>
    </row>
    <row r="23" spans="2:23" x14ac:dyDescent="0.2">
      <c r="B23" s="23" t="s">
        <v>209</v>
      </c>
      <c r="C23" s="24" t="s">
        <v>34</v>
      </c>
      <c r="D23" s="24">
        <v>185</v>
      </c>
      <c r="E23" s="24">
        <v>427</v>
      </c>
      <c r="F23" s="24">
        <v>558</v>
      </c>
      <c r="G23" s="24">
        <v>539</v>
      </c>
      <c r="H23" s="24">
        <v>382</v>
      </c>
      <c r="I23" s="24">
        <v>346</v>
      </c>
      <c r="J23" s="24">
        <v>346</v>
      </c>
      <c r="K23" s="24">
        <v>740</v>
      </c>
      <c r="L23" s="24">
        <v>925</v>
      </c>
      <c r="M23" s="24">
        <v>1496</v>
      </c>
      <c r="N23" s="24">
        <v>1288</v>
      </c>
      <c r="O23" s="24">
        <v>746</v>
      </c>
      <c r="P23" s="24">
        <v>402</v>
      </c>
      <c r="Q23" s="24">
        <v>456</v>
      </c>
      <c r="R23" s="24">
        <v>382</v>
      </c>
      <c r="S23" s="24">
        <v>403</v>
      </c>
      <c r="T23" s="24">
        <v>425</v>
      </c>
      <c r="U23" s="24">
        <v>471</v>
      </c>
      <c r="V23" s="24">
        <v>470</v>
      </c>
      <c r="W23" s="24">
        <v>391</v>
      </c>
    </row>
    <row r="24" spans="2:23" x14ac:dyDescent="0.2">
      <c r="B24" s="15" t="s">
        <v>210</v>
      </c>
      <c r="C24" s="16">
        <v>26</v>
      </c>
      <c r="D24" s="16" t="s">
        <v>34</v>
      </c>
      <c r="E24" s="16">
        <v>11</v>
      </c>
      <c r="F24" s="16">
        <v>59</v>
      </c>
      <c r="G24" s="16">
        <v>0</v>
      </c>
      <c r="H24" s="16">
        <v>40</v>
      </c>
      <c r="I24" s="16">
        <v>1</v>
      </c>
      <c r="J24" s="16">
        <v>81</v>
      </c>
      <c r="K24" s="16">
        <v>8</v>
      </c>
      <c r="L24" s="16" t="s">
        <v>34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806</v>
      </c>
      <c r="V24" s="16">
        <v>0</v>
      </c>
      <c r="W24" s="16">
        <v>0</v>
      </c>
    </row>
    <row r="25" spans="2:23" x14ac:dyDescent="0.2">
      <c r="B25" s="15" t="s">
        <v>211</v>
      </c>
      <c r="C25" s="16" t="s">
        <v>34</v>
      </c>
      <c r="D25" s="16" t="s">
        <v>34</v>
      </c>
      <c r="E25" s="16" t="s">
        <v>34</v>
      </c>
      <c r="F25" s="16" t="s">
        <v>34</v>
      </c>
      <c r="G25" s="16" t="s">
        <v>34</v>
      </c>
      <c r="H25" s="16" t="s">
        <v>34</v>
      </c>
      <c r="I25" s="16" t="s">
        <v>34</v>
      </c>
      <c r="J25" s="16" t="s">
        <v>34</v>
      </c>
      <c r="K25" s="16" t="s">
        <v>34</v>
      </c>
      <c r="L25" s="16" t="s">
        <v>34</v>
      </c>
      <c r="M25" s="16" t="s">
        <v>34</v>
      </c>
      <c r="N25" s="16" t="s">
        <v>34</v>
      </c>
      <c r="O25" s="16">
        <v>-1258</v>
      </c>
      <c r="P25" s="16">
        <v>-844</v>
      </c>
      <c r="Q25" s="16">
        <v>-533</v>
      </c>
      <c r="R25" s="16">
        <v>-285</v>
      </c>
      <c r="S25" s="16">
        <v>-945</v>
      </c>
      <c r="T25" s="16">
        <v>-1328</v>
      </c>
      <c r="U25" s="16">
        <v>-459</v>
      </c>
      <c r="V25" s="16">
        <v>635</v>
      </c>
      <c r="W25" s="16">
        <v>-563</v>
      </c>
    </row>
    <row r="26" spans="2:23" x14ac:dyDescent="0.2">
      <c r="B26" s="13" t="s">
        <v>212</v>
      </c>
      <c r="C26" s="14">
        <v>2867</v>
      </c>
      <c r="D26" s="14">
        <v>2594</v>
      </c>
      <c r="E26" s="14">
        <v>6945</v>
      </c>
      <c r="F26" s="14">
        <v>5781</v>
      </c>
      <c r="G26" s="14">
        <v>9984</v>
      </c>
      <c r="H26" s="14">
        <v>11796</v>
      </c>
      <c r="I26" s="14">
        <v>3263</v>
      </c>
      <c r="J26" s="14">
        <v>14007</v>
      </c>
      <c r="K26" s="14">
        <v>10800</v>
      </c>
      <c r="L26" s="14">
        <v>13028</v>
      </c>
      <c r="M26" s="14">
        <v>9278</v>
      </c>
      <c r="N26" s="14">
        <v>9694</v>
      </c>
      <c r="O26" s="14">
        <v>16786</v>
      </c>
      <c r="P26" s="14">
        <v>17360</v>
      </c>
      <c r="Q26" s="14">
        <v>18630</v>
      </c>
      <c r="R26" s="14">
        <v>17227</v>
      </c>
      <c r="S26" s="14">
        <v>16822</v>
      </c>
      <c r="T26" s="14">
        <v>15858</v>
      </c>
      <c r="U26" s="14">
        <v>14334</v>
      </c>
      <c r="V26" s="14">
        <v>17140</v>
      </c>
      <c r="W26" s="14">
        <v>15600</v>
      </c>
    </row>
    <row r="27" spans="2:23" x14ac:dyDescent="0.2">
      <c r="B27" s="15" t="s">
        <v>213</v>
      </c>
      <c r="C27" s="16">
        <v>-10</v>
      </c>
      <c r="D27" s="16">
        <v>2156.7689999999998</v>
      </c>
      <c r="E27" s="16">
        <v>343</v>
      </c>
      <c r="F27" s="16">
        <v>3257</v>
      </c>
      <c r="G27" s="16">
        <v>853</v>
      </c>
      <c r="H27" s="16">
        <v>716</v>
      </c>
      <c r="I27" s="16">
        <v>13108</v>
      </c>
      <c r="J27" s="16">
        <v>4018</v>
      </c>
      <c r="K27" s="16">
        <v>9867</v>
      </c>
      <c r="L27" s="16">
        <v>6116</v>
      </c>
      <c r="M27" s="16">
        <v>6890</v>
      </c>
      <c r="N27" s="16">
        <v>3308</v>
      </c>
      <c r="O27" s="16">
        <v>5959</v>
      </c>
      <c r="P27" s="16">
        <v>8078</v>
      </c>
      <c r="Q27" s="16">
        <v>6326</v>
      </c>
      <c r="R27" s="16">
        <v>5985</v>
      </c>
      <c r="S27" s="16">
        <v>1106</v>
      </c>
      <c r="T27" s="16">
        <v>3618</v>
      </c>
      <c r="U27" s="16">
        <v>5369</v>
      </c>
      <c r="V27" s="16">
        <v>8789</v>
      </c>
      <c r="W27" s="16">
        <v>3295</v>
      </c>
    </row>
    <row r="28" spans="2:23" x14ac:dyDescent="0.2">
      <c r="B28" s="15" t="s">
        <v>214</v>
      </c>
      <c r="C28" s="16" t="s">
        <v>34</v>
      </c>
      <c r="D28" s="16" t="s">
        <v>34</v>
      </c>
      <c r="E28" s="16" t="s">
        <v>34</v>
      </c>
      <c r="F28" s="16" t="s">
        <v>34</v>
      </c>
      <c r="G28" s="16" t="s">
        <v>34</v>
      </c>
      <c r="H28" s="16" t="s">
        <v>34</v>
      </c>
      <c r="I28" s="16" t="s">
        <v>34</v>
      </c>
      <c r="J28" s="16" t="s">
        <v>34</v>
      </c>
      <c r="K28" s="16" t="s">
        <v>34</v>
      </c>
      <c r="L28" s="16" t="s">
        <v>34</v>
      </c>
      <c r="M28" s="16" t="s">
        <v>34</v>
      </c>
      <c r="N28" s="16" t="s">
        <v>34</v>
      </c>
      <c r="O28" s="16">
        <v>20</v>
      </c>
      <c r="P28" s="16">
        <v>125</v>
      </c>
      <c r="Q28" s="16" t="s">
        <v>34</v>
      </c>
      <c r="R28" s="16" t="s">
        <v>34</v>
      </c>
      <c r="S28" s="16" t="s">
        <v>34</v>
      </c>
      <c r="T28" s="16" t="s">
        <v>34</v>
      </c>
      <c r="U28" s="16" t="s">
        <v>34</v>
      </c>
      <c r="V28" s="16" t="s">
        <v>34</v>
      </c>
      <c r="W28" s="16" t="s">
        <v>34</v>
      </c>
    </row>
    <row r="29" spans="2:23" x14ac:dyDescent="0.2">
      <c r="B29" s="15" t="s">
        <v>215</v>
      </c>
      <c r="C29" s="16" t="s">
        <v>34</v>
      </c>
      <c r="D29" s="16" t="s">
        <v>34</v>
      </c>
      <c r="E29" s="16" t="s">
        <v>34</v>
      </c>
      <c r="F29" s="16" t="s">
        <v>34</v>
      </c>
      <c r="G29" s="16" t="s">
        <v>34</v>
      </c>
      <c r="H29" s="16" t="s">
        <v>34</v>
      </c>
      <c r="I29" s="16" t="s">
        <v>34</v>
      </c>
      <c r="J29" s="16" t="s">
        <v>34</v>
      </c>
      <c r="K29" s="16" t="s">
        <v>34</v>
      </c>
      <c r="L29" s="16" t="s">
        <v>34</v>
      </c>
      <c r="M29" s="16" t="s">
        <v>34</v>
      </c>
      <c r="N29" s="16" t="s">
        <v>34</v>
      </c>
      <c r="O29" s="16">
        <v>4026</v>
      </c>
      <c r="P29" s="16">
        <v>3989</v>
      </c>
      <c r="Q29" s="16">
        <v>1979</v>
      </c>
      <c r="R29" s="16">
        <v>946</v>
      </c>
      <c r="S29" s="16">
        <v>376</v>
      </c>
      <c r="T29" s="16">
        <v>183</v>
      </c>
      <c r="U29" s="16">
        <v>909</v>
      </c>
      <c r="V29" s="16">
        <v>1364</v>
      </c>
      <c r="W29" s="16">
        <v>502</v>
      </c>
    </row>
    <row r="30" spans="2:23" x14ac:dyDescent="0.2">
      <c r="B30" s="15" t="s">
        <v>216</v>
      </c>
      <c r="C30" s="16" t="s">
        <v>34</v>
      </c>
      <c r="D30" s="16" t="s">
        <v>34</v>
      </c>
      <c r="E30" s="16" t="s">
        <v>34</v>
      </c>
      <c r="F30" s="16" t="s">
        <v>34</v>
      </c>
      <c r="G30" s="16" t="s">
        <v>34</v>
      </c>
      <c r="H30" s="16" t="s">
        <v>34</v>
      </c>
      <c r="I30" s="16" t="s">
        <v>34</v>
      </c>
      <c r="J30" s="16" t="s">
        <v>34</v>
      </c>
      <c r="K30" s="16" t="s">
        <v>34</v>
      </c>
      <c r="L30" s="16" t="s">
        <v>34</v>
      </c>
      <c r="M30" s="16" t="s">
        <v>34</v>
      </c>
      <c r="N30" s="16" t="s">
        <v>34</v>
      </c>
      <c r="O30" s="16" t="s">
        <v>34</v>
      </c>
      <c r="P30" s="16" t="s">
        <v>34</v>
      </c>
      <c r="Q30" s="16" t="s">
        <v>34</v>
      </c>
      <c r="R30" s="16" t="s">
        <v>34</v>
      </c>
      <c r="S30" s="16" t="s">
        <v>34</v>
      </c>
      <c r="T30" s="16">
        <v>-288</v>
      </c>
      <c r="U30" s="16">
        <v>-232</v>
      </c>
      <c r="V30" s="16">
        <v>-171</v>
      </c>
      <c r="W30" s="16" t="s">
        <v>34</v>
      </c>
    </row>
    <row r="31" spans="2:23" x14ac:dyDescent="0.2">
      <c r="B31" s="15" t="s">
        <v>217</v>
      </c>
      <c r="C31" s="16" t="s">
        <v>34</v>
      </c>
      <c r="D31" s="16" t="s">
        <v>34</v>
      </c>
      <c r="E31" s="16" t="s">
        <v>34</v>
      </c>
      <c r="F31" s="16" t="s">
        <v>34</v>
      </c>
      <c r="G31" s="16" t="s">
        <v>34</v>
      </c>
      <c r="H31" s="16" t="s">
        <v>34</v>
      </c>
      <c r="I31" s="16" t="s">
        <v>34</v>
      </c>
      <c r="J31" s="16" t="s">
        <v>34</v>
      </c>
      <c r="K31" s="16" t="s">
        <v>34</v>
      </c>
      <c r="L31" s="16" t="s">
        <v>34</v>
      </c>
      <c r="M31" s="16" t="s">
        <v>34</v>
      </c>
      <c r="N31" s="16" t="s">
        <v>34</v>
      </c>
      <c r="O31" s="16" t="s">
        <v>34</v>
      </c>
      <c r="P31" s="16" t="s">
        <v>34</v>
      </c>
      <c r="Q31" s="16" t="s">
        <v>34</v>
      </c>
      <c r="R31" s="16" t="s">
        <v>34</v>
      </c>
      <c r="S31" s="16" t="s">
        <v>34</v>
      </c>
      <c r="T31" s="16" t="s">
        <v>34</v>
      </c>
      <c r="U31" s="16" t="s">
        <v>34</v>
      </c>
      <c r="V31" s="16">
        <v>162</v>
      </c>
      <c r="W31" s="16">
        <v>999</v>
      </c>
    </row>
    <row r="32" spans="2:23" x14ac:dyDescent="0.2">
      <c r="B32" s="15" t="s">
        <v>218</v>
      </c>
      <c r="C32" s="16" t="s">
        <v>34</v>
      </c>
      <c r="D32" s="16">
        <v>213</v>
      </c>
      <c r="E32" s="16" t="s">
        <v>34</v>
      </c>
      <c r="F32" s="16" t="s">
        <v>34</v>
      </c>
      <c r="G32" s="16" t="s">
        <v>34</v>
      </c>
      <c r="H32" s="16" t="s">
        <v>34</v>
      </c>
      <c r="I32" s="16" t="s">
        <v>34</v>
      </c>
      <c r="J32" s="16" t="s">
        <v>34</v>
      </c>
      <c r="K32" s="16" t="s">
        <v>34</v>
      </c>
      <c r="L32" s="16" t="s">
        <v>34</v>
      </c>
      <c r="M32" s="16">
        <v>2798</v>
      </c>
      <c r="N32" s="16" t="s">
        <v>34</v>
      </c>
      <c r="O32" s="16" t="s">
        <v>34</v>
      </c>
      <c r="P32" s="16" t="s">
        <v>34</v>
      </c>
      <c r="Q32" s="16" t="s">
        <v>34</v>
      </c>
      <c r="R32" s="16" t="s">
        <v>34</v>
      </c>
      <c r="S32" s="16" t="s">
        <v>34</v>
      </c>
      <c r="T32" s="16">
        <v>469</v>
      </c>
      <c r="U32" s="16">
        <v>1282</v>
      </c>
      <c r="V32" s="16">
        <v>3716</v>
      </c>
      <c r="W32" s="16">
        <v>434</v>
      </c>
    </row>
    <row r="33" spans="2:23" x14ac:dyDescent="0.2">
      <c r="B33" s="15" t="s">
        <v>219</v>
      </c>
      <c r="C33" s="16" t="s">
        <v>34</v>
      </c>
      <c r="D33" s="16" t="s">
        <v>34</v>
      </c>
      <c r="E33" s="16" t="s">
        <v>34</v>
      </c>
      <c r="F33" s="16" t="s">
        <v>34</v>
      </c>
      <c r="G33" s="16" t="s">
        <v>34</v>
      </c>
      <c r="H33" s="16" t="s">
        <v>34</v>
      </c>
      <c r="I33" s="16" t="s">
        <v>34</v>
      </c>
      <c r="J33" s="16" t="s">
        <v>34</v>
      </c>
      <c r="K33" s="16" t="s">
        <v>34</v>
      </c>
      <c r="L33" s="16" t="s">
        <v>34</v>
      </c>
      <c r="M33" s="16" t="s">
        <v>34</v>
      </c>
      <c r="N33" s="16" t="s">
        <v>34</v>
      </c>
      <c r="O33" s="16" t="s">
        <v>34</v>
      </c>
      <c r="P33" s="16" t="s">
        <v>34</v>
      </c>
      <c r="Q33" s="16" t="s">
        <v>34</v>
      </c>
      <c r="R33" s="16" t="s">
        <v>34</v>
      </c>
      <c r="S33" s="16" t="s">
        <v>34</v>
      </c>
      <c r="T33" s="16" t="s">
        <v>34</v>
      </c>
      <c r="U33" s="16">
        <v>323</v>
      </c>
      <c r="V33" s="16">
        <v>869</v>
      </c>
      <c r="W33" s="16" t="s">
        <v>34</v>
      </c>
    </row>
    <row r="34" spans="2:23" x14ac:dyDescent="0.2">
      <c r="B34" s="15" t="s">
        <v>220</v>
      </c>
      <c r="C34" s="16" t="s">
        <v>34</v>
      </c>
      <c r="D34" s="16" t="s">
        <v>34</v>
      </c>
      <c r="E34" s="16" t="s">
        <v>34</v>
      </c>
      <c r="F34" s="16" t="s">
        <v>34</v>
      </c>
      <c r="G34" s="16" t="s">
        <v>34</v>
      </c>
      <c r="H34" s="16" t="s">
        <v>34</v>
      </c>
      <c r="I34" s="16" t="s">
        <v>34</v>
      </c>
      <c r="J34" s="16" t="s">
        <v>34</v>
      </c>
      <c r="K34" s="16" t="s">
        <v>34</v>
      </c>
      <c r="L34" s="16" t="s">
        <v>34</v>
      </c>
      <c r="M34" s="16" t="s">
        <v>34</v>
      </c>
      <c r="N34" s="16" t="s">
        <v>34</v>
      </c>
      <c r="O34" s="16" t="s">
        <v>34</v>
      </c>
      <c r="P34" s="16" t="s">
        <v>34</v>
      </c>
      <c r="Q34" s="16" t="s">
        <v>34</v>
      </c>
      <c r="R34" s="16" t="s">
        <v>34</v>
      </c>
      <c r="S34" s="16" t="s">
        <v>34</v>
      </c>
      <c r="T34" s="16">
        <v>993</v>
      </c>
      <c r="U34" s="16">
        <v>968</v>
      </c>
      <c r="V34" s="16">
        <v>494</v>
      </c>
      <c r="W34" s="16">
        <v>237</v>
      </c>
    </row>
    <row r="35" spans="2:23" x14ac:dyDescent="0.2">
      <c r="B35" s="15" t="s">
        <v>221</v>
      </c>
      <c r="C35" s="16" t="s">
        <v>34</v>
      </c>
      <c r="D35" s="16" t="s">
        <v>34</v>
      </c>
      <c r="E35" s="16" t="s">
        <v>34</v>
      </c>
      <c r="F35" s="16" t="s">
        <v>34</v>
      </c>
      <c r="G35" s="16" t="s">
        <v>34</v>
      </c>
      <c r="H35" s="16" t="s">
        <v>34</v>
      </c>
      <c r="I35" s="16" t="s">
        <v>34</v>
      </c>
      <c r="J35" s="16" t="s">
        <v>34</v>
      </c>
      <c r="K35" s="16" t="s">
        <v>34</v>
      </c>
      <c r="L35" s="16" t="s">
        <v>34</v>
      </c>
      <c r="M35" s="16" t="s">
        <v>34</v>
      </c>
      <c r="N35" s="16" t="s">
        <v>34</v>
      </c>
      <c r="O35" s="16" t="s">
        <v>34</v>
      </c>
      <c r="P35" s="16" t="s">
        <v>34</v>
      </c>
      <c r="Q35" s="16" t="s">
        <v>34</v>
      </c>
      <c r="R35" s="16" t="s">
        <v>34</v>
      </c>
      <c r="S35" s="16" t="s">
        <v>34</v>
      </c>
      <c r="T35" s="16">
        <v>168</v>
      </c>
      <c r="U35" s="16">
        <v>1451</v>
      </c>
      <c r="V35" s="16">
        <v>1685</v>
      </c>
      <c r="W35" s="16">
        <v>567</v>
      </c>
    </row>
    <row r="36" spans="2:23" x14ac:dyDescent="0.2">
      <c r="B36" s="15" t="s">
        <v>222</v>
      </c>
      <c r="C36" s="16" t="s">
        <v>34</v>
      </c>
      <c r="D36" s="16" t="s">
        <v>34</v>
      </c>
      <c r="E36" s="16" t="s">
        <v>34</v>
      </c>
      <c r="F36" s="16" t="s">
        <v>34</v>
      </c>
      <c r="G36" s="16" t="s">
        <v>34</v>
      </c>
      <c r="H36" s="16" t="s">
        <v>34</v>
      </c>
      <c r="I36" s="16" t="s">
        <v>34</v>
      </c>
      <c r="J36" s="16" t="s">
        <v>34</v>
      </c>
      <c r="K36" s="16" t="s">
        <v>34</v>
      </c>
      <c r="L36" s="16" t="s">
        <v>34</v>
      </c>
      <c r="M36" s="16" t="s">
        <v>34</v>
      </c>
      <c r="N36" s="16" t="s">
        <v>34</v>
      </c>
      <c r="O36" s="16">
        <v>1913</v>
      </c>
      <c r="P36" s="16">
        <v>3964</v>
      </c>
      <c r="Q36" s="16">
        <v>4347</v>
      </c>
      <c r="R36" s="16">
        <v>5039</v>
      </c>
      <c r="S36" s="16">
        <v>730</v>
      </c>
      <c r="T36" s="16">
        <v>2093</v>
      </c>
      <c r="U36" s="16">
        <v>668</v>
      </c>
      <c r="V36" s="16">
        <v>670</v>
      </c>
      <c r="W36" s="16">
        <v>556</v>
      </c>
    </row>
    <row r="37" spans="2:23" x14ac:dyDescent="0.2">
      <c r="B37" s="13" t="s">
        <v>223</v>
      </c>
      <c r="C37" s="14">
        <v>2867</v>
      </c>
      <c r="D37" s="14">
        <v>2594</v>
      </c>
      <c r="E37" s="14">
        <v>6945</v>
      </c>
      <c r="F37" s="14">
        <v>5781</v>
      </c>
      <c r="G37" s="14">
        <v>9984</v>
      </c>
      <c r="H37" s="14">
        <v>11796</v>
      </c>
      <c r="I37" s="14">
        <v>3263</v>
      </c>
      <c r="J37" s="14">
        <v>14007</v>
      </c>
      <c r="K37" s="14">
        <v>10800</v>
      </c>
      <c r="L37" s="14">
        <v>13028</v>
      </c>
      <c r="M37" s="14">
        <v>9278</v>
      </c>
      <c r="N37" s="14">
        <v>9694</v>
      </c>
      <c r="O37" s="14">
        <v>10827</v>
      </c>
      <c r="P37" s="14">
        <v>9282</v>
      </c>
      <c r="Q37" s="14">
        <v>12304</v>
      </c>
      <c r="R37" s="14">
        <v>11242</v>
      </c>
      <c r="S37" s="14">
        <v>15716</v>
      </c>
      <c r="T37" s="14">
        <v>12240</v>
      </c>
      <c r="U37" s="14">
        <v>8965</v>
      </c>
      <c r="V37" s="14">
        <v>8351</v>
      </c>
      <c r="W37" s="14">
        <v>12305</v>
      </c>
    </row>
    <row r="38" spans="2:23" x14ac:dyDescent="0.2">
      <c r="B38" s="15" t="s">
        <v>20</v>
      </c>
      <c r="C38" s="16">
        <v>775</v>
      </c>
      <c r="D38" s="16">
        <v>642</v>
      </c>
      <c r="E38" s="16">
        <v>1968</v>
      </c>
      <c r="F38" s="16">
        <v>2049</v>
      </c>
      <c r="G38" s="16">
        <v>2433</v>
      </c>
      <c r="H38" s="16">
        <v>2609</v>
      </c>
      <c r="I38" s="16">
        <v>1621</v>
      </c>
      <c r="J38" s="16">
        <v>2665</v>
      </c>
      <c r="K38" s="16">
        <v>3178</v>
      </c>
      <c r="L38" s="16">
        <v>1992</v>
      </c>
      <c r="M38" s="16">
        <v>1023</v>
      </c>
      <c r="N38" s="16">
        <v>1645</v>
      </c>
      <c r="O38" s="16">
        <v>2197</v>
      </c>
      <c r="P38" s="16">
        <v>1071</v>
      </c>
      <c r="Q38" s="16">
        <v>3909</v>
      </c>
      <c r="R38" s="16">
        <v>2221</v>
      </c>
      <c r="S38" s="16">
        <v>4306</v>
      </c>
      <c r="T38" s="16">
        <v>3120</v>
      </c>
      <c r="U38" s="16">
        <v>1990</v>
      </c>
      <c r="V38" s="16">
        <v>1123</v>
      </c>
      <c r="W38" s="16">
        <v>-9048</v>
      </c>
    </row>
    <row r="39" spans="2:23" x14ac:dyDescent="0.2">
      <c r="B39" s="15" t="s">
        <v>224</v>
      </c>
      <c r="C39" s="16" t="s">
        <v>34</v>
      </c>
      <c r="D39" s="16" t="s">
        <v>34</v>
      </c>
      <c r="E39" s="16" t="s">
        <v>34</v>
      </c>
      <c r="F39" s="16" t="s">
        <v>34</v>
      </c>
      <c r="G39" s="16" t="s">
        <v>34</v>
      </c>
      <c r="H39" s="16" t="s">
        <v>34</v>
      </c>
      <c r="I39" s="16" t="s">
        <v>34</v>
      </c>
      <c r="J39" s="16" t="s">
        <v>34</v>
      </c>
      <c r="K39" s="16" t="s">
        <v>34</v>
      </c>
      <c r="L39" s="16" t="s">
        <v>34</v>
      </c>
      <c r="M39" s="16" t="s">
        <v>34</v>
      </c>
      <c r="N39" s="16" t="s">
        <v>34</v>
      </c>
      <c r="O39" s="16">
        <v>11779</v>
      </c>
      <c r="P39" s="16">
        <v>-866</v>
      </c>
      <c r="Q39" s="16">
        <v>3602</v>
      </c>
      <c r="R39" s="16">
        <v>1435</v>
      </c>
      <c r="S39" s="16">
        <v>2580</v>
      </c>
      <c r="T39" s="16">
        <v>2800</v>
      </c>
      <c r="U39" s="16">
        <v>2010</v>
      </c>
      <c r="V39" s="16">
        <v>1823</v>
      </c>
      <c r="W39" s="16">
        <v>17156</v>
      </c>
    </row>
    <row r="40" spans="2:23" x14ac:dyDescent="0.2">
      <c r="B40" s="15" t="s">
        <v>225</v>
      </c>
      <c r="C40" s="16" t="s">
        <v>34</v>
      </c>
      <c r="D40" s="16" t="s">
        <v>34</v>
      </c>
      <c r="E40" s="16" t="s">
        <v>34</v>
      </c>
      <c r="F40" s="16" t="s">
        <v>34</v>
      </c>
      <c r="G40" s="16" t="s">
        <v>34</v>
      </c>
      <c r="H40" s="16" t="s">
        <v>34</v>
      </c>
      <c r="I40" s="16" t="s">
        <v>34</v>
      </c>
      <c r="J40" s="16" t="s">
        <v>34</v>
      </c>
      <c r="K40" s="16" t="s">
        <v>34</v>
      </c>
      <c r="L40" s="16" t="s">
        <v>34</v>
      </c>
      <c r="M40" s="16" t="s">
        <v>34</v>
      </c>
      <c r="N40" s="16" t="s">
        <v>34</v>
      </c>
      <c r="O40" s="16">
        <v>-9582</v>
      </c>
      <c r="P40" s="16">
        <v>1937</v>
      </c>
      <c r="Q40" s="16">
        <v>307</v>
      </c>
      <c r="R40" s="16">
        <v>786</v>
      </c>
      <c r="S40" s="16">
        <v>1726</v>
      </c>
      <c r="T40" s="16">
        <v>320</v>
      </c>
      <c r="U40" s="16">
        <v>-20</v>
      </c>
      <c r="V40" s="16">
        <v>-700</v>
      </c>
      <c r="W40" s="16">
        <v>-26204</v>
      </c>
    </row>
    <row r="41" spans="2:23" x14ac:dyDescent="0.2">
      <c r="B41" s="13" t="s">
        <v>226</v>
      </c>
      <c r="C41" s="14">
        <v>2092</v>
      </c>
      <c r="D41" s="14">
        <v>1952</v>
      </c>
      <c r="E41" s="14">
        <v>4977</v>
      </c>
      <c r="F41" s="14">
        <v>3732</v>
      </c>
      <c r="G41" s="14">
        <v>7551</v>
      </c>
      <c r="H41" s="14">
        <v>9187</v>
      </c>
      <c r="I41" s="14">
        <v>1642</v>
      </c>
      <c r="J41" s="14">
        <v>11342</v>
      </c>
      <c r="K41" s="14">
        <v>7622</v>
      </c>
      <c r="L41" s="14">
        <v>11036</v>
      </c>
      <c r="M41" s="14">
        <v>8255</v>
      </c>
      <c r="N41" s="14">
        <v>8049</v>
      </c>
      <c r="O41" s="14">
        <v>8630</v>
      </c>
      <c r="P41" s="14">
        <v>8211</v>
      </c>
      <c r="Q41" s="14">
        <v>8395</v>
      </c>
      <c r="R41" s="14">
        <v>9021</v>
      </c>
      <c r="S41" s="14">
        <v>11410</v>
      </c>
      <c r="T41" s="14">
        <v>9120</v>
      </c>
      <c r="U41" s="14">
        <v>6975</v>
      </c>
      <c r="V41" s="14">
        <v>7228</v>
      </c>
      <c r="W41" s="14">
        <v>21353</v>
      </c>
    </row>
    <row r="42" spans="2:23" x14ac:dyDescent="0.2">
      <c r="B42" s="15" t="s">
        <v>227</v>
      </c>
      <c r="C42" s="16">
        <v>-131</v>
      </c>
      <c r="D42" s="16">
        <v>-1401</v>
      </c>
      <c r="E42" s="16">
        <v>20</v>
      </c>
      <c r="F42" s="16">
        <v>-8</v>
      </c>
      <c r="G42" s="16">
        <v>-251</v>
      </c>
      <c r="H42" s="16">
        <v>55</v>
      </c>
      <c r="I42" s="16">
        <v>-2271</v>
      </c>
      <c r="J42" s="16">
        <v>-29</v>
      </c>
      <c r="K42" s="16">
        <v>-475</v>
      </c>
      <c r="L42" s="16">
        <v>-8313</v>
      </c>
      <c r="M42" s="16">
        <v>69</v>
      </c>
      <c r="N42" s="16">
        <v>-78</v>
      </c>
      <c r="O42" s="16">
        <v>-14</v>
      </c>
      <c r="P42" s="16">
        <v>-77</v>
      </c>
      <c r="Q42" s="16">
        <v>-1654</v>
      </c>
      <c r="R42" s="16">
        <v>-5577</v>
      </c>
      <c r="S42" s="16">
        <v>-10662</v>
      </c>
      <c r="T42" s="16">
        <v>-48</v>
      </c>
      <c r="U42" s="16">
        <v>-11</v>
      </c>
      <c r="V42" s="16">
        <v>-18</v>
      </c>
      <c r="W42" s="16">
        <v>-2</v>
      </c>
    </row>
    <row r="43" spans="2:23" x14ac:dyDescent="0.2">
      <c r="B43" s="15" t="s">
        <v>131</v>
      </c>
      <c r="C43" s="16" t="s">
        <v>34</v>
      </c>
      <c r="D43" s="16">
        <v>-1401</v>
      </c>
      <c r="E43" s="16">
        <v>20</v>
      </c>
      <c r="F43" s="16" t="s">
        <v>34</v>
      </c>
      <c r="G43" s="16" t="s">
        <v>34</v>
      </c>
      <c r="H43" s="16" t="s">
        <v>34</v>
      </c>
      <c r="I43" s="16" t="s">
        <v>34</v>
      </c>
      <c r="J43" s="16" t="s">
        <v>34</v>
      </c>
      <c r="K43" s="16">
        <v>-498</v>
      </c>
      <c r="L43" s="16">
        <v>-8313</v>
      </c>
      <c r="M43" s="16">
        <v>69</v>
      </c>
      <c r="N43" s="16" t="s">
        <v>34</v>
      </c>
      <c r="O43" s="16">
        <v>-14</v>
      </c>
      <c r="P43" s="16">
        <v>-77</v>
      </c>
      <c r="Q43" s="16">
        <v>-1654</v>
      </c>
      <c r="R43" s="16">
        <v>-5577</v>
      </c>
      <c r="S43" s="16">
        <v>-10662</v>
      </c>
      <c r="T43" s="16">
        <v>-48</v>
      </c>
      <c r="U43" s="16">
        <v>-11</v>
      </c>
      <c r="V43" s="16">
        <v>-18</v>
      </c>
      <c r="W43" s="16">
        <v>-2</v>
      </c>
    </row>
    <row r="44" spans="2:23" x14ac:dyDescent="0.2">
      <c r="B44" s="15" t="s">
        <v>228</v>
      </c>
      <c r="C44" s="16" t="s">
        <v>34</v>
      </c>
      <c r="D44" s="16" t="s">
        <v>34</v>
      </c>
      <c r="E44" s="16" t="s">
        <v>34</v>
      </c>
      <c r="F44" s="16" t="s">
        <v>34</v>
      </c>
      <c r="G44" s="16" t="s">
        <v>34</v>
      </c>
      <c r="H44" s="16" t="s">
        <v>34</v>
      </c>
      <c r="I44" s="16" t="s">
        <v>34</v>
      </c>
      <c r="J44" s="16" t="s">
        <v>34</v>
      </c>
      <c r="K44" s="16">
        <v>23</v>
      </c>
      <c r="L44" s="16" t="s">
        <v>34</v>
      </c>
      <c r="M44" s="16" t="s">
        <v>34</v>
      </c>
      <c r="N44" s="16" t="s">
        <v>34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2:23" x14ac:dyDescent="0.2">
      <c r="B45" s="13" t="s">
        <v>229</v>
      </c>
      <c r="C45" s="14">
        <v>2223</v>
      </c>
      <c r="D45" s="14">
        <v>3353</v>
      </c>
      <c r="E45" s="14">
        <v>4957</v>
      </c>
      <c r="F45" s="14">
        <v>3740</v>
      </c>
      <c r="G45" s="14">
        <v>7802</v>
      </c>
      <c r="H45" s="14">
        <v>9132</v>
      </c>
      <c r="I45" s="14">
        <v>3913</v>
      </c>
      <c r="J45" s="14">
        <v>11371</v>
      </c>
      <c r="K45" s="14">
        <v>8097</v>
      </c>
      <c r="L45" s="14">
        <v>19349</v>
      </c>
      <c r="M45" s="14">
        <v>8186</v>
      </c>
      <c r="N45" s="14">
        <v>8127</v>
      </c>
      <c r="O45" s="14">
        <v>8644</v>
      </c>
      <c r="P45" s="14">
        <v>8288</v>
      </c>
      <c r="Q45" s="14">
        <v>10049</v>
      </c>
      <c r="R45" s="14">
        <v>14598</v>
      </c>
      <c r="S45" s="14">
        <v>22072</v>
      </c>
      <c r="T45" s="14">
        <v>9168</v>
      </c>
      <c r="U45" s="14">
        <v>6986</v>
      </c>
      <c r="V45" s="14">
        <v>7246</v>
      </c>
      <c r="W45" s="14">
        <v>21355</v>
      </c>
    </row>
    <row r="46" spans="2:23" x14ac:dyDescent="0.2">
      <c r="B46" s="15" t="s">
        <v>230</v>
      </c>
      <c r="C46" s="16">
        <v>10</v>
      </c>
      <c r="D46" s="16">
        <v>2</v>
      </c>
      <c r="E46" s="16">
        <v>5</v>
      </c>
      <c r="F46" s="16">
        <v>14</v>
      </c>
      <c r="G46" s="16">
        <v>14</v>
      </c>
      <c r="H46" s="16">
        <v>6</v>
      </c>
      <c r="I46" s="16">
        <v>3</v>
      </c>
      <c r="J46" s="16">
        <v>10</v>
      </c>
      <c r="K46" s="16">
        <v>12</v>
      </c>
      <c r="L46" s="16">
        <v>12</v>
      </c>
      <c r="M46" s="16">
        <v>42</v>
      </c>
      <c r="N46" s="16">
        <v>23</v>
      </c>
      <c r="O46" s="16">
        <v>9</v>
      </c>
      <c r="P46" s="16">
        <v>31</v>
      </c>
      <c r="Q46" s="16">
        <v>40</v>
      </c>
      <c r="R46" s="16">
        <v>28</v>
      </c>
      <c r="S46" s="16">
        <v>69</v>
      </c>
      <c r="T46" s="16">
        <v>33</v>
      </c>
      <c r="U46" s="16">
        <v>26</v>
      </c>
      <c r="V46" s="16">
        <v>31</v>
      </c>
      <c r="W46" s="16">
        <v>47</v>
      </c>
    </row>
    <row r="47" spans="2:23" x14ac:dyDescent="0.2">
      <c r="B47" s="13" t="s">
        <v>231</v>
      </c>
      <c r="C47" s="14">
        <v>2213</v>
      </c>
      <c r="D47" s="14">
        <v>3351</v>
      </c>
      <c r="E47" s="14">
        <v>4952</v>
      </c>
      <c r="F47" s="14">
        <v>3726</v>
      </c>
      <c r="G47" s="14">
        <v>7788</v>
      </c>
      <c r="H47" s="14">
        <v>9126</v>
      </c>
      <c r="I47" s="14">
        <v>3910</v>
      </c>
      <c r="J47" s="14">
        <v>11361</v>
      </c>
      <c r="K47" s="14">
        <v>8085</v>
      </c>
      <c r="L47" s="14">
        <v>19337</v>
      </c>
      <c r="M47" s="14">
        <v>8144</v>
      </c>
      <c r="N47" s="14">
        <v>8104</v>
      </c>
      <c r="O47" s="14">
        <v>8635</v>
      </c>
      <c r="P47" s="14">
        <v>8257</v>
      </c>
      <c r="Q47" s="14">
        <v>10009</v>
      </c>
      <c r="R47" s="14">
        <v>14570</v>
      </c>
      <c r="S47" s="14">
        <v>22003</v>
      </c>
      <c r="T47" s="14">
        <v>9135</v>
      </c>
      <c r="U47" s="14">
        <v>6960</v>
      </c>
      <c r="V47" s="14">
        <v>7215</v>
      </c>
      <c r="W47" s="14">
        <v>21308</v>
      </c>
    </row>
    <row r="48" spans="2:23" x14ac:dyDescent="0.2">
      <c r="B48" s="15" t="s">
        <v>232</v>
      </c>
      <c r="C48" s="16">
        <v>0</v>
      </c>
      <c r="D48" s="16" t="s">
        <v>34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4</v>
      </c>
      <c r="K48" s="16">
        <v>6</v>
      </c>
      <c r="L48" s="16">
        <v>5</v>
      </c>
      <c r="M48" s="16">
        <v>4</v>
      </c>
      <c r="N48" s="16">
        <v>3</v>
      </c>
      <c r="O48" s="16">
        <v>5</v>
      </c>
      <c r="P48" s="16">
        <v>3</v>
      </c>
      <c r="Q48" s="16">
        <v>3</v>
      </c>
      <c r="R48" s="16">
        <v>2</v>
      </c>
      <c r="S48" s="16">
        <v>2</v>
      </c>
      <c r="T48" s="16">
        <v>0</v>
      </c>
      <c r="U48" s="16">
        <v>2</v>
      </c>
      <c r="V48" s="16">
        <v>2</v>
      </c>
      <c r="W48" s="16">
        <v>1</v>
      </c>
    </row>
    <row r="49" spans="2:23" x14ac:dyDescent="0.2">
      <c r="B49" s="15" t="s">
        <v>21</v>
      </c>
      <c r="C49" s="16" t="s">
        <v>34</v>
      </c>
      <c r="D49" s="16" t="s">
        <v>34</v>
      </c>
      <c r="E49" s="16" t="s">
        <v>34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34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</row>
    <row r="50" spans="2:23" x14ac:dyDescent="0.2">
      <c r="B50" s="13" t="s">
        <v>233</v>
      </c>
      <c r="C50" s="14">
        <v>2213</v>
      </c>
      <c r="D50" s="14">
        <v>3351</v>
      </c>
      <c r="E50" s="14">
        <v>4952</v>
      </c>
      <c r="F50" s="14">
        <v>3726</v>
      </c>
      <c r="G50" s="14">
        <v>7788</v>
      </c>
      <c r="H50" s="14">
        <v>9126</v>
      </c>
      <c r="I50" s="14">
        <v>3910</v>
      </c>
      <c r="J50" s="14">
        <v>11357</v>
      </c>
      <c r="K50" s="14">
        <v>8079</v>
      </c>
      <c r="L50" s="14">
        <v>19332</v>
      </c>
      <c r="M50" s="14">
        <v>8140</v>
      </c>
      <c r="N50" s="14">
        <v>8101</v>
      </c>
      <c r="O50" s="14">
        <v>8630</v>
      </c>
      <c r="P50" s="14">
        <v>8254</v>
      </c>
      <c r="Q50" s="14">
        <v>10006</v>
      </c>
      <c r="R50" s="14">
        <v>14568</v>
      </c>
      <c r="S50" s="14">
        <v>22001</v>
      </c>
      <c r="T50" s="14">
        <v>9135</v>
      </c>
      <c r="U50" s="14">
        <v>6958</v>
      </c>
      <c r="V50" s="14">
        <v>7213</v>
      </c>
      <c r="W50" s="14">
        <v>21307</v>
      </c>
    </row>
    <row r="51" spans="2:23" x14ac:dyDescent="0.2">
      <c r="B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2:23" x14ac:dyDescent="0.2">
      <c r="B52" s="13" t="s">
        <v>234</v>
      </c>
      <c r="C52" s="14">
        <v>2213</v>
      </c>
      <c r="D52" s="14">
        <v>3351</v>
      </c>
      <c r="E52" s="14">
        <v>4952</v>
      </c>
      <c r="F52" s="14">
        <v>3726</v>
      </c>
      <c r="G52" s="14">
        <v>7788</v>
      </c>
      <c r="H52" s="14">
        <v>9126</v>
      </c>
      <c r="I52" s="14">
        <v>3910</v>
      </c>
      <c r="J52" s="14">
        <v>11357</v>
      </c>
      <c r="K52" s="14">
        <v>8079</v>
      </c>
      <c r="L52" s="14">
        <v>19332</v>
      </c>
      <c r="M52" s="14">
        <v>8140</v>
      </c>
      <c r="N52" s="14">
        <v>8101</v>
      </c>
      <c r="O52" s="14">
        <v>11577</v>
      </c>
      <c r="P52" s="14">
        <v>11854.25</v>
      </c>
      <c r="Q52" s="14">
        <v>12836</v>
      </c>
      <c r="R52" s="14">
        <v>12185</v>
      </c>
      <c r="S52" s="14">
        <v>12101</v>
      </c>
      <c r="T52" s="14">
        <v>11438.7</v>
      </c>
      <c r="U52" s="14">
        <v>10436.85</v>
      </c>
      <c r="V52" s="14">
        <v>12907.85</v>
      </c>
      <c r="W52" s="14">
        <v>12901.858829999999</v>
      </c>
    </row>
    <row r="53" spans="2:23" x14ac:dyDescent="0.2">
      <c r="B53" s="15" t="s">
        <v>235</v>
      </c>
      <c r="C53" s="16" t="s">
        <v>34</v>
      </c>
      <c r="D53" s="16" t="s">
        <v>34</v>
      </c>
      <c r="E53" s="16" t="s">
        <v>34</v>
      </c>
      <c r="F53" s="16" t="s">
        <v>34</v>
      </c>
      <c r="G53" s="16">
        <v>563</v>
      </c>
      <c r="H53" s="16">
        <v>716</v>
      </c>
      <c r="I53" s="16">
        <v>11083</v>
      </c>
      <c r="J53" s="16" t="s">
        <v>34</v>
      </c>
      <c r="K53" s="16" t="s">
        <v>34</v>
      </c>
      <c r="L53" s="16" t="s">
        <v>34</v>
      </c>
      <c r="M53" s="16" t="s">
        <v>34</v>
      </c>
      <c r="N53" s="16">
        <v>2150.1999999999998</v>
      </c>
      <c r="O53" s="16">
        <v>2961</v>
      </c>
      <c r="P53" s="16">
        <v>3677.25</v>
      </c>
      <c r="Q53" s="16">
        <v>4484</v>
      </c>
      <c r="R53" s="16">
        <v>3194</v>
      </c>
      <c r="S53" s="16">
        <v>762</v>
      </c>
      <c r="T53" s="16">
        <v>2351.6999999999998</v>
      </c>
      <c r="U53" s="16">
        <v>3489.85</v>
      </c>
      <c r="V53" s="16">
        <v>5712.85</v>
      </c>
      <c r="W53" s="16">
        <v>-8403.1411700000008</v>
      </c>
    </row>
    <row r="54" spans="2:23" x14ac:dyDescent="0.2">
      <c r="B54" s="15" t="s">
        <v>236</v>
      </c>
      <c r="C54" s="16">
        <v>-131</v>
      </c>
      <c r="D54" s="16">
        <v>-1401</v>
      </c>
      <c r="E54" s="16">
        <v>20</v>
      </c>
      <c r="F54" s="16">
        <v>-8</v>
      </c>
      <c r="G54" s="16">
        <v>-251</v>
      </c>
      <c r="H54" s="16">
        <v>55</v>
      </c>
      <c r="I54" s="16">
        <v>-2271</v>
      </c>
      <c r="J54" s="16">
        <v>-29</v>
      </c>
      <c r="K54" s="16">
        <v>-475</v>
      </c>
      <c r="L54" s="16">
        <v>-8313</v>
      </c>
      <c r="M54" s="16">
        <v>69</v>
      </c>
      <c r="N54" s="16">
        <v>-78</v>
      </c>
      <c r="O54" s="16">
        <v>-14</v>
      </c>
      <c r="P54" s="16">
        <v>-77</v>
      </c>
      <c r="Q54" s="16">
        <v>-1654</v>
      </c>
      <c r="R54" s="16">
        <v>-5577</v>
      </c>
      <c r="S54" s="16">
        <v>-10662</v>
      </c>
      <c r="T54" s="16">
        <v>-48</v>
      </c>
      <c r="U54" s="16">
        <v>-11</v>
      </c>
      <c r="V54" s="16">
        <v>-18</v>
      </c>
      <c r="W54" s="16">
        <v>-2</v>
      </c>
    </row>
    <row r="55" spans="2:23" x14ac:dyDescent="0.2">
      <c r="B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2:23" x14ac:dyDescent="0.2">
      <c r="B56" s="15" t="s">
        <v>237</v>
      </c>
      <c r="C56" s="16">
        <v>3771</v>
      </c>
      <c r="D56" s="16">
        <v>3789</v>
      </c>
      <c r="E56" s="16">
        <v>6126</v>
      </c>
      <c r="F56" s="16">
        <v>6210</v>
      </c>
      <c r="G56" s="16">
        <v>6239.1</v>
      </c>
      <c r="H56" s="16">
        <v>6156</v>
      </c>
      <c r="I56" s="16">
        <v>7213</v>
      </c>
      <c r="J56" s="16">
        <v>7531</v>
      </c>
      <c r="K56" s="16">
        <v>7361</v>
      </c>
      <c r="L56" s="16">
        <v>7242</v>
      </c>
      <c r="M56" s="16">
        <v>6917</v>
      </c>
      <c r="N56" s="16">
        <v>6727</v>
      </c>
      <c r="O56" s="16">
        <v>7007</v>
      </c>
      <c r="P56" s="16">
        <v>8036</v>
      </c>
      <c r="Q56" s="16">
        <v>7817</v>
      </c>
      <c r="R56" s="16">
        <v>7442</v>
      </c>
      <c r="S56" s="16">
        <v>6813</v>
      </c>
      <c r="T56" s="16">
        <v>6346</v>
      </c>
      <c r="U56" s="16">
        <v>6176</v>
      </c>
      <c r="V56" s="16">
        <v>6089</v>
      </c>
      <c r="W56" s="16">
        <v>5970</v>
      </c>
    </row>
    <row r="57" spans="2:23" x14ac:dyDescent="0.2">
      <c r="B57" s="13" t="s">
        <v>238</v>
      </c>
      <c r="C57" s="18">
        <v>0.58666700000000005</v>
      </c>
      <c r="D57" s="18">
        <v>0.88333300000000003</v>
      </c>
      <c r="E57" s="18">
        <v>0.81</v>
      </c>
      <c r="F57" s="18">
        <v>0.6</v>
      </c>
      <c r="G57" s="18">
        <v>1.25</v>
      </c>
      <c r="H57" s="18">
        <v>1.48</v>
      </c>
      <c r="I57" s="18">
        <v>0.54</v>
      </c>
      <c r="J57" s="18">
        <v>1.51</v>
      </c>
      <c r="K57" s="18">
        <v>1.1000000000000001</v>
      </c>
      <c r="L57" s="18">
        <v>2.67</v>
      </c>
      <c r="M57" s="18">
        <v>1.18</v>
      </c>
      <c r="N57" s="18">
        <v>1.2</v>
      </c>
      <c r="O57" s="18">
        <v>1.23</v>
      </c>
      <c r="P57" s="18">
        <v>1.03</v>
      </c>
      <c r="Q57" s="18">
        <v>1.28</v>
      </c>
      <c r="R57" s="18">
        <v>1.96</v>
      </c>
      <c r="S57" s="18">
        <v>3.23</v>
      </c>
      <c r="T57" s="18">
        <v>1.44</v>
      </c>
      <c r="U57" s="18">
        <v>1.1299999999999999</v>
      </c>
      <c r="V57" s="18">
        <v>1.18</v>
      </c>
      <c r="W57" s="18">
        <v>3.57</v>
      </c>
    </row>
    <row r="58" spans="2:23" x14ac:dyDescent="0.2">
      <c r="B58" s="13" t="s">
        <v>239</v>
      </c>
      <c r="C58" s="18">
        <v>0.55333299999999996</v>
      </c>
      <c r="D58" s="18">
        <v>0.51333300000000004</v>
      </c>
      <c r="E58" s="18">
        <v>0.81</v>
      </c>
      <c r="F58" s="18">
        <v>0.6</v>
      </c>
      <c r="G58" s="18">
        <v>1.21</v>
      </c>
      <c r="H58" s="18">
        <v>1.49</v>
      </c>
      <c r="I58" s="18">
        <v>0.22</v>
      </c>
      <c r="J58" s="18">
        <v>1.51</v>
      </c>
      <c r="K58" s="18">
        <v>1.03</v>
      </c>
      <c r="L58" s="18">
        <v>1.52</v>
      </c>
      <c r="M58" s="18">
        <v>1.19</v>
      </c>
      <c r="N58" s="18">
        <v>1.19</v>
      </c>
      <c r="O58" s="18">
        <v>1.23</v>
      </c>
      <c r="P58" s="18">
        <v>1.02</v>
      </c>
      <c r="Q58" s="18">
        <v>1.07</v>
      </c>
      <c r="R58" s="18">
        <v>1.21</v>
      </c>
      <c r="S58" s="18">
        <v>1.67</v>
      </c>
      <c r="T58" s="18">
        <v>1.431926</v>
      </c>
      <c r="U58" s="18">
        <v>1.1299999999999999</v>
      </c>
      <c r="V58" s="18">
        <v>1.18</v>
      </c>
      <c r="W58" s="18">
        <v>3.57</v>
      </c>
    </row>
    <row r="59" spans="2:23" x14ac:dyDescent="0.2">
      <c r="B59" s="13" t="s">
        <v>240</v>
      </c>
      <c r="C59" s="18">
        <v>0.55000000000000004</v>
      </c>
      <c r="D59" s="18">
        <v>0.51333300000000004</v>
      </c>
      <c r="E59" s="18">
        <v>0.84</v>
      </c>
      <c r="F59" s="18">
        <v>1.05</v>
      </c>
      <c r="G59" s="18">
        <v>1.3</v>
      </c>
      <c r="H59" s="18">
        <v>1.61</v>
      </c>
      <c r="I59" s="18">
        <v>1.75</v>
      </c>
      <c r="J59" s="18">
        <v>1.8</v>
      </c>
      <c r="K59" s="18">
        <v>1.96</v>
      </c>
      <c r="L59" s="18">
        <v>2.0699999999999998</v>
      </c>
      <c r="M59" s="18">
        <v>2.19</v>
      </c>
      <c r="N59" s="18">
        <v>1.51</v>
      </c>
      <c r="O59" s="18">
        <v>1.6522049999999999</v>
      </c>
      <c r="P59" s="18">
        <v>1.4751430000000001</v>
      </c>
      <c r="Q59" s="18">
        <v>1.6420619999999999</v>
      </c>
      <c r="R59" s="18">
        <v>1.637329</v>
      </c>
      <c r="S59" s="18">
        <v>1.7761629999999999</v>
      </c>
      <c r="T59" s="18">
        <v>1.8025059999999999</v>
      </c>
      <c r="U59" s="18">
        <v>1.6899040000000001</v>
      </c>
      <c r="V59" s="18">
        <v>2.1198640000000002</v>
      </c>
      <c r="W59" s="18">
        <v>2.1611150000000001</v>
      </c>
    </row>
    <row r="60" spans="2:23" x14ac:dyDescent="0.2">
      <c r="B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2:23" x14ac:dyDescent="0.2">
      <c r="B61" s="15" t="s">
        <v>241</v>
      </c>
      <c r="C61" s="16">
        <v>3909</v>
      </c>
      <c r="D61" s="16">
        <v>3945</v>
      </c>
      <c r="E61" s="16">
        <v>6317</v>
      </c>
      <c r="F61" s="16">
        <v>6368</v>
      </c>
      <c r="G61" s="16">
        <v>6361.4</v>
      </c>
      <c r="H61" s="16">
        <v>6241</v>
      </c>
      <c r="I61" s="16">
        <v>7286</v>
      </c>
      <c r="J61" s="16">
        <v>7614</v>
      </c>
      <c r="K61" s="16">
        <v>7411</v>
      </c>
      <c r="L61" s="16">
        <v>7274</v>
      </c>
      <c r="M61" s="16">
        <v>6939</v>
      </c>
      <c r="N61" s="16">
        <v>6750</v>
      </c>
      <c r="O61" s="16">
        <v>7045</v>
      </c>
      <c r="P61" s="16">
        <v>8074</v>
      </c>
      <c r="Q61" s="16">
        <v>7870</v>
      </c>
      <c r="R61" s="16">
        <v>7508</v>
      </c>
      <c r="S61" s="16">
        <v>6895</v>
      </c>
      <c r="T61" s="16">
        <v>6424</v>
      </c>
      <c r="U61" s="16">
        <v>6257</v>
      </c>
      <c r="V61" s="16">
        <v>6159</v>
      </c>
      <c r="W61" s="16">
        <v>6058</v>
      </c>
    </row>
    <row r="62" spans="2:23" x14ac:dyDescent="0.2">
      <c r="B62" s="13" t="s">
        <v>242</v>
      </c>
      <c r="C62" s="18">
        <v>0.56666700000000003</v>
      </c>
      <c r="D62" s="18">
        <v>0.85</v>
      </c>
      <c r="E62" s="18">
        <v>0.78</v>
      </c>
      <c r="F62" s="18">
        <v>0.59</v>
      </c>
      <c r="G62" s="18">
        <v>1.22</v>
      </c>
      <c r="H62" s="18">
        <v>1.46</v>
      </c>
      <c r="I62" s="18">
        <v>0.54</v>
      </c>
      <c r="J62" s="18">
        <v>1.49</v>
      </c>
      <c r="K62" s="18">
        <v>1.0900000000000001</v>
      </c>
      <c r="L62" s="18">
        <v>2.66</v>
      </c>
      <c r="M62" s="18">
        <v>1.17</v>
      </c>
      <c r="N62" s="18">
        <v>1.2</v>
      </c>
      <c r="O62" s="18">
        <v>1.23</v>
      </c>
      <c r="P62" s="18">
        <v>1.02</v>
      </c>
      <c r="Q62" s="18">
        <v>1.27</v>
      </c>
      <c r="R62" s="18">
        <v>1.94</v>
      </c>
      <c r="S62" s="18">
        <v>3.19</v>
      </c>
      <c r="T62" s="18">
        <v>1.42</v>
      </c>
      <c r="U62" s="18">
        <v>1.1100000000000001</v>
      </c>
      <c r="V62" s="18">
        <v>1.17</v>
      </c>
      <c r="W62" s="18">
        <v>3.52</v>
      </c>
    </row>
    <row r="63" spans="2:23" x14ac:dyDescent="0.2">
      <c r="B63" s="13" t="s">
        <v>243</v>
      </c>
      <c r="C63" s="18">
        <v>0.53333299999999995</v>
      </c>
      <c r="D63" s="18">
        <v>0.49333300000000002</v>
      </c>
      <c r="E63" s="18">
        <v>0.79</v>
      </c>
      <c r="F63" s="18">
        <v>0.59</v>
      </c>
      <c r="G63" s="18">
        <v>1.18</v>
      </c>
      <c r="H63" s="18">
        <v>1.47</v>
      </c>
      <c r="I63" s="18">
        <v>0.22</v>
      </c>
      <c r="J63" s="18">
        <v>1.49</v>
      </c>
      <c r="K63" s="18">
        <v>1.02</v>
      </c>
      <c r="L63" s="18">
        <v>1.52</v>
      </c>
      <c r="M63" s="18">
        <v>1.18</v>
      </c>
      <c r="N63" s="18">
        <v>1.19</v>
      </c>
      <c r="O63" s="18">
        <v>1.23</v>
      </c>
      <c r="P63" s="18">
        <v>1.01</v>
      </c>
      <c r="Q63" s="18">
        <v>1.06</v>
      </c>
      <c r="R63" s="18">
        <v>1.2</v>
      </c>
      <c r="S63" s="18">
        <v>1.65</v>
      </c>
      <c r="T63" s="18">
        <v>1.412528</v>
      </c>
      <c r="U63" s="18">
        <v>1.1100000000000001</v>
      </c>
      <c r="V63" s="18">
        <v>1.17</v>
      </c>
      <c r="W63" s="18">
        <v>3.52</v>
      </c>
    </row>
    <row r="64" spans="2:23" x14ac:dyDescent="0.2">
      <c r="B64" s="13" t="s">
        <v>244</v>
      </c>
      <c r="C64" s="18">
        <v>0.53</v>
      </c>
      <c r="D64" s="18">
        <v>0.49333300000000002</v>
      </c>
      <c r="E64" s="18">
        <v>0.82</v>
      </c>
      <c r="F64" s="18">
        <v>1.02</v>
      </c>
      <c r="G64" s="18">
        <v>1.27</v>
      </c>
      <c r="H64" s="18">
        <v>1.59</v>
      </c>
      <c r="I64" s="18">
        <v>1.75</v>
      </c>
      <c r="J64" s="18">
        <v>1.78</v>
      </c>
      <c r="K64" s="18">
        <v>1.95</v>
      </c>
      <c r="L64" s="18">
        <v>2.0699999999999998</v>
      </c>
      <c r="M64" s="18">
        <v>2.17</v>
      </c>
      <c r="N64" s="18">
        <v>1.51</v>
      </c>
      <c r="O64" s="18">
        <v>1.650298</v>
      </c>
      <c r="P64" s="18">
        <v>1.4654430000000001</v>
      </c>
      <c r="Q64" s="18">
        <v>1.629759</v>
      </c>
      <c r="R64" s="18">
        <v>1.625413</v>
      </c>
      <c r="S64" s="18">
        <v>1.7605150000000001</v>
      </c>
      <c r="T64" s="18">
        <v>1.778608</v>
      </c>
      <c r="U64" s="18">
        <v>1.667751</v>
      </c>
      <c r="V64" s="18">
        <v>2.0975609999999998</v>
      </c>
      <c r="W64" s="18">
        <v>2.1328849999999999</v>
      </c>
    </row>
    <row r="65" spans="2:23" x14ac:dyDescent="0.2">
      <c r="B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2:23" x14ac:dyDescent="0.2">
      <c r="B66" s="13" t="s">
        <v>22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2:23" x14ac:dyDescent="0.2">
      <c r="B67" s="15" t="s">
        <v>23</v>
      </c>
      <c r="C67" s="19" t="s">
        <v>24</v>
      </c>
      <c r="D67" s="19" t="s">
        <v>24</v>
      </c>
      <c r="E67" s="19" t="s">
        <v>24</v>
      </c>
      <c r="F67" s="19" t="s">
        <v>24</v>
      </c>
      <c r="G67" s="19" t="s">
        <v>24</v>
      </c>
      <c r="H67" s="19" t="s">
        <v>24</v>
      </c>
      <c r="I67" s="19" t="s">
        <v>24</v>
      </c>
      <c r="J67" s="19" t="s">
        <v>24</v>
      </c>
      <c r="K67" s="19" t="s">
        <v>24</v>
      </c>
      <c r="L67" s="19" t="s">
        <v>24</v>
      </c>
      <c r="M67" s="19" t="s">
        <v>24</v>
      </c>
      <c r="N67" s="19" t="s">
        <v>24</v>
      </c>
      <c r="O67" s="19" t="s">
        <v>24</v>
      </c>
      <c r="P67" s="19" t="s">
        <v>24</v>
      </c>
      <c r="Q67" s="19" t="s">
        <v>24</v>
      </c>
      <c r="R67" s="19" t="s">
        <v>24</v>
      </c>
      <c r="S67" s="19" t="s">
        <v>24</v>
      </c>
      <c r="T67" s="19" t="s">
        <v>24</v>
      </c>
      <c r="U67" s="19" t="s">
        <v>24</v>
      </c>
      <c r="V67" s="19" t="s">
        <v>24</v>
      </c>
      <c r="W67" s="19" t="s">
        <v>24</v>
      </c>
    </row>
    <row r="68" spans="2:23" x14ac:dyDescent="0.2">
      <c r="B68" s="15" t="s">
        <v>25</v>
      </c>
      <c r="C68" s="16">
        <v>3501</v>
      </c>
      <c r="D68" s="16">
        <v>3083</v>
      </c>
      <c r="E68" s="16">
        <v>7971</v>
      </c>
      <c r="F68" s="16">
        <v>9658</v>
      </c>
      <c r="G68" s="16">
        <v>11776</v>
      </c>
      <c r="H68" s="16">
        <v>13352</v>
      </c>
      <c r="I68" s="16">
        <v>20115</v>
      </c>
      <c r="J68" s="16">
        <v>22181</v>
      </c>
      <c r="K68" s="16">
        <v>19781</v>
      </c>
      <c r="L68" s="16">
        <v>19575</v>
      </c>
      <c r="M68" s="16">
        <v>19980</v>
      </c>
      <c r="N68" s="16">
        <v>22146</v>
      </c>
      <c r="O68" s="16">
        <v>20772</v>
      </c>
      <c r="P68" s="16">
        <v>26398</v>
      </c>
      <c r="Q68" s="16">
        <v>28229</v>
      </c>
      <c r="R68" s="16">
        <v>25737</v>
      </c>
      <c r="S68" s="16">
        <v>23298</v>
      </c>
      <c r="T68" s="16">
        <v>21002</v>
      </c>
      <c r="U68" s="16">
        <v>20566</v>
      </c>
      <c r="V68" s="16">
        <v>24248</v>
      </c>
      <c r="W68" s="16">
        <v>22185</v>
      </c>
    </row>
    <row r="69" spans="2:23" x14ac:dyDescent="0.2">
      <c r="B69" s="15" t="s">
        <v>26</v>
      </c>
      <c r="C69" s="20">
        <v>27.999040000000001</v>
      </c>
      <c r="D69" s="20">
        <v>22.762847000000001</v>
      </c>
      <c r="E69" s="20">
        <v>29.116745000000002</v>
      </c>
      <c r="F69" s="20">
        <v>32.900697999999998</v>
      </c>
      <c r="G69" s="20">
        <v>40.573318999999998</v>
      </c>
      <c r="H69" s="20">
        <v>41.244247000000001</v>
      </c>
      <c r="I69" s="20">
        <v>44.514029999999998</v>
      </c>
      <c r="J69" s="20">
        <v>42.236651999999999</v>
      </c>
      <c r="K69" s="20">
        <v>41.727665999999999</v>
      </c>
      <c r="L69" s="20">
        <v>40.468463</v>
      </c>
      <c r="M69" s="20">
        <v>41.265644999999999</v>
      </c>
      <c r="N69" s="20">
        <v>45.854728999999999</v>
      </c>
      <c r="O69" s="20">
        <v>41.598911000000001</v>
      </c>
      <c r="P69" s="20">
        <v>39.377079000000002</v>
      </c>
      <c r="Q69" s="20">
        <v>43.256869000000002</v>
      </c>
      <c r="R69" s="20">
        <v>47.088205000000002</v>
      </c>
      <c r="S69" s="20">
        <v>45.281039</v>
      </c>
      <c r="T69" s="20">
        <v>42.338473999999998</v>
      </c>
      <c r="U69" s="20">
        <v>42.099445000000003</v>
      </c>
      <c r="V69" s="20">
        <v>45.903376999999999</v>
      </c>
      <c r="W69" s="20">
        <v>42.220149999999997</v>
      </c>
    </row>
    <row r="70" spans="2:23" x14ac:dyDescent="0.2">
      <c r="B70" s="15" t="s">
        <v>245</v>
      </c>
      <c r="C70" s="16">
        <v>3138</v>
      </c>
      <c r="D70" s="16" t="s">
        <v>34</v>
      </c>
      <c r="E70" s="16" t="s">
        <v>34</v>
      </c>
      <c r="F70" s="16" t="s">
        <v>34</v>
      </c>
      <c r="G70" s="16" t="s">
        <v>34</v>
      </c>
      <c r="H70" s="16" t="s">
        <v>34</v>
      </c>
      <c r="I70" s="16" t="s">
        <v>34</v>
      </c>
      <c r="J70" s="16" t="s">
        <v>34</v>
      </c>
      <c r="K70" s="16" t="s">
        <v>34</v>
      </c>
      <c r="L70" s="16" t="s">
        <v>34</v>
      </c>
      <c r="M70" s="16" t="s">
        <v>34</v>
      </c>
      <c r="N70" s="16" t="s">
        <v>34</v>
      </c>
      <c r="O70" s="16">
        <v>19015</v>
      </c>
      <c r="P70" s="16">
        <v>23415</v>
      </c>
      <c r="Q70" s="16">
        <v>24907</v>
      </c>
      <c r="R70" s="16">
        <v>23191</v>
      </c>
      <c r="S70" s="16">
        <v>21487</v>
      </c>
      <c r="T70" s="16">
        <v>19504</v>
      </c>
      <c r="U70" s="16">
        <v>19137</v>
      </c>
      <c r="V70" s="16">
        <v>22547</v>
      </c>
      <c r="W70" s="16">
        <v>20674</v>
      </c>
    </row>
    <row r="71" spans="2:23" x14ac:dyDescent="0.2">
      <c r="B71" s="15" t="s">
        <v>246</v>
      </c>
      <c r="C71" s="16">
        <v>3073</v>
      </c>
      <c r="D71" s="16">
        <v>2594</v>
      </c>
      <c r="E71" s="16">
        <v>7066</v>
      </c>
      <c r="F71" s="16">
        <v>8690</v>
      </c>
      <c r="G71" s="16">
        <v>10708</v>
      </c>
      <c r="H71" s="16">
        <v>12316</v>
      </c>
      <c r="I71" s="16">
        <v>16090</v>
      </c>
      <c r="J71" s="16">
        <v>17088</v>
      </c>
      <c r="K71" s="16">
        <v>14205</v>
      </c>
      <c r="L71" s="16">
        <v>14282</v>
      </c>
      <c r="M71" s="16">
        <v>14780</v>
      </c>
      <c r="N71" s="16">
        <v>17056</v>
      </c>
      <c r="O71" s="16">
        <v>16015</v>
      </c>
      <c r="P71" s="16">
        <v>17911</v>
      </c>
      <c r="Q71" s="16">
        <v>19322</v>
      </c>
      <c r="R71" s="16">
        <v>18082</v>
      </c>
      <c r="S71" s="16">
        <v>16888</v>
      </c>
      <c r="T71" s="16">
        <v>15465</v>
      </c>
      <c r="U71" s="16">
        <v>15409</v>
      </c>
      <c r="V71" s="16">
        <v>18491</v>
      </c>
      <c r="W71" s="16">
        <v>15916</v>
      </c>
    </row>
    <row r="72" spans="2:23" x14ac:dyDescent="0.2">
      <c r="B72" s="15" t="s">
        <v>27</v>
      </c>
      <c r="C72" s="20">
        <v>85.796544999999995</v>
      </c>
      <c r="D72" s="20">
        <v>84.539278999999993</v>
      </c>
      <c r="E72" s="20">
        <v>80.040912000000006</v>
      </c>
      <c r="F72" s="20">
        <v>82.943280999999999</v>
      </c>
      <c r="G72" s="20">
        <v>86.828142</v>
      </c>
      <c r="H72" s="20">
        <v>87.505020000000002</v>
      </c>
      <c r="I72" s="20">
        <v>84.659644</v>
      </c>
      <c r="J72" s="20">
        <v>85.640567000000004</v>
      </c>
      <c r="K72" s="20">
        <v>84.744225</v>
      </c>
      <c r="L72" s="20">
        <v>84.205411999999995</v>
      </c>
      <c r="M72" s="20">
        <v>84.003883000000002</v>
      </c>
      <c r="N72" s="20">
        <v>85.423222999999993</v>
      </c>
      <c r="O72" s="20">
        <v>82.679136</v>
      </c>
      <c r="P72" s="20">
        <v>77.501155999999995</v>
      </c>
      <c r="Q72" s="20">
        <v>79.674834000000004</v>
      </c>
      <c r="R72" s="20">
        <v>82.631685000000004</v>
      </c>
      <c r="S72" s="20">
        <v>82.022079000000005</v>
      </c>
      <c r="T72" s="20">
        <v>81.576453999999998</v>
      </c>
      <c r="U72" s="20">
        <v>80.690262000000004</v>
      </c>
      <c r="V72" s="20">
        <v>77.983491999999998</v>
      </c>
      <c r="W72" s="20">
        <v>78.772885000000002</v>
      </c>
    </row>
    <row r="73" spans="2:23" x14ac:dyDescent="0.2">
      <c r="B73" s="15" t="s">
        <v>28</v>
      </c>
      <c r="C73" s="20">
        <v>24.576136000000002</v>
      </c>
      <c r="D73" s="20">
        <v>19.152391999999999</v>
      </c>
      <c r="E73" s="20">
        <v>25.810929000000002</v>
      </c>
      <c r="F73" s="20">
        <v>29.603134000000001</v>
      </c>
      <c r="G73" s="20">
        <v>36.893605000000001</v>
      </c>
      <c r="H73" s="20">
        <v>38.044049000000001</v>
      </c>
      <c r="I73" s="20">
        <v>35.606797999999998</v>
      </c>
      <c r="J73" s="20">
        <v>32.538654999999999</v>
      </c>
      <c r="K73" s="20">
        <v>29.965194</v>
      </c>
      <c r="L73" s="20">
        <v>29.525956000000001</v>
      </c>
      <c r="M73" s="20">
        <v>30.525836999999999</v>
      </c>
      <c r="N73" s="20">
        <v>35.315553999999999</v>
      </c>
      <c r="O73" s="20">
        <v>32.072335000000002</v>
      </c>
      <c r="P73" s="20">
        <v>26.717283999999999</v>
      </c>
      <c r="Q73" s="20">
        <v>29.608177000000001</v>
      </c>
      <c r="R73" s="20">
        <v>33.082678999999999</v>
      </c>
      <c r="S73" s="20">
        <v>32.822825000000002</v>
      </c>
      <c r="T73" s="20">
        <v>31.176293000000001</v>
      </c>
      <c r="U73" s="20">
        <v>31.542854999999999</v>
      </c>
      <c r="V73" s="20">
        <v>35.004922000000001</v>
      </c>
      <c r="W73" s="20">
        <v>30.289650999999999</v>
      </c>
    </row>
    <row r="74" spans="2:23" x14ac:dyDescent="0.2">
      <c r="B74" s="15" t="s">
        <v>29</v>
      </c>
      <c r="C74" s="20">
        <v>17.698336999999999</v>
      </c>
      <c r="D74" s="20">
        <v>24.741582999999999</v>
      </c>
      <c r="E74" s="20">
        <v>18.088837000000002</v>
      </c>
      <c r="F74" s="20">
        <v>12.692897</v>
      </c>
      <c r="G74" s="20">
        <v>26.832965999999999</v>
      </c>
      <c r="H74" s="20">
        <v>28.190158</v>
      </c>
      <c r="I74" s="20">
        <v>8.6527399999999997</v>
      </c>
      <c r="J74" s="20">
        <v>21.633406999999998</v>
      </c>
      <c r="K74" s="20">
        <v>17.055163</v>
      </c>
      <c r="L74" s="20">
        <v>39.976432000000003</v>
      </c>
      <c r="M74" s="20">
        <v>16.820191000000001</v>
      </c>
      <c r="N74" s="20">
        <v>16.779858000000001</v>
      </c>
      <c r="O74" s="20">
        <v>23.194617000000001</v>
      </c>
      <c r="P74" s="20">
        <v>17.687093000000001</v>
      </c>
      <c r="Q74" s="20">
        <v>19.673915000000001</v>
      </c>
      <c r="R74" s="20">
        <v>22.297235000000001</v>
      </c>
      <c r="S74" s="20">
        <v>23.522894999999998</v>
      </c>
      <c r="T74" s="20">
        <v>23.059570999999998</v>
      </c>
      <c r="U74" s="20">
        <v>21.368753999999999</v>
      </c>
      <c r="V74" s="20">
        <v>24.439364999999999</v>
      </c>
      <c r="W74" s="20">
        <v>24.555358999999999</v>
      </c>
    </row>
    <row r="75" spans="2:23" x14ac:dyDescent="0.2">
      <c r="B75" s="15" t="s">
        <v>30</v>
      </c>
      <c r="C75" s="20">
        <v>254146.34146299999</v>
      </c>
      <c r="D75" s="20" t="s">
        <v>34</v>
      </c>
      <c r="E75" s="20" t="s">
        <v>34</v>
      </c>
      <c r="F75" s="20">
        <v>326166.66666699998</v>
      </c>
      <c r="G75" s="20">
        <v>322488.88888899999</v>
      </c>
      <c r="H75" s="20">
        <v>330336.73469399998</v>
      </c>
      <c r="I75" s="20">
        <v>370393.44262300001</v>
      </c>
      <c r="J75" s="20">
        <v>456660.869565</v>
      </c>
      <c r="K75" s="20" t="s">
        <v>34</v>
      </c>
      <c r="L75" s="20" t="s">
        <v>34</v>
      </c>
      <c r="M75" s="20" t="s">
        <v>34</v>
      </c>
      <c r="N75" s="20" t="s">
        <v>34</v>
      </c>
      <c r="O75" s="20" t="s">
        <v>34</v>
      </c>
      <c r="P75" s="20">
        <v>606139.240506</v>
      </c>
      <c r="Q75" s="20">
        <v>629305.68948900001</v>
      </c>
      <c r="R75" s="20">
        <v>597344.26229500002</v>
      </c>
      <c r="S75" s="20">
        <v>662187.90218800004</v>
      </c>
      <c r="T75" s="20">
        <v>633524.90421499999</v>
      </c>
      <c r="U75" s="20">
        <v>498988.76404500002</v>
      </c>
      <c r="V75" s="20">
        <v>547398.96373099997</v>
      </c>
      <c r="W75" s="20">
        <v>582549.88913499995</v>
      </c>
    </row>
    <row r="76" spans="2:23" x14ac:dyDescent="0.2">
      <c r="B76" s="15" t="s">
        <v>31</v>
      </c>
      <c r="C76" s="20">
        <v>0.22666700000000001</v>
      </c>
      <c r="D76" s="20">
        <v>0.25333299999999997</v>
      </c>
      <c r="E76" s="20">
        <v>0.31</v>
      </c>
      <c r="F76" s="20">
        <v>0.36</v>
      </c>
      <c r="G76" s="20">
        <v>0.44</v>
      </c>
      <c r="H76" s="20">
        <v>0.52</v>
      </c>
      <c r="I76" s="20">
        <v>0.6</v>
      </c>
      <c r="J76" s="20">
        <v>0.68</v>
      </c>
      <c r="K76" s="20">
        <v>0.76</v>
      </c>
      <c r="L76" s="20">
        <v>0.96</v>
      </c>
      <c r="M76" s="20">
        <v>1.1599999999999999</v>
      </c>
      <c r="N76" s="20">
        <v>1.28</v>
      </c>
      <c r="O76" s="20">
        <v>0.8</v>
      </c>
      <c r="P76" s="20">
        <v>0.72</v>
      </c>
      <c r="Q76" s="20">
        <v>0.8</v>
      </c>
      <c r="R76" s="20">
        <v>0.88</v>
      </c>
      <c r="S76" s="20">
        <v>0.96</v>
      </c>
      <c r="T76" s="20">
        <v>1.04</v>
      </c>
      <c r="U76" s="20">
        <v>1.1200000000000001</v>
      </c>
      <c r="V76" s="20">
        <v>1.2</v>
      </c>
      <c r="W76" s="20">
        <v>1.28</v>
      </c>
    </row>
    <row r="77" spans="2:23" x14ac:dyDescent="0.2">
      <c r="B77" s="15" t="s">
        <v>32</v>
      </c>
      <c r="C77" s="16">
        <v>881</v>
      </c>
      <c r="D77" s="16">
        <v>976</v>
      </c>
      <c r="E77" s="16">
        <v>1820</v>
      </c>
      <c r="F77" s="16">
        <v>2197</v>
      </c>
      <c r="G77" s="16">
        <v>2869</v>
      </c>
      <c r="H77" s="16">
        <v>3189.1309999999999</v>
      </c>
      <c r="I77" s="16">
        <v>4327.665</v>
      </c>
      <c r="J77" s="16">
        <v>5243</v>
      </c>
      <c r="K77" s="16">
        <v>5555</v>
      </c>
      <c r="L77" s="16">
        <v>6919</v>
      </c>
      <c r="M77" s="16">
        <v>7975</v>
      </c>
      <c r="N77" s="16">
        <v>8610.56</v>
      </c>
      <c r="O77" s="16">
        <v>5605.6</v>
      </c>
      <c r="P77" s="16">
        <v>5964</v>
      </c>
      <c r="Q77" s="16">
        <v>6512</v>
      </c>
      <c r="R77" s="16">
        <v>6548.96</v>
      </c>
      <c r="S77" s="16">
        <v>6540.48</v>
      </c>
      <c r="T77" s="16">
        <v>6599.84</v>
      </c>
      <c r="U77" s="16">
        <v>6917.12</v>
      </c>
      <c r="V77" s="16">
        <v>7306.8</v>
      </c>
      <c r="W77" s="16">
        <v>7641.6</v>
      </c>
    </row>
    <row r="78" spans="2:23" x14ac:dyDescent="0.2">
      <c r="B78" s="15" t="s">
        <v>33</v>
      </c>
      <c r="C78" s="16">
        <v>2</v>
      </c>
      <c r="D78" s="16" t="s">
        <v>34</v>
      </c>
      <c r="E78" s="16">
        <v>40</v>
      </c>
      <c r="F78" s="16">
        <v>46</v>
      </c>
      <c r="G78" s="16">
        <v>56</v>
      </c>
      <c r="H78" s="16">
        <v>28</v>
      </c>
      <c r="I78" s="16">
        <v>20</v>
      </c>
      <c r="J78" s="16">
        <v>12</v>
      </c>
      <c r="K78" s="16">
        <v>17</v>
      </c>
      <c r="L78" s="16">
        <v>29</v>
      </c>
      <c r="M78" s="16">
        <v>43</v>
      </c>
      <c r="N78" s="16">
        <v>46</v>
      </c>
      <c r="O78" s="16">
        <v>34</v>
      </c>
      <c r="P78" s="16">
        <v>36</v>
      </c>
      <c r="Q78" s="16">
        <v>50</v>
      </c>
      <c r="R78" s="16">
        <v>41</v>
      </c>
      <c r="S78" s="16">
        <v>32</v>
      </c>
      <c r="T78" s="16">
        <v>41</v>
      </c>
      <c r="U78" s="16">
        <v>32</v>
      </c>
      <c r="V78" s="16">
        <v>61</v>
      </c>
      <c r="W78" s="16">
        <v>72</v>
      </c>
    </row>
    <row r="79" spans="2:23" x14ac:dyDescent="0.2">
      <c r="B79" s="15" t="s">
        <v>35</v>
      </c>
      <c r="C79" s="16">
        <v>363</v>
      </c>
      <c r="D79" s="16" t="s">
        <v>34</v>
      </c>
      <c r="E79" s="16" t="s">
        <v>34</v>
      </c>
      <c r="F79" s="16" t="s">
        <v>34</v>
      </c>
      <c r="G79" s="16" t="s">
        <v>34</v>
      </c>
      <c r="H79" s="16" t="s">
        <v>34</v>
      </c>
      <c r="I79" s="16" t="s">
        <v>34</v>
      </c>
      <c r="J79" s="16" t="s">
        <v>34</v>
      </c>
      <c r="K79" s="16" t="s">
        <v>34</v>
      </c>
      <c r="L79" s="16" t="s">
        <v>34</v>
      </c>
      <c r="M79" s="16" t="s">
        <v>34</v>
      </c>
      <c r="N79" s="16" t="s">
        <v>34</v>
      </c>
      <c r="O79" s="16" t="s">
        <v>34</v>
      </c>
      <c r="P79" s="16" t="s">
        <v>34</v>
      </c>
      <c r="Q79" s="16" t="s">
        <v>34</v>
      </c>
      <c r="R79" s="16" t="s">
        <v>34</v>
      </c>
      <c r="S79" s="16" t="s">
        <v>34</v>
      </c>
      <c r="T79" s="16" t="s">
        <v>34</v>
      </c>
      <c r="U79" s="16" t="s">
        <v>34</v>
      </c>
      <c r="V79" s="16" t="s">
        <v>34</v>
      </c>
      <c r="W79" s="16" t="s">
        <v>34</v>
      </c>
    </row>
    <row r="80" spans="2:23" x14ac:dyDescent="0.2">
      <c r="B80" s="15" t="s">
        <v>247</v>
      </c>
      <c r="C80" s="16" t="s">
        <v>34</v>
      </c>
      <c r="D80" s="16" t="s">
        <v>34</v>
      </c>
      <c r="E80" s="16">
        <v>295</v>
      </c>
      <c r="F80" s="16">
        <v>292</v>
      </c>
      <c r="G80" s="16">
        <v>280</v>
      </c>
      <c r="H80" s="16">
        <v>341</v>
      </c>
      <c r="I80" s="16">
        <v>634</v>
      </c>
      <c r="J80" s="16">
        <v>708</v>
      </c>
      <c r="K80" s="16">
        <v>410</v>
      </c>
      <c r="L80" s="16">
        <v>420</v>
      </c>
      <c r="M80" s="16">
        <v>398</v>
      </c>
      <c r="N80" s="16">
        <v>370</v>
      </c>
      <c r="O80" s="16">
        <v>364</v>
      </c>
      <c r="P80" s="16">
        <v>387</v>
      </c>
      <c r="Q80" s="16">
        <v>380</v>
      </c>
      <c r="R80" s="16">
        <v>335</v>
      </c>
      <c r="S80" s="16">
        <v>233</v>
      </c>
      <c r="T80" s="16">
        <v>216</v>
      </c>
      <c r="U80" s="16">
        <v>243</v>
      </c>
      <c r="V80" s="16">
        <v>292</v>
      </c>
      <c r="W80" s="16">
        <v>314</v>
      </c>
    </row>
    <row r="81" spans="2:23" x14ac:dyDescent="0.2">
      <c r="B81" s="21" t="s">
        <v>36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</sheetData>
  <phoneticPr fontId="4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99"/>
  </sheetPr>
  <dimension ref="C3:X231"/>
  <sheetViews>
    <sheetView zoomScale="85" zoomScaleNormal="85" workbookViewId="0">
      <selection activeCell="A33" sqref="A33:XFD33"/>
    </sheetView>
  </sheetViews>
  <sheetFormatPr baseColWidth="10" defaultColWidth="9.1640625" defaultRowHeight="15" x14ac:dyDescent="0.2"/>
  <cols>
    <col min="1" max="2" width="9.1640625" style="1"/>
    <col min="3" max="3" width="51.33203125" style="1" bestFit="1" customWidth="1"/>
    <col min="4" max="24" width="10.1640625" style="1" bestFit="1" customWidth="1"/>
    <col min="25" max="16384" width="9.1640625" style="1"/>
  </cols>
  <sheetData>
    <row r="3" spans="3:24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3:24" ht="20" x14ac:dyDescent="0.2">
      <c r="C4" s="22" t="s">
        <v>84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3:24" x14ac:dyDescent="0.2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3:24" x14ac:dyDescent="0.2">
      <c r="C6" s="9" t="s">
        <v>6</v>
      </c>
      <c r="D6" s="10" t="s">
        <v>85</v>
      </c>
      <c r="E6" s="10" t="s">
        <v>37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86</v>
      </c>
      <c r="K6" s="10" t="s">
        <v>87</v>
      </c>
      <c r="L6" s="10" t="s">
        <v>88</v>
      </c>
      <c r="M6" s="10" t="s">
        <v>89</v>
      </c>
      <c r="N6" s="10" t="s">
        <v>90</v>
      </c>
      <c r="O6" s="10" t="s">
        <v>91</v>
      </c>
      <c r="P6" s="10" t="s">
        <v>92</v>
      </c>
      <c r="Q6" s="10" t="s">
        <v>93</v>
      </c>
      <c r="R6" s="10" t="s">
        <v>94</v>
      </c>
      <c r="S6" s="10" t="s">
        <v>95</v>
      </c>
      <c r="T6" s="10" t="s">
        <v>96</v>
      </c>
      <c r="U6" s="10" t="s">
        <v>97</v>
      </c>
      <c r="V6" s="10" t="s">
        <v>98</v>
      </c>
      <c r="W6" s="10" t="s">
        <v>99</v>
      </c>
      <c r="X6" s="10" t="s">
        <v>100</v>
      </c>
    </row>
    <row r="7" spans="3:24" x14ac:dyDescent="0.2">
      <c r="C7" s="11" t="s">
        <v>11</v>
      </c>
      <c r="D7" s="12" t="s">
        <v>101</v>
      </c>
      <c r="E7" s="12" t="s">
        <v>38</v>
      </c>
      <c r="F7" s="12" t="s">
        <v>12</v>
      </c>
      <c r="G7" s="12" t="s">
        <v>13</v>
      </c>
      <c r="H7" s="12" t="s">
        <v>14</v>
      </c>
      <c r="I7" s="12" t="s">
        <v>15</v>
      </c>
      <c r="J7" s="12" t="s">
        <v>102</v>
      </c>
      <c r="K7" s="12" t="s">
        <v>103</v>
      </c>
      <c r="L7" s="12" t="s">
        <v>104</v>
      </c>
      <c r="M7" s="12" t="s">
        <v>105</v>
      </c>
      <c r="N7" s="12" t="s">
        <v>106</v>
      </c>
      <c r="O7" s="12" t="s">
        <v>107</v>
      </c>
      <c r="P7" s="12" t="s">
        <v>108</v>
      </c>
      <c r="Q7" s="12" t="s">
        <v>109</v>
      </c>
      <c r="R7" s="12" t="s">
        <v>110</v>
      </c>
      <c r="S7" s="12" t="s">
        <v>111</v>
      </c>
      <c r="T7" s="12" t="s">
        <v>112</v>
      </c>
      <c r="U7" s="12" t="s">
        <v>113</v>
      </c>
      <c r="V7" s="12" t="s">
        <v>114</v>
      </c>
      <c r="W7" s="12" t="s">
        <v>115</v>
      </c>
      <c r="X7" s="12" t="s">
        <v>116</v>
      </c>
    </row>
    <row r="8" spans="3:24" x14ac:dyDescent="0.2">
      <c r="C8" s="13" t="s">
        <v>42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3:24" x14ac:dyDescent="0.2">
      <c r="C9" s="15" t="s">
        <v>117</v>
      </c>
      <c r="D9" s="16">
        <v>1589</v>
      </c>
      <c r="E9" s="16">
        <v>3929</v>
      </c>
      <c r="F9" s="16">
        <v>6386</v>
      </c>
      <c r="G9" s="16">
        <v>6863</v>
      </c>
      <c r="H9" s="16">
        <v>8615</v>
      </c>
      <c r="I9" s="16">
        <v>12551</v>
      </c>
      <c r="J9" s="16">
        <v>11952</v>
      </c>
      <c r="K9" s="16">
        <v>19893</v>
      </c>
      <c r="L9" s="16">
        <v>22226</v>
      </c>
      <c r="M9" s="16">
        <v>27713</v>
      </c>
      <c r="N9" s="16">
        <v>25475</v>
      </c>
      <c r="O9" s="16">
        <v>23731</v>
      </c>
      <c r="P9" s="16">
        <v>25969</v>
      </c>
      <c r="Q9" s="16">
        <v>28012</v>
      </c>
      <c r="R9" s="16">
        <v>26452</v>
      </c>
      <c r="S9" s="16">
        <v>32399</v>
      </c>
      <c r="T9" s="16">
        <v>32408</v>
      </c>
      <c r="U9" s="16">
        <v>36122</v>
      </c>
      <c r="V9" s="16">
        <v>23290</v>
      </c>
      <c r="W9" s="16">
        <v>17850</v>
      </c>
      <c r="X9" s="16">
        <v>19992</v>
      </c>
    </row>
    <row r="10" spans="3:24" x14ac:dyDescent="0.2">
      <c r="C10" s="15" t="s">
        <v>118</v>
      </c>
      <c r="D10" s="16">
        <v>877</v>
      </c>
      <c r="E10" s="16">
        <v>1552</v>
      </c>
      <c r="F10" s="16">
        <v>2358</v>
      </c>
      <c r="G10" s="16">
        <v>1099</v>
      </c>
      <c r="H10" s="81">
        <v>1036</v>
      </c>
      <c r="I10" s="16">
        <v>1878</v>
      </c>
      <c r="J10" s="16">
        <v>1520</v>
      </c>
      <c r="K10" s="16">
        <v>1808</v>
      </c>
      <c r="L10" s="16">
        <v>2247</v>
      </c>
      <c r="M10" s="16">
        <v>1827</v>
      </c>
      <c r="N10" s="16">
        <v>3406</v>
      </c>
      <c r="O10" s="16">
        <v>2122</v>
      </c>
      <c r="P10" s="16">
        <v>1978</v>
      </c>
      <c r="Q10" s="16">
        <v>1735</v>
      </c>
      <c r="R10" s="16">
        <v>3182</v>
      </c>
      <c r="S10" s="16">
        <v>10081</v>
      </c>
      <c r="T10" s="16">
        <v>2183</v>
      </c>
      <c r="U10" s="16">
        <v>3343</v>
      </c>
      <c r="V10" s="16">
        <v>3641</v>
      </c>
      <c r="W10" s="16">
        <v>2595</v>
      </c>
      <c r="X10" s="16">
        <v>1342</v>
      </c>
    </row>
    <row r="11" spans="3:24" x14ac:dyDescent="0.2">
      <c r="C11" s="15" t="s">
        <v>119</v>
      </c>
      <c r="D11" s="16">
        <v>712</v>
      </c>
      <c r="E11" s="16">
        <v>2377</v>
      </c>
      <c r="F11" s="16">
        <v>4028</v>
      </c>
      <c r="G11" s="16">
        <v>5764</v>
      </c>
      <c r="H11" s="16">
        <v>7579</v>
      </c>
      <c r="I11" s="16">
        <v>10673</v>
      </c>
      <c r="J11" s="16">
        <v>10432</v>
      </c>
      <c r="K11" s="16">
        <v>18085</v>
      </c>
      <c r="L11" s="16">
        <v>19979</v>
      </c>
      <c r="M11" s="16">
        <v>25886</v>
      </c>
      <c r="N11" s="16">
        <v>22069</v>
      </c>
      <c r="O11" s="16">
        <v>21609</v>
      </c>
      <c r="P11" s="16">
        <v>23991</v>
      </c>
      <c r="Q11" s="16">
        <v>26277</v>
      </c>
      <c r="R11" s="16">
        <v>23270</v>
      </c>
      <c r="S11" s="16">
        <v>22318</v>
      </c>
      <c r="T11" s="16">
        <v>30225</v>
      </c>
      <c r="U11" s="16">
        <v>32779</v>
      </c>
      <c r="V11" s="16">
        <v>19649</v>
      </c>
      <c r="W11" s="16">
        <v>15255</v>
      </c>
      <c r="X11" s="16">
        <v>18650</v>
      </c>
    </row>
    <row r="12" spans="3:24" x14ac:dyDescent="0.2">
      <c r="C12" s="15" t="s">
        <v>120</v>
      </c>
      <c r="D12" s="16">
        <v>2335</v>
      </c>
      <c r="E12" s="16">
        <v>2914</v>
      </c>
      <c r="F12" s="16">
        <v>5368</v>
      </c>
      <c r="G12" s="16">
        <v>5489</v>
      </c>
      <c r="H12" s="16">
        <v>5067</v>
      </c>
      <c r="I12" s="16">
        <v>6184</v>
      </c>
      <c r="J12" s="16">
        <v>8775</v>
      </c>
      <c r="K12" s="16">
        <v>9367</v>
      </c>
      <c r="L12" s="16">
        <v>9103</v>
      </c>
      <c r="M12" s="16">
        <v>9392</v>
      </c>
      <c r="N12" s="16">
        <v>9843</v>
      </c>
      <c r="O12" s="16">
        <v>8958</v>
      </c>
      <c r="P12" s="16">
        <v>14645</v>
      </c>
      <c r="Q12" s="16">
        <v>13380</v>
      </c>
      <c r="R12" s="16">
        <v>13058</v>
      </c>
      <c r="S12" s="16">
        <v>10675</v>
      </c>
      <c r="T12" s="16">
        <v>9357</v>
      </c>
      <c r="U12" s="16">
        <v>8401</v>
      </c>
      <c r="V12" s="16">
        <v>8176</v>
      </c>
      <c r="W12" s="16">
        <v>8225</v>
      </c>
      <c r="X12" s="16">
        <v>8221</v>
      </c>
    </row>
    <row r="13" spans="3:24" x14ac:dyDescent="0.2">
      <c r="C13" s="15" t="s">
        <v>121</v>
      </c>
      <c r="D13" s="16" t="s">
        <v>34</v>
      </c>
      <c r="E13" s="16">
        <v>2914</v>
      </c>
      <c r="F13" s="16">
        <v>5368</v>
      </c>
      <c r="G13" s="16">
        <v>5489</v>
      </c>
      <c r="H13" s="16">
        <v>4798</v>
      </c>
      <c r="I13" s="16">
        <v>5785</v>
      </c>
      <c r="J13" s="16">
        <v>8775</v>
      </c>
      <c r="K13" s="16">
        <v>9367</v>
      </c>
      <c r="L13" s="16">
        <v>9103</v>
      </c>
      <c r="M13" s="16">
        <v>9392</v>
      </c>
      <c r="N13" s="16">
        <v>9843</v>
      </c>
      <c r="O13" s="16">
        <v>8958</v>
      </c>
      <c r="P13" s="16">
        <v>14645</v>
      </c>
      <c r="Q13" s="16">
        <v>13380</v>
      </c>
      <c r="R13" s="16">
        <v>13058</v>
      </c>
      <c r="S13" s="16">
        <v>10675</v>
      </c>
      <c r="T13" s="16">
        <v>9357</v>
      </c>
      <c r="U13" s="16">
        <v>8401</v>
      </c>
      <c r="V13" s="16">
        <v>8176</v>
      </c>
      <c r="W13" s="16">
        <v>8225</v>
      </c>
      <c r="X13" s="16">
        <v>8221</v>
      </c>
    </row>
    <row r="14" spans="3:24" x14ac:dyDescent="0.2">
      <c r="C14" s="15" t="s">
        <v>122</v>
      </c>
      <c r="D14" s="16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34</v>
      </c>
      <c r="J14" s="16" t="s">
        <v>34</v>
      </c>
      <c r="K14" s="16" t="s">
        <v>34</v>
      </c>
      <c r="L14" s="16" t="s">
        <v>34</v>
      </c>
      <c r="M14" s="16" t="s">
        <v>34</v>
      </c>
      <c r="N14" s="16" t="s">
        <v>34</v>
      </c>
      <c r="O14" s="16" t="s">
        <v>34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</row>
    <row r="15" spans="3:24" x14ac:dyDescent="0.2">
      <c r="C15" s="15" t="s">
        <v>39</v>
      </c>
      <c r="D15" s="16">
        <v>1461</v>
      </c>
      <c r="E15" s="16">
        <v>1828</v>
      </c>
      <c r="F15" s="16">
        <v>2588</v>
      </c>
      <c r="G15" s="16">
        <v>2702</v>
      </c>
      <c r="H15" s="16">
        <v>2485</v>
      </c>
      <c r="I15" s="16">
        <v>2678</v>
      </c>
      <c r="J15" s="16">
        <v>5837</v>
      </c>
      <c r="K15" s="16">
        <v>6660</v>
      </c>
      <c r="L15" s="16">
        <v>5478</v>
      </c>
      <c r="M15" s="16">
        <v>6111</v>
      </c>
      <c r="N15" s="16">
        <v>5302</v>
      </c>
      <c r="O15" s="16">
        <v>4381</v>
      </c>
      <c r="P15" s="16">
        <v>12403</v>
      </c>
      <c r="Q15" s="16">
        <v>8275</v>
      </c>
      <c r="R15" s="16">
        <v>6610</v>
      </c>
      <c r="S15" s="16">
        <v>6076</v>
      </c>
      <c r="T15" s="16">
        <v>6166</v>
      </c>
      <c r="U15" s="16">
        <v>5663</v>
      </c>
      <c r="V15" s="16">
        <v>7513</v>
      </c>
      <c r="W15" s="16">
        <v>6783</v>
      </c>
      <c r="X15" s="16">
        <v>7579</v>
      </c>
    </row>
    <row r="16" spans="3:24" x14ac:dyDescent="0.2">
      <c r="C16" s="15" t="s">
        <v>123</v>
      </c>
      <c r="D16" s="16">
        <v>211</v>
      </c>
      <c r="E16" s="16">
        <v>241</v>
      </c>
      <c r="F16" s="16">
        <v>464</v>
      </c>
      <c r="G16" s="16">
        <v>433</v>
      </c>
      <c r="H16" s="16">
        <v>412</v>
      </c>
      <c r="I16" s="16">
        <v>403</v>
      </c>
      <c r="J16" s="16">
        <v>1310</v>
      </c>
      <c r="K16" s="16">
        <v>1314</v>
      </c>
      <c r="L16" s="16">
        <v>1349</v>
      </c>
      <c r="M16" s="16">
        <v>1262</v>
      </c>
      <c r="N16" s="16">
        <v>885</v>
      </c>
      <c r="O16" s="16">
        <v>830</v>
      </c>
      <c r="P16" s="16">
        <v>1378</v>
      </c>
      <c r="Q16" s="16">
        <v>883</v>
      </c>
      <c r="R16" s="16">
        <v>785</v>
      </c>
      <c r="S16" s="16">
        <v>448</v>
      </c>
      <c r="T16" s="16">
        <v>505</v>
      </c>
      <c r="U16" s="16">
        <v>510</v>
      </c>
      <c r="V16" s="16">
        <v>867</v>
      </c>
      <c r="W16" s="16">
        <v>793</v>
      </c>
      <c r="X16" s="16">
        <v>788</v>
      </c>
    </row>
    <row r="17" spans="3:24" x14ac:dyDescent="0.2">
      <c r="C17" s="15" t="s">
        <v>124</v>
      </c>
      <c r="D17" s="16">
        <v>808</v>
      </c>
      <c r="E17" s="16">
        <v>890</v>
      </c>
      <c r="F17" s="16">
        <v>977</v>
      </c>
      <c r="G17" s="16">
        <v>1074</v>
      </c>
      <c r="H17" s="16">
        <v>1062</v>
      </c>
      <c r="I17" s="16">
        <v>1142</v>
      </c>
      <c r="J17" s="16">
        <v>2219</v>
      </c>
      <c r="K17" s="16">
        <v>2496</v>
      </c>
      <c r="L17" s="16">
        <v>2373</v>
      </c>
      <c r="M17" s="16">
        <v>3198</v>
      </c>
      <c r="N17" s="16">
        <v>2353</v>
      </c>
      <c r="O17" s="16">
        <v>1527</v>
      </c>
      <c r="P17" s="16">
        <v>5776</v>
      </c>
      <c r="Q17" s="16">
        <v>3727</v>
      </c>
      <c r="R17" s="16">
        <v>3514</v>
      </c>
      <c r="S17" s="16">
        <v>3374</v>
      </c>
      <c r="T17" s="16">
        <v>3445</v>
      </c>
      <c r="U17" s="16">
        <v>3248</v>
      </c>
      <c r="V17" s="16">
        <v>3932</v>
      </c>
      <c r="W17" s="16">
        <v>3696</v>
      </c>
      <c r="X17" s="16">
        <v>3908</v>
      </c>
    </row>
    <row r="18" spans="3:24" x14ac:dyDescent="0.2">
      <c r="C18" s="15" t="s">
        <v>125</v>
      </c>
      <c r="D18" s="16">
        <v>442</v>
      </c>
      <c r="E18" s="16">
        <v>697</v>
      </c>
      <c r="F18" s="16">
        <v>1147</v>
      </c>
      <c r="G18" s="16">
        <v>1195</v>
      </c>
      <c r="H18" s="16">
        <v>1011</v>
      </c>
      <c r="I18" s="16">
        <v>1133</v>
      </c>
      <c r="J18" s="16">
        <v>2308</v>
      </c>
      <c r="K18" s="16">
        <v>2850</v>
      </c>
      <c r="L18" s="16">
        <v>1756</v>
      </c>
      <c r="M18" s="16">
        <v>1651</v>
      </c>
      <c r="N18" s="16">
        <v>2064</v>
      </c>
      <c r="O18" s="16">
        <v>2024</v>
      </c>
      <c r="P18" s="16">
        <v>5249</v>
      </c>
      <c r="Q18" s="16">
        <v>3665</v>
      </c>
      <c r="R18" s="16">
        <v>2311</v>
      </c>
      <c r="S18" s="16">
        <v>2254</v>
      </c>
      <c r="T18" s="16">
        <v>2216</v>
      </c>
      <c r="U18" s="16">
        <v>1905</v>
      </c>
      <c r="V18" s="16">
        <v>2714</v>
      </c>
      <c r="W18" s="16">
        <v>2294</v>
      </c>
      <c r="X18" s="16">
        <v>2883</v>
      </c>
    </row>
    <row r="19" spans="3:24" x14ac:dyDescent="0.2">
      <c r="C19" s="15" t="s">
        <v>126</v>
      </c>
      <c r="D19" s="16" t="s">
        <v>34</v>
      </c>
      <c r="E19" s="16" t="s">
        <v>34</v>
      </c>
      <c r="F19" s="16" t="s">
        <v>34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 t="s">
        <v>34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</row>
    <row r="20" spans="3:24" x14ac:dyDescent="0.2">
      <c r="C20" s="15" t="s">
        <v>127</v>
      </c>
      <c r="D20" s="16">
        <v>2057</v>
      </c>
      <c r="E20" s="16">
        <v>1260</v>
      </c>
      <c r="F20" s="16">
        <v>1969</v>
      </c>
      <c r="G20" s="16">
        <v>2133</v>
      </c>
      <c r="H20" s="16">
        <v>3045</v>
      </c>
      <c r="I20" s="16">
        <v>3368</v>
      </c>
      <c r="J20" s="16">
        <v>3177</v>
      </c>
      <c r="K20" s="16">
        <v>3774</v>
      </c>
      <c r="L20" s="16">
        <v>10028</v>
      </c>
      <c r="M20" s="16">
        <v>4442</v>
      </c>
      <c r="N20" s="16">
        <v>6229</v>
      </c>
      <c r="O20" s="16">
        <v>6006</v>
      </c>
      <c r="P20" s="16">
        <v>8653</v>
      </c>
      <c r="Q20" s="16">
        <v>11346</v>
      </c>
      <c r="R20" s="16">
        <v>14697</v>
      </c>
      <c r="S20" s="16">
        <v>15681</v>
      </c>
      <c r="T20" s="16">
        <v>8313</v>
      </c>
      <c r="U20" s="16">
        <v>5409</v>
      </c>
      <c r="V20" s="16">
        <v>4825</v>
      </c>
      <c r="W20" s="16">
        <v>6091</v>
      </c>
      <c r="X20" s="16">
        <v>5349</v>
      </c>
    </row>
    <row r="21" spans="3:24" x14ac:dyDescent="0.2">
      <c r="C21" s="15" t="s">
        <v>128</v>
      </c>
      <c r="D21" s="16" t="s">
        <v>34</v>
      </c>
      <c r="E21" s="16" t="s">
        <v>34</v>
      </c>
      <c r="F21" s="16" t="s">
        <v>34</v>
      </c>
      <c r="G21" s="16" t="s">
        <v>34</v>
      </c>
      <c r="H21" s="16" t="s">
        <v>34</v>
      </c>
      <c r="I21" s="16" t="s">
        <v>34</v>
      </c>
      <c r="J21" s="16" t="s">
        <v>34</v>
      </c>
      <c r="K21" s="16" t="s">
        <v>34</v>
      </c>
      <c r="L21" s="16" t="s">
        <v>34</v>
      </c>
      <c r="M21" s="16" t="s">
        <v>34</v>
      </c>
      <c r="N21" s="16" t="s">
        <v>34</v>
      </c>
      <c r="O21" s="16" t="s">
        <v>34</v>
      </c>
      <c r="P21" s="16">
        <v>526</v>
      </c>
      <c r="Q21" s="16">
        <v>515</v>
      </c>
      <c r="R21" s="16">
        <v>357</v>
      </c>
      <c r="S21" s="16">
        <v>296</v>
      </c>
      <c r="T21" s="16">
        <v>286</v>
      </c>
      <c r="U21" s="16">
        <v>1059</v>
      </c>
      <c r="V21" s="16">
        <v>586</v>
      </c>
      <c r="W21" s="16">
        <v>566</v>
      </c>
      <c r="X21" s="16" t="s">
        <v>34</v>
      </c>
    </row>
    <row r="22" spans="3:24" x14ac:dyDescent="0.2">
      <c r="C22" s="15" t="s">
        <v>129</v>
      </c>
      <c r="D22" s="16" t="s">
        <v>34</v>
      </c>
      <c r="E22" s="16" t="s">
        <v>34</v>
      </c>
      <c r="F22" s="16" t="s">
        <v>34</v>
      </c>
      <c r="G22" s="16" t="s">
        <v>34</v>
      </c>
      <c r="H22" s="16" t="s">
        <v>34</v>
      </c>
      <c r="I22" s="16" t="s">
        <v>34</v>
      </c>
      <c r="J22" s="16" t="s">
        <v>34</v>
      </c>
      <c r="K22" s="16" t="s">
        <v>34</v>
      </c>
      <c r="L22" s="16" t="s">
        <v>34</v>
      </c>
      <c r="M22" s="16" t="s">
        <v>34</v>
      </c>
      <c r="N22" s="16" t="s">
        <v>34</v>
      </c>
      <c r="O22" s="16" t="s">
        <v>34</v>
      </c>
      <c r="P22" s="16">
        <v>496</v>
      </c>
      <c r="Q22" s="16" t="s">
        <v>34</v>
      </c>
      <c r="R22" s="16" t="s">
        <v>34</v>
      </c>
      <c r="S22" s="16" t="s">
        <v>34</v>
      </c>
      <c r="T22" s="16" t="s">
        <v>34</v>
      </c>
      <c r="U22" s="16" t="s">
        <v>34</v>
      </c>
      <c r="V22" s="16">
        <v>9</v>
      </c>
      <c r="W22" s="16">
        <v>801</v>
      </c>
      <c r="X22" s="16">
        <v>12</v>
      </c>
    </row>
    <row r="23" spans="3:24" x14ac:dyDescent="0.2">
      <c r="C23" s="15" t="s">
        <v>130</v>
      </c>
      <c r="D23" s="16" t="s">
        <v>34</v>
      </c>
      <c r="E23" s="16" t="s">
        <v>34</v>
      </c>
      <c r="F23" s="16" t="s">
        <v>34</v>
      </c>
      <c r="G23" s="16" t="s">
        <v>34</v>
      </c>
      <c r="H23" s="16" t="s">
        <v>34</v>
      </c>
      <c r="I23" s="16" t="s">
        <v>34</v>
      </c>
      <c r="J23" s="16" t="s">
        <v>34</v>
      </c>
      <c r="K23" s="16" t="s">
        <v>34</v>
      </c>
      <c r="L23" s="16" t="s">
        <v>34</v>
      </c>
      <c r="M23" s="16" t="s">
        <v>34</v>
      </c>
      <c r="N23" s="16" t="s">
        <v>34</v>
      </c>
      <c r="O23" s="16" t="s">
        <v>34</v>
      </c>
      <c r="P23" s="16" t="s">
        <v>34</v>
      </c>
      <c r="Q23" s="16" t="s">
        <v>34</v>
      </c>
      <c r="R23" s="16" t="s">
        <v>34</v>
      </c>
      <c r="S23" s="16">
        <v>6170</v>
      </c>
      <c r="T23" s="16">
        <v>4624</v>
      </c>
      <c r="U23" s="16">
        <v>2566</v>
      </c>
      <c r="V23" s="16">
        <v>2662</v>
      </c>
      <c r="W23" s="16">
        <v>3041</v>
      </c>
      <c r="X23" s="16">
        <v>3050</v>
      </c>
    </row>
    <row r="24" spans="3:24" x14ac:dyDescent="0.2">
      <c r="C24" s="15" t="s">
        <v>131</v>
      </c>
      <c r="D24" s="16" t="s">
        <v>34</v>
      </c>
      <c r="E24" s="16" t="s">
        <v>34</v>
      </c>
      <c r="F24" s="16" t="s">
        <v>34</v>
      </c>
      <c r="G24" s="16" t="s">
        <v>34</v>
      </c>
      <c r="H24" s="16" t="s">
        <v>34</v>
      </c>
      <c r="I24" s="16" t="s">
        <v>34</v>
      </c>
      <c r="J24" s="16" t="s">
        <v>34</v>
      </c>
      <c r="K24" s="16" t="s">
        <v>34</v>
      </c>
      <c r="L24" s="16" t="s">
        <v>34</v>
      </c>
      <c r="M24" s="16" t="s">
        <v>34</v>
      </c>
      <c r="N24" s="16" t="s">
        <v>34</v>
      </c>
      <c r="O24" s="16" t="s">
        <v>34</v>
      </c>
      <c r="P24" s="16" t="s">
        <v>34</v>
      </c>
      <c r="Q24" s="16">
        <v>1439</v>
      </c>
      <c r="R24" s="16">
        <v>5317</v>
      </c>
      <c r="S24" s="16">
        <v>5944</v>
      </c>
      <c r="T24" s="16">
        <v>76</v>
      </c>
      <c r="U24" s="16" t="s">
        <v>34</v>
      </c>
      <c r="V24" s="16" t="s">
        <v>34</v>
      </c>
      <c r="W24" s="16" t="s">
        <v>34</v>
      </c>
      <c r="X24" s="16" t="s">
        <v>34</v>
      </c>
    </row>
    <row r="25" spans="3:24" x14ac:dyDescent="0.2">
      <c r="C25" s="15" t="s">
        <v>132</v>
      </c>
      <c r="D25" s="16" t="s">
        <v>34</v>
      </c>
      <c r="E25" s="16" t="s">
        <v>34</v>
      </c>
      <c r="F25" s="16" t="s">
        <v>34</v>
      </c>
      <c r="G25" s="16" t="s">
        <v>34</v>
      </c>
      <c r="H25" s="16" t="s">
        <v>34</v>
      </c>
      <c r="I25" s="16" t="s">
        <v>34</v>
      </c>
      <c r="J25" s="16" t="s">
        <v>34</v>
      </c>
      <c r="K25" s="16" t="s">
        <v>34</v>
      </c>
      <c r="L25" s="16" t="s">
        <v>34</v>
      </c>
      <c r="M25" s="16" t="s">
        <v>34</v>
      </c>
      <c r="N25" s="16" t="s">
        <v>34</v>
      </c>
      <c r="O25" s="16" t="s">
        <v>34</v>
      </c>
      <c r="P25" s="16">
        <v>7631</v>
      </c>
      <c r="Q25" s="16">
        <v>9392</v>
      </c>
      <c r="R25" s="16">
        <v>9023</v>
      </c>
      <c r="S25" s="16">
        <v>3271</v>
      </c>
      <c r="T25" s="16">
        <v>3327</v>
      </c>
      <c r="U25" s="16">
        <v>1784</v>
      </c>
      <c r="V25" s="16">
        <v>1568</v>
      </c>
      <c r="W25" s="16">
        <v>1683</v>
      </c>
      <c r="X25" s="16">
        <v>2287</v>
      </c>
    </row>
    <row r="26" spans="3:24" x14ac:dyDescent="0.2">
      <c r="C26" s="13" t="s">
        <v>40</v>
      </c>
      <c r="D26" s="14">
        <v>7442</v>
      </c>
      <c r="E26" s="14">
        <v>9931</v>
      </c>
      <c r="F26" s="14">
        <v>16311</v>
      </c>
      <c r="G26" s="14">
        <v>17187</v>
      </c>
      <c r="H26" s="14">
        <v>19212</v>
      </c>
      <c r="I26" s="14">
        <v>24781</v>
      </c>
      <c r="J26" s="14">
        <v>29741</v>
      </c>
      <c r="K26" s="14">
        <v>39694</v>
      </c>
      <c r="L26" s="14">
        <v>46835</v>
      </c>
      <c r="M26" s="14">
        <v>47658</v>
      </c>
      <c r="N26" s="14">
        <v>46849</v>
      </c>
      <c r="O26" s="14">
        <v>43076</v>
      </c>
      <c r="P26" s="14">
        <v>61670</v>
      </c>
      <c r="Q26" s="14">
        <v>61013</v>
      </c>
      <c r="R26" s="14">
        <v>60817</v>
      </c>
      <c r="S26" s="14">
        <v>64831</v>
      </c>
      <c r="T26" s="14">
        <v>56244</v>
      </c>
      <c r="U26" s="14">
        <v>55595</v>
      </c>
      <c r="V26" s="14">
        <v>43804</v>
      </c>
      <c r="W26" s="14">
        <v>38949</v>
      </c>
      <c r="X26" s="14">
        <v>41141</v>
      </c>
    </row>
    <row r="27" spans="3:24" x14ac:dyDescent="0.2">
      <c r="C27" s="15" t="s">
        <v>133</v>
      </c>
      <c r="D27" s="16">
        <v>3793</v>
      </c>
      <c r="E27" s="16">
        <v>4415</v>
      </c>
      <c r="F27" s="16">
        <v>8685</v>
      </c>
      <c r="G27" s="16">
        <v>9425</v>
      </c>
      <c r="H27" s="16">
        <v>9783</v>
      </c>
      <c r="I27" s="16">
        <v>10712</v>
      </c>
      <c r="J27" s="16">
        <v>18287</v>
      </c>
      <c r="K27" s="16">
        <v>18385</v>
      </c>
      <c r="L27" s="16">
        <v>16233</v>
      </c>
      <c r="M27" s="16">
        <v>16632</v>
      </c>
      <c r="N27" s="16">
        <v>15734</v>
      </c>
      <c r="O27" s="16">
        <v>13287</v>
      </c>
      <c r="P27" s="16">
        <v>22780</v>
      </c>
      <c r="Q27" s="16">
        <v>18645</v>
      </c>
      <c r="R27" s="16">
        <v>15921</v>
      </c>
      <c r="S27" s="16">
        <v>13213</v>
      </c>
      <c r="T27" s="16">
        <v>12397</v>
      </c>
      <c r="U27" s="16">
        <v>11760</v>
      </c>
      <c r="V27" s="16">
        <v>13766</v>
      </c>
      <c r="W27" s="16">
        <v>13318</v>
      </c>
      <c r="X27" s="16">
        <v>13865</v>
      </c>
    </row>
    <row r="28" spans="3:24" x14ac:dyDescent="0.2">
      <c r="C28" s="13" t="s">
        <v>134</v>
      </c>
      <c r="D28" s="14" t="s">
        <v>34</v>
      </c>
      <c r="E28" s="14" t="s">
        <v>34</v>
      </c>
      <c r="F28" s="14" t="s">
        <v>34</v>
      </c>
      <c r="G28" s="14" t="s">
        <v>34</v>
      </c>
      <c r="H28" s="14" t="s">
        <v>34</v>
      </c>
      <c r="I28" s="14" t="s">
        <v>34</v>
      </c>
      <c r="J28" s="14" t="s">
        <v>34</v>
      </c>
      <c r="K28" s="14" t="s">
        <v>34</v>
      </c>
      <c r="L28" s="14" t="s">
        <v>34</v>
      </c>
      <c r="M28" s="14" t="s">
        <v>34</v>
      </c>
      <c r="N28" s="14" t="s">
        <v>34</v>
      </c>
      <c r="O28" s="14" t="s">
        <v>34</v>
      </c>
      <c r="P28" s="14" t="s">
        <v>34</v>
      </c>
      <c r="Q28" s="14" t="s">
        <v>34</v>
      </c>
      <c r="R28" s="14">
        <v>15921</v>
      </c>
      <c r="S28" s="14">
        <v>13213</v>
      </c>
      <c r="T28" s="14">
        <v>12397</v>
      </c>
      <c r="U28" s="14">
        <v>11761</v>
      </c>
      <c r="V28" s="14">
        <v>13766</v>
      </c>
      <c r="W28" s="14">
        <v>13318</v>
      </c>
      <c r="X28" s="14">
        <v>13865</v>
      </c>
    </row>
    <row r="29" spans="3:24" x14ac:dyDescent="0.2">
      <c r="C29" s="15" t="s">
        <v>135</v>
      </c>
      <c r="D29" s="16" t="s">
        <v>34</v>
      </c>
      <c r="E29" s="16" t="s">
        <v>34</v>
      </c>
      <c r="F29" s="16" t="s">
        <v>34</v>
      </c>
      <c r="G29" s="16" t="s">
        <v>34</v>
      </c>
      <c r="H29" s="16" t="s">
        <v>34</v>
      </c>
      <c r="I29" s="16" t="s">
        <v>34</v>
      </c>
      <c r="J29" s="16" t="s">
        <v>34</v>
      </c>
      <c r="K29" s="16" t="s">
        <v>34</v>
      </c>
      <c r="L29" s="16" t="s">
        <v>34</v>
      </c>
      <c r="M29" s="16" t="s">
        <v>34</v>
      </c>
      <c r="N29" s="16" t="s">
        <v>34</v>
      </c>
      <c r="O29" s="16" t="s">
        <v>34</v>
      </c>
      <c r="P29" s="16" t="s">
        <v>34</v>
      </c>
      <c r="Q29" s="16" t="s">
        <v>34</v>
      </c>
      <c r="R29" s="16">
        <v>7893</v>
      </c>
      <c r="S29" s="16">
        <v>6485</v>
      </c>
      <c r="T29" s="16">
        <v>5885</v>
      </c>
      <c r="U29" s="16">
        <v>5575</v>
      </c>
      <c r="V29" s="16">
        <v>7072</v>
      </c>
      <c r="W29" s="16">
        <v>6649</v>
      </c>
      <c r="X29" s="16">
        <v>6971</v>
      </c>
    </row>
    <row r="30" spans="3:24" x14ac:dyDescent="0.2">
      <c r="C30" s="15" t="s">
        <v>136</v>
      </c>
      <c r="D30" s="16" t="s">
        <v>34</v>
      </c>
      <c r="E30" s="16" t="s">
        <v>34</v>
      </c>
      <c r="F30" s="16" t="s">
        <v>34</v>
      </c>
      <c r="G30" s="16" t="s">
        <v>34</v>
      </c>
      <c r="H30" s="16" t="s">
        <v>34</v>
      </c>
      <c r="I30" s="16" t="s">
        <v>34</v>
      </c>
      <c r="J30" s="16" t="s">
        <v>34</v>
      </c>
      <c r="K30" s="16" t="s">
        <v>34</v>
      </c>
      <c r="L30" s="16" t="s">
        <v>34</v>
      </c>
      <c r="M30" s="16" t="s">
        <v>34</v>
      </c>
      <c r="N30" s="16" t="s">
        <v>34</v>
      </c>
      <c r="O30" s="16" t="s">
        <v>34</v>
      </c>
      <c r="P30" s="16" t="s">
        <v>34</v>
      </c>
      <c r="Q30" s="16" t="s">
        <v>34</v>
      </c>
      <c r="R30" s="16">
        <v>5866</v>
      </c>
      <c r="S30" s="16">
        <v>4895</v>
      </c>
      <c r="T30" s="16">
        <v>4845</v>
      </c>
      <c r="U30" s="16">
        <v>4606</v>
      </c>
      <c r="V30" s="16">
        <v>4376</v>
      </c>
      <c r="W30" s="16">
        <v>4228</v>
      </c>
      <c r="X30" s="16">
        <v>4345</v>
      </c>
    </row>
    <row r="31" spans="3:24" x14ac:dyDescent="0.2">
      <c r="C31" s="15" t="s">
        <v>137</v>
      </c>
      <c r="D31" s="16" t="s">
        <v>34</v>
      </c>
      <c r="E31" s="16" t="s">
        <v>34</v>
      </c>
      <c r="F31" s="16" t="s">
        <v>34</v>
      </c>
      <c r="G31" s="16" t="s">
        <v>34</v>
      </c>
      <c r="H31" s="16" t="s">
        <v>34</v>
      </c>
      <c r="I31" s="16" t="s">
        <v>34</v>
      </c>
      <c r="J31" s="16" t="s">
        <v>34</v>
      </c>
      <c r="K31" s="16" t="s">
        <v>34</v>
      </c>
      <c r="L31" s="16" t="s">
        <v>34</v>
      </c>
      <c r="M31" s="16" t="s">
        <v>34</v>
      </c>
      <c r="N31" s="16" t="s">
        <v>34</v>
      </c>
      <c r="O31" s="16" t="s">
        <v>34</v>
      </c>
      <c r="P31" s="16" t="s">
        <v>34</v>
      </c>
      <c r="Q31" s="16" t="s">
        <v>34</v>
      </c>
      <c r="R31" s="16">
        <v>1259</v>
      </c>
      <c r="S31" s="16">
        <v>1017</v>
      </c>
      <c r="T31" s="16">
        <v>971</v>
      </c>
      <c r="U31" s="16">
        <v>963</v>
      </c>
      <c r="V31" s="16">
        <v>1658</v>
      </c>
      <c r="W31" s="16">
        <v>1797</v>
      </c>
      <c r="X31" s="16">
        <v>1917</v>
      </c>
    </row>
    <row r="32" spans="3:24" x14ac:dyDescent="0.2">
      <c r="C32" s="15" t="s">
        <v>138</v>
      </c>
      <c r="D32" s="16" t="s">
        <v>34</v>
      </c>
      <c r="E32" s="16" t="s">
        <v>34</v>
      </c>
      <c r="F32" s="16" t="s">
        <v>34</v>
      </c>
      <c r="G32" s="16" t="s">
        <v>34</v>
      </c>
      <c r="H32" s="16" t="s">
        <v>34</v>
      </c>
      <c r="I32" s="16" t="s">
        <v>34</v>
      </c>
      <c r="J32" s="16" t="s">
        <v>34</v>
      </c>
      <c r="K32" s="16" t="s">
        <v>34</v>
      </c>
      <c r="L32" s="16" t="s">
        <v>34</v>
      </c>
      <c r="M32" s="16" t="s">
        <v>34</v>
      </c>
      <c r="N32" s="16" t="s">
        <v>34</v>
      </c>
      <c r="O32" s="16" t="s">
        <v>34</v>
      </c>
      <c r="P32" s="16" t="s">
        <v>34</v>
      </c>
      <c r="Q32" s="16" t="s">
        <v>34</v>
      </c>
      <c r="R32" s="16">
        <v>903</v>
      </c>
      <c r="S32" s="16">
        <v>816</v>
      </c>
      <c r="T32" s="16">
        <v>696</v>
      </c>
      <c r="U32" s="16">
        <v>617</v>
      </c>
      <c r="V32" s="16">
        <v>660</v>
      </c>
      <c r="W32" s="16">
        <v>644</v>
      </c>
      <c r="X32" s="16">
        <v>632</v>
      </c>
    </row>
    <row r="33" spans="3:24" x14ac:dyDescent="0.2">
      <c r="C33" s="15" t="s">
        <v>139</v>
      </c>
      <c r="D33" s="16">
        <v>5867</v>
      </c>
      <c r="E33" s="16">
        <v>6844</v>
      </c>
      <c r="F33" s="16">
        <v>13191</v>
      </c>
      <c r="G33" s="16">
        <v>14134</v>
      </c>
      <c r="H33" s="16">
        <v>14372</v>
      </c>
      <c r="I33" s="16">
        <v>16143</v>
      </c>
      <c r="J33" s="16">
        <v>25381</v>
      </c>
      <c r="K33" s="16">
        <v>26919</v>
      </c>
      <c r="L33" s="16">
        <v>25153</v>
      </c>
      <c r="M33" s="16">
        <v>27063</v>
      </c>
      <c r="N33" s="16">
        <v>28103</v>
      </c>
      <c r="O33" s="16">
        <v>25128</v>
      </c>
      <c r="P33" s="16">
        <v>33924</v>
      </c>
      <c r="Q33" s="16">
        <v>31377</v>
      </c>
      <c r="R33" s="16">
        <v>29237</v>
      </c>
      <c r="S33" s="16">
        <v>25965</v>
      </c>
      <c r="T33" s="16">
        <v>25678</v>
      </c>
      <c r="U33" s="16">
        <v>24986</v>
      </c>
      <c r="V33" s="16">
        <v>27268</v>
      </c>
      <c r="W33" s="16">
        <v>28125</v>
      </c>
      <c r="X33" s="16">
        <v>30037</v>
      </c>
    </row>
    <row r="34" spans="3:24" x14ac:dyDescent="0.2">
      <c r="C34" s="15" t="s">
        <v>41</v>
      </c>
      <c r="D34" s="16">
        <v>2074</v>
      </c>
      <c r="E34" s="16">
        <v>2429</v>
      </c>
      <c r="F34" s="16">
        <v>4506</v>
      </c>
      <c r="G34" s="16">
        <v>4709</v>
      </c>
      <c r="H34" s="16">
        <v>4589</v>
      </c>
      <c r="I34" s="16">
        <v>5431</v>
      </c>
      <c r="J34" s="16">
        <v>7094</v>
      </c>
      <c r="K34" s="16">
        <v>8534</v>
      </c>
      <c r="L34" s="16">
        <v>8920</v>
      </c>
      <c r="M34" s="16">
        <v>10431</v>
      </c>
      <c r="N34" s="16">
        <v>12369</v>
      </c>
      <c r="O34" s="16">
        <v>11841</v>
      </c>
      <c r="P34" s="16">
        <v>11144</v>
      </c>
      <c r="Q34" s="16">
        <v>12732</v>
      </c>
      <c r="R34" s="16">
        <v>13316</v>
      </c>
      <c r="S34" s="16">
        <v>12752</v>
      </c>
      <c r="T34" s="16">
        <v>13281</v>
      </c>
      <c r="U34" s="16">
        <v>13226</v>
      </c>
      <c r="V34" s="16">
        <v>13502</v>
      </c>
      <c r="W34" s="16">
        <v>14807</v>
      </c>
      <c r="X34" s="16">
        <v>16172</v>
      </c>
    </row>
    <row r="35" spans="3:24" x14ac:dyDescent="0.2">
      <c r="C35" s="15" t="s">
        <v>140</v>
      </c>
      <c r="D35" s="16">
        <v>1330</v>
      </c>
      <c r="E35" s="16">
        <v>1756</v>
      </c>
      <c r="F35" s="16">
        <v>1764</v>
      </c>
      <c r="G35" s="16">
        <v>2529</v>
      </c>
      <c r="H35" s="16">
        <v>5724</v>
      </c>
      <c r="I35" s="16">
        <v>5161</v>
      </c>
      <c r="J35" s="16">
        <v>6142</v>
      </c>
      <c r="K35" s="16">
        <v>3873</v>
      </c>
      <c r="L35" s="16">
        <v>2497</v>
      </c>
      <c r="M35" s="16">
        <v>3892</v>
      </c>
      <c r="N35" s="16">
        <v>4856</v>
      </c>
      <c r="O35" s="16">
        <v>11478</v>
      </c>
      <c r="P35" s="16">
        <v>13122</v>
      </c>
      <c r="Q35" s="16">
        <v>9747</v>
      </c>
      <c r="R35" s="16">
        <v>9814</v>
      </c>
      <c r="S35" s="16">
        <v>14149</v>
      </c>
      <c r="T35" s="16">
        <v>16406</v>
      </c>
      <c r="U35" s="16">
        <v>17518</v>
      </c>
      <c r="V35" s="16">
        <v>15999</v>
      </c>
      <c r="W35" s="16">
        <v>7116</v>
      </c>
      <c r="X35" s="16">
        <v>7015</v>
      </c>
    </row>
    <row r="36" spans="3:24" x14ac:dyDescent="0.2">
      <c r="C36" s="15" t="s">
        <v>141</v>
      </c>
      <c r="D36" s="16" t="s">
        <v>34</v>
      </c>
      <c r="E36" s="16" t="s">
        <v>34</v>
      </c>
      <c r="F36" s="16" t="s">
        <v>34</v>
      </c>
      <c r="G36" s="16" t="s">
        <v>34</v>
      </c>
      <c r="H36" s="16" t="s">
        <v>34</v>
      </c>
      <c r="I36" s="16" t="s">
        <v>34</v>
      </c>
      <c r="J36" s="16" t="s">
        <v>34</v>
      </c>
      <c r="K36" s="16" t="s">
        <v>34</v>
      </c>
      <c r="L36" s="16" t="s">
        <v>34</v>
      </c>
      <c r="M36" s="16" t="s">
        <v>34</v>
      </c>
      <c r="N36" s="16" t="s">
        <v>34</v>
      </c>
      <c r="O36" s="16" t="s">
        <v>34</v>
      </c>
      <c r="P36" s="16">
        <v>13122</v>
      </c>
      <c r="Q36" s="16">
        <v>9747</v>
      </c>
      <c r="R36" s="16">
        <v>9814</v>
      </c>
      <c r="S36" s="16">
        <v>14149</v>
      </c>
      <c r="T36" s="16">
        <v>16406</v>
      </c>
      <c r="U36" s="16">
        <v>17518</v>
      </c>
      <c r="V36" s="16">
        <v>15999</v>
      </c>
      <c r="W36" s="16">
        <v>7116</v>
      </c>
      <c r="X36" s="16">
        <v>7015</v>
      </c>
    </row>
    <row r="37" spans="3:24" x14ac:dyDescent="0.2">
      <c r="C37" s="15" t="s">
        <v>142</v>
      </c>
      <c r="D37" s="16">
        <v>2426</v>
      </c>
      <c r="E37" s="16">
        <v>2200</v>
      </c>
      <c r="F37" s="16">
        <v>4612</v>
      </c>
      <c r="G37" s="16">
        <v>4369</v>
      </c>
      <c r="H37" s="16">
        <v>4434</v>
      </c>
      <c r="I37" s="16">
        <v>5702</v>
      </c>
      <c r="J37" s="16">
        <v>62605</v>
      </c>
      <c r="K37" s="16">
        <v>61732</v>
      </c>
      <c r="L37" s="16">
        <v>51405</v>
      </c>
      <c r="M37" s="16">
        <v>47364</v>
      </c>
      <c r="N37" s="16">
        <v>47829</v>
      </c>
      <c r="O37" s="16">
        <v>43307</v>
      </c>
      <c r="P37" s="16">
        <v>115377</v>
      </c>
      <c r="Q37" s="16">
        <v>105609</v>
      </c>
      <c r="R37" s="16">
        <v>101450</v>
      </c>
      <c r="S37" s="16">
        <v>93605</v>
      </c>
      <c r="T37" s="16">
        <v>87054</v>
      </c>
      <c r="U37" s="16">
        <v>82692</v>
      </c>
      <c r="V37" s="16">
        <v>93812</v>
      </c>
      <c r="W37" s="16">
        <v>112232</v>
      </c>
      <c r="X37" s="16">
        <v>109777</v>
      </c>
    </row>
    <row r="38" spans="3:24" x14ac:dyDescent="0.2">
      <c r="C38" s="15" t="s">
        <v>143</v>
      </c>
      <c r="D38" s="16">
        <v>989</v>
      </c>
      <c r="E38" s="16">
        <v>813</v>
      </c>
      <c r="F38" s="16">
        <v>1870</v>
      </c>
      <c r="G38" s="16">
        <v>1791</v>
      </c>
      <c r="H38" s="16">
        <v>1689</v>
      </c>
      <c r="I38" s="16">
        <v>2121</v>
      </c>
      <c r="J38" s="16">
        <v>57856</v>
      </c>
      <c r="K38" s="16">
        <v>63281</v>
      </c>
      <c r="L38" s="16">
        <v>47229</v>
      </c>
      <c r="M38" s="16">
        <v>45226</v>
      </c>
      <c r="N38" s="16">
        <v>41880</v>
      </c>
      <c r="O38" s="16">
        <v>39185</v>
      </c>
      <c r="P38" s="16">
        <v>110391</v>
      </c>
      <c r="Q38" s="16">
        <v>101483</v>
      </c>
      <c r="R38" s="16">
        <v>95753</v>
      </c>
      <c r="S38" s="16">
        <v>88807</v>
      </c>
      <c r="T38" s="16">
        <v>81904</v>
      </c>
      <c r="U38" s="16">
        <v>77236</v>
      </c>
      <c r="V38" s="16">
        <v>88598</v>
      </c>
      <c r="W38" s="16">
        <v>107097</v>
      </c>
      <c r="X38" s="16">
        <v>104692</v>
      </c>
    </row>
    <row r="39" spans="3:24" x14ac:dyDescent="0.2">
      <c r="C39" s="23" t="s">
        <v>144</v>
      </c>
      <c r="D39" s="24" t="s">
        <v>34</v>
      </c>
      <c r="E39" s="24">
        <v>813</v>
      </c>
      <c r="F39" s="24">
        <v>1870</v>
      </c>
      <c r="G39" s="24">
        <v>1791</v>
      </c>
      <c r="H39" s="24">
        <v>1689</v>
      </c>
      <c r="I39" s="24">
        <v>1200</v>
      </c>
      <c r="J39" s="24">
        <v>22265</v>
      </c>
      <c r="K39" s="24">
        <v>23756</v>
      </c>
      <c r="L39" s="24">
        <v>20985</v>
      </c>
      <c r="M39" s="24">
        <v>20876</v>
      </c>
      <c r="N39" s="24">
        <v>21382</v>
      </c>
      <c r="O39" s="24">
        <v>21464</v>
      </c>
      <c r="P39" s="24">
        <v>42376</v>
      </c>
      <c r="Q39" s="24">
        <v>43928</v>
      </c>
      <c r="R39" s="24">
        <v>44569</v>
      </c>
      <c r="S39" s="24">
        <v>43661</v>
      </c>
      <c r="T39" s="24">
        <v>42519</v>
      </c>
      <c r="U39" s="24">
        <v>42069</v>
      </c>
      <c r="V39" s="24">
        <v>48242</v>
      </c>
      <c r="W39" s="24">
        <v>54449</v>
      </c>
      <c r="X39" s="24">
        <v>55952</v>
      </c>
    </row>
    <row r="40" spans="3:24" x14ac:dyDescent="0.2">
      <c r="C40" s="13" t="s">
        <v>145</v>
      </c>
      <c r="D40" s="14" t="s">
        <v>34</v>
      </c>
      <c r="E40" s="14" t="s">
        <v>34</v>
      </c>
      <c r="F40" s="14" t="s">
        <v>34</v>
      </c>
      <c r="G40" s="14" t="s">
        <v>34</v>
      </c>
      <c r="H40" s="14" t="s">
        <v>34</v>
      </c>
      <c r="I40" s="14" t="s">
        <v>34</v>
      </c>
      <c r="J40" s="14" t="s">
        <v>34</v>
      </c>
      <c r="K40" s="14">
        <v>22265</v>
      </c>
      <c r="L40" s="14">
        <v>21055</v>
      </c>
      <c r="M40" s="14">
        <v>20876</v>
      </c>
      <c r="N40" s="14">
        <v>21382</v>
      </c>
      <c r="O40" s="14">
        <v>21464</v>
      </c>
      <c r="P40" s="14">
        <v>42376</v>
      </c>
      <c r="Q40" s="14">
        <v>42357</v>
      </c>
      <c r="R40" s="14">
        <v>44569</v>
      </c>
      <c r="S40" s="14">
        <v>43661</v>
      </c>
      <c r="T40" s="14">
        <v>42519</v>
      </c>
      <c r="U40" s="14">
        <v>42069</v>
      </c>
      <c r="V40" s="14">
        <v>48242</v>
      </c>
      <c r="W40" s="14">
        <v>54449</v>
      </c>
      <c r="X40" s="14">
        <v>55952</v>
      </c>
    </row>
    <row r="41" spans="3:24" x14ac:dyDescent="0.2">
      <c r="C41" s="15" t="s">
        <v>146</v>
      </c>
      <c r="D41" s="16" t="s">
        <v>34</v>
      </c>
      <c r="E41" s="16" t="s">
        <v>34</v>
      </c>
      <c r="F41" s="16" t="s">
        <v>34</v>
      </c>
      <c r="G41" s="16" t="s">
        <v>34</v>
      </c>
      <c r="H41" s="16" t="s">
        <v>34</v>
      </c>
      <c r="I41" s="16" t="s">
        <v>34</v>
      </c>
      <c r="J41" s="16" t="s">
        <v>34</v>
      </c>
      <c r="K41" s="16">
        <v>22102</v>
      </c>
      <c r="L41" s="16">
        <v>20966</v>
      </c>
      <c r="M41" s="16">
        <v>20798</v>
      </c>
      <c r="N41" s="16">
        <v>21256</v>
      </c>
      <c r="O41" s="16">
        <v>21317</v>
      </c>
      <c r="P41" s="16">
        <v>22165</v>
      </c>
      <c r="Q41" s="16" t="s">
        <v>34</v>
      </c>
      <c r="R41" s="16" t="s">
        <v>34</v>
      </c>
      <c r="S41" s="16" t="s">
        <v>34</v>
      </c>
      <c r="T41" s="16" t="s">
        <v>34</v>
      </c>
      <c r="U41" s="16">
        <v>24430</v>
      </c>
      <c r="V41" s="16">
        <v>23809</v>
      </c>
      <c r="W41" s="16">
        <v>30134</v>
      </c>
      <c r="X41" s="16">
        <v>31141</v>
      </c>
    </row>
    <row r="42" spans="3:24" x14ac:dyDescent="0.2">
      <c r="C42" s="15" t="s">
        <v>147</v>
      </c>
      <c r="D42" s="16" t="s">
        <v>34</v>
      </c>
      <c r="E42" s="16" t="s">
        <v>34</v>
      </c>
      <c r="F42" s="16" t="s">
        <v>34</v>
      </c>
      <c r="G42" s="16" t="s">
        <v>34</v>
      </c>
      <c r="H42" s="16" t="s">
        <v>34</v>
      </c>
      <c r="I42" s="16" t="s">
        <v>34</v>
      </c>
      <c r="J42" s="16" t="s">
        <v>34</v>
      </c>
      <c r="K42" s="16" t="s">
        <v>34</v>
      </c>
      <c r="L42" s="16" t="s">
        <v>34</v>
      </c>
      <c r="M42" s="16" t="s">
        <v>34</v>
      </c>
      <c r="N42" s="16" t="s">
        <v>34</v>
      </c>
      <c r="O42" s="16" t="s">
        <v>34</v>
      </c>
      <c r="P42" s="16" t="s">
        <v>34</v>
      </c>
      <c r="Q42" s="16" t="s">
        <v>34</v>
      </c>
      <c r="R42" s="16" t="s">
        <v>34</v>
      </c>
      <c r="S42" s="16" t="s">
        <v>34</v>
      </c>
      <c r="T42" s="16" t="s">
        <v>34</v>
      </c>
      <c r="U42" s="16">
        <v>17639</v>
      </c>
      <c r="V42" s="16">
        <v>24433</v>
      </c>
      <c r="W42" s="16">
        <v>24315</v>
      </c>
      <c r="X42" s="16">
        <v>24811</v>
      </c>
    </row>
    <row r="43" spans="3:24" x14ac:dyDescent="0.2">
      <c r="C43" s="15" t="s">
        <v>148</v>
      </c>
      <c r="D43" s="16" t="s">
        <v>34</v>
      </c>
      <c r="E43" s="16" t="s">
        <v>34</v>
      </c>
      <c r="F43" s="16" t="s">
        <v>34</v>
      </c>
      <c r="G43" s="16" t="s">
        <v>34</v>
      </c>
      <c r="H43" s="16" t="s">
        <v>34</v>
      </c>
      <c r="I43" s="16" t="s">
        <v>34</v>
      </c>
      <c r="J43" s="16" t="s">
        <v>34</v>
      </c>
      <c r="K43" s="16" t="s">
        <v>34</v>
      </c>
      <c r="L43" s="16" t="s">
        <v>34</v>
      </c>
      <c r="M43" s="16" t="s">
        <v>34</v>
      </c>
      <c r="N43" s="16" t="s">
        <v>34</v>
      </c>
      <c r="O43" s="16" t="s">
        <v>34</v>
      </c>
      <c r="P43" s="16" t="s">
        <v>34</v>
      </c>
      <c r="Q43" s="16" t="s">
        <v>34</v>
      </c>
      <c r="R43" s="16" t="s">
        <v>34</v>
      </c>
      <c r="S43" s="16" t="s">
        <v>34</v>
      </c>
      <c r="T43" s="16">
        <v>11559</v>
      </c>
      <c r="U43" s="16" t="s">
        <v>34</v>
      </c>
      <c r="V43" s="16" t="s">
        <v>34</v>
      </c>
      <c r="W43" s="16" t="s">
        <v>34</v>
      </c>
      <c r="X43" s="16" t="s">
        <v>34</v>
      </c>
    </row>
    <row r="44" spans="3:24" x14ac:dyDescent="0.2">
      <c r="C44" s="15" t="s">
        <v>149</v>
      </c>
      <c r="D44" s="16" t="s">
        <v>34</v>
      </c>
      <c r="E44" s="16" t="s">
        <v>34</v>
      </c>
      <c r="F44" s="16" t="s">
        <v>34</v>
      </c>
      <c r="G44" s="16" t="s">
        <v>34</v>
      </c>
      <c r="H44" s="16" t="s">
        <v>34</v>
      </c>
      <c r="I44" s="16" t="s">
        <v>34</v>
      </c>
      <c r="J44" s="16" t="s">
        <v>34</v>
      </c>
      <c r="K44" s="16" t="s">
        <v>34</v>
      </c>
      <c r="L44" s="16" t="s">
        <v>34</v>
      </c>
      <c r="M44" s="16" t="s">
        <v>34</v>
      </c>
      <c r="N44" s="16" t="s">
        <v>34</v>
      </c>
      <c r="O44" s="16" t="s">
        <v>34</v>
      </c>
      <c r="P44" s="16" t="s">
        <v>34</v>
      </c>
      <c r="Q44" s="16" t="s">
        <v>34</v>
      </c>
      <c r="R44" s="16" t="s">
        <v>34</v>
      </c>
      <c r="S44" s="16" t="s">
        <v>34</v>
      </c>
      <c r="T44" s="16">
        <v>17750</v>
      </c>
      <c r="U44" s="16" t="s">
        <v>34</v>
      </c>
      <c r="V44" s="16" t="s">
        <v>34</v>
      </c>
      <c r="W44" s="16" t="s">
        <v>34</v>
      </c>
      <c r="X44" s="16" t="s">
        <v>34</v>
      </c>
    </row>
    <row r="45" spans="3:24" x14ac:dyDescent="0.2">
      <c r="C45" s="15" t="s">
        <v>150</v>
      </c>
      <c r="D45" s="16" t="s">
        <v>34</v>
      </c>
      <c r="E45" s="16" t="s">
        <v>34</v>
      </c>
      <c r="F45" s="16" t="s">
        <v>34</v>
      </c>
      <c r="G45" s="16" t="s">
        <v>34</v>
      </c>
      <c r="H45" s="16" t="s">
        <v>34</v>
      </c>
      <c r="I45" s="16" t="s">
        <v>34</v>
      </c>
      <c r="J45" s="16" t="s">
        <v>34</v>
      </c>
      <c r="K45" s="16" t="s">
        <v>34</v>
      </c>
      <c r="L45" s="16" t="s">
        <v>34</v>
      </c>
      <c r="M45" s="16" t="s">
        <v>34</v>
      </c>
      <c r="N45" s="16" t="s">
        <v>34</v>
      </c>
      <c r="O45" s="16" t="s">
        <v>34</v>
      </c>
      <c r="P45" s="16" t="s">
        <v>34</v>
      </c>
      <c r="Q45" s="16" t="s">
        <v>34</v>
      </c>
      <c r="R45" s="16" t="s">
        <v>34</v>
      </c>
      <c r="S45" s="16" t="s">
        <v>34</v>
      </c>
      <c r="T45" s="16">
        <v>13210</v>
      </c>
      <c r="U45" s="16" t="s">
        <v>34</v>
      </c>
      <c r="V45" s="16" t="s">
        <v>34</v>
      </c>
      <c r="W45" s="16" t="s">
        <v>34</v>
      </c>
      <c r="X45" s="16" t="s">
        <v>34</v>
      </c>
    </row>
    <row r="46" spans="3:24" x14ac:dyDescent="0.2">
      <c r="C46" s="15" t="s">
        <v>151</v>
      </c>
      <c r="D46" s="16" t="s">
        <v>34</v>
      </c>
      <c r="E46" s="16" t="s">
        <v>34</v>
      </c>
      <c r="F46" s="16" t="s">
        <v>34</v>
      </c>
      <c r="G46" s="16" t="s">
        <v>34</v>
      </c>
      <c r="H46" s="16" t="s">
        <v>34</v>
      </c>
      <c r="I46" s="16" t="s">
        <v>34</v>
      </c>
      <c r="J46" s="16" t="s">
        <v>34</v>
      </c>
      <c r="K46" s="16">
        <v>85</v>
      </c>
      <c r="L46" s="16">
        <v>10</v>
      </c>
      <c r="M46" s="16">
        <v>17</v>
      </c>
      <c r="N46" s="16">
        <v>18</v>
      </c>
      <c r="O46" s="16" t="s">
        <v>34</v>
      </c>
      <c r="P46" s="16" t="s">
        <v>34</v>
      </c>
      <c r="Q46" s="16" t="s">
        <v>34</v>
      </c>
      <c r="R46" s="16" t="s">
        <v>34</v>
      </c>
      <c r="S46" s="16" t="s">
        <v>34</v>
      </c>
      <c r="T46" s="16" t="s">
        <v>34</v>
      </c>
      <c r="U46" s="16" t="s">
        <v>34</v>
      </c>
      <c r="V46" s="16" t="s">
        <v>34</v>
      </c>
      <c r="W46" s="16" t="s">
        <v>34</v>
      </c>
      <c r="X46" s="16" t="s">
        <v>34</v>
      </c>
    </row>
    <row r="47" spans="3:24" x14ac:dyDescent="0.2">
      <c r="C47" s="15" t="s">
        <v>152</v>
      </c>
      <c r="D47" s="16" t="s">
        <v>34</v>
      </c>
      <c r="E47" s="16" t="s">
        <v>34</v>
      </c>
      <c r="F47" s="16" t="s">
        <v>34</v>
      </c>
      <c r="G47" s="16" t="s">
        <v>34</v>
      </c>
      <c r="H47" s="16" t="s">
        <v>34</v>
      </c>
      <c r="I47" s="16" t="s">
        <v>34</v>
      </c>
      <c r="J47" s="16" t="s">
        <v>34</v>
      </c>
      <c r="K47" s="16">
        <v>78</v>
      </c>
      <c r="L47" s="16">
        <v>79</v>
      </c>
      <c r="M47" s="16">
        <v>61</v>
      </c>
      <c r="N47" s="16">
        <v>108</v>
      </c>
      <c r="O47" s="16">
        <v>129</v>
      </c>
      <c r="P47" s="16" t="s">
        <v>34</v>
      </c>
      <c r="Q47" s="16">
        <v>154</v>
      </c>
      <c r="R47" s="16" t="s">
        <v>34</v>
      </c>
      <c r="S47" s="16">
        <v>2021</v>
      </c>
      <c r="T47" s="16" t="s">
        <v>34</v>
      </c>
      <c r="U47" s="16" t="s">
        <v>34</v>
      </c>
      <c r="V47" s="16" t="s">
        <v>34</v>
      </c>
      <c r="W47" s="16" t="s">
        <v>34</v>
      </c>
      <c r="X47" s="16" t="s">
        <v>34</v>
      </c>
    </row>
    <row r="48" spans="3:24" x14ac:dyDescent="0.2">
      <c r="C48" s="15" t="s">
        <v>153</v>
      </c>
      <c r="D48" s="16" t="s">
        <v>34</v>
      </c>
      <c r="E48" s="16" t="s">
        <v>34</v>
      </c>
      <c r="F48" s="16" t="s">
        <v>34</v>
      </c>
      <c r="G48" s="16" t="s">
        <v>34</v>
      </c>
      <c r="H48" s="16" t="s">
        <v>34</v>
      </c>
      <c r="I48" s="16" t="s">
        <v>34</v>
      </c>
      <c r="J48" s="16" t="s">
        <v>34</v>
      </c>
      <c r="K48" s="16" t="s">
        <v>34</v>
      </c>
      <c r="L48" s="16" t="s">
        <v>34</v>
      </c>
      <c r="M48" s="16" t="s">
        <v>34</v>
      </c>
      <c r="N48" s="16" t="s">
        <v>34</v>
      </c>
      <c r="O48" s="16">
        <v>18</v>
      </c>
      <c r="P48" s="16" t="s">
        <v>34</v>
      </c>
      <c r="Q48" s="16">
        <v>20038</v>
      </c>
      <c r="R48" s="16">
        <v>2497</v>
      </c>
      <c r="S48" s="16" t="s">
        <v>34</v>
      </c>
      <c r="T48" s="16" t="s">
        <v>34</v>
      </c>
      <c r="U48" s="16" t="s">
        <v>34</v>
      </c>
      <c r="V48" s="16" t="s">
        <v>34</v>
      </c>
      <c r="W48" s="16" t="s">
        <v>34</v>
      </c>
      <c r="X48" s="16" t="s">
        <v>34</v>
      </c>
    </row>
    <row r="49" spans="3:24" x14ac:dyDescent="0.2">
      <c r="C49" s="15" t="s">
        <v>154</v>
      </c>
      <c r="D49" s="16" t="s">
        <v>34</v>
      </c>
      <c r="E49" s="16" t="s">
        <v>34</v>
      </c>
      <c r="F49" s="16" t="s">
        <v>34</v>
      </c>
      <c r="G49" s="16" t="s">
        <v>34</v>
      </c>
      <c r="H49" s="16" t="s">
        <v>34</v>
      </c>
      <c r="I49" s="16" t="s">
        <v>34</v>
      </c>
      <c r="J49" s="16" t="s">
        <v>34</v>
      </c>
      <c r="K49" s="16" t="s">
        <v>34</v>
      </c>
      <c r="L49" s="16" t="s">
        <v>34</v>
      </c>
      <c r="M49" s="16" t="s">
        <v>34</v>
      </c>
      <c r="N49" s="16" t="s">
        <v>34</v>
      </c>
      <c r="O49" s="16" t="s">
        <v>34</v>
      </c>
      <c r="P49" s="16">
        <v>20038</v>
      </c>
      <c r="Q49" s="16" t="s">
        <v>34</v>
      </c>
      <c r="R49" s="16" t="s">
        <v>34</v>
      </c>
      <c r="S49" s="16" t="s">
        <v>34</v>
      </c>
      <c r="T49" s="16" t="s">
        <v>34</v>
      </c>
      <c r="U49" s="16" t="s">
        <v>34</v>
      </c>
      <c r="V49" s="16" t="s">
        <v>34</v>
      </c>
      <c r="W49" s="16" t="s">
        <v>34</v>
      </c>
      <c r="X49" s="16" t="s">
        <v>34</v>
      </c>
    </row>
    <row r="50" spans="3:24" x14ac:dyDescent="0.2">
      <c r="C50" s="15" t="s">
        <v>155</v>
      </c>
      <c r="D50" s="16" t="s">
        <v>34</v>
      </c>
      <c r="E50" s="16" t="s">
        <v>34</v>
      </c>
      <c r="F50" s="16" t="s">
        <v>34</v>
      </c>
      <c r="G50" s="16" t="s">
        <v>34</v>
      </c>
      <c r="H50" s="16" t="s">
        <v>34</v>
      </c>
      <c r="I50" s="16" t="s">
        <v>34</v>
      </c>
      <c r="J50" s="16" t="s">
        <v>34</v>
      </c>
      <c r="K50" s="16" t="s">
        <v>34</v>
      </c>
      <c r="L50" s="16" t="s">
        <v>34</v>
      </c>
      <c r="M50" s="16" t="s">
        <v>34</v>
      </c>
      <c r="N50" s="16" t="s">
        <v>34</v>
      </c>
      <c r="O50" s="16" t="s">
        <v>34</v>
      </c>
      <c r="P50" s="16">
        <v>173</v>
      </c>
      <c r="Q50" s="16" t="s">
        <v>34</v>
      </c>
      <c r="R50" s="16">
        <v>42072</v>
      </c>
      <c r="S50" s="16">
        <v>41640</v>
      </c>
      <c r="T50" s="16" t="s">
        <v>34</v>
      </c>
      <c r="U50" s="16" t="s">
        <v>34</v>
      </c>
      <c r="V50" s="16" t="s">
        <v>34</v>
      </c>
      <c r="W50" s="16" t="s">
        <v>34</v>
      </c>
      <c r="X50" s="16" t="s">
        <v>34</v>
      </c>
    </row>
    <row r="51" spans="3:24" x14ac:dyDescent="0.2">
      <c r="C51" s="13" t="s">
        <v>156</v>
      </c>
      <c r="D51" s="14" t="s">
        <v>34</v>
      </c>
      <c r="E51" s="14" t="s">
        <v>34</v>
      </c>
      <c r="F51" s="14" t="s">
        <v>34</v>
      </c>
      <c r="G51" s="14" t="s">
        <v>34</v>
      </c>
      <c r="H51" s="14" t="s">
        <v>34</v>
      </c>
      <c r="I51" s="14" t="s">
        <v>34</v>
      </c>
      <c r="J51" s="14" t="s">
        <v>34</v>
      </c>
      <c r="K51" s="14" t="s">
        <v>34</v>
      </c>
      <c r="L51" s="14" t="s">
        <v>34</v>
      </c>
      <c r="M51" s="14" t="s">
        <v>34</v>
      </c>
      <c r="N51" s="14" t="s">
        <v>34</v>
      </c>
      <c r="O51" s="14" t="s">
        <v>34</v>
      </c>
      <c r="P51" s="14" t="s">
        <v>34</v>
      </c>
      <c r="Q51" s="14">
        <v>3272</v>
      </c>
      <c r="R51" s="14">
        <v>6229</v>
      </c>
      <c r="S51" s="14">
        <v>6152</v>
      </c>
      <c r="T51" s="14" t="s">
        <v>34</v>
      </c>
      <c r="U51" s="14" t="s">
        <v>34</v>
      </c>
      <c r="V51" s="14" t="s">
        <v>34</v>
      </c>
      <c r="W51" s="14" t="s">
        <v>34</v>
      </c>
      <c r="X51" s="14" t="s">
        <v>34</v>
      </c>
    </row>
    <row r="52" spans="3:24" x14ac:dyDescent="0.2">
      <c r="C52" s="13" t="s">
        <v>157</v>
      </c>
      <c r="D52" s="14" t="s">
        <v>34</v>
      </c>
      <c r="E52" s="14" t="s">
        <v>34</v>
      </c>
      <c r="F52" s="14" t="s">
        <v>34</v>
      </c>
      <c r="G52" s="14" t="s">
        <v>34</v>
      </c>
      <c r="H52" s="14" t="s">
        <v>34</v>
      </c>
      <c r="I52" s="14" t="s">
        <v>34</v>
      </c>
      <c r="J52" s="14" t="s">
        <v>34</v>
      </c>
      <c r="K52" s="14" t="s">
        <v>34</v>
      </c>
      <c r="L52" s="14" t="s">
        <v>34</v>
      </c>
      <c r="M52" s="14" t="s">
        <v>34</v>
      </c>
      <c r="N52" s="14" t="s">
        <v>34</v>
      </c>
      <c r="O52" s="14" t="s">
        <v>34</v>
      </c>
      <c r="P52" s="14" t="s">
        <v>34</v>
      </c>
      <c r="Q52" s="14">
        <v>9883</v>
      </c>
      <c r="R52" s="14">
        <v>18746</v>
      </c>
      <c r="S52" s="14">
        <v>18603</v>
      </c>
      <c r="T52" s="14" t="s">
        <v>34</v>
      </c>
      <c r="U52" s="14" t="s">
        <v>34</v>
      </c>
      <c r="V52" s="14" t="s">
        <v>34</v>
      </c>
      <c r="W52" s="14" t="s">
        <v>34</v>
      </c>
      <c r="X52" s="14" t="s">
        <v>34</v>
      </c>
    </row>
    <row r="53" spans="3:24" x14ac:dyDescent="0.2">
      <c r="C53" s="13" t="s">
        <v>158</v>
      </c>
      <c r="D53" s="14" t="s">
        <v>34</v>
      </c>
      <c r="E53" s="14" t="s">
        <v>34</v>
      </c>
      <c r="F53" s="14" t="s">
        <v>34</v>
      </c>
      <c r="G53" s="14" t="s">
        <v>34</v>
      </c>
      <c r="H53" s="14" t="s">
        <v>34</v>
      </c>
      <c r="I53" s="14" t="s">
        <v>34</v>
      </c>
      <c r="J53" s="14" t="s">
        <v>34</v>
      </c>
      <c r="K53" s="14" t="s">
        <v>34</v>
      </c>
      <c r="L53" s="14" t="s">
        <v>34</v>
      </c>
      <c r="M53" s="14" t="s">
        <v>34</v>
      </c>
      <c r="N53" s="14" t="s">
        <v>34</v>
      </c>
      <c r="O53" s="14" t="s">
        <v>34</v>
      </c>
      <c r="P53" s="14" t="s">
        <v>34</v>
      </c>
      <c r="Q53" s="14">
        <v>9010</v>
      </c>
      <c r="R53" s="14">
        <v>17097</v>
      </c>
      <c r="S53" s="14">
        <v>16885</v>
      </c>
      <c r="T53" s="14" t="s">
        <v>34</v>
      </c>
      <c r="U53" s="14" t="s">
        <v>34</v>
      </c>
      <c r="V53" s="14" t="s">
        <v>34</v>
      </c>
      <c r="W53" s="14" t="s">
        <v>34</v>
      </c>
      <c r="X53" s="14" t="s">
        <v>34</v>
      </c>
    </row>
    <row r="54" spans="3:24" x14ac:dyDescent="0.2">
      <c r="C54" s="23" t="s">
        <v>159</v>
      </c>
      <c r="D54" s="24" t="s">
        <v>34</v>
      </c>
      <c r="E54" s="24">
        <v>0</v>
      </c>
      <c r="F54" s="24">
        <v>0</v>
      </c>
      <c r="G54" s="24">
        <v>0</v>
      </c>
      <c r="H54" s="24">
        <v>0</v>
      </c>
      <c r="I54" s="24">
        <v>921</v>
      </c>
      <c r="J54" s="24">
        <v>35591</v>
      </c>
      <c r="K54" s="24">
        <v>39525</v>
      </c>
      <c r="L54" s="24">
        <v>26244</v>
      </c>
      <c r="M54" s="24">
        <v>24350</v>
      </c>
      <c r="N54" s="24">
        <v>20498</v>
      </c>
      <c r="O54" s="24">
        <v>17721</v>
      </c>
      <c r="P54" s="24">
        <v>68015</v>
      </c>
      <c r="Q54" s="24">
        <v>57555</v>
      </c>
      <c r="R54" s="24">
        <v>51184</v>
      </c>
      <c r="S54" s="24">
        <v>45146</v>
      </c>
      <c r="T54" s="24">
        <v>39385</v>
      </c>
      <c r="U54" s="24">
        <v>35167</v>
      </c>
      <c r="V54" s="24">
        <v>40356</v>
      </c>
      <c r="W54" s="24">
        <v>52648</v>
      </c>
      <c r="X54" s="24">
        <v>48740</v>
      </c>
    </row>
    <row r="55" spans="3:24" x14ac:dyDescent="0.2">
      <c r="C55" s="15" t="s">
        <v>130</v>
      </c>
      <c r="D55" s="16" t="s">
        <v>34</v>
      </c>
      <c r="E55" s="16" t="s">
        <v>34</v>
      </c>
      <c r="F55" s="16" t="s">
        <v>34</v>
      </c>
      <c r="G55" s="16" t="s">
        <v>34</v>
      </c>
      <c r="H55" s="16" t="s">
        <v>34</v>
      </c>
      <c r="I55" s="16" t="s">
        <v>34</v>
      </c>
      <c r="J55" s="16" t="s">
        <v>34</v>
      </c>
      <c r="K55" s="16" t="s">
        <v>34</v>
      </c>
      <c r="L55" s="16" t="s">
        <v>34</v>
      </c>
      <c r="M55" s="16" t="s">
        <v>34</v>
      </c>
      <c r="N55" s="16" t="s">
        <v>34</v>
      </c>
      <c r="O55" s="16" t="s">
        <v>34</v>
      </c>
      <c r="P55" s="16" t="s">
        <v>34</v>
      </c>
      <c r="Q55" s="16">
        <v>1189</v>
      </c>
      <c r="R55" s="16" t="s">
        <v>34</v>
      </c>
      <c r="S55" s="16">
        <v>1565</v>
      </c>
      <c r="T55" s="16">
        <v>1554</v>
      </c>
      <c r="U55" s="16">
        <v>1944</v>
      </c>
      <c r="V55" s="16">
        <v>1794</v>
      </c>
      <c r="W55" s="16">
        <v>1812</v>
      </c>
      <c r="X55" s="16">
        <v>1855</v>
      </c>
    </row>
    <row r="56" spans="3:24" x14ac:dyDescent="0.2">
      <c r="C56" s="15" t="s">
        <v>128</v>
      </c>
      <c r="D56" s="16" t="s">
        <v>34</v>
      </c>
      <c r="E56" s="16" t="s">
        <v>34</v>
      </c>
      <c r="F56" s="16" t="s">
        <v>34</v>
      </c>
      <c r="G56" s="16" t="s">
        <v>34</v>
      </c>
      <c r="H56" s="16" t="s">
        <v>34</v>
      </c>
      <c r="I56" s="16" t="s">
        <v>34</v>
      </c>
      <c r="J56" s="16" t="s">
        <v>34</v>
      </c>
      <c r="K56" s="16" t="s">
        <v>34</v>
      </c>
      <c r="L56" s="16" t="s">
        <v>34</v>
      </c>
      <c r="M56" s="16" t="s">
        <v>34</v>
      </c>
      <c r="N56" s="16" t="s">
        <v>34</v>
      </c>
      <c r="O56" s="16" t="s">
        <v>34</v>
      </c>
      <c r="P56" s="16">
        <v>1050</v>
      </c>
      <c r="Q56" s="16">
        <v>710</v>
      </c>
      <c r="R56" s="16">
        <v>1017</v>
      </c>
      <c r="S56" s="16">
        <v>1050</v>
      </c>
      <c r="T56" s="16">
        <v>1225</v>
      </c>
      <c r="U56" s="16">
        <v>881</v>
      </c>
      <c r="V56" s="16">
        <v>944</v>
      </c>
      <c r="W56" s="16">
        <v>689</v>
      </c>
      <c r="X56" s="16" t="s">
        <v>34</v>
      </c>
    </row>
    <row r="57" spans="3:24" x14ac:dyDescent="0.2">
      <c r="C57" s="15" t="s">
        <v>160</v>
      </c>
      <c r="D57" s="16" t="s">
        <v>34</v>
      </c>
      <c r="E57" s="16" t="s">
        <v>34</v>
      </c>
      <c r="F57" s="16" t="s">
        <v>34</v>
      </c>
      <c r="G57" s="16" t="s">
        <v>34</v>
      </c>
      <c r="H57" s="16" t="s">
        <v>34</v>
      </c>
      <c r="I57" s="16" t="s">
        <v>34</v>
      </c>
      <c r="J57" s="16" t="s">
        <v>34</v>
      </c>
      <c r="K57" s="16" t="s">
        <v>34</v>
      </c>
      <c r="L57" s="16" t="s">
        <v>34</v>
      </c>
      <c r="M57" s="16" t="s">
        <v>34</v>
      </c>
      <c r="N57" s="16" t="s">
        <v>34</v>
      </c>
      <c r="O57" s="16" t="s">
        <v>34</v>
      </c>
      <c r="P57" s="16">
        <v>146</v>
      </c>
      <c r="Q57" s="16">
        <v>118</v>
      </c>
      <c r="R57" s="16">
        <v>327</v>
      </c>
      <c r="S57" s="16">
        <v>124</v>
      </c>
      <c r="T57" s="16">
        <v>318</v>
      </c>
      <c r="U57" s="16">
        <v>509</v>
      </c>
      <c r="V57" s="16">
        <v>572</v>
      </c>
      <c r="W57" s="16">
        <v>300</v>
      </c>
      <c r="X57" s="16">
        <v>454</v>
      </c>
    </row>
    <row r="58" spans="3:24" x14ac:dyDescent="0.2">
      <c r="C58" s="15" t="s">
        <v>161</v>
      </c>
      <c r="D58" s="16">
        <v>1437</v>
      </c>
      <c r="E58" s="16">
        <v>1387</v>
      </c>
      <c r="F58" s="16">
        <v>2742</v>
      </c>
      <c r="G58" s="16">
        <v>2578</v>
      </c>
      <c r="H58" s="16">
        <v>2745</v>
      </c>
      <c r="I58" s="16">
        <v>3581</v>
      </c>
      <c r="J58" s="16">
        <v>4749</v>
      </c>
      <c r="K58" s="16">
        <v>-1549</v>
      </c>
      <c r="L58" s="16">
        <v>4176</v>
      </c>
      <c r="M58" s="16">
        <v>2138</v>
      </c>
      <c r="N58" s="16">
        <v>5949</v>
      </c>
      <c r="O58" s="16">
        <v>4122</v>
      </c>
      <c r="P58" s="16">
        <v>3790</v>
      </c>
      <c r="Q58" s="16">
        <v>2109</v>
      </c>
      <c r="R58" s="16">
        <v>4353</v>
      </c>
      <c r="S58" s="16">
        <v>2059</v>
      </c>
      <c r="T58" s="16">
        <v>2053</v>
      </c>
      <c r="U58" s="16">
        <v>2123</v>
      </c>
      <c r="V58" s="16">
        <v>1904</v>
      </c>
      <c r="W58" s="16">
        <v>2334</v>
      </c>
      <c r="X58" s="16">
        <v>2775</v>
      </c>
    </row>
    <row r="59" spans="3:24" x14ac:dyDescent="0.2">
      <c r="C59" s="13" t="s">
        <v>162</v>
      </c>
      <c r="D59" s="14">
        <v>7549</v>
      </c>
      <c r="E59" s="14">
        <v>8371</v>
      </c>
      <c r="F59" s="14">
        <v>15061</v>
      </c>
      <c r="G59" s="14">
        <v>16323</v>
      </c>
      <c r="H59" s="14">
        <v>19941</v>
      </c>
      <c r="I59" s="14">
        <v>21575</v>
      </c>
      <c r="J59" s="14">
        <v>87034</v>
      </c>
      <c r="K59" s="14">
        <v>83990</v>
      </c>
      <c r="L59" s="14">
        <v>70135</v>
      </c>
      <c r="M59" s="14">
        <v>67888</v>
      </c>
      <c r="N59" s="14">
        <v>68419</v>
      </c>
      <c r="O59" s="14">
        <v>68072</v>
      </c>
      <c r="P59" s="14">
        <v>151279</v>
      </c>
      <c r="Q59" s="14">
        <v>134001</v>
      </c>
      <c r="R59" s="14">
        <v>127185</v>
      </c>
      <c r="S59" s="14">
        <v>120967</v>
      </c>
      <c r="T59" s="14">
        <v>115857</v>
      </c>
      <c r="U59" s="14">
        <v>111970</v>
      </c>
      <c r="V59" s="14">
        <v>123577</v>
      </c>
      <c r="W59" s="14">
        <v>132666</v>
      </c>
      <c r="X59" s="14">
        <v>130657</v>
      </c>
    </row>
    <row r="60" spans="3:24" x14ac:dyDescent="0.2">
      <c r="C60" s="13" t="s">
        <v>42</v>
      </c>
      <c r="D60" s="14">
        <v>14991</v>
      </c>
      <c r="E60" s="14">
        <v>18302</v>
      </c>
      <c r="F60" s="14">
        <v>31372</v>
      </c>
      <c r="G60" s="14">
        <v>33510</v>
      </c>
      <c r="H60" s="14">
        <v>39153</v>
      </c>
      <c r="I60" s="14">
        <v>46356</v>
      </c>
      <c r="J60" s="14">
        <v>116775</v>
      </c>
      <c r="K60" s="14">
        <v>123684</v>
      </c>
      <c r="L60" s="14">
        <v>116970</v>
      </c>
      <c r="M60" s="14">
        <v>115546</v>
      </c>
      <c r="N60" s="14">
        <v>115268</v>
      </c>
      <c r="O60" s="14">
        <v>111148</v>
      </c>
      <c r="P60" s="14">
        <v>212949</v>
      </c>
      <c r="Q60" s="14">
        <v>195014</v>
      </c>
      <c r="R60" s="14">
        <v>188002</v>
      </c>
      <c r="S60" s="14">
        <v>185798</v>
      </c>
      <c r="T60" s="14">
        <v>172101</v>
      </c>
      <c r="U60" s="14">
        <v>167566</v>
      </c>
      <c r="V60" s="14">
        <v>167381</v>
      </c>
      <c r="W60" s="14">
        <v>171615</v>
      </c>
      <c r="X60" s="14">
        <v>171797</v>
      </c>
    </row>
    <row r="61" spans="3:24" x14ac:dyDescent="0.2">
      <c r="C61" s="13" t="s">
        <v>145</v>
      </c>
      <c r="D61" s="14" t="s">
        <v>34</v>
      </c>
      <c r="E61" s="14" t="s">
        <v>34</v>
      </c>
      <c r="F61" s="14" t="s">
        <v>34</v>
      </c>
      <c r="G61" s="14" t="s">
        <v>34</v>
      </c>
      <c r="H61" s="14" t="s">
        <v>34</v>
      </c>
      <c r="I61" s="14" t="s">
        <v>34</v>
      </c>
      <c r="J61" s="14" t="s">
        <v>34</v>
      </c>
      <c r="K61" s="14">
        <v>125848</v>
      </c>
      <c r="L61" s="14">
        <v>116970</v>
      </c>
      <c r="M61" s="14">
        <v>114837</v>
      </c>
      <c r="N61" s="14">
        <v>115268</v>
      </c>
      <c r="O61" s="14">
        <v>111148</v>
      </c>
      <c r="P61" s="14">
        <v>212949</v>
      </c>
      <c r="Q61" s="14">
        <v>195014</v>
      </c>
      <c r="R61" s="14" t="s">
        <v>34</v>
      </c>
      <c r="S61" s="14" t="s">
        <v>34</v>
      </c>
      <c r="T61" s="14" t="s">
        <v>34</v>
      </c>
      <c r="U61" s="14" t="s">
        <v>34</v>
      </c>
      <c r="V61" s="14" t="s">
        <v>34</v>
      </c>
      <c r="W61" s="14" t="s">
        <v>34</v>
      </c>
      <c r="X61" s="14" t="s">
        <v>34</v>
      </c>
    </row>
    <row r="62" spans="3:24" x14ac:dyDescent="0.2">
      <c r="C62" s="15" t="s">
        <v>151</v>
      </c>
      <c r="D62" s="16" t="s">
        <v>34</v>
      </c>
      <c r="E62" s="16" t="s">
        <v>34</v>
      </c>
      <c r="F62" s="16" t="s">
        <v>34</v>
      </c>
      <c r="G62" s="16" t="s">
        <v>34</v>
      </c>
      <c r="H62" s="16" t="s">
        <v>34</v>
      </c>
      <c r="I62" s="16" t="s">
        <v>34</v>
      </c>
      <c r="J62" s="16" t="s">
        <v>34</v>
      </c>
      <c r="K62" s="16">
        <v>36040</v>
      </c>
      <c r="L62" s="16">
        <v>34157</v>
      </c>
      <c r="M62" s="16">
        <v>40327</v>
      </c>
      <c r="N62" s="16">
        <v>45680</v>
      </c>
      <c r="O62" s="16" t="s">
        <v>34</v>
      </c>
      <c r="P62" s="16" t="s">
        <v>34</v>
      </c>
      <c r="Q62" s="16" t="s">
        <v>34</v>
      </c>
      <c r="R62" s="16" t="s">
        <v>34</v>
      </c>
      <c r="S62" s="16" t="s">
        <v>34</v>
      </c>
      <c r="T62" s="16" t="s">
        <v>34</v>
      </c>
      <c r="U62" s="16" t="s">
        <v>34</v>
      </c>
      <c r="V62" s="16" t="s">
        <v>34</v>
      </c>
      <c r="W62" s="16" t="s">
        <v>34</v>
      </c>
      <c r="X62" s="16" t="s">
        <v>34</v>
      </c>
    </row>
    <row r="63" spans="3:24" x14ac:dyDescent="0.2">
      <c r="C63" s="15" t="s">
        <v>163</v>
      </c>
      <c r="D63" s="16" t="s">
        <v>34</v>
      </c>
      <c r="E63" s="16" t="s">
        <v>34</v>
      </c>
      <c r="F63" s="16" t="s">
        <v>34</v>
      </c>
      <c r="G63" s="16" t="s">
        <v>34</v>
      </c>
      <c r="H63" s="16" t="s">
        <v>34</v>
      </c>
      <c r="I63" s="16" t="s">
        <v>34</v>
      </c>
      <c r="J63" s="16" t="s">
        <v>34</v>
      </c>
      <c r="K63" s="16">
        <v>6631</v>
      </c>
      <c r="L63" s="16">
        <v>6659</v>
      </c>
      <c r="M63" s="16">
        <v>62</v>
      </c>
      <c r="N63" s="16">
        <v>114</v>
      </c>
      <c r="O63" s="16">
        <v>148</v>
      </c>
      <c r="P63" s="16">
        <v>496</v>
      </c>
      <c r="Q63" s="16">
        <v>561</v>
      </c>
      <c r="R63" s="16" t="s">
        <v>34</v>
      </c>
      <c r="S63" s="16" t="s">
        <v>34</v>
      </c>
      <c r="T63" s="16" t="s">
        <v>34</v>
      </c>
      <c r="U63" s="16" t="s">
        <v>34</v>
      </c>
      <c r="V63" s="16" t="s">
        <v>34</v>
      </c>
      <c r="W63" s="16" t="s">
        <v>34</v>
      </c>
      <c r="X63" s="16" t="s">
        <v>34</v>
      </c>
    </row>
    <row r="64" spans="3:24" x14ac:dyDescent="0.2">
      <c r="C64" s="15" t="s">
        <v>164</v>
      </c>
      <c r="D64" s="16" t="s">
        <v>34</v>
      </c>
      <c r="E64" s="16" t="s">
        <v>34</v>
      </c>
      <c r="F64" s="16" t="s">
        <v>34</v>
      </c>
      <c r="G64" s="16" t="s">
        <v>34</v>
      </c>
      <c r="H64" s="16" t="s">
        <v>34</v>
      </c>
      <c r="I64" s="16" t="s">
        <v>34</v>
      </c>
      <c r="J64" s="16" t="s">
        <v>34</v>
      </c>
      <c r="K64" s="16">
        <v>1992</v>
      </c>
      <c r="L64" s="16">
        <v>2098</v>
      </c>
      <c r="M64" s="16">
        <v>1951</v>
      </c>
      <c r="N64" s="16">
        <v>2043</v>
      </c>
      <c r="O64" s="16">
        <v>2075</v>
      </c>
      <c r="P64" s="16" t="s">
        <v>34</v>
      </c>
      <c r="Q64" s="16" t="s">
        <v>34</v>
      </c>
      <c r="R64" s="16" t="s">
        <v>34</v>
      </c>
      <c r="S64" s="16" t="s">
        <v>34</v>
      </c>
      <c r="T64" s="16" t="s">
        <v>34</v>
      </c>
      <c r="U64" s="16" t="s">
        <v>34</v>
      </c>
      <c r="V64" s="16" t="s">
        <v>34</v>
      </c>
      <c r="W64" s="16" t="s">
        <v>34</v>
      </c>
      <c r="X64" s="16" t="s">
        <v>34</v>
      </c>
    </row>
    <row r="65" spans="3:24" x14ac:dyDescent="0.2">
      <c r="C65" s="15" t="s">
        <v>165</v>
      </c>
      <c r="D65" s="16" t="s">
        <v>34</v>
      </c>
      <c r="E65" s="16" t="s">
        <v>34</v>
      </c>
      <c r="F65" s="16" t="s">
        <v>34</v>
      </c>
      <c r="G65" s="16" t="s">
        <v>34</v>
      </c>
      <c r="H65" s="16" t="s">
        <v>34</v>
      </c>
      <c r="I65" s="16" t="s">
        <v>34</v>
      </c>
      <c r="J65" s="16" t="s">
        <v>34</v>
      </c>
      <c r="K65" s="16" t="s">
        <v>34</v>
      </c>
      <c r="L65" s="16" t="s">
        <v>34</v>
      </c>
      <c r="M65" s="16" t="s">
        <v>34</v>
      </c>
      <c r="N65" s="16" t="s">
        <v>34</v>
      </c>
      <c r="O65" s="16">
        <v>48334</v>
      </c>
      <c r="P65" s="16" t="s">
        <v>34</v>
      </c>
      <c r="Q65" s="16" t="s">
        <v>34</v>
      </c>
      <c r="R65" s="16" t="s">
        <v>34</v>
      </c>
      <c r="S65" s="16" t="s">
        <v>34</v>
      </c>
      <c r="T65" s="16" t="s">
        <v>34</v>
      </c>
      <c r="U65" s="16" t="s">
        <v>34</v>
      </c>
      <c r="V65" s="16" t="s">
        <v>34</v>
      </c>
      <c r="W65" s="16" t="s">
        <v>34</v>
      </c>
      <c r="X65" s="16" t="s">
        <v>34</v>
      </c>
    </row>
    <row r="66" spans="3:24" x14ac:dyDescent="0.2">
      <c r="C66" s="15" t="s">
        <v>154</v>
      </c>
      <c r="D66" s="16" t="s">
        <v>34</v>
      </c>
      <c r="E66" s="16" t="s">
        <v>34</v>
      </c>
      <c r="F66" s="16" t="s">
        <v>34</v>
      </c>
      <c r="G66" s="16" t="s">
        <v>34</v>
      </c>
      <c r="H66" s="16" t="s">
        <v>34</v>
      </c>
      <c r="I66" s="16" t="s">
        <v>34</v>
      </c>
      <c r="J66" s="16" t="s">
        <v>34</v>
      </c>
      <c r="K66" s="16" t="s">
        <v>34</v>
      </c>
      <c r="L66" s="16" t="s">
        <v>34</v>
      </c>
      <c r="M66" s="16" t="s">
        <v>34</v>
      </c>
      <c r="N66" s="16" t="s">
        <v>34</v>
      </c>
      <c r="O66" s="16" t="s">
        <v>34</v>
      </c>
      <c r="P66" s="16">
        <v>74980</v>
      </c>
      <c r="Q66" s="16">
        <v>52638</v>
      </c>
      <c r="R66" s="16" t="s">
        <v>34</v>
      </c>
      <c r="S66" s="16" t="s">
        <v>34</v>
      </c>
      <c r="T66" s="16" t="s">
        <v>34</v>
      </c>
      <c r="U66" s="16" t="s">
        <v>34</v>
      </c>
      <c r="V66" s="16" t="s">
        <v>34</v>
      </c>
      <c r="W66" s="16" t="s">
        <v>34</v>
      </c>
      <c r="X66" s="16" t="s">
        <v>34</v>
      </c>
    </row>
    <row r="67" spans="3:24" x14ac:dyDescent="0.2">
      <c r="C67" s="15" t="s">
        <v>155</v>
      </c>
      <c r="D67" s="16" t="s">
        <v>34</v>
      </c>
      <c r="E67" s="16" t="s">
        <v>34</v>
      </c>
      <c r="F67" s="16" t="s">
        <v>34</v>
      </c>
      <c r="G67" s="16" t="s">
        <v>34</v>
      </c>
      <c r="H67" s="16" t="s">
        <v>34</v>
      </c>
      <c r="I67" s="16" t="s">
        <v>34</v>
      </c>
      <c r="J67" s="16" t="s">
        <v>34</v>
      </c>
      <c r="K67" s="16" t="s">
        <v>34</v>
      </c>
      <c r="L67" s="16" t="s">
        <v>34</v>
      </c>
      <c r="M67" s="16" t="s">
        <v>34</v>
      </c>
      <c r="N67" s="16" t="s">
        <v>34</v>
      </c>
      <c r="O67" s="16" t="s">
        <v>34</v>
      </c>
      <c r="P67" s="16">
        <v>16684</v>
      </c>
      <c r="Q67" s="16">
        <v>18255</v>
      </c>
      <c r="R67" s="16" t="s">
        <v>34</v>
      </c>
      <c r="S67" s="16" t="s">
        <v>34</v>
      </c>
      <c r="T67" s="16" t="s">
        <v>34</v>
      </c>
      <c r="U67" s="16" t="s">
        <v>34</v>
      </c>
      <c r="V67" s="16" t="s">
        <v>34</v>
      </c>
      <c r="W67" s="16" t="s">
        <v>34</v>
      </c>
      <c r="X67" s="16" t="s">
        <v>34</v>
      </c>
    </row>
    <row r="68" spans="3:24" x14ac:dyDescent="0.2">
      <c r="C68" s="15" t="s">
        <v>166</v>
      </c>
      <c r="D68" s="16" t="s">
        <v>34</v>
      </c>
      <c r="E68" s="16" t="s">
        <v>34</v>
      </c>
      <c r="F68" s="16" t="s">
        <v>34</v>
      </c>
      <c r="G68" s="16" t="s">
        <v>34</v>
      </c>
      <c r="H68" s="16" t="s">
        <v>34</v>
      </c>
      <c r="I68" s="16" t="s">
        <v>34</v>
      </c>
      <c r="J68" s="16" t="s">
        <v>34</v>
      </c>
      <c r="K68" s="16">
        <v>81185</v>
      </c>
      <c r="L68" s="16">
        <v>74056</v>
      </c>
      <c r="M68" s="16">
        <v>72497</v>
      </c>
      <c r="N68" s="16">
        <v>67431</v>
      </c>
      <c r="O68" s="16">
        <v>60591</v>
      </c>
      <c r="P68" s="16">
        <v>120789</v>
      </c>
      <c r="Q68" s="16">
        <v>123560</v>
      </c>
      <c r="R68" s="16" t="s">
        <v>34</v>
      </c>
      <c r="S68" s="16" t="s">
        <v>34</v>
      </c>
      <c r="T68" s="16" t="s">
        <v>34</v>
      </c>
      <c r="U68" s="16" t="s">
        <v>34</v>
      </c>
      <c r="V68" s="16" t="s">
        <v>34</v>
      </c>
      <c r="W68" s="16" t="s">
        <v>34</v>
      </c>
      <c r="X68" s="16" t="s">
        <v>34</v>
      </c>
    </row>
    <row r="69" spans="3:24" x14ac:dyDescent="0.2">
      <c r="C69" s="1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3:24" x14ac:dyDescent="0.2">
      <c r="C70" s="13" t="s">
        <v>43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3:24" x14ac:dyDescent="0.2">
      <c r="C71" s="15" t="s">
        <v>167</v>
      </c>
      <c r="D71" s="16">
        <v>660</v>
      </c>
      <c r="E71" s="16">
        <v>971</v>
      </c>
      <c r="F71" s="16">
        <v>1889</v>
      </c>
      <c r="G71" s="16">
        <v>1719</v>
      </c>
      <c r="H71" s="16">
        <v>1411</v>
      </c>
      <c r="I71" s="16">
        <v>1620</v>
      </c>
      <c r="J71" s="16">
        <v>2601</v>
      </c>
      <c r="K71" s="16">
        <v>2672</v>
      </c>
      <c r="L71" s="16">
        <v>2073</v>
      </c>
      <c r="M71" s="16">
        <v>2019</v>
      </c>
      <c r="N71" s="16">
        <v>2270</v>
      </c>
      <c r="O71" s="16">
        <v>1751</v>
      </c>
      <c r="P71" s="16">
        <v>18173</v>
      </c>
      <c r="Q71" s="16">
        <v>8626</v>
      </c>
      <c r="R71" s="16">
        <v>8603</v>
      </c>
      <c r="S71" s="16">
        <v>7508</v>
      </c>
      <c r="T71" s="16">
        <v>7367</v>
      </c>
      <c r="U71" s="16">
        <v>7293</v>
      </c>
      <c r="V71" s="16">
        <v>8249</v>
      </c>
      <c r="W71" s="16">
        <v>9404</v>
      </c>
      <c r="X71" s="16">
        <v>9358</v>
      </c>
    </row>
    <row r="72" spans="3:24" x14ac:dyDescent="0.2">
      <c r="C72" s="15" t="s">
        <v>168</v>
      </c>
      <c r="D72" s="16">
        <v>660</v>
      </c>
      <c r="E72" s="16">
        <v>971</v>
      </c>
      <c r="F72" s="16">
        <v>1889</v>
      </c>
      <c r="G72" s="16">
        <v>1719</v>
      </c>
      <c r="H72" s="16">
        <v>1411</v>
      </c>
      <c r="I72" s="16">
        <v>1620</v>
      </c>
      <c r="J72" s="16">
        <v>2601</v>
      </c>
      <c r="K72" s="16">
        <v>2672</v>
      </c>
      <c r="L72" s="16">
        <v>2073</v>
      </c>
      <c r="M72" s="16">
        <v>2019</v>
      </c>
      <c r="N72" s="16">
        <v>2270</v>
      </c>
      <c r="O72" s="16">
        <v>1751</v>
      </c>
      <c r="P72" s="16">
        <v>4370</v>
      </c>
      <c r="Q72" s="16">
        <v>3994</v>
      </c>
      <c r="R72" s="16">
        <v>3678</v>
      </c>
      <c r="S72" s="16">
        <v>2921</v>
      </c>
      <c r="T72" s="16">
        <v>3234</v>
      </c>
      <c r="U72" s="16">
        <v>3210</v>
      </c>
      <c r="V72" s="16">
        <v>3620</v>
      </c>
      <c r="W72" s="16">
        <v>4536</v>
      </c>
      <c r="X72" s="16">
        <v>4656</v>
      </c>
    </row>
    <row r="73" spans="3:24" x14ac:dyDescent="0.2">
      <c r="C73" s="15" t="s">
        <v>169</v>
      </c>
      <c r="D73" s="16" t="s">
        <v>34</v>
      </c>
      <c r="E73" s="16" t="s">
        <v>34</v>
      </c>
      <c r="F73" s="16" t="s">
        <v>34</v>
      </c>
      <c r="G73" s="16" t="s">
        <v>34</v>
      </c>
      <c r="H73" s="16" t="s">
        <v>34</v>
      </c>
      <c r="I73" s="16" t="s">
        <v>34</v>
      </c>
      <c r="J73" s="16" t="s">
        <v>34</v>
      </c>
      <c r="K73" s="16" t="s">
        <v>34</v>
      </c>
      <c r="L73" s="16" t="s">
        <v>34</v>
      </c>
      <c r="M73" s="16" t="s">
        <v>34</v>
      </c>
      <c r="N73" s="16" t="s">
        <v>34</v>
      </c>
      <c r="O73" s="16" t="s">
        <v>34</v>
      </c>
      <c r="P73" s="16">
        <v>10107</v>
      </c>
      <c r="Q73" s="16">
        <v>951</v>
      </c>
      <c r="R73" s="16">
        <v>1009</v>
      </c>
      <c r="S73" s="16">
        <v>979</v>
      </c>
      <c r="T73" s="16">
        <v>678</v>
      </c>
      <c r="U73" s="16">
        <v>531</v>
      </c>
      <c r="V73" s="16">
        <v>418</v>
      </c>
      <c r="W73" s="16">
        <v>437</v>
      </c>
      <c r="X73" s="16">
        <v>477</v>
      </c>
    </row>
    <row r="74" spans="3:24" x14ac:dyDescent="0.2">
      <c r="C74" s="15" t="s">
        <v>170</v>
      </c>
      <c r="D74" s="16" t="s">
        <v>34</v>
      </c>
      <c r="E74" s="16" t="s">
        <v>34</v>
      </c>
      <c r="F74" s="16" t="s">
        <v>34</v>
      </c>
      <c r="G74" s="16" t="s">
        <v>34</v>
      </c>
      <c r="H74" s="16" t="s">
        <v>34</v>
      </c>
      <c r="I74" s="16" t="s">
        <v>34</v>
      </c>
      <c r="J74" s="16" t="s">
        <v>34</v>
      </c>
      <c r="K74" s="16" t="s">
        <v>34</v>
      </c>
      <c r="L74" s="16" t="s">
        <v>34</v>
      </c>
      <c r="M74" s="16" t="s">
        <v>34</v>
      </c>
      <c r="N74" s="16" t="s">
        <v>34</v>
      </c>
      <c r="O74" s="16" t="s">
        <v>34</v>
      </c>
      <c r="P74" s="16">
        <v>1454</v>
      </c>
      <c r="Q74" s="16">
        <v>1601</v>
      </c>
      <c r="R74" s="16">
        <v>1796</v>
      </c>
      <c r="S74" s="16">
        <v>1733</v>
      </c>
      <c r="T74" s="16">
        <v>1663</v>
      </c>
      <c r="U74" s="16">
        <v>1711</v>
      </c>
      <c r="V74" s="16">
        <v>1852</v>
      </c>
      <c r="W74" s="16">
        <v>1944</v>
      </c>
      <c r="X74" s="16">
        <v>2029</v>
      </c>
    </row>
    <row r="75" spans="3:24" x14ac:dyDescent="0.2">
      <c r="C75" s="15" t="s">
        <v>171</v>
      </c>
      <c r="D75" s="16" t="s">
        <v>34</v>
      </c>
      <c r="E75" s="16" t="s">
        <v>34</v>
      </c>
      <c r="F75" s="16" t="s">
        <v>34</v>
      </c>
      <c r="G75" s="16" t="s">
        <v>34</v>
      </c>
      <c r="H75" s="16" t="s">
        <v>34</v>
      </c>
      <c r="I75" s="16" t="s">
        <v>34</v>
      </c>
      <c r="J75" s="16" t="s">
        <v>34</v>
      </c>
      <c r="K75" s="16" t="s">
        <v>34</v>
      </c>
      <c r="L75" s="16" t="s">
        <v>34</v>
      </c>
      <c r="M75" s="16" t="s">
        <v>34</v>
      </c>
      <c r="N75" s="16" t="s">
        <v>34</v>
      </c>
      <c r="O75" s="16" t="s">
        <v>34</v>
      </c>
      <c r="P75" s="16">
        <v>2242</v>
      </c>
      <c r="Q75" s="16">
        <v>2080</v>
      </c>
      <c r="R75" s="16">
        <v>2120</v>
      </c>
      <c r="S75" s="16">
        <v>1875</v>
      </c>
      <c r="T75" s="16">
        <v>1792</v>
      </c>
      <c r="U75" s="16">
        <v>1841</v>
      </c>
      <c r="V75" s="16">
        <v>2359</v>
      </c>
      <c r="W75" s="16">
        <v>2487</v>
      </c>
      <c r="X75" s="16">
        <v>2196</v>
      </c>
    </row>
    <row r="76" spans="3:24" x14ac:dyDescent="0.2">
      <c r="C76" s="82" t="s">
        <v>172</v>
      </c>
      <c r="D76" s="16">
        <v>2251</v>
      </c>
      <c r="E76" s="16">
        <v>2729</v>
      </c>
      <c r="F76" s="16">
        <v>5299</v>
      </c>
      <c r="G76" s="16">
        <v>4289</v>
      </c>
      <c r="H76" s="81">
        <v>6263</v>
      </c>
      <c r="I76" s="16">
        <v>8669</v>
      </c>
      <c r="J76" s="16">
        <v>8818</v>
      </c>
      <c r="K76" s="16">
        <v>11266</v>
      </c>
      <c r="L76" s="16">
        <v>11589</v>
      </c>
      <c r="M76" s="16">
        <v>2434</v>
      </c>
      <c r="N76" s="16">
        <v>5825</v>
      </c>
      <c r="O76" s="16">
        <v>9320</v>
      </c>
      <c r="P76" s="16">
        <v>5469</v>
      </c>
      <c r="Q76" s="16">
        <v>5603</v>
      </c>
      <c r="R76" s="16">
        <v>4016</v>
      </c>
      <c r="S76" s="16">
        <v>6424</v>
      </c>
      <c r="T76" s="16">
        <v>6027</v>
      </c>
      <c r="U76" s="16">
        <v>5141</v>
      </c>
      <c r="V76" s="16">
        <v>10159</v>
      </c>
      <c r="W76" s="16">
        <v>10688</v>
      </c>
      <c r="X76" s="16">
        <v>9953</v>
      </c>
    </row>
    <row r="77" spans="3:24" x14ac:dyDescent="0.2">
      <c r="C77" s="15" t="s">
        <v>173</v>
      </c>
      <c r="D77" s="16" t="s">
        <v>34</v>
      </c>
      <c r="E77" s="16" t="s">
        <v>34</v>
      </c>
      <c r="F77" s="16" t="s">
        <v>34</v>
      </c>
      <c r="G77" s="16" t="s">
        <v>34</v>
      </c>
      <c r="H77" s="16" t="s">
        <v>34</v>
      </c>
      <c r="I77" s="16" t="s">
        <v>34</v>
      </c>
      <c r="J77" s="16" t="s">
        <v>34</v>
      </c>
      <c r="K77" s="16" t="s">
        <v>34</v>
      </c>
      <c r="L77" s="16" t="s">
        <v>34</v>
      </c>
      <c r="M77" s="16" t="s">
        <v>34</v>
      </c>
      <c r="N77" s="16" t="s">
        <v>34</v>
      </c>
      <c r="O77" s="16" t="s">
        <v>34</v>
      </c>
      <c r="P77" s="16">
        <v>5442</v>
      </c>
      <c r="Q77" s="16">
        <v>2101</v>
      </c>
      <c r="R77" s="16">
        <v>4010</v>
      </c>
      <c r="S77" s="16">
        <v>3975</v>
      </c>
      <c r="T77" s="16">
        <v>3967</v>
      </c>
      <c r="U77" s="16">
        <v>2130</v>
      </c>
      <c r="V77" s="16">
        <v>6439</v>
      </c>
      <c r="W77" s="16">
        <v>6463</v>
      </c>
      <c r="X77" s="16">
        <v>0</v>
      </c>
    </row>
    <row r="78" spans="3:24" x14ac:dyDescent="0.2">
      <c r="C78" s="15" t="s">
        <v>174</v>
      </c>
      <c r="D78" s="16" t="s">
        <v>34</v>
      </c>
      <c r="E78" s="16" t="s">
        <v>34</v>
      </c>
      <c r="F78" s="16" t="s">
        <v>34</v>
      </c>
      <c r="G78" s="16" t="s">
        <v>34</v>
      </c>
      <c r="H78" s="16" t="s">
        <v>34</v>
      </c>
      <c r="I78" s="16" t="s">
        <v>34</v>
      </c>
      <c r="J78" s="16" t="s">
        <v>34</v>
      </c>
      <c r="K78" s="16" t="s">
        <v>34</v>
      </c>
      <c r="L78" s="16" t="s">
        <v>34</v>
      </c>
      <c r="M78" s="16" t="s">
        <v>34</v>
      </c>
      <c r="N78" s="16" t="s">
        <v>34</v>
      </c>
      <c r="O78" s="16" t="s">
        <v>34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</row>
    <row r="79" spans="3:24" x14ac:dyDescent="0.2">
      <c r="C79" s="15" t="s">
        <v>175</v>
      </c>
      <c r="D79" s="16" t="s">
        <v>34</v>
      </c>
      <c r="E79" s="16" t="s">
        <v>34</v>
      </c>
      <c r="F79" s="16" t="s">
        <v>34</v>
      </c>
      <c r="G79" s="16" t="s">
        <v>34</v>
      </c>
      <c r="H79" s="16" t="s">
        <v>34</v>
      </c>
      <c r="I79" s="16" t="s">
        <v>34</v>
      </c>
      <c r="J79" s="16" t="s">
        <v>34</v>
      </c>
      <c r="K79" s="16" t="s">
        <v>34</v>
      </c>
      <c r="L79" s="16" t="s">
        <v>34</v>
      </c>
      <c r="M79" s="16" t="s">
        <v>34</v>
      </c>
      <c r="N79" s="16" t="s">
        <v>34</v>
      </c>
      <c r="O79" s="16" t="s">
        <v>34</v>
      </c>
      <c r="P79" s="16">
        <v>27</v>
      </c>
      <c r="Q79" s="16">
        <v>3502</v>
      </c>
      <c r="R79" s="16">
        <v>6</v>
      </c>
      <c r="S79" s="16">
        <v>2449</v>
      </c>
      <c r="T79" s="16">
        <v>2060</v>
      </c>
      <c r="U79" s="16">
        <v>3011</v>
      </c>
      <c r="V79" s="16">
        <v>3720</v>
      </c>
      <c r="W79" s="16">
        <v>4225</v>
      </c>
      <c r="X79" s="16">
        <v>9953</v>
      </c>
    </row>
    <row r="80" spans="3:24" x14ac:dyDescent="0.2">
      <c r="C80" s="15" t="s">
        <v>176</v>
      </c>
      <c r="D80" s="16">
        <v>2083</v>
      </c>
      <c r="E80" s="16">
        <v>3492</v>
      </c>
      <c r="F80" s="16">
        <v>4708</v>
      </c>
      <c r="G80" s="16">
        <v>5973</v>
      </c>
      <c r="H80" s="16">
        <v>6055</v>
      </c>
      <c r="I80" s="16">
        <v>8266</v>
      </c>
      <c r="J80" s="16">
        <v>12238</v>
      </c>
      <c r="K80" s="16">
        <v>12520</v>
      </c>
      <c r="L80" s="16">
        <v>14740</v>
      </c>
      <c r="M80" s="16">
        <v>17646</v>
      </c>
      <c r="N80" s="16">
        <v>13740</v>
      </c>
      <c r="O80" s="16">
        <v>15938</v>
      </c>
      <c r="P80" s="16">
        <v>13583</v>
      </c>
      <c r="Q80" s="16">
        <v>14407</v>
      </c>
      <c r="R80" s="16">
        <v>16290</v>
      </c>
      <c r="S80" s="16">
        <v>15254</v>
      </c>
      <c r="T80" s="16">
        <v>9972</v>
      </c>
      <c r="U80" s="16">
        <v>9153</v>
      </c>
      <c r="V80" s="16">
        <v>10990</v>
      </c>
      <c r="W80" s="16">
        <v>11023</v>
      </c>
      <c r="X80" s="16">
        <v>11116</v>
      </c>
    </row>
    <row r="81" spans="3:24" x14ac:dyDescent="0.2">
      <c r="C81" s="15" t="s">
        <v>177</v>
      </c>
      <c r="D81" s="16" t="s">
        <v>34</v>
      </c>
      <c r="E81" s="16" t="s">
        <v>34</v>
      </c>
      <c r="F81" s="16" t="s">
        <v>34</v>
      </c>
      <c r="G81" s="16" t="s">
        <v>34</v>
      </c>
      <c r="H81" s="16" t="s">
        <v>34</v>
      </c>
      <c r="I81" s="16" t="s">
        <v>34</v>
      </c>
      <c r="J81" s="16" t="s">
        <v>34</v>
      </c>
      <c r="K81" s="16" t="s">
        <v>34</v>
      </c>
      <c r="L81" s="16" t="s">
        <v>34</v>
      </c>
      <c r="M81" s="16" t="s">
        <v>34</v>
      </c>
      <c r="N81" s="16" t="s">
        <v>34</v>
      </c>
      <c r="O81" s="16" t="s">
        <v>34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</row>
    <row r="82" spans="3:24" x14ac:dyDescent="0.2">
      <c r="C82" s="15" t="s">
        <v>178</v>
      </c>
      <c r="D82" s="16" t="s">
        <v>34</v>
      </c>
      <c r="E82" s="16" t="s">
        <v>34</v>
      </c>
      <c r="F82" s="16" t="s">
        <v>34</v>
      </c>
      <c r="G82" s="16" t="s">
        <v>34</v>
      </c>
      <c r="H82" s="16" t="s">
        <v>34</v>
      </c>
      <c r="I82" s="16" t="s">
        <v>34</v>
      </c>
      <c r="J82" s="16" t="s">
        <v>34</v>
      </c>
      <c r="K82" s="16" t="s">
        <v>34</v>
      </c>
      <c r="L82" s="16" t="s">
        <v>34</v>
      </c>
      <c r="M82" s="16" t="s">
        <v>34</v>
      </c>
      <c r="N82" s="16" t="s">
        <v>34</v>
      </c>
      <c r="O82" s="16" t="s">
        <v>34</v>
      </c>
      <c r="P82" s="16">
        <v>369</v>
      </c>
      <c r="Q82" s="16">
        <v>339</v>
      </c>
      <c r="R82" s="16">
        <v>459</v>
      </c>
      <c r="S82" s="16">
        <v>330</v>
      </c>
      <c r="T82" s="16">
        <v>303</v>
      </c>
      <c r="U82" s="16">
        <v>92</v>
      </c>
      <c r="V82" s="16">
        <v>645</v>
      </c>
      <c r="W82" s="16">
        <v>1247</v>
      </c>
      <c r="X82" s="16" t="s">
        <v>34</v>
      </c>
    </row>
    <row r="83" spans="3:24" x14ac:dyDescent="0.2">
      <c r="C83" s="15" t="s">
        <v>131</v>
      </c>
      <c r="D83" s="16" t="s">
        <v>34</v>
      </c>
      <c r="E83" s="16" t="s">
        <v>34</v>
      </c>
      <c r="F83" s="16" t="s">
        <v>34</v>
      </c>
      <c r="G83" s="16" t="s">
        <v>34</v>
      </c>
      <c r="H83" s="16" t="s">
        <v>34</v>
      </c>
      <c r="I83" s="16" t="s">
        <v>34</v>
      </c>
      <c r="J83" s="16" t="s">
        <v>34</v>
      </c>
      <c r="K83" s="16" t="s">
        <v>34</v>
      </c>
      <c r="L83" s="16" t="s">
        <v>34</v>
      </c>
      <c r="M83" s="16" t="s">
        <v>34</v>
      </c>
      <c r="N83" s="16" t="s">
        <v>34</v>
      </c>
      <c r="O83" s="16" t="s">
        <v>34</v>
      </c>
      <c r="P83" s="16" t="s">
        <v>34</v>
      </c>
      <c r="Q83" s="16">
        <v>151</v>
      </c>
      <c r="R83" s="16">
        <v>1224</v>
      </c>
      <c r="S83" s="16">
        <v>1442</v>
      </c>
      <c r="T83" s="16">
        <v>21</v>
      </c>
      <c r="U83" s="16" t="s">
        <v>34</v>
      </c>
      <c r="V83" s="16" t="s">
        <v>34</v>
      </c>
      <c r="W83" s="16" t="s">
        <v>34</v>
      </c>
      <c r="X83" s="16" t="s">
        <v>34</v>
      </c>
    </row>
    <row r="84" spans="3:24" x14ac:dyDescent="0.2">
      <c r="C84" s="15" t="s">
        <v>179</v>
      </c>
      <c r="D84" s="16">
        <v>2083</v>
      </c>
      <c r="E84" s="16">
        <v>3492</v>
      </c>
      <c r="F84" s="16">
        <v>4708</v>
      </c>
      <c r="G84" s="16">
        <v>5973</v>
      </c>
      <c r="H84" s="16">
        <v>6055</v>
      </c>
      <c r="I84" s="16">
        <v>8266</v>
      </c>
      <c r="J84" s="16">
        <v>12238</v>
      </c>
      <c r="K84" s="16">
        <v>12520</v>
      </c>
      <c r="L84" s="16">
        <v>14740</v>
      </c>
      <c r="M84" s="16">
        <v>17646</v>
      </c>
      <c r="N84" s="16">
        <v>13740</v>
      </c>
      <c r="O84" s="16">
        <v>15938</v>
      </c>
      <c r="P84" s="16">
        <v>13214</v>
      </c>
      <c r="Q84" s="16">
        <v>13917</v>
      </c>
      <c r="R84" s="16">
        <v>14607</v>
      </c>
      <c r="S84" s="16">
        <v>13482</v>
      </c>
      <c r="T84" s="16">
        <v>9648</v>
      </c>
      <c r="U84" s="16">
        <v>9061</v>
      </c>
      <c r="V84" s="16">
        <v>10345</v>
      </c>
      <c r="W84" s="16">
        <v>9776</v>
      </c>
      <c r="X84" s="16">
        <v>11116</v>
      </c>
    </row>
    <row r="85" spans="3:24" x14ac:dyDescent="0.2">
      <c r="C85" s="13" t="s">
        <v>44</v>
      </c>
      <c r="D85" s="14">
        <v>4994</v>
      </c>
      <c r="E85" s="14">
        <v>7192</v>
      </c>
      <c r="F85" s="14">
        <v>11896</v>
      </c>
      <c r="G85" s="14">
        <v>11981</v>
      </c>
      <c r="H85" s="80">
        <v>13729</v>
      </c>
      <c r="I85" s="14">
        <v>18555</v>
      </c>
      <c r="J85" s="14">
        <v>23657</v>
      </c>
      <c r="K85" s="14">
        <v>26458</v>
      </c>
      <c r="L85" s="14">
        <v>28402</v>
      </c>
      <c r="M85" s="14">
        <v>22099</v>
      </c>
      <c r="N85" s="14">
        <v>21835</v>
      </c>
      <c r="O85" s="14">
        <v>27009</v>
      </c>
      <c r="P85" s="14">
        <v>37225</v>
      </c>
      <c r="Q85" s="14">
        <v>28636</v>
      </c>
      <c r="R85" s="14">
        <v>28909</v>
      </c>
      <c r="S85" s="14">
        <v>29186</v>
      </c>
      <c r="T85" s="14">
        <v>23366</v>
      </c>
      <c r="U85" s="14">
        <v>21587</v>
      </c>
      <c r="V85" s="14">
        <v>29398</v>
      </c>
      <c r="W85" s="14">
        <v>31115</v>
      </c>
      <c r="X85" s="14">
        <v>30427</v>
      </c>
    </row>
    <row r="86" spans="3:24" x14ac:dyDescent="0.2">
      <c r="C86" s="82" t="s">
        <v>180</v>
      </c>
      <c r="D86" s="16">
        <v>725</v>
      </c>
      <c r="E86" s="16">
        <v>527</v>
      </c>
      <c r="F86" s="16">
        <v>1774</v>
      </c>
      <c r="G86" s="16">
        <v>1123</v>
      </c>
      <c r="H86" s="81">
        <v>2609</v>
      </c>
      <c r="I86" s="16">
        <v>3140</v>
      </c>
      <c r="J86" s="16">
        <v>5755</v>
      </c>
      <c r="K86" s="16">
        <v>7279</v>
      </c>
      <c r="L86" s="16">
        <v>6347</v>
      </c>
      <c r="M86" s="16">
        <v>5546</v>
      </c>
      <c r="N86" s="16">
        <v>7314</v>
      </c>
      <c r="O86" s="16">
        <v>7963</v>
      </c>
      <c r="P86" s="16">
        <v>43193</v>
      </c>
      <c r="Q86" s="16">
        <v>38410</v>
      </c>
      <c r="R86" s="16">
        <v>34926</v>
      </c>
      <c r="S86" s="16">
        <v>31036</v>
      </c>
      <c r="T86" s="16">
        <v>30462</v>
      </c>
      <c r="U86" s="16">
        <v>31541</v>
      </c>
      <c r="V86" s="16">
        <v>28740</v>
      </c>
      <c r="W86" s="16">
        <v>31398</v>
      </c>
      <c r="X86" s="16">
        <v>33538</v>
      </c>
    </row>
    <row r="87" spans="3:24" x14ac:dyDescent="0.2">
      <c r="C87" s="15" t="s">
        <v>181</v>
      </c>
      <c r="D87" s="16" t="s">
        <v>34</v>
      </c>
      <c r="E87" s="16" t="s">
        <v>34</v>
      </c>
      <c r="F87" s="16" t="s">
        <v>34</v>
      </c>
      <c r="G87" s="16" t="s">
        <v>34</v>
      </c>
      <c r="H87" s="16" t="s">
        <v>34</v>
      </c>
      <c r="I87" s="16" t="s">
        <v>34</v>
      </c>
      <c r="J87" s="16" t="s">
        <v>34</v>
      </c>
      <c r="K87" s="16" t="s">
        <v>34</v>
      </c>
      <c r="L87" s="16" t="s">
        <v>34</v>
      </c>
      <c r="M87" s="16" t="s">
        <v>34</v>
      </c>
      <c r="N87" s="16" t="s">
        <v>34</v>
      </c>
      <c r="O87" s="16" t="s">
        <v>34</v>
      </c>
      <c r="P87" s="16">
        <v>43193</v>
      </c>
      <c r="Q87" s="16">
        <v>38410</v>
      </c>
      <c r="R87" s="16">
        <v>34926</v>
      </c>
      <c r="S87" s="16">
        <v>31036</v>
      </c>
      <c r="T87" s="16">
        <v>30462</v>
      </c>
      <c r="U87" s="16">
        <v>31541</v>
      </c>
      <c r="V87" s="16">
        <v>28740</v>
      </c>
      <c r="W87" s="16">
        <v>31398</v>
      </c>
      <c r="X87" s="16">
        <v>33538</v>
      </c>
    </row>
    <row r="88" spans="3:24" x14ac:dyDescent="0.2">
      <c r="C88" s="15" t="s">
        <v>182</v>
      </c>
      <c r="D88" s="16" t="s">
        <v>34</v>
      </c>
      <c r="E88" s="16" t="s">
        <v>34</v>
      </c>
      <c r="F88" s="16" t="s">
        <v>34</v>
      </c>
      <c r="G88" s="16" t="s">
        <v>34</v>
      </c>
      <c r="H88" s="16" t="s">
        <v>34</v>
      </c>
      <c r="I88" s="16" t="s">
        <v>34</v>
      </c>
      <c r="J88" s="16" t="s">
        <v>34</v>
      </c>
      <c r="K88" s="16" t="s">
        <v>34</v>
      </c>
      <c r="L88" s="16" t="s">
        <v>34</v>
      </c>
      <c r="M88" s="16" t="s">
        <v>34</v>
      </c>
      <c r="N88" s="16" t="s">
        <v>34</v>
      </c>
      <c r="O88" s="16" t="s">
        <v>34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</row>
    <row r="89" spans="3:24" x14ac:dyDescent="0.2">
      <c r="C89" s="15" t="s">
        <v>183</v>
      </c>
      <c r="D89" s="16">
        <v>1339</v>
      </c>
      <c r="E89" s="16">
        <v>1773</v>
      </c>
      <c r="F89" s="16">
        <v>3752</v>
      </c>
      <c r="G89" s="16">
        <v>4330</v>
      </c>
      <c r="H89" s="16">
        <v>4522</v>
      </c>
      <c r="I89" s="16">
        <v>4711</v>
      </c>
      <c r="J89" s="16">
        <v>21986</v>
      </c>
      <c r="K89" s="16">
        <v>21669</v>
      </c>
      <c r="L89" s="16">
        <v>16457</v>
      </c>
      <c r="M89" s="16">
        <v>16469</v>
      </c>
      <c r="N89" s="16">
        <v>20995</v>
      </c>
      <c r="O89" s="16">
        <v>18436</v>
      </c>
      <c r="P89" s="16">
        <v>42085</v>
      </c>
      <c r="Q89" s="16">
        <v>39703</v>
      </c>
      <c r="R89" s="16">
        <v>41546</v>
      </c>
      <c r="S89" s="16">
        <v>43898</v>
      </c>
      <c r="T89" s="16">
        <v>41653</v>
      </c>
      <c r="U89" s="16">
        <v>42817</v>
      </c>
      <c r="V89" s="16">
        <v>44245</v>
      </c>
      <c r="W89" s="16">
        <v>49262</v>
      </c>
      <c r="X89" s="16">
        <v>36176</v>
      </c>
    </row>
    <row r="90" spans="3:24" x14ac:dyDescent="0.2">
      <c r="C90" s="15" t="s">
        <v>184</v>
      </c>
      <c r="D90" s="16" t="s">
        <v>34</v>
      </c>
      <c r="E90" s="16" t="s">
        <v>34</v>
      </c>
      <c r="F90" s="16" t="s">
        <v>34</v>
      </c>
      <c r="G90" s="16" t="s">
        <v>34</v>
      </c>
      <c r="H90" s="16" t="s">
        <v>34</v>
      </c>
      <c r="I90" s="16" t="s">
        <v>34</v>
      </c>
      <c r="J90" s="16" t="s">
        <v>34</v>
      </c>
      <c r="K90" s="16" t="s">
        <v>34</v>
      </c>
      <c r="L90" s="16" t="s">
        <v>34</v>
      </c>
      <c r="M90" s="16" t="s">
        <v>34</v>
      </c>
      <c r="N90" s="16" t="s">
        <v>34</v>
      </c>
      <c r="O90" s="16" t="s">
        <v>34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</row>
    <row r="91" spans="3:24" x14ac:dyDescent="0.2">
      <c r="C91" s="15" t="s">
        <v>185</v>
      </c>
      <c r="D91" s="16" t="s">
        <v>34</v>
      </c>
      <c r="E91" s="16" t="s">
        <v>34</v>
      </c>
      <c r="F91" s="16" t="s">
        <v>34</v>
      </c>
      <c r="G91" s="16" t="s">
        <v>34</v>
      </c>
      <c r="H91" s="16" t="s">
        <v>34</v>
      </c>
      <c r="I91" s="16" t="s">
        <v>34</v>
      </c>
      <c r="J91" s="16" t="s">
        <v>34</v>
      </c>
      <c r="K91" s="16" t="s">
        <v>34</v>
      </c>
      <c r="L91" s="16" t="s">
        <v>34</v>
      </c>
      <c r="M91" s="16" t="s">
        <v>34</v>
      </c>
      <c r="N91" s="16" t="s">
        <v>34</v>
      </c>
      <c r="O91" s="16" t="s">
        <v>34</v>
      </c>
      <c r="P91" s="16">
        <v>9635</v>
      </c>
      <c r="Q91" s="16">
        <v>9229</v>
      </c>
      <c r="R91" s="16">
        <v>9699</v>
      </c>
      <c r="S91" s="16">
        <v>11273</v>
      </c>
      <c r="T91" s="16">
        <v>7303</v>
      </c>
      <c r="U91" s="16">
        <v>10264</v>
      </c>
      <c r="V91" s="16">
        <v>8119</v>
      </c>
      <c r="W91" s="16">
        <v>8172</v>
      </c>
      <c r="X91" s="16">
        <v>7430</v>
      </c>
    </row>
    <row r="92" spans="3:24" x14ac:dyDescent="0.2">
      <c r="C92" s="15" t="s">
        <v>177</v>
      </c>
      <c r="D92" s="16" t="s">
        <v>34</v>
      </c>
      <c r="E92" s="16" t="s">
        <v>34</v>
      </c>
      <c r="F92" s="16" t="s">
        <v>34</v>
      </c>
      <c r="G92" s="16" t="s">
        <v>34</v>
      </c>
      <c r="H92" s="16" t="s">
        <v>34</v>
      </c>
      <c r="I92" s="16" t="s">
        <v>34</v>
      </c>
      <c r="J92" s="16" t="s">
        <v>34</v>
      </c>
      <c r="K92" s="16" t="s">
        <v>34</v>
      </c>
      <c r="L92" s="16" t="s">
        <v>34</v>
      </c>
      <c r="M92" s="16" t="s">
        <v>34</v>
      </c>
      <c r="N92" s="16" t="s">
        <v>34</v>
      </c>
      <c r="O92" s="16" t="s">
        <v>34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</row>
    <row r="93" spans="3:24" x14ac:dyDescent="0.2">
      <c r="C93" s="15" t="s">
        <v>186</v>
      </c>
      <c r="D93" s="16" t="s">
        <v>34</v>
      </c>
      <c r="E93" s="16" t="s">
        <v>34</v>
      </c>
      <c r="F93" s="16" t="s">
        <v>34</v>
      </c>
      <c r="G93" s="16" t="s">
        <v>34</v>
      </c>
      <c r="H93" s="16" t="s">
        <v>34</v>
      </c>
      <c r="I93" s="16" t="s">
        <v>34</v>
      </c>
      <c r="J93" s="16" t="s">
        <v>34</v>
      </c>
      <c r="K93" s="16" t="s">
        <v>34</v>
      </c>
      <c r="L93" s="16" t="s">
        <v>34</v>
      </c>
      <c r="M93" s="16" t="s">
        <v>34</v>
      </c>
      <c r="N93" s="16" t="s">
        <v>34</v>
      </c>
      <c r="O93" s="16" t="s">
        <v>34</v>
      </c>
      <c r="P93" s="16">
        <v>17839</v>
      </c>
      <c r="Q93" s="16">
        <v>18628</v>
      </c>
      <c r="R93" s="16">
        <v>18861</v>
      </c>
      <c r="S93" s="16">
        <v>21193</v>
      </c>
      <c r="T93" s="16">
        <v>25590</v>
      </c>
      <c r="U93" s="16">
        <v>23317</v>
      </c>
      <c r="V93" s="16">
        <v>26877</v>
      </c>
      <c r="W93" s="16">
        <v>30753</v>
      </c>
      <c r="X93" s="16">
        <v>3900</v>
      </c>
    </row>
    <row r="94" spans="3:24" x14ac:dyDescent="0.2">
      <c r="C94" s="15" t="s">
        <v>178</v>
      </c>
      <c r="D94" s="16" t="s">
        <v>34</v>
      </c>
      <c r="E94" s="16" t="s">
        <v>34</v>
      </c>
      <c r="F94" s="16" t="s">
        <v>34</v>
      </c>
      <c r="G94" s="16" t="s">
        <v>34</v>
      </c>
      <c r="H94" s="16" t="s">
        <v>34</v>
      </c>
      <c r="I94" s="16" t="s">
        <v>34</v>
      </c>
      <c r="J94" s="16" t="s">
        <v>34</v>
      </c>
      <c r="K94" s="16" t="s">
        <v>34</v>
      </c>
      <c r="L94" s="16" t="s">
        <v>34</v>
      </c>
      <c r="M94" s="16" t="s">
        <v>34</v>
      </c>
      <c r="N94" s="16" t="s">
        <v>34</v>
      </c>
      <c r="O94" s="16" t="s">
        <v>34</v>
      </c>
      <c r="P94" s="16">
        <v>421</v>
      </c>
      <c r="Q94" s="16">
        <v>545</v>
      </c>
      <c r="R94" s="16">
        <v>1314</v>
      </c>
      <c r="S94" s="16">
        <v>374</v>
      </c>
      <c r="T94" s="16">
        <v>327</v>
      </c>
      <c r="U94" s="16">
        <v>597</v>
      </c>
      <c r="V94" s="16">
        <v>1062</v>
      </c>
      <c r="W94" s="16">
        <v>444</v>
      </c>
      <c r="X94" s="16" t="s">
        <v>34</v>
      </c>
    </row>
    <row r="95" spans="3:24" x14ac:dyDescent="0.2">
      <c r="C95" s="15" t="s">
        <v>187</v>
      </c>
      <c r="D95" s="16">
        <v>1339</v>
      </c>
      <c r="E95" s="16">
        <v>1773</v>
      </c>
      <c r="F95" s="16">
        <v>3752</v>
      </c>
      <c r="G95" s="16">
        <v>4330</v>
      </c>
      <c r="H95" s="16">
        <v>4522</v>
      </c>
      <c r="I95" s="16">
        <v>4711</v>
      </c>
      <c r="J95" s="16">
        <v>21986</v>
      </c>
      <c r="K95" s="16">
        <v>21669</v>
      </c>
      <c r="L95" s="16">
        <v>16457</v>
      </c>
      <c r="M95" s="16">
        <v>16469</v>
      </c>
      <c r="N95" s="16">
        <v>20995</v>
      </c>
      <c r="O95" s="16">
        <v>18436</v>
      </c>
      <c r="P95" s="16">
        <v>14190</v>
      </c>
      <c r="Q95" s="16">
        <v>11301</v>
      </c>
      <c r="R95" s="16">
        <v>11672</v>
      </c>
      <c r="S95" s="16">
        <v>11058</v>
      </c>
      <c r="T95" s="16">
        <v>8433</v>
      </c>
      <c r="U95" s="16">
        <v>8639</v>
      </c>
      <c r="V95" s="16">
        <v>8187</v>
      </c>
      <c r="W95" s="16">
        <v>9893</v>
      </c>
      <c r="X95" s="16">
        <v>24846</v>
      </c>
    </row>
    <row r="96" spans="3:24" x14ac:dyDescent="0.2">
      <c r="C96" s="13" t="s">
        <v>188</v>
      </c>
      <c r="D96" s="14">
        <v>2064</v>
      </c>
      <c r="E96" s="14">
        <v>2300</v>
      </c>
      <c r="F96" s="14">
        <v>5526</v>
      </c>
      <c r="G96" s="14">
        <v>5453</v>
      </c>
      <c r="H96" s="80">
        <v>7131</v>
      </c>
      <c r="I96" s="14">
        <v>7851</v>
      </c>
      <c r="J96" s="14">
        <v>27741</v>
      </c>
      <c r="K96" s="14">
        <v>28948</v>
      </c>
      <c r="L96" s="14">
        <v>22804</v>
      </c>
      <c r="M96" s="14">
        <v>22015</v>
      </c>
      <c r="N96" s="14">
        <v>28309</v>
      </c>
      <c r="O96" s="14">
        <v>26399</v>
      </c>
      <c r="P96" s="14">
        <v>85278</v>
      </c>
      <c r="Q96" s="14">
        <v>78113</v>
      </c>
      <c r="R96" s="14">
        <v>76472</v>
      </c>
      <c r="S96" s="14">
        <v>74934</v>
      </c>
      <c r="T96" s="14">
        <v>72115</v>
      </c>
      <c r="U96" s="14">
        <v>74358</v>
      </c>
      <c r="V96" s="14">
        <v>72985</v>
      </c>
      <c r="W96" s="14">
        <v>80660</v>
      </c>
      <c r="X96" s="14">
        <v>69714</v>
      </c>
    </row>
    <row r="97" spans="3:24" x14ac:dyDescent="0.2">
      <c r="C97" s="13" t="s">
        <v>45</v>
      </c>
      <c r="D97" s="14">
        <v>7058</v>
      </c>
      <c r="E97" s="14">
        <v>9492</v>
      </c>
      <c r="F97" s="14">
        <v>17422</v>
      </c>
      <c r="G97" s="14">
        <v>17434</v>
      </c>
      <c r="H97" s="14">
        <v>20860</v>
      </c>
      <c r="I97" s="14">
        <v>26406</v>
      </c>
      <c r="J97" s="14">
        <v>51398</v>
      </c>
      <c r="K97" s="14">
        <v>55406</v>
      </c>
      <c r="L97" s="14">
        <v>51206</v>
      </c>
      <c r="M97" s="14">
        <v>44114</v>
      </c>
      <c r="N97" s="14">
        <v>50144</v>
      </c>
      <c r="O97" s="14">
        <v>53408</v>
      </c>
      <c r="P97" s="14">
        <v>122503</v>
      </c>
      <c r="Q97" s="14">
        <v>106749</v>
      </c>
      <c r="R97" s="14">
        <v>105381</v>
      </c>
      <c r="S97" s="14">
        <v>104120</v>
      </c>
      <c r="T97" s="14">
        <v>95481</v>
      </c>
      <c r="U97" s="14">
        <v>95945</v>
      </c>
      <c r="V97" s="14">
        <v>102383</v>
      </c>
      <c r="W97" s="14">
        <v>111775</v>
      </c>
      <c r="X97" s="14">
        <v>100141</v>
      </c>
    </row>
    <row r="98" spans="3:24" x14ac:dyDescent="0.2">
      <c r="C98" s="15" t="s">
        <v>189</v>
      </c>
      <c r="D98" s="16">
        <v>0</v>
      </c>
      <c r="E98" s="16" t="s">
        <v>34</v>
      </c>
      <c r="F98" s="16" t="s">
        <v>34</v>
      </c>
      <c r="G98" s="16">
        <v>0</v>
      </c>
      <c r="H98" s="16">
        <v>0</v>
      </c>
      <c r="I98" s="16">
        <v>0</v>
      </c>
      <c r="J98" s="16">
        <v>219</v>
      </c>
      <c r="K98" s="16">
        <v>193</v>
      </c>
      <c r="L98" s="16">
        <v>169</v>
      </c>
      <c r="M98" s="16">
        <v>141</v>
      </c>
      <c r="N98" s="16">
        <v>93</v>
      </c>
      <c r="O98" s="16">
        <v>73</v>
      </c>
      <c r="P98" s="16">
        <v>61</v>
      </c>
      <c r="Q98" s="16">
        <v>52</v>
      </c>
      <c r="R98" s="16">
        <v>45</v>
      </c>
      <c r="S98" s="16">
        <v>39</v>
      </c>
      <c r="T98" s="16">
        <v>33</v>
      </c>
      <c r="U98" s="16">
        <v>29</v>
      </c>
      <c r="V98" s="16">
        <v>26</v>
      </c>
      <c r="W98" s="16">
        <v>24</v>
      </c>
      <c r="X98" s="16">
        <v>21</v>
      </c>
    </row>
    <row r="99" spans="3:24" x14ac:dyDescent="0.2">
      <c r="C99" s="15" t="s">
        <v>46</v>
      </c>
      <c r="D99" s="16">
        <v>3308</v>
      </c>
      <c r="E99" s="16">
        <v>5716</v>
      </c>
      <c r="F99" s="16">
        <v>6275</v>
      </c>
      <c r="G99" s="16">
        <v>9232</v>
      </c>
      <c r="H99" s="16">
        <v>9640</v>
      </c>
      <c r="I99" s="16">
        <v>9709</v>
      </c>
      <c r="J99" s="16">
        <v>66831</v>
      </c>
      <c r="K99" s="16">
        <v>67536</v>
      </c>
      <c r="L99" s="16">
        <v>68198</v>
      </c>
      <c r="M99" s="16">
        <v>69545</v>
      </c>
      <c r="N99" s="16">
        <v>70355</v>
      </c>
      <c r="O99" s="16">
        <v>70726</v>
      </c>
      <c r="P99" s="16">
        <v>70940</v>
      </c>
      <c r="Q99" s="16">
        <v>71204</v>
      </c>
      <c r="R99" s="16">
        <v>71868</v>
      </c>
      <c r="S99" s="16">
        <v>73056</v>
      </c>
      <c r="T99" s="16">
        <v>77736</v>
      </c>
      <c r="U99" s="16">
        <v>79432</v>
      </c>
      <c r="V99" s="16">
        <v>81475</v>
      </c>
      <c r="W99" s="16">
        <v>83146</v>
      </c>
      <c r="X99" s="16">
        <v>84742</v>
      </c>
    </row>
    <row r="100" spans="3:24" x14ac:dyDescent="0.2">
      <c r="C100" s="15" t="s">
        <v>190</v>
      </c>
      <c r="D100" s="16" t="s">
        <v>34</v>
      </c>
      <c r="E100" s="16" t="s">
        <v>34</v>
      </c>
      <c r="F100" s="16" t="s">
        <v>34</v>
      </c>
      <c r="G100" s="16" t="s">
        <v>34</v>
      </c>
      <c r="H100" s="16" t="s">
        <v>34</v>
      </c>
      <c r="I100" s="16" t="s">
        <v>34</v>
      </c>
      <c r="J100" s="16" t="s">
        <v>34</v>
      </c>
      <c r="K100" s="16" t="s">
        <v>34</v>
      </c>
      <c r="L100" s="16" t="s">
        <v>34</v>
      </c>
      <c r="M100" s="16" t="s">
        <v>34</v>
      </c>
      <c r="N100" s="16" t="s">
        <v>34</v>
      </c>
      <c r="O100" s="16" t="s">
        <v>34</v>
      </c>
      <c r="P100" s="16">
        <v>443</v>
      </c>
      <c r="Q100" s="16">
        <v>444</v>
      </c>
      <c r="R100" s="16">
        <v>445</v>
      </c>
      <c r="S100" s="16">
        <v>448</v>
      </c>
      <c r="T100" s="16">
        <v>453</v>
      </c>
      <c r="U100" s="16">
        <v>455</v>
      </c>
      <c r="V100" s="16">
        <v>459</v>
      </c>
      <c r="W100" s="16">
        <v>461</v>
      </c>
      <c r="X100" s="16">
        <v>464</v>
      </c>
    </row>
    <row r="101" spans="3:24" x14ac:dyDescent="0.2">
      <c r="C101" s="15" t="s">
        <v>191</v>
      </c>
      <c r="D101" s="16" t="s">
        <v>34</v>
      </c>
      <c r="E101" s="16" t="s">
        <v>34</v>
      </c>
      <c r="F101" s="16" t="s">
        <v>34</v>
      </c>
      <c r="G101" s="16" t="s">
        <v>34</v>
      </c>
      <c r="H101" s="16" t="s">
        <v>34</v>
      </c>
      <c r="I101" s="16" t="s">
        <v>34</v>
      </c>
      <c r="J101" s="16" t="s">
        <v>34</v>
      </c>
      <c r="K101" s="16" t="s">
        <v>34</v>
      </c>
      <c r="L101" s="16" t="s">
        <v>34</v>
      </c>
      <c r="M101" s="16" t="s">
        <v>34</v>
      </c>
      <c r="N101" s="16" t="s">
        <v>34</v>
      </c>
      <c r="O101" s="16" t="s">
        <v>34</v>
      </c>
      <c r="P101" s="16">
        <v>70497</v>
      </c>
      <c r="Q101" s="16">
        <v>70760</v>
      </c>
      <c r="R101" s="16">
        <v>71423</v>
      </c>
      <c r="S101" s="16">
        <v>72608</v>
      </c>
      <c r="T101" s="16">
        <v>77283</v>
      </c>
      <c r="U101" s="16">
        <v>78977</v>
      </c>
      <c r="V101" s="16">
        <v>81016</v>
      </c>
      <c r="W101" s="16">
        <v>82685</v>
      </c>
      <c r="X101" s="16">
        <v>84278</v>
      </c>
    </row>
    <row r="102" spans="3:24" x14ac:dyDescent="0.2">
      <c r="C102" s="15" t="s">
        <v>192</v>
      </c>
      <c r="D102" s="16">
        <v>1993</v>
      </c>
      <c r="E102" s="16">
        <v>3911</v>
      </c>
      <c r="F102" s="16">
        <v>6851</v>
      </c>
      <c r="G102" s="16">
        <v>7858</v>
      </c>
      <c r="H102" s="16">
        <v>11378</v>
      </c>
      <c r="I102" s="16">
        <v>16341</v>
      </c>
      <c r="J102" s="16">
        <v>29352</v>
      </c>
      <c r="K102" s="16">
        <v>35992</v>
      </c>
      <c r="L102" s="16">
        <v>39767</v>
      </c>
      <c r="M102" s="16">
        <v>46740</v>
      </c>
      <c r="N102" s="16">
        <v>56847</v>
      </c>
      <c r="O102" s="16">
        <v>57391</v>
      </c>
      <c r="P102" s="16">
        <v>21632</v>
      </c>
      <c r="Q102" s="16">
        <v>22712</v>
      </c>
      <c r="R102" s="16">
        <v>31801</v>
      </c>
      <c r="S102" s="16">
        <v>40122</v>
      </c>
      <c r="T102" s="16">
        <v>67923</v>
      </c>
      <c r="U102" s="16">
        <v>73021</v>
      </c>
      <c r="V102" s="16">
        <v>79252</v>
      </c>
      <c r="W102" s="16">
        <v>84364</v>
      </c>
      <c r="X102" s="16">
        <v>89425</v>
      </c>
    </row>
    <row r="103" spans="3:24" x14ac:dyDescent="0.2">
      <c r="C103" s="15" t="s">
        <v>193</v>
      </c>
      <c r="D103" s="16" t="s">
        <v>34</v>
      </c>
      <c r="E103" s="16">
        <v>11439</v>
      </c>
      <c r="F103" s="16">
        <v>18459</v>
      </c>
      <c r="G103" s="16">
        <v>19599</v>
      </c>
      <c r="H103" s="16">
        <v>24430</v>
      </c>
      <c r="I103" s="16">
        <v>30243</v>
      </c>
      <c r="J103" s="16">
        <v>29382</v>
      </c>
      <c r="K103" s="16">
        <v>35492</v>
      </c>
      <c r="L103" s="16">
        <v>37608</v>
      </c>
      <c r="M103" s="16">
        <v>49669</v>
      </c>
      <c r="N103" s="16">
        <v>49660</v>
      </c>
      <c r="O103" s="16">
        <v>49142</v>
      </c>
      <c r="P103" s="16">
        <v>40426</v>
      </c>
      <c r="Q103" s="16">
        <v>42716</v>
      </c>
      <c r="R103" s="16">
        <v>46210</v>
      </c>
      <c r="S103" s="16">
        <v>54240</v>
      </c>
      <c r="T103" s="16">
        <v>69732</v>
      </c>
      <c r="U103" s="16">
        <v>72176</v>
      </c>
      <c r="V103" s="16">
        <v>71993</v>
      </c>
      <c r="W103" s="16">
        <v>71774</v>
      </c>
      <c r="X103" s="16">
        <v>85291</v>
      </c>
    </row>
    <row r="104" spans="3:24" x14ac:dyDescent="0.2">
      <c r="C104" s="15" t="s">
        <v>194</v>
      </c>
      <c r="D104" s="16">
        <v>6618</v>
      </c>
      <c r="E104" s="16">
        <v>-4434</v>
      </c>
      <c r="F104" s="16">
        <v>-3933</v>
      </c>
      <c r="G104" s="16">
        <v>-4897</v>
      </c>
      <c r="H104" s="16">
        <v>-4399</v>
      </c>
      <c r="I104" s="16">
        <v>-3661</v>
      </c>
      <c r="J104" s="16">
        <v>-1703</v>
      </c>
      <c r="K104" s="16">
        <v>1049</v>
      </c>
      <c r="L104" s="16">
        <v>-444</v>
      </c>
      <c r="M104" s="16">
        <v>-1257</v>
      </c>
      <c r="N104" s="16">
        <v>1749</v>
      </c>
      <c r="O104" s="16">
        <v>-4994</v>
      </c>
      <c r="P104" s="16">
        <v>219</v>
      </c>
      <c r="Q104" s="16">
        <v>-3447</v>
      </c>
      <c r="R104" s="16">
        <v>-4132</v>
      </c>
      <c r="S104" s="16">
        <v>-5953</v>
      </c>
      <c r="T104" s="16">
        <v>-3271</v>
      </c>
      <c r="U104" s="16">
        <v>-7316</v>
      </c>
      <c r="V104" s="16">
        <v>-9522</v>
      </c>
      <c r="W104" s="16">
        <v>-11036</v>
      </c>
      <c r="X104" s="16">
        <v>-9321</v>
      </c>
    </row>
    <row r="105" spans="3:24" x14ac:dyDescent="0.2">
      <c r="C105" s="13" t="s">
        <v>195</v>
      </c>
      <c r="D105" s="14">
        <v>7933</v>
      </c>
      <c r="E105" s="14">
        <v>8810</v>
      </c>
      <c r="F105" s="14">
        <v>13950</v>
      </c>
      <c r="G105" s="14">
        <v>16076</v>
      </c>
      <c r="H105" s="14">
        <v>18293</v>
      </c>
      <c r="I105" s="14">
        <v>19950</v>
      </c>
      <c r="J105" s="14">
        <v>65377</v>
      </c>
      <c r="K105" s="14">
        <v>68278</v>
      </c>
      <c r="L105" s="14">
        <v>65764</v>
      </c>
      <c r="M105" s="14">
        <v>71358</v>
      </c>
      <c r="N105" s="14">
        <v>65010</v>
      </c>
      <c r="O105" s="14">
        <v>57556</v>
      </c>
      <c r="P105" s="14">
        <v>90014</v>
      </c>
      <c r="Q105" s="14">
        <v>87813</v>
      </c>
      <c r="R105" s="14">
        <v>82190</v>
      </c>
      <c r="S105" s="14">
        <v>81260</v>
      </c>
      <c r="T105" s="14">
        <v>76307</v>
      </c>
      <c r="U105" s="14">
        <v>71300</v>
      </c>
      <c r="V105" s="14">
        <v>64720</v>
      </c>
      <c r="W105" s="14">
        <v>59544</v>
      </c>
      <c r="X105" s="14">
        <v>71308</v>
      </c>
    </row>
    <row r="106" spans="3:24" x14ac:dyDescent="0.2">
      <c r="C106" s="15" t="s">
        <v>196</v>
      </c>
      <c r="D106" s="16">
        <v>0</v>
      </c>
      <c r="E106" s="16" t="s">
        <v>34</v>
      </c>
      <c r="F106" s="16" t="s">
        <v>34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 t="s">
        <v>34</v>
      </c>
      <c r="M106" s="16">
        <v>74</v>
      </c>
      <c r="N106" s="16">
        <v>114</v>
      </c>
      <c r="O106" s="16">
        <v>184</v>
      </c>
      <c r="P106" s="16">
        <v>432</v>
      </c>
      <c r="Q106" s="16">
        <v>452</v>
      </c>
      <c r="R106" s="16">
        <v>431</v>
      </c>
      <c r="S106" s="16">
        <v>418</v>
      </c>
      <c r="T106" s="16">
        <v>313</v>
      </c>
      <c r="U106" s="16">
        <v>321</v>
      </c>
      <c r="V106" s="16">
        <v>278</v>
      </c>
      <c r="W106" s="16">
        <v>296</v>
      </c>
      <c r="X106" s="16">
        <v>348</v>
      </c>
    </row>
    <row r="107" spans="3:24" x14ac:dyDescent="0.2">
      <c r="C107" s="13" t="s">
        <v>47</v>
      </c>
      <c r="D107" s="14">
        <v>7933</v>
      </c>
      <c r="E107" s="14">
        <v>8810</v>
      </c>
      <c r="F107" s="14">
        <v>13950</v>
      </c>
      <c r="G107" s="14">
        <v>16076</v>
      </c>
      <c r="H107" s="14">
        <v>18293</v>
      </c>
      <c r="I107" s="14">
        <v>19950</v>
      </c>
      <c r="J107" s="14">
        <v>65377</v>
      </c>
      <c r="K107" s="14">
        <v>68278</v>
      </c>
      <c r="L107" s="14">
        <v>65764</v>
      </c>
      <c r="M107" s="14">
        <v>71432</v>
      </c>
      <c r="N107" s="14">
        <v>65124</v>
      </c>
      <c r="O107" s="14">
        <v>57740</v>
      </c>
      <c r="P107" s="14">
        <v>90446</v>
      </c>
      <c r="Q107" s="14">
        <v>88265</v>
      </c>
      <c r="R107" s="14">
        <v>82621</v>
      </c>
      <c r="S107" s="14">
        <v>81678</v>
      </c>
      <c r="T107" s="14">
        <v>76620</v>
      </c>
      <c r="U107" s="14">
        <v>71621</v>
      </c>
      <c r="V107" s="14">
        <v>64998</v>
      </c>
      <c r="W107" s="14">
        <v>59840</v>
      </c>
      <c r="X107" s="14">
        <v>71656</v>
      </c>
    </row>
    <row r="108" spans="3:24" x14ac:dyDescent="0.2">
      <c r="C108" s="13" t="s">
        <v>48</v>
      </c>
      <c r="D108" s="14">
        <v>14991</v>
      </c>
      <c r="E108" s="14">
        <v>18302</v>
      </c>
      <c r="F108" s="14">
        <v>31372</v>
      </c>
      <c r="G108" s="14">
        <v>33510</v>
      </c>
      <c r="H108" s="14">
        <v>39153</v>
      </c>
      <c r="I108" s="14">
        <v>46356</v>
      </c>
      <c r="J108" s="14">
        <v>116775</v>
      </c>
      <c r="K108" s="14">
        <v>123684</v>
      </c>
      <c r="L108" s="14">
        <v>116970</v>
      </c>
      <c r="M108" s="14">
        <v>115546</v>
      </c>
      <c r="N108" s="14">
        <v>115268</v>
      </c>
      <c r="O108" s="14">
        <v>111148</v>
      </c>
      <c r="P108" s="14">
        <v>212949</v>
      </c>
      <c r="Q108" s="14">
        <v>195014</v>
      </c>
      <c r="R108" s="14">
        <v>188002</v>
      </c>
      <c r="S108" s="14">
        <v>185798</v>
      </c>
      <c r="T108" s="14">
        <v>172101</v>
      </c>
      <c r="U108" s="14">
        <v>167566</v>
      </c>
      <c r="V108" s="14">
        <v>167381</v>
      </c>
      <c r="W108" s="14">
        <v>171615</v>
      </c>
      <c r="X108" s="14">
        <v>171797</v>
      </c>
    </row>
    <row r="109" spans="3:24" x14ac:dyDescent="0.2">
      <c r="C109" s="13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3:24" x14ac:dyDescent="0.2">
      <c r="C110" s="13" t="s">
        <v>22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3:24" x14ac:dyDescent="0.2">
      <c r="C111" s="15" t="s">
        <v>23</v>
      </c>
      <c r="D111" s="19" t="s">
        <v>24</v>
      </c>
      <c r="E111" s="19" t="s">
        <v>24</v>
      </c>
      <c r="F111" s="19" t="s">
        <v>24</v>
      </c>
      <c r="G111" s="19" t="s">
        <v>24</v>
      </c>
      <c r="H111" s="19" t="s">
        <v>24</v>
      </c>
      <c r="I111" s="19" t="s">
        <v>24</v>
      </c>
      <c r="J111" s="19" t="s">
        <v>24</v>
      </c>
      <c r="K111" s="19" t="s">
        <v>24</v>
      </c>
      <c r="L111" s="19" t="s">
        <v>24</v>
      </c>
      <c r="M111" s="19" t="s">
        <v>24</v>
      </c>
      <c r="N111" s="19" t="s">
        <v>24</v>
      </c>
      <c r="O111" s="19" t="s">
        <v>24</v>
      </c>
      <c r="P111" s="19" t="s">
        <v>24</v>
      </c>
      <c r="Q111" s="19" t="s">
        <v>24</v>
      </c>
      <c r="R111" s="19" t="s">
        <v>24</v>
      </c>
      <c r="S111" s="19" t="s">
        <v>24</v>
      </c>
      <c r="T111" s="19" t="s">
        <v>24</v>
      </c>
      <c r="U111" s="19" t="s">
        <v>24</v>
      </c>
      <c r="V111" s="19" t="s">
        <v>24</v>
      </c>
      <c r="W111" s="19" t="s">
        <v>24</v>
      </c>
      <c r="X111" s="19" t="s">
        <v>24</v>
      </c>
    </row>
    <row r="112" spans="3:24" x14ac:dyDescent="0.2">
      <c r="C112" s="15" t="s">
        <v>49</v>
      </c>
      <c r="D112" s="16">
        <v>3882</v>
      </c>
      <c r="E112" s="16">
        <v>4221</v>
      </c>
      <c r="F112" s="16">
        <v>3849.0030000000002</v>
      </c>
      <c r="G112" s="16">
        <v>6314</v>
      </c>
      <c r="H112" s="16">
        <v>6277</v>
      </c>
      <c r="I112" s="16">
        <v>6162</v>
      </c>
      <c r="J112" s="16">
        <v>7629</v>
      </c>
      <c r="K112" s="16">
        <v>7473</v>
      </c>
      <c r="L112" s="16">
        <v>7361</v>
      </c>
      <c r="M112" s="16">
        <v>7124</v>
      </c>
      <c r="N112" s="16">
        <v>6761</v>
      </c>
      <c r="O112" s="16">
        <v>6746</v>
      </c>
      <c r="P112" s="16">
        <v>8070</v>
      </c>
      <c r="Q112" s="16">
        <v>8012</v>
      </c>
      <c r="R112" s="16">
        <v>7575</v>
      </c>
      <c r="S112" s="16">
        <v>7276</v>
      </c>
      <c r="T112" s="16">
        <v>6399</v>
      </c>
      <c r="U112" s="16">
        <v>6291</v>
      </c>
      <c r="V112" s="16">
        <v>6175</v>
      </c>
      <c r="W112" s="16">
        <v>6070</v>
      </c>
      <c r="X112" s="16">
        <v>5979</v>
      </c>
    </row>
    <row r="113" spans="3:24" x14ac:dyDescent="0.2">
      <c r="C113" s="15" t="s">
        <v>50</v>
      </c>
      <c r="D113" s="16">
        <v>282</v>
      </c>
      <c r="E113" s="16">
        <v>339</v>
      </c>
      <c r="F113" s="16">
        <v>413</v>
      </c>
      <c r="G113" s="16">
        <v>435</v>
      </c>
      <c r="H113" s="16">
        <v>515</v>
      </c>
      <c r="I113" s="16">
        <v>667</v>
      </c>
      <c r="J113" s="16">
        <v>1073</v>
      </c>
      <c r="K113" s="16">
        <v>1281</v>
      </c>
      <c r="L113" s="16">
        <v>1423</v>
      </c>
      <c r="M113" s="16">
        <v>1695</v>
      </c>
      <c r="N113" s="16">
        <v>2089</v>
      </c>
      <c r="O113" s="16">
        <v>2117</v>
      </c>
      <c r="P113" s="16">
        <v>799</v>
      </c>
      <c r="Q113" s="16">
        <v>864</v>
      </c>
      <c r="R113" s="16">
        <v>1327</v>
      </c>
      <c r="S113" s="16">
        <v>1680</v>
      </c>
      <c r="T113" s="16">
        <v>2652</v>
      </c>
      <c r="U113" s="16">
        <v>2819</v>
      </c>
      <c r="V113" s="16">
        <v>3003</v>
      </c>
      <c r="W113" s="16">
        <v>3160</v>
      </c>
      <c r="X113" s="16">
        <v>3296</v>
      </c>
    </row>
    <row r="114" spans="3:24" x14ac:dyDescent="0.2">
      <c r="C114" s="15" t="s">
        <v>51</v>
      </c>
      <c r="D114" s="16" t="s">
        <v>34</v>
      </c>
      <c r="E114" s="16">
        <v>359</v>
      </c>
      <c r="F114" s="16">
        <v>515</v>
      </c>
      <c r="G114" s="16">
        <v>564</v>
      </c>
      <c r="H114" s="16">
        <v>587</v>
      </c>
      <c r="I114" s="16">
        <v>623</v>
      </c>
      <c r="J114" s="16">
        <v>4312</v>
      </c>
      <c r="K114" s="16">
        <v>4271</v>
      </c>
      <c r="L114" s="16">
        <v>4105</v>
      </c>
      <c r="M114" s="16">
        <v>5602</v>
      </c>
      <c r="N114" s="16">
        <v>4307</v>
      </c>
      <c r="O114" s="16">
        <v>5839</v>
      </c>
      <c r="P114" s="16">
        <v>9635</v>
      </c>
      <c r="Q114" s="16">
        <v>9229</v>
      </c>
      <c r="R114" s="16">
        <v>9699</v>
      </c>
      <c r="S114" s="16">
        <v>11273</v>
      </c>
      <c r="T114" s="16">
        <v>7303</v>
      </c>
      <c r="U114" s="16">
        <v>10264</v>
      </c>
      <c r="V114" s="16">
        <v>8119</v>
      </c>
      <c r="W114" s="16">
        <v>8172</v>
      </c>
      <c r="X114" s="16">
        <v>7430</v>
      </c>
    </row>
    <row r="115" spans="3:24" x14ac:dyDescent="0.2">
      <c r="C115" s="15" t="s">
        <v>197</v>
      </c>
      <c r="D115" s="16" t="s">
        <v>34</v>
      </c>
      <c r="E115" s="16" t="s">
        <v>34</v>
      </c>
      <c r="F115" s="16" t="s">
        <v>34</v>
      </c>
      <c r="G115" s="16">
        <v>895</v>
      </c>
      <c r="H115" s="16" t="s">
        <v>34</v>
      </c>
      <c r="I115" s="16">
        <v>1399</v>
      </c>
      <c r="J115" s="16">
        <v>2052</v>
      </c>
      <c r="K115" s="16">
        <v>1599</v>
      </c>
      <c r="L115" s="16">
        <v>1249</v>
      </c>
      <c r="M115" s="16">
        <v>1312</v>
      </c>
      <c r="N115" s="16">
        <v>1518</v>
      </c>
      <c r="O115" s="16">
        <v>1533</v>
      </c>
      <c r="P115" s="16">
        <v>1699</v>
      </c>
      <c r="Q115" s="16">
        <v>1445</v>
      </c>
      <c r="R115" s="16">
        <v>1408</v>
      </c>
      <c r="S115" s="16">
        <v>1255</v>
      </c>
      <c r="T115" s="16">
        <v>1451</v>
      </c>
      <c r="U115" s="16">
        <v>1467</v>
      </c>
      <c r="V115" s="16">
        <v>1832</v>
      </c>
      <c r="W115" s="16">
        <v>1801</v>
      </c>
      <c r="X115" s="16">
        <v>1681</v>
      </c>
    </row>
    <row r="116" spans="3:24" x14ac:dyDescent="0.2">
      <c r="C116" s="15" t="s">
        <v>52</v>
      </c>
      <c r="D116" s="16" t="s">
        <v>34</v>
      </c>
      <c r="E116" s="16" t="s">
        <v>34</v>
      </c>
      <c r="F116" s="16" t="s">
        <v>34</v>
      </c>
      <c r="G116" s="16" t="s">
        <v>34</v>
      </c>
      <c r="H116" s="16" t="s">
        <v>34</v>
      </c>
      <c r="I116" s="16" t="s">
        <v>34</v>
      </c>
      <c r="J116" s="16" t="s">
        <v>34</v>
      </c>
      <c r="K116" s="16" t="s">
        <v>34</v>
      </c>
      <c r="L116" s="16" t="s">
        <v>34</v>
      </c>
      <c r="M116" s="16" t="s">
        <v>34</v>
      </c>
      <c r="N116" s="16" t="s">
        <v>34</v>
      </c>
      <c r="O116" s="16" t="s">
        <v>34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</row>
    <row r="117" spans="3:24" x14ac:dyDescent="0.2">
      <c r="C117" s="15" t="s">
        <v>53</v>
      </c>
      <c r="D117" s="16" t="s">
        <v>34</v>
      </c>
      <c r="E117" s="16" t="s">
        <v>34</v>
      </c>
      <c r="F117" s="16">
        <v>94.168000000000006</v>
      </c>
      <c r="G117" s="16">
        <v>65.863</v>
      </c>
      <c r="H117" s="16">
        <v>79.155000000000001</v>
      </c>
      <c r="I117" s="16">
        <v>73.873999999999995</v>
      </c>
      <c r="J117" s="16">
        <v>102.027</v>
      </c>
      <c r="K117" s="16">
        <v>91.697000000000003</v>
      </c>
      <c r="L117" s="16">
        <v>52.082000000000001</v>
      </c>
      <c r="M117" s="16">
        <v>69.3</v>
      </c>
      <c r="N117" s="16">
        <v>51.215000000000003</v>
      </c>
      <c r="O117" s="16">
        <v>49.521999999999998</v>
      </c>
      <c r="P117" s="16">
        <v>49.454000000000001</v>
      </c>
      <c r="Q117" s="16">
        <v>70.326999999999998</v>
      </c>
      <c r="R117" s="16">
        <v>66.849999999999994</v>
      </c>
      <c r="S117" s="16">
        <v>57.918999999999997</v>
      </c>
      <c r="T117" s="16">
        <v>45.012999999999998</v>
      </c>
      <c r="U117" s="16">
        <v>44.598999999999997</v>
      </c>
      <c r="V117" s="16">
        <v>46.13</v>
      </c>
      <c r="W117" s="16">
        <v>1.371</v>
      </c>
      <c r="X117" s="16">
        <v>1.375</v>
      </c>
    </row>
    <row r="118" spans="3:24" x14ac:dyDescent="0.2">
      <c r="C118" s="15" t="s">
        <v>54</v>
      </c>
      <c r="D118" s="16" t="s">
        <v>34</v>
      </c>
      <c r="E118" s="16" t="s">
        <v>34</v>
      </c>
      <c r="F118" s="16">
        <v>466.98</v>
      </c>
      <c r="G118" s="16">
        <v>395.61399999999998</v>
      </c>
      <c r="H118" s="16">
        <v>413.923</v>
      </c>
      <c r="I118" s="16">
        <v>431.98099999999999</v>
      </c>
      <c r="J118" s="16">
        <v>618.596</v>
      </c>
      <c r="K118" s="16">
        <v>635.13900000000001</v>
      </c>
      <c r="L118" s="16">
        <v>627.404</v>
      </c>
      <c r="M118" s="16">
        <v>584.79</v>
      </c>
      <c r="N118" s="16">
        <v>523.20500000000004</v>
      </c>
      <c r="O118" s="16">
        <v>489.05399999999997</v>
      </c>
      <c r="P118" s="16">
        <v>447.69299999999998</v>
      </c>
      <c r="Q118" s="16">
        <v>458.60399999999998</v>
      </c>
      <c r="R118" s="16">
        <v>429.553</v>
      </c>
      <c r="S118" s="16">
        <v>382.95499999999998</v>
      </c>
      <c r="T118" s="16">
        <v>299.65300000000002</v>
      </c>
      <c r="U118" s="16">
        <v>249.11199999999999</v>
      </c>
      <c r="V118" s="16">
        <v>232.554</v>
      </c>
      <c r="W118" s="16">
        <v>186.67599999999999</v>
      </c>
      <c r="X118" s="16">
        <v>150.75700000000001</v>
      </c>
    </row>
    <row r="119" spans="3:24" x14ac:dyDescent="0.2">
      <c r="C119" s="15" t="s">
        <v>55</v>
      </c>
      <c r="D119" s="16">
        <v>1387</v>
      </c>
      <c r="E119" s="16">
        <v>-673</v>
      </c>
      <c r="F119" s="16">
        <v>687</v>
      </c>
      <c r="G119" s="16">
        <v>-1451</v>
      </c>
      <c r="H119" s="16">
        <v>257</v>
      </c>
      <c r="I119" s="16">
        <v>-742</v>
      </c>
      <c r="J119" s="16">
        <v>2621</v>
      </c>
      <c r="K119" s="16">
        <v>-1348</v>
      </c>
      <c r="L119" s="16">
        <v>-4290</v>
      </c>
      <c r="M119" s="16">
        <v>-19733</v>
      </c>
      <c r="N119" s="16">
        <v>-12336</v>
      </c>
      <c r="O119" s="16">
        <v>-6448</v>
      </c>
      <c r="P119" s="16">
        <v>22693</v>
      </c>
      <c r="Q119" s="16">
        <v>16001</v>
      </c>
      <c r="R119" s="16">
        <v>12490</v>
      </c>
      <c r="S119" s="16">
        <v>5061</v>
      </c>
      <c r="T119" s="16">
        <v>4081</v>
      </c>
      <c r="U119" s="16">
        <v>560</v>
      </c>
      <c r="V119" s="16">
        <v>15609</v>
      </c>
      <c r="W119" s="16">
        <v>24236</v>
      </c>
      <c r="X119" s="16">
        <v>23499</v>
      </c>
    </row>
    <row r="120" spans="3:24" x14ac:dyDescent="0.2">
      <c r="C120" s="15" t="s">
        <v>56</v>
      </c>
      <c r="D120" s="20">
        <v>17.483927999999999</v>
      </c>
      <c r="E120" s="20">
        <v>-7.6390469999999997</v>
      </c>
      <c r="F120" s="20">
        <v>4.9247310000000004</v>
      </c>
      <c r="G120" s="20">
        <v>-9.0258769999999995</v>
      </c>
      <c r="H120" s="20">
        <v>1.404909</v>
      </c>
      <c r="I120" s="20">
        <v>-3.7192980000000002</v>
      </c>
      <c r="J120" s="20">
        <v>4.009055</v>
      </c>
      <c r="K120" s="20">
        <v>-1.9742820000000001</v>
      </c>
      <c r="L120" s="20">
        <v>-6.523326</v>
      </c>
      <c r="M120" s="20">
        <v>-27.624873999999998</v>
      </c>
      <c r="N120" s="20">
        <v>-18.942325</v>
      </c>
      <c r="O120" s="20">
        <v>-11.167301999999999</v>
      </c>
      <c r="P120" s="20">
        <v>25.090109000000002</v>
      </c>
      <c r="Q120" s="20">
        <v>18.128363</v>
      </c>
      <c r="R120" s="20">
        <v>15.117222</v>
      </c>
      <c r="S120" s="20">
        <v>6.1962830000000002</v>
      </c>
      <c r="T120" s="20">
        <v>5.3262859999999996</v>
      </c>
      <c r="U120" s="20">
        <v>0.78189399999999998</v>
      </c>
      <c r="V120" s="20">
        <v>24.014585</v>
      </c>
      <c r="W120" s="20">
        <v>40.501336999999999</v>
      </c>
      <c r="X120" s="20">
        <v>32.794182999999997</v>
      </c>
    </row>
    <row r="121" spans="3:24" x14ac:dyDescent="0.2">
      <c r="C121" s="15" t="s">
        <v>57</v>
      </c>
      <c r="D121" s="20">
        <v>49.592914999999998</v>
      </c>
      <c r="E121" s="20">
        <v>45.725884999999998</v>
      </c>
      <c r="F121" s="20">
        <v>40.946376999999998</v>
      </c>
      <c r="G121" s="20">
        <v>45.036098000000003</v>
      </c>
      <c r="H121" s="20">
        <v>44.319879999999998</v>
      </c>
      <c r="I121" s="20">
        <v>40.305188000000001</v>
      </c>
      <c r="J121" s="20">
        <v>12.393286</v>
      </c>
      <c r="K121" s="20">
        <v>7.9532470000000002</v>
      </c>
      <c r="L121" s="20">
        <v>26.334581</v>
      </c>
      <c r="M121" s="20">
        <v>36.961035000000003</v>
      </c>
      <c r="N121" s="20">
        <v>31.390691</v>
      </c>
      <c r="O121" s="20">
        <v>25.426956000000001</v>
      </c>
      <c r="P121" s="20">
        <v>-19.928235999999998</v>
      </c>
      <c r="Q121" s="20">
        <v>-14.671072000000001</v>
      </c>
      <c r="R121" s="20">
        <v>-14.751379</v>
      </c>
      <c r="S121" s="20">
        <v>-7.8213439999999999</v>
      </c>
      <c r="T121" s="20">
        <v>-6.2418930000000001</v>
      </c>
      <c r="U121" s="20">
        <v>-6.6035649999999997</v>
      </c>
      <c r="V121" s="20">
        <v>-30.341570999999998</v>
      </c>
      <c r="W121" s="20">
        <v>-73.742210999999998</v>
      </c>
      <c r="X121" s="20">
        <v>-49.780194999999999</v>
      </c>
    </row>
    <row r="122" spans="3:24" x14ac:dyDescent="0.2">
      <c r="C122" s="15" t="s">
        <v>58</v>
      </c>
      <c r="D122" s="20">
        <v>1.4901880000000001</v>
      </c>
      <c r="E122" s="20">
        <v>1.3808400000000001</v>
      </c>
      <c r="F122" s="20">
        <v>1.3711329999999999</v>
      </c>
      <c r="G122" s="20">
        <v>1.4345209999999999</v>
      </c>
      <c r="H122" s="20">
        <v>1.3993739999999999</v>
      </c>
      <c r="I122" s="20">
        <v>1.3355429999999999</v>
      </c>
      <c r="J122" s="20">
        <v>1.2571749999999999</v>
      </c>
      <c r="K122" s="20">
        <v>1.500265</v>
      </c>
      <c r="L122" s="20">
        <v>1.6490039999999999</v>
      </c>
      <c r="M122" s="20">
        <v>2.156568</v>
      </c>
      <c r="N122" s="20">
        <v>2.1455920000000002</v>
      </c>
      <c r="O122" s="20">
        <v>1.594876</v>
      </c>
      <c r="P122" s="20">
        <v>1.656682</v>
      </c>
      <c r="Q122" s="20">
        <v>2.1306400000000001</v>
      </c>
      <c r="R122" s="20">
        <v>2.103739</v>
      </c>
      <c r="S122" s="20">
        <v>2.2213050000000001</v>
      </c>
      <c r="T122" s="20">
        <v>2.4070870000000002</v>
      </c>
      <c r="U122" s="20">
        <v>2.575393</v>
      </c>
      <c r="V122" s="20">
        <v>1.4900329999999999</v>
      </c>
      <c r="W122" s="20">
        <v>1.251776</v>
      </c>
      <c r="X122" s="20">
        <v>1.3521209999999999</v>
      </c>
    </row>
    <row r="123" spans="3:24" x14ac:dyDescent="0.2">
      <c r="C123" s="15" t="s">
        <v>59</v>
      </c>
      <c r="D123" s="20">
        <v>211.33602200000001</v>
      </c>
      <c r="E123" s="20">
        <v>236.42712299999999</v>
      </c>
      <c r="F123" s="20">
        <v>118.846795</v>
      </c>
      <c r="G123" s="20">
        <v>132.093571</v>
      </c>
      <c r="H123" s="20">
        <v>155.57925900000001</v>
      </c>
      <c r="I123" s="20">
        <v>165.84458699999999</v>
      </c>
      <c r="J123" s="20">
        <v>208.25201100000001</v>
      </c>
      <c r="K123" s="20">
        <v>251.116975</v>
      </c>
      <c r="L123" s="20">
        <v>234.274834</v>
      </c>
      <c r="M123" s="20">
        <v>256.34332499999999</v>
      </c>
      <c r="N123" s="20">
        <v>228.58080200000001</v>
      </c>
      <c r="O123" s="20">
        <v>202.687051</v>
      </c>
      <c r="P123" s="20">
        <v>364.70594199999999</v>
      </c>
      <c r="Q123" s="20">
        <v>184.19010599999999</v>
      </c>
      <c r="R123" s="20">
        <v>154.10968</v>
      </c>
      <c r="S123" s="20">
        <v>185.81375199999999</v>
      </c>
      <c r="T123" s="20">
        <v>187.84692799999999</v>
      </c>
      <c r="U123" s="20">
        <v>161.14273900000001</v>
      </c>
      <c r="V123" s="20">
        <v>202.75627299999999</v>
      </c>
      <c r="W123" s="20">
        <v>140.33581000000001</v>
      </c>
      <c r="X123" s="20">
        <v>150.933348</v>
      </c>
    </row>
    <row r="124" spans="3:24" x14ac:dyDescent="0.2">
      <c r="C124" s="15" t="s">
        <v>60</v>
      </c>
      <c r="D124" s="20">
        <v>49200</v>
      </c>
      <c r="E124" s="20" t="s">
        <v>34</v>
      </c>
      <c r="F124" s="20" t="s">
        <v>34</v>
      </c>
      <c r="G124" s="20">
        <v>90000</v>
      </c>
      <c r="H124" s="20">
        <v>90000</v>
      </c>
      <c r="I124" s="20">
        <v>98000</v>
      </c>
      <c r="J124" s="20">
        <v>122000</v>
      </c>
      <c r="K124" s="20">
        <v>115000</v>
      </c>
      <c r="L124" s="20" t="s">
        <v>34</v>
      </c>
      <c r="M124" s="20" t="s">
        <v>34</v>
      </c>
      <c r="N124" s="20" t="s">
        <v>34</v>
      </c>
      <c r="O124" s="20" t="s">
        <v>34</v>
      </c>
      <c r="P124" s="20" t="s">
        <v>34</v>
      </c>
      <c r="Q124" s="20">
        <v>110600</v>
      </c>
      <c r="R124" s="20">
        <v>103700</v>
      </c>
      <c r="S124" s="20">
        <v>91500</v>
      </c>
      <c r="T124" s="20">
        <v>77700</v>
      </c>
      <c r="U124" s="20">
        <v>78300</v>
      </c>
      <c r="V124" s="20">
        <v>97900</v>
      </c>
      <c r="W124" s="20">
        <v>96500</v>
      </c>
      <c r="X124" s="20">
        <v>90200</v>
      </c>
    </row>
    <row r="125" spans="3:24" x14ac:dyDescent="0.2">
      <c r="C125" s="21" t="s">
        <v>36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31" spans="3:15" ht="20" x14ac:dyDescent="0.2">
      <c r="C131" s="22" t="s">
        <v>84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</row>
    <row r="132" spans="3:15" x14ac:dyDescent="0.2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3:15" x14ac:dyDescent="0.2">
      <c r="C133" s="9" t="s">
        <v>6</v>
      </c>
      <c r="D133" s="9"/>
      <c r="E133" s="10" t="s">
        <v>506</v>
      </c>
      <c r="F133" s="10" t="s">
        <v>507</v>
      </c>
      <c r="G133" s="10" t="s">
        <v>508</v>
      </c>
      <c r="H133" s="10" t="s">
        <v>509</v>
      </c>
      <c r="I133" s="10" t="s">
        <v>510</v>
      </c>
      <c r="J133" s="10" t="s">
        <v>511</v>
      </c>
      <c r="K133" s="10" t="s">
        <v>512</v>
      </c>
      <c r="L133" s="10" t="s">
        <v>428</v>
      </c>
      <c r="M133" s="10" t="s">
        <v>427</v>
      </c>
      <c r="N133" s="149" t="s">
        <v>426</v>
      </c>
      <c r="O133" s="10" t="s">
        <v>85</v>
      </c>
    </row>
    <row r="134" spans="3:15" x14ac:dyDescent="0.2">
      <c r="C134" s="11" t="s">
        <v>11</v>
      </c>
      <c r="D134" s="11"/>
      <c r="E134" s="12" t="s">
        <v>513</v>
      </c>
      <c r="F134" s="12" t="s">
        <v>514</v>
      </c>
      <c r="G134" s="12" t="s">
        <v>515</v>
      </c>
      <c r="H134" s="12" t="s">
        <v>516</v>
      </c>
      <c r="I134" s="12" t="s">
        <v>517</v>
      </c>
      <c r="J134" s="12" t="s">
        <v>518</v>
      </c>
      <c r="K134" s="12" t="s">
        <v>519</v>
      </c>
      <c r="L134" s="12" t="s">
        <v>431</v>
      </c>
      <c r="M134" s="12" t="s">
        <v>430</v>
      </c>
      <c r="N134" s="150" t="s">
        <v>429</v>
      </c>
      <c r="O134" s="12" t="s">
        <v>101</v>
      </c>
    </row>
    <row r="135" spans="3:15" x14ac:dyDescent="0.2">
      <c r="C135" s="13" t="s">
        <v>42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51"/>
      <c r="O135" s="17"/>
    </row>
    <row r="136" spans="3:15" x14ac:dyDescent="0.2">
      <c r="C136" s="15" t="s">
        <v>117</v>
      </c>
      <c r="D136" s="15" t="s">
        <v>520</v>
      </c>
      <c r="E136" s="16">
        <v>1031.099976</v>
      </c>
      <c r="F136" s="16">
        <v>807.49996899999996</v>
      </c>
      <c r="G136" s="16">
        <v>1057.7000270000001</v>
      </c>
      <c r="H136" s="16">
        <v>1068.1999820000001</v>
      </c>
      <c r="I136" s="16">
        <v>1548.099976</v>
      </c>
      <c r="J136" s="16">
        <v>1703.6999820000001</v>
      </c>
      <c r="K136" s="16">
        <v>1176.5000299999999</v>
      </c>
      <c r="L136" s="16">
        <v>2018.599976</v>
      </c>
      <c r="M136" s="16">
        <v>1511.999939</v>
      </c>
      <c r="N136" s="81">
        <v>1637</v>
      </c>
      <c r="O136" s="16">
        <v>1589</v>
      </c>
    </row>
    <row r="137" spans="3:15" x14ac:dyDescent="0.2">
      <c r="C137" s="23" t="s">
        <v>521</v>
      </c>
      <c r="D137" s="23" t="s">
        <v>520</v>
      </c>
      <c r="E137" s="24" t="s">
        <v>34</v>
      </c>
      <c r="F137" s="24">
        <v>-21.685579692031698</v>
      </c>
      <c r="G137" s="24">
        <v>30.9845284960005</v>
      </c>
      <c r="H137" s="24">
        <v>0.99271577308941505</v>
      </c>
      <c r="I137" s="24">
        <v>44.9260440073664</v>
      </c>
      <c r="J137" s="24">
        <v>10.0510308385923</v>
      </c>
      <c r="K137" s="24">
        <v>-30.9444126060923</v>
      </c>
      <c r="L137" s="24">
        <v>71.576704167189902</v>
      </c>
      <c r="M137" s="24">
        <v>-25.0966037364106</v>
      </c>
      <c r="N137" s="152">
        <v>8.2672001351185198</v>
      </c>
      <c r="O137" s="24">
        <v>-2.9321930360415398</v>
      </c>
    </row>
    <row r="138" spans="3:15" x14ac:dyDescent="0.2">
      <c r="C138" s="15" t="s">
        <v>118</v>
      </c>
      <c r="D138" s="15" t="s">
        <v>522</v>
      </c>
      <c r="E138" s="16">
        <v>809.59997599999997</v>
      </c>
      <c r="F138" s="16">
        <v>666.59997599999997</v>
      </c>
      <c r="G138" s="16">
        <v>825.40002400000003</v>
      </c>
      <c r="H138" s="16">
        <v>870.29998799999998</v>
      </c>
      <c r="I138" s="16">
        <v>1317.599976</v>
      </c>
      <c r="J138" s="16">
        <v>1257.099976</v>
      </c>
      <c r="K138" s="16">
        <v>729.40002400000003</v>
      </c>
      <c r="L138" s="16">
        <v>1458.5</v>
      </c>
      <c r="M138" s="16">
        <v>403.29998799999998</v>
      </c>
      <c r="N138" s="81">
        <v>1150</v>
      </c>
      <c r="O138" s="16">
        <v>877</v>
      </c>
    </row>
    <row r="139" spans="3:15" x14ac:dyDescent="0.2">
      <c r="C139" s="23" t="s">
        <v>521</v>
      </c>
      <c r="D139" s="23" t="s">
        <v>522</v>
      </c>
      <c r="E139" s="24" t="s">
        <v>34</v>
      </c>
      <c r="F139" s="24">
        <v>-17.663044001868901</v>
      </c>
      <c r="G139" s="24">
        <v>23.8223902966357</v>
      </c>
      <c r="H139" s="24">
        <v>5.4397822503576698</v>
      </c>
      <c r="I139" s="24">
        <v>51.396069650411199</v>
      </c>
      <c r="J139" s="24">
        <v>-4.5916819294174003</v>
      </c>
      <c r="K139" s="24">
        <v>-41.977564400176199</v>
      </c>
      <c r="L139" s="24">
        <v>99.958863724962001</v>
      </c>
      <c r="M139" s="24">
        <v>-72.348303873842994</v>
      </c>
      <c r="N139" s="152">
        <v>185.147541338385</v>
      </c>
      <c r="O139" s="24">
        <v>-23.739130434782599</v>
      </c>
    </row>
    <row r="140" spans="3:15" x14ac:dyDescent="0.2">
      <c r="C140" s="15" t="s">
        <v>119</v>
      </c>
      <c r="D140" s="15" t="s">
        <v>523</v>
      </c>
      <c r="E140" s="16">
        <v>221.5</v>
      </c>
      <c r="F140" s="16">
        <v>140.89999399999999</v>
      </c>
      <c r="G140" s="16">
        <v>232.300003</v>
      </c>
      <c r="H140" s="16">
        <v>197.89999399999999</v>
      </c>
      <c r="I140" s="16">
        <v>230.5</v>
      </c>
      <c r="J140" s="16">
        <v>446.60000600000001</v>
      </c>
      <c r="K140" s="16">
        <v>447.10000600000001</v>
      </c>
      <c r="L140" s="16">
        <v>560.09997599999997</v>
      </c>
      <c r="M140" s="16">
        <v>1108.6999510000001</v>
      </c>
      <c r="N140" s="81">
        <v>487</v>
      </c>
      <c r="O140" s="16">
        <v>712</v>
      </c>
    </row>
    <row r="141" spans="3:15" x14ac:dyDescent="0.2">
      <c r="C141" s="23" t="s">
        <v>521</v>
      </c>
      <c r="D141" s="23" t="s">
        <v>523</v>
      </c>
      <c r="E141" s="24" t="s">
        <v>34</v>
      </c>
      <c r="F141" s="24">
        <v>-36.388264559819397</v>
      </c>
      <c r="G141" s="24">
        <v>64.868710356368098</v>
      </c>
      <c r="H141" s="24">
        <v>-14.808441048535</v>
      </c>
      <c r="I141" s="24">
        <v>16.4729696757848</v>
      </c>
      <c r="J141" s="24">
        <v>93.752714099783105</v>
      </c>
      <c r="K141" s="24">
        <v>0.11195700700460801</v>
      </c>
      <c r="L141" s="24">
        <v>25.2739808730846</v>
      </c>
      <c r="M141" s="24">
        <v>97.9467949486218</v>
      </c>
      <c r="N141" s="152">
        <v>-56.074680118751097</v>
      </c>
      <c r="O141" s="24">
        <v>46.2012320328542</v>
      </c>
    </row>
    <row r="142" spans="3:15" x14ac:dyDescent="0.2">
      <c r="C142" s="15" t="s">
        <v>120</v>
      </c>
      <c r="D142" s="15" t="s">
        <v>524</v>
      </c>
      <c r="E142" s="16">
        <v>1184.400024</v>
      </c>
      <c r="F142" s="16">
        <v>1167.1999510000001</v>
      </c>
      <c r="G142" s="16">
        <v>1233.5</v>
      </c>
      <c r="H142" s="16">
        <v>1377.1999510000001</v>
      </c>
      <c r="I142" s="16">
        <v>1403.900024</v>
      </c>
      <c r="J142" s="16">
        <v>1400.3000489999999</v>
      </c>
      <c r="K142" s="16">
        <v>1468.6999510000001</v>
      </c>
      <c r="L142" s="16">
        <v>1665</v>
      </c>
      <c r="M142" s="16">
        <v>2024</v>
      </c>
      <c r="N142" s="81">
        <v>2606</v>
      </c>
      <c r="O142" s="16">
        <v>2335</v>
      </c>
    </row>
    <row r="143" spans="3:15" x14ac:dyDescent="0.2">
      <c r="C143" s="23" t="s">
        <v>521</v>
      </c>
      <c r="D143" s="23" t="s">
        <v>524</v>
      </c>
      <c r="E143" s="24" t="s">
        <v>34</v>
      </c>
      <c r="F143" s="24">
        <v>-1.45221822454134</v>
      </c>
      <c r="G143" s="24">
        <v>5.6802648889076197</v>
      </c>
      <c r="H143" s="24">
        <v>11.6497730847183</v>
      </c>
      <c r="I143" s="24">
        <v>1.9387216054293901</v>
      </c>
      <c r="J143" s="24">
        <v>-0.25642673541261302</v>
      </c>
      <c r="K143" s="24">
        <v>4.88466040180794</v>
      </c>
      <c r="L143" s="24">
        <v>13.365565163009901</v>
      </c>
      <c r="M143" s="24">
        <v>21.5615615615616</v>
      </c>
      <c r="N143" s="152">
        <v>28.754940711462499</v>
      </c>
      <c r="O143" s="24">
        <v>-10.39907904835</v>
      </c>
    </row>
    <row r="144" spans="3:15" x14ac:dyDescent="0.2">
      <c r="C144" s="15" t="s">
        <v>39</v>
      </c>
      <c r="D144" s="15" t="s">
        <v>525</v>
      </c>
      <c r="E144" s="16">
        <v>1028.1999510000001</v>
      </c>
      <c r="F144" s="16">
        <v>1089.400024</v>
      </c>
      <c r="G144" s="16">
        <v>1080.5</v>
      </c>
      <c r="H144" s="16">
        <v>1142.599976</v>
      </c>
      <c r="I144" s="16">
        <v>1171.5</v>
      </c>
      <c r="J144" s="16">
        <v>1067.8000489999999</v>
      </c>
      <c r="K144" s="16">
        <v>1093.5</v>
      </c>
      <c r="L144" s="16">
        <v>1264.900024</v>
      </c>
      <c r="M144" s="16">
        <v>1384.099976</v>
      </c>
      <c r="N144" s="81">
        <v>1589</v>
      </c>
      <c r="O144" s="16">
        <v>1461</v>
      </c>
    </row>
    <row r="145" spans="3:15" x14ac:dyDescent="0.2">
      <c r="C145" s="23" t="s">
        <v>521</v>
      </c>
      <c r="D145" s="23" t="s">
        <v>525</v>
      </c>
      <c r="E145" s="24" t="s">
        <v>34</v>
      </c>
      <c r="F145" s="24">
        <v>5.9521567707213396</v>
      </c>
      <c r="G145" s="24">
        <v>-0.81696565117755404</v>
      </c>
      <c r="H145" s="24">
        <v>5.7473369736233204</v>
      </c>
      <c r="I145" s="24">
        <v>2.5293212503970901</v>
      </c>
      <c r="J145" s="24">
        <v>-8.8518950917626995</v>
      </c>
      <c r="K145" s="24">
        <v>2.4068130568141699</v>
      </c>
      <c r="L145" s="24">
        <v>15.6744420667581</v>
      </c>
      <c r="M145" s="24">
        <v>9.42366588175509</v>
      </c>
      <c r="N145" s="152">
        <v>14.8038456435896</v>
      </c>
      <c r="O145" s="24">
        <v>-8.0553807426054096</v>
      </c>
    </row>
    <row r="146" spans="3:15" x14ac:dyDescent="0.2">
      <c r="C146" s="15" t="s">
        <v>123</v>
      </c>
      <c r="D146" s="15" t="s">
        <v>526</v>
      </c>
      <c r="E146" s="16" t="s">
        <v>34</v>
      </c>
      <c r="F146" s="16" t="s">
        <v>34</v>
      </c>
      <c r="G146" s="16" t="s">
        <v>34</v>
      </c>
      <c r="H146" s="16" t="s">
        <v>34</v>
      </c>
      <c r="I146" s="16" t="s">
        <v>34</v>
      </c>
      <c r="J146" s="16" t="s">
        <v>34</v>
      </c>
      <c r="K146" s="16" t="s">
        <v>34</v>
      </c>
      <c r="L146" s="16">
        <v>202</v>
      </c>
      <c r="M146" s="16">
        <v>240.89999399999999</v>
      </c>
      <c r="N146" s="81">
        <v>277</v>
      </c>
      <c r="O146" s="16">
        <v>211</v>
      </c>
    </row>
    <row r="147" spans="3:15" x14ac:dyDescent="0.2">
      <c r="C147" s="23" t="s">
        <v>521</v>
      </c>
      <c r="D147" s="23" t="s">
        <v>526</v>
      </c>
      <c r="E147" s="24" t="s">
        <v>34</v>
      </c>
      <c r="F147" s="24" t="s">
        <v>34</v>
      </c>
      <c r="G147" s="24" t="s">
        <v>34</v>
      </c>
      <c r="H147" s="24" t="s">
        <v>34</v>
      </c>
      <c r="I147" s="24" t="s">
        <v>34</v>
      </c>
      <c r="J147" s="24" t="s">
        <v>34</v>
      </c>
      <c r="K147" s="24" t="s">
        <v>34</v>
      </c>
      <c r="L147" s="24" t="s">
        <v>34</v>
      </c>
      <c r="M147" s="24">
        <v>19.257422772277199</v>
      </c>
      <c r="N147" s="152">
        <v>14.985474013752</v>
      </c>
      <c r="O147" s="24">
        <v>-23.826714801443998</v>
      </c>
    </row>
    <row r="148" spans="3:15" x14ac:dyDescent="0.2">
      <c r="C148" s="15" t="s">
        <v>124</v>
      </c>
      <c r="D148" s="15" t="s">
        <v>527</v>
      </c>
      <c r="E148" s="16" t="s">
        <v>34</v>
      </c>
      <c r="F148" s="16" t="s">
        <v>34</v>
      </c>
      <c r="G148" s="16" t="s">
        <v>34</v>
      </c>
      <c r="H148" s="16" t="s">
        <v>34</v>
      </c>
      <c r="I148" s="16" t="s">
        <v>34</v>
      </c>
      <c r="J148" s="16" t="s">
        <v>34</v>
      </c>
      <c r="K148" s="16" t="s">
        <v>34</v>
      </c>
      <c r="L148" s="16">
        <v>534.90002400000003</v>
      </c>
      <c r="M148" s="16">
        <v>578.79998799999998</v>
      </c>
      <c r="N148" s="81">
        <v>695</v>
      </c>
      <c r="O148" s="16">
        <v>808</v>
      </c>
    </row>
    <row r="149" spans="3:15" x14ac:dyDescent="0.2">
      <c r="C149" s="23" t="s">
        <v>521</v>
      </c>
      <c r="D149" s="23" t="s">
        <v>527</v>
      </c>
      <c r="E149" s="24" t="s">
        <v>34</v>
      </c>
      <c r="F149" s="24" t="s">
        <v>34</v>
      </c>
      <c r="G149" s="24" t="s">
        <v>34</v>
      </c>
      <c r="H149" s="24" t="s">
        <v>34</v>
      </c>
      <c r="I149" s="24" t="s">
        <v>34</v>
      </c>
      <c r="J149" s="24" t="s">
        <v>34</v>
      </c>
      <c r="K149" s="24" t="s">
        <v>34</v>
      </c>
      <c r="L149" s="24" t="s">
        <v>34</v>
      </c>
      <c r="M149" s="24">
        <v>8.2071344233104693</v>
      </c>
      <c r="N149" s="152">
        <v>20.0760218398622</v>
      </c>
      <c r="O149" s="24">
        <v>16.258992805755401</v>
      </c>
    </row>
    <row r="150" spans="3:15" x14ac:dyDescent="0.2">
      <c r="C150" s="15" t="s">
        <v>125</v>
      </c>
      <c r="D150" s="15" t="s">
        <v>528</v>
      </c>
      <c r="E150" s="16" t="s">
        <v>34</v>
      </c>
      <c r="F150" s="16" t="s">
        <v>34</v>
      </c>
      <c r="G150" s="16" t="s">
        <v>34</v>
      </c>
      <c r="H150" s="16" t="s">
        <v>34</v>
      </c>
      <c r="I150" s="16" t="s">
        <v>34</v>
      </c>
      <c r="J150" s="16" t="s">
        <v>34</v>
      </c>
      <c r="K150" s="16" t="s">
        <v>34</v>
      </c>
      <c r="L150" s="16">
        <v>528</v>
      </c>
      <c r="M150" s="16">
        <v>564.40002400000003</v>
      </c>
      <c r="N150" s="81">
        <v>617</v>
      </c>
      <c r="O150" s="16">
        <v>442</v>
      </c>
    </row>
    <row r="151" spans="3:15" x14ac:dyDescent="0.2">
      <c r="C151" s="23" t="s">
        <v>521</v>
      </c>
      <c r="D151" s="23" t="s">
        <v>528</v>
      </c>
      <c r="E151" s="24" t="s">
        <v>34</v>
      </c>
      <c r="F151" s="24" t="s">
        <v>34</v>
      </c>
      <c r="G151" s="24" t="s">
        <v>34</v>
      </c>
      <c r="H151" s="24" t="s">
        <v>34</v>
      </c>
      <c r="I151" s="24" t="s">
        <v>34</v>
      </c>
      <c r="J151" s="24" t="s">
        <v>34</v>
      </c>
      <c r="K151" s="24" t="s">
        <v>34</v>
      </c>
      <c r="L151" s="24" t="s">
        <v>34</v>
      </c>
      <c r="M151" s="24">
        <v>6.8939439393939503</v>
      </c>
      <c r="N151" s="152">
        <v>9.3196268184425097</v>
      </c>
      <c r="O151" s="24">
        <v>-28.3630470016207</v>
      </c>
    </row>
    <row r="152" spans="3:15" x14ac:dyDescent="0.2">
      <c r="C152" s="15" t="s">
        <v>127</v>
      </c>
      <c r="D152" s="15" t="s">
        <v>529</v>
      </c>
      <c r="E152" s="16">
        <v>857</v>
      </c>
      <c r="F152" s="16">
        <v>1030.6999510000001</v>
      </c>
      <c r="G152" s="16">
        <v>1133.099976</v>
      </c>
      <c r="H152" s="16">
        <v>847.90002400000003</v>
      </c>
      <c r="I152" s="16">
        <v>684.70001200000002</v>
      </c>
      <c r="J152" s="16">
        <v>1213</v>
      </c>
      <c r="K152" s="16">
        <v>994.5</v>
      </c>
      <c r="L152" s="16">
        <v>839.90002400000003</v>
      </c>
      <c r="M152" s="16">
        <v>1232.3000489999999</v>
      </c>
      <c r="N152" s="81">
        <v>636</v>
      </c>
      <c r="O152" s="16">
        <v>2057</v>
      </c>
    </row>
    <row r="153" spans="3:15" x14ac:dyDescent="0.2">
      <c r="C153" s="23" t="s">
        <v>521</v>
      </c>
      <c r="D153" s="23" t="s">
        <v>529</v>
      </c>
      <c r="E153" s="24" t="s">
        <v>34</v>
      </c>
      <c r="F153" s="24">
        <v>20.268372345390901</v>
      </c>
      <c r="G153" s="24">
        <v>9.9349985318860199</v>
      </c>
      <c r="H153" s="24">
        <v>-25.1698842150536</v>
      </c>
      <c r="I153" s="24">
        <v>-19.2475536479051</v>
      </c>
      <c r="J153" s="24">
        <v>77.157876258369299</v>
      </c>
      <c r="K153" s="24">
        <v>-18.013190436933201</v>
      </c>
      <c r="L153" s="24">
        <v>-15.545497838109601</v>
      </c>
      <c r="M153" s="24">
        <v>46.719849242437903</v>
      </c>
      <c r="N153" s="152">
        <v>-48.389192995966503</v>
      </c>
      <c r="O153" s="24">
        <v>223.427672955975</v>
      </c>
    </row>
    <row r="154" spans="3:15" x14ac:dyDescent="0.2">
      <c r="C154" s="13" t="s">
        <v>40</v>
      </c>
      <c r="D154" s="13" t="s">
        <v>530</v>
      </c>
      <c r="E154" s="14">
        <v>4100.7001950000003</v>
      </c>
      <c r="F154" s="14">
        <v>4094.8000489999999</v>
      </c>
      <c r="G154" s="14">
        <v>4504.7998049999997</v>
      </c>
      <c r="H154" s="14">
        <v>4435.8999020000001</v>
      </c>
      <c r="I154" s="14">
        <v>4808.2001950000003</v>
      </c>
      <c r="J154" s="14">
        <v>5384.7998049999997</v>
      </c>
      <c r="K154" s="14">
        <v>4733.2001950000003</v>
      </c>
      <c r="L154" s="14">
        <v>5788.3999020000001</v>
      </c>
      <c r="M154" s="14">
        <v>6152.3999020000001</v>
      </c>
      <c r="N154" s="153">
        <v>6468</v>
      </c>
      <c r="O154" s="14">
        <v>7442</v>
      </c>
    </row>
    <row r="155" spans="3:15" x14ac:dyDescent="0.2">
      <c r="C155" s="23" t="s">
        <v>521</v>
      </c>
      <c r="D155" s="23" t="s">
        <v>530</v>
      </c>
      <c r="E155" s="24" t="s">
        <v>34</v>
      </c>
      <c r="F155" s="24">
        <v>-0.143881428035009</v>
      </c>
      <c r="G155" s="24">
        <v>10.012692954326999</v>
      </c>
      <c r="H155" s="24">
        <v>-1.52947757908189</v>
      </c>
      <c r="I155" s="24">
        <v>8.3928921126498395</v>
      </c>
      <c r="J155" s="24">
        <v>11.9920050458714</v>
      </c>
      <c r="K155" s="24">
        <v>-12.100721170636</v>
      </c>
      <c r="L155" s="24">
        <v>22.2935786260357</v>
      </c>
      <c r="M155" s="24">
        <v>6.2884390533251002</v>
      </c>
      <c r="N155" s="152">
        <v>5.1297071553720999</v>
      </c>
      <c r="O155" s="24">
        <v>15.0587507730365</v>
      </c>
    </row>
    <row r="156" spans="3:15" x14ac:dyDescent="0.2">
      <c r="C156" s="15" t="s">
        <v>133</v>
      </c>
      <c r="D156" s="15" t="s">
        <v>531</v>
      </c>
      <c r="E156" s="16">
        <v>1505.900024</v>
      </c>
      <c r="F156" s="16">
        <v>1655.099976</v>
      </c>
      <c r="G156" s="16">
        <v>1784.099976</v>
      </c>
      <c r="H156" s="16">
        <v>2109.8000489999999</v>
      </c>
      <c r="I156" s="16">
        <v>2381</v>
      </c>
      <c r="J156" s="16">
        <v>2305.1000979999999</v>
      </c>
      <c r="K156" s="16">
        <v>2632.5</v>
      </c>
      <c r="L156" s="16">
        <v>3073.1999510000001</v>
      </c>
      <c r="M156" s="16">
        <v>3472.6000979999999</v>
      </c>
      <c r="N156" s="81">
        <v>3850</v>
      </c>
      <c r="O156" s="16">
        <v>3793</v>
      </c>
    </row>
    <row r="157" spans="3:15" x14ac:dyDescent="0.2">
      <c r="C157" s="23" t="s">
        <v>521</v>
      </c>
      <c r="D157" s="23" t="s">
        <v>531</v>
      </c>
      <c r="E157" s="24" t="s">
        <v>34</v>
      </c>
      <c r="F157" s="24">
        <v>9.9076930488182207</v>
      </c>
      <c r="G157" s="24">
        <v>7.79409110450014</v>
      </c>
      <c r="H157" s="24">
        <v>18.255707492930298</v>
      </c>
      <c r="I157" s="24">
        <v>12.8542963646504</v>
      </c>
      <c r="J157" s="24">
        <v>-3.1877321293574199</v>
      </c>
      <c r="K157" s="24">
        <v>14.203283505304899</v>
      </c>
      <c r="L157" s="24">
        <v>16.7407388793922</v>
      </c>
      <c r="M157" s="24">
        <v>12.996230423277099</v>
      </c>
      <c r="N157" s="152">
        <v>10.8679344395964</v>
      </c>
      <c r="O157" s="24">
        <v>-1.4805194805194799</v>
      </c>
    </row>
    <row r="158" spans="3:15" x14ac:dyDescent="0.2">
      <c r="C158" s="15" t="s">
        <v>139</v>
      </c>
      <c r="D158" s="15" t="s">
        <v>532</v>
      </c>
      <c r="E158" s="16">
        <v>2875.8999020000001</v>
      </c>
      <c r="F158" s="16">
        <v>3153.6000979999999</v>
      </c>
      <c r="G158" s="16">
        <v>3252.5</v>
      </c>
      <c r="H158" s="16">
        <v>3616.3000489999999</v>
      </c>
      <c r="I158" s="16">
        <v>4007.5</v>
      </c>
      <c r="J158" s="16">
        <v>3816.3999020000001</v>
      </c>
      <c r="K158" s="16">
        <v>4300.7001950000003</v>
      </c>
      <c r="L158" s="16">
        <v>4992.8999020000001</v>
      </c>
      <c r="M158" s="16">
        <v>5463.3999020000001</v>
      </c>
      <c r="N158" s="81">
        <v>6005</v>
      </c>
      <c r="O158" s="16">
        <v>5867</v>
      </c>
    </row>
    <row r="159" spans="3:15" x14ac:dyDescent="0.2">
      <c r="C159" s="23" t="s">
        <v>521</v>
      </c>
      <c r="D159" s="23" t="s">
        <v>532</v>
      </c>
      <c r="E159" s="24" t="s">
        <v>34</v>
      </c>
      <c r="F159" s="24">
        <v>9.6561147975587591</v>
      </c>
      <c r="G159" s="24">
        <v>3.13609522217868</v>
      </c>
      <c r="H159" s="24">
        <v>11.185243627978499</v>
      </c>
      <c r="I159" s="24">
        <v>10.817685084183699</v>
      </c>
      <c r="J159" s="24">
        <v>-4.7685613973799104</v>
      </c>
      <c r="K159" s="24">
        <v>12.689977608116999</v>
      </c>
      <c r="L159" s="24">
        <v>16.095046750869798</v>
      </c>
      <c r="M159" s="24">
        <v>9.4233813862667706</v>
      </c>
      <c r="N159" s="152">
        <v>9.9132428106120294</v>
      </c>
      <c r="O159" s="24">
        <v>-2.29808492922565</v>
      </c>
    </row>
    <row r="160" spans="3:15" x14ac:dyDescent="0.2">
      <c r="C160" s="15" t="s">
        <v>41</v>
      </c>
      <c r="D160" s="15" t="s">
        <v>533</v>
      </c>
      <c r="E160" s="16">
        <v>1370</v>
      </c>
      <c r="F160" s="16">
        <v>1498.5</v>
      </c>
      <c r="G160" s="16">
        <v>1468.400024</v>
      </c>
      <c r="H160" s="16">
        <v>1506.5</v>
      </c>
      <c r="I160" s="16">
        <v>1626.5</v>
      </c>
      <c r="J160" s="16">
        <v>1511.299804</v>
      </c>
      <c r="K160" s="16">
        <v>1668.2001949999999</v>
      </c>
      <c r="L160" s="16">
        <v>1919.6999510000001</v>
      </c>
      <c r="M160" s="16">
        <v>1990.8000489999999</v>
      </c>
      <c r="N160" s="81">
        <v>2155</v>
      </c>
      <c r="O160" s="16">
        <v>2074</v>
      </c>
    </row>
    <row r="161" spans="3:15" x14ac:dyDescent="0.2">
      <c r="C161" s="23" t="s">
        <v>521</v>
      </c>
      <c r="D161" s="23" t="s">
        <v>533</v>
      </c>
      <c r="E161" s="24" t="s">
        <v>34</v>
      </c>
      <c r="F161" s="24">
        <v>9.3795620437956195</v>
      </c>
      <c r="G161" s="24">
        <v>-2.0086737404070698</v>
      </c>
      <c r="H161" s="24">
        <v>2.5946591785127899</v>
      </c>
      <c r="I161" s="24">
        <v>7.9654829074012596</v>
      </c>
      <c r="J161" s="24">
        <v>-7.0827049492775904</v>
      </c>
      <c r="K161" s="24">
        <v>10.3818177296607</v>
      </c>
      <c r="L161" s="24">
        <v>15.076113571608801</v>
      </c>
      <c r="M161" s="24">
        <v>3.7037089032045198</v>
      </c>
      <c r="N161" s="152">
        <v>8.2479378620911508</v>
      </c>
      <c r="O161" s="24">
        <v>-3.7587006960556799</v>
      </c>
    </row>
    <row r="162" spans="3:15" x14ac:dyDescent="0.2">
      <c r="C162" s="15" t="s">
        <v>140</v>
      </c>
      <c r="D162" s="15" t="s">
        <v>534</v>
      </c>
      <c r="E162" s="16">
        <v>732.29998799999998</v>
      </c>
      <c r="F162" s="16">
        <v>1036.5</v>
      </c>
      <c r="G162" s="16">
        <v>1103.3000489999999</v>
      </c>
      <c r="H162" s="16">
        <v>1422.6999510000001</v>
      </c>
      <c r="I162" s="16">
        <v>1337.8000489999999</v>
      </c>
      <c r="J162" s="16">
        <v>601.40002400000003</v>
      </c>
      <c r="K162" s="16">
        <v>586.70001200000002</v>
      </c>
      <c r="L162" s="16">
        <v>828.59997599999997</v>
      </c>
      <c r="M162" s="16">
        <v>544.90002400000003</v>
      </c>
      <c r="N162" s="81">
        <v>1163</v>
      </c>
      <c r="O162" s="16">
        <v>1330</v>
      </c>
    </row>
    <row r="163" spans="3:15" x14ac:dyDescent="0.2">
      <c r="C163" s="23" t="s">
        <v>521</v>
      </c>
      <c r="D163" s="23" t="s">
        <v>534</v>
      </c>
      <c r="E163" s="24" t="s">
        <v>34</v>
      </c>
      <c r="F163" s="24">
        <v>41.540354634008303</v>
      </c>
      <c r="G163" s="24">
        <v>6.4447707670043402</v>
      </c>
      <c r="H163" s="24">
        <v>28.949504922935098</v>
      </c>
      <c r="I163" s="24">
        <v>-5.9675198512746803</v>
      </c>
      <c r="J163" s="24">
        <v>-55.045597101783301</v>
      </c>
      <c r="K163" s="24">
        <v>-2.4442985389704601</v>
      </c>
      <c r="L163" s="24">
        <v>41.230604917730901</v>
      </c>
      <c r="M163" s="24">
        <v>-34.238469734157903</v>
      </c>
      <c r="N163" s="152">
        <v>113.433648151207</v>
      </c>
      <c r="O163" s="24">
        <v>14.359415305245101</v>
      </c>
    </row>
    <row r="164" spans="3:15" x14ac:dyDescent="0.2">
      <c r="C164" s="15" t="s">
        <v>142</v>
      </c>
      <c r="D164" s="15" t="s">
        <v>535</v>
      </c>
      <c r="E164" s="16">
        <v>583.70001200000002</v>
      </c>
      <c r="F164" s="16">
        <v>851.20001200000002</v>
      </c>
      <c r="G164" s="16">
        <v>932.59997599999997</v>
      </c>
      <c r="H164" s="16">
        <v>1083.599976</v>
      </c>
      <c r="I164" s="16">
        <v>1107.599976</v>
      </c>
      <c r="J164" s="16">
        <v>1298.8000489999999</v>
      </c>
      <c r="K164" s="16">
        <v>1378.5</v>
      </c>
      <c r="L164" s="16">
        <v>1408.3000489999999</v>
      </c>
      <c r="M164" s="16">
        <v>2559.3999020000001</v>
      </c>
      <c r="N164" s="81">
        <v>3186</v>
      </c>
      <c r="O164" s="16">
        <v>2426</v>
      </c>
    </row>
    <row r="165" spans="3:15" x14ac:dyDescent="0.2">
      <c r="C165" s="23" t="s">
        <v>521</v>
      </c>
      <c r="D165" s="23" t="s">
        <v>535</v>
      </c>
      <c r="E165" s="24" t="s">
        <v>34</v>
      </c>
      <c r="F165" s="24">
        <v>45.828335532054098</v>
      </c>
      <c r="G165" s="24">
        <v>9.5629655606724704</v>
      </c>
      <c r="H165" s="24">
        <v>16.191293575585501</v>
      </c>
      <c r="I165" s="24">
        <v>2.2148394731968901</v>
      </c>
      <c r="J165" s="24">
        <v>17.262556621796101</v>
      </c>
      <c r="K165" s="24">
        <v>6.1364296268208802</v>
      </c>
      <c r="L165" s="24">
        <v>2.16177359448676</v>
      </c>
      <c r="M165" s="24">
        <v>81.736832560459604</v>
      </c>
      <c r="N165" s="152">
        <v>24.482305305644299</v>
      </c>
      <c r="O165" s="24">
        <v>-23.854362837413699</v>
      </c>
    </row>
    <row r="166" spans="3:15" x14ac:dyDescent="0.2">
      <c r="C166" s="15" t="s">
        <v>143</v>
      </c>
      <c r="D166" s="15" t="s">
        <v>536</v>
      </c>
      <c r="E166" s="16" t="s">
        <v>34</v>
      </c>
      <c r="F166" s="16" t="s">
        <v>34</v>
      </c>
      <c r="G166" s="16" t="s">
        <v>34</v>
      </c>
      <c r="H166" s="16" t="s">
        <v>34</v>
      </c>
      <c r="I166" s="16" t="s">
        <v>34</v>
      </c>
      <c r="J166" s="16" t="s">
        <v>34</v>
      </c>
      <c r="K166" s="16" t="s">
        <v>34</v>
      </c>
      <c r="L166" s="16">
        <v>325.70001200000002</v>
      </c>
      <c r="M166" s="16">
        <v>1243</v>
      </c>
      <c r="N166" s="81">
        <v>424</v>
      </c>
      <c r="O166" s="16">
        <v>989</v>
      </c>
    </row>
    <row r="167" spans="3:15" x14ac:dyDescent="0.2">
      <c r="C167" s="23" t="s">
        <v>521</v>
      </c>
      <c r="D167" s="23" t="s">
        <v>536</v>
      </c>
      <c r="E167" s="24" t="s">
        <v>34</v>
      </c>
      <c r="F167" s="24" t="s">
        <v>34</v>
      </c>
      <c r="G167" s="24" t="s">
        <v>34</v>
      </c>
      <c r="H167" s="24" t="s">
        <v>34</v>
      </c>
      <c r="I167" s="24" t="s">
        <v>34</v>
      </c>
      <c r="J167" s="24" t="s">
        <v>34</v>
      </c>
      <c r="K167" s="24" t="s">
        <v>34</v>
      </c>
      <c r="L167" s="24" t="s">
        <v>34</v>
      </c>
      <c r="M167" s="24">
        <v>281.63953153308398</v>
      </c>
      <c r="N167" s="152">
        <v>-65.888978278358806</v>
      </c>
      <c r="O167" s="24">
        <v>133.25471698113199</v>
      </c>
    </row>
    <row r="168" spans="3:15" x14ac:dyDescent="0.2">
      <c r="C168" s="15" t="s">
        <v>161</v>
      </c>
      <c r="D168" s="15" t="s">
        <v>537</v>
      </c>
      <c r="E168" s="16">
        <v>583.70001200000002</v>
      </c>
      <c r="F168" s="16">
        <v>851.20001200000002</v>
      </c>
      <c r="G168" s="16">
        <v>932.59997599999997</v>
      </c>
      <c r="H168" s="16">
        <v>1083.599976</v>
      </c>
      <c r="I168" s="16">
        <v>1107.599976</v>
      </c>
      <c r="J168" s="16">
        <v>1298.8000489999999</v>
      </c>
      <c r="K168" s="16">
        <v>1378.5</v>
      </c>
      <c r="L168" s="16">
        <v>1082.6000369999999</v>
      </c>
      <c r="M168" s="16">
        <v>1316.3999020000001</v>
      </c>
      <c r="N168" s="81">
        <v>2762</v>
      </c>
      <c r="O168" s="16">
        <v>1437</v>
      </c>
    </row>
    <row r="169" spans="3:15" x14ac:dyDescent="0.2">
      <c r="C169" s="23" t="s">
        <v>521</v>
      </c>
      <c r="D169" s="23" t="s">
        <v>537</v>
      </c>
      <c r="E169" s="24" t="s">
        <v>34</v>
      </c>
      <c r="F169" s="24">
        <v>45.828335532054098</v>
      </c>
      <c r="G169" s="24">
        <v>9.5629655606724704</v>
      </c>
      <c r="H169" s="24">
        <v>16.191293575585501</v>
      </c>
      <c r="I169" s="24">
        <v>2.2148394731968901</v>
      </c>
      <c r="J169" s="24">
        <v>17.262556621796101</v>
      </c>
      <c r="K169" s="24">
        <v>6.1364296268208802</v>
      </c>
      <c r="L169" s="24">
        <v>-21.465358215451602</v>
      </c>
      <c r="M169" s="24">
        <v>21.5961441907839</v>
      </c>
      <c r="N169" s="152">
        <v>109.814661624002</v>
      </c>
      <c r="O169" s="24">
        <v>-47.972483707458402</v>
      </c>
    </row>
    <row r="170" spans="3:15" x14ac:dyDescent="0.2">
      <c r="C170" s="13" t="s">
        <v>162</v>
      </c>
      <c r="D170" s="13" t="s">
        <v>538</v>
      </c>
      <c r="E170" s="14">
        <v>2821.900024</v>
      </c>
      <c r="F170" s="14">
        <v>3542.7999880000002</v>
      </c>
      <c r="G170" s="14">
        <v>3820</v>
      </c>
      <c r="H170" s="14">
        <v>4616.0999760000004</v>
      </c>
      <c r="I170" s="14">
        <v>4826.4000249999999</v>
      </c>
      <c r="J170" s="14">
        <v>4205.3001709999999</v>
      </c>
      <c r="K170" s="14">
        <v>4597.7000120000002</v>
      </c>
      <c r="L170" s="14">
        <v>5310.0999760000004</v>
      </c>
      <c r="M170" s="14">
        <v>6576.9000239999996</v>
      </c>
      <c r="N170" s="153">
        <v>8199</v>
      </c>
      <c r="O170" s="14">
        <v>7549</v>
      </c>
    </row>
    <row r="171" spans="3:15" x14ac:dyDescent="0.2">
      <c r="C171" s="23" t="s">
        <v>521</v>
      </c>
      <c r="D171" s="23" t="s">
        <v>538</v>
      </c>
      <c r="E171" s="24" t="s">
        <v>34</v>
      </c>
      <c r="F171" s="24">
        <v>25.546616034190201</v>
      </c>
      <c r="G171" s="24">
        <v>7.8243201123099899</v>
      </c>
      <c r="H171" s="24">
        <v>20.840313507853399</v>
      </c>
      <c r="I171" s="24">
        <v>4.5557949371415303</v>
      </c>
      <c r="J171" s="24">
        <v>-12.868801814660999</v>
      </c>
      <c r="K171" s="24">
        <v>9.3310780454154703</v>
      </c>
      <c r="L171" s="24">
        <v>15.4947030502346</v>
      </c>
      <c r="M171" s="24">
        <v>23.856425561204901</v>
      </c>
      <c r="N171" s="152">
        <v>24.6635948559464</v>
      </c>
      <c r="O171" s="24">
        <v>-7.9277960726917902</v>
      </c>
    </row>
    <row r="172" spans="3:15" x14ac:dyDescent="0.2">
      <c r="C172" s="13" t="s">
        <v>42</v>
      </c>
      <c r="D172" s="13" t="s">
        <v>539</v>
      </c>
      <c r="E172" s="14">
        <v>6922.6000979999999</v>
      </c>
      <c r="F172" s="14">
        <v>7637.6000979999999</v>
      </c>
      <c r="G172" s="14">
        <v>8324.7998050000006</v>
      </c>
      <c r="H172" s="14">
        <v>9052</v>
      </c>
      <c r="I172" s="14">
        <v>9634.5996090000008</v>
      </c>
      <c r="J172" s="14">
        <v>9590.0996090000008</v>
      </c>
      <c r="K172" s="14">
        <v>9330.9003909999992</v>
      </c>
      <c r="L172" s="14">
        <v>11098.5</v>
      </c>
      <c r="M172" s="14">
        <v>12729.299805000001</v>
      </c>
      <c r="N172" s="153">
        <v>14667</v>
      </c>
      <c r="O172" s="14">
        <v>14991</v>
      </c>
    </row>
    <row r="173" spans="3:15" x14ac:dyDescent="0.2">
      <c r="C173" s="23" t="s">
        <v>521</v>
      </c>
      <c r="D173" s="23" t="s">
        <v>539</v>
      </c>
      <c r="E173" s="24" t="s">
        <v>34</v>
      </c>
      <c r="F173" s="24">
        <v>10.3284891497137</v>
      </c>
      <c r="G173" s="24">
        <v>8.9975869145067193</v>
      </c>
      <c r="H173" s="24">
        <v>8.7353475402883802</v>
      </c>
      <c r="I173" s="24">
        <v>6.4361423884224598</v>
      </c>
      <c r="J173" s="24">
        <v>-0.46187700377741803</v>
      </c>
      <c r="K173" s="24">
        <v>-2.7027792053041</v>
      </c>
      <c r="L173" s="24">
        <v>18.943505288138301</v>
      </c>
      <c r="M173" s="24">
        <v>14.6938757940262</v>
      </c>
      <c r="N173" s="152">
        <v>15.2223627747292</v>
      </c>
      <c r="O173" s="24">
        <v>2.2090407036203699</v>
      </c>
    </row>
    <row r="174" spans="3:15" x14ac:dyDescent="0.2">
      <c r="C174" s="13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51"/>
      <c r="O174" s="17"/>
    </row>
    <row r="175" spans="3:15" x14ac:dyDescent="0.2">
      <c r="C175" s="13" t="s">
        <v>43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51"/>
      <c r="O175" s="17"/>
    </row>
    <row r="176" spans="3:15" x14ac:dyDescent="0.2">
      <c r="C176" s="15" t="s">
        <v>167</v>
      </c>
      <c r="D176" s="15" t="s">
        <v>540</v>
      </c>
      <c r="E176" s="16">
        <v>357</v>
      </c>
      <c r="F176" s="16">
        <v>359.70001200000002</v>
      </c>
      <c r="G176" s="16">
        <v>401.39999399999999</v>
      </c>
      <c r="H176" s="16">
        <v>450.29998799999998</v>
      </c>
      <c r="I176" s="16">
        <v>462.89999399999999</v>
      </c>
      <c r="J176" s="16">
        <v>456.39999399999999</v>
      </c>
      <c r="K176" s="16">
        <v>479.10000600000001</v>
      </c>
      <c r="L176" s="16">
        <v>524.90002400000003</v>
      </c>
      <c r="M176" s="16">
        <v>715.29998799999998</v>
      </c>
      <c r="N176" s="81">
        <v>913</v>
      </c>
      <c r="O176" s="16">
        <v>660</v>
      </c>
    </row>
    <row r="177" spans="3:15" x14ac:dyDescent="0.2">
      <c r="C177" s="23" t="s">
        <v>521</v>
      </c>
      <c r="D177" s="23" t="s">
        <v>540</v>
      </c>
      <c r="E177" s="24" t="s">
        <v>34</v>
      </c>
      <c r="F177" s="24">
        <v>0.75630588235294505</v>
      </c>
      <c r="G177" s="24">
        <v>11.592988770876101</v>
      </c>
      <c r="H177" s="24">
        <v>12.182360421261</v>
      </c>
      <c r="I177" s="24">
        <v>2.7981359839609898</v>
      </c>
      <c r="J177" s="24">
        <v>-1.4041909881727099</v>
      </c>
      <c r="K177" s="24">
        <v>4.9737099689795397</v>
      </c>
      <c r="L177" s="24">
        <v>9.5595945369284792</v>
      </c>
      <c r="M177" s="24">
        <v>36.273567402237298</v>
      </c>
      <c r="N177" s="152">
        <v>27.638755112071902</v>
      </c>
      <c r="O177" s="24">
        <v>-27.710843373494001</v>
      </c>
    </row>
    <row r="178" spans="3:15" x14ac:dyDescent="0.2">
      <c r="C178" s="15" t="s">
        <v>168</v>
      </c>
      <c r="D178" s="15" t="s">
        <v>541</v>
      </c>
      <c r="E178" s="16">
        <v>357</v>
      </c>
      <c r="F178" s="16">
        <v>359.70001200000002</v>
      </c>
      <c r="G178" s="16">
        <v>401.39999399999999</v>
      </c>
      <c r="H178" s="16">
        <v>450.29998799999998</v>
      </c>
      <c r="I178" s="16">
        <v>462.89999399999999</v>
      </c>
      <c r="J178" s="16">
        <v>456.39999399999999</v>
      </c>
      <c r="K178" s="16">
        <v>479.10000600000001</v>
      </c>
      <c r="L178" s="16">
        <v>524.90002400000003</v>
      </c>
      <c r="M178" s="16">
        <v>715.29998799999998</v>
      </c>
      <c r="N178" s="81">
        <v>913</v>
      </c>
      <c r="O178" s="16">
        <v>660</v>
      </c>
    </row>
    <row r="179" spans="3:15" x14ac:dyDescent="0.2">
      <c r="C179" s="23" t="s">
        <v>521</v>
      </c>
      <c r="D179" s="23" t="s">
        <v>541</v>
      </c>
      <c r="E179" s="24" t="s">
        <v>34</v>
      </c>
      <c r="F179" s="24">
        <v>0.75630588235294505</v>
      </c>
      <c r="G179" s="24">
        <v>11.592988770876101</v>
      </c>
      <c r="H179" s="24">
        <v>12.182360421261</v>
      </c>
      <c r="I179" s="24">
        <v>2.7981359839609898</v>
      </c>
      <c r="J179" s="24">
        <v>-1.4041909881727099</v>
      </c>
      <c r="K179" s="24">
        <v>4.9737099689795397</v>
      </c>
      <c r="L179" s="24">
        <v>9.5595945369284792</v>
      </c>
      <c r="M179" s="24">
        <v>36.273567402237298</v>
      </c>
      <c r="N179" s="152">
        <v>27.638755112071902</v>
      </c>
      <c r="O179" s="24">
        <v>-27.710843373494001</v>
      </c>
    </row>
    <row r="180" spans="3:15" x14ac:dyDescent="0.2">
      <c r="C180" s="15" t="s">
        <v>172</v>
      </c>
      <c r="D180" s="15" t="s">
        <v>401</v>
      </c>
      <c r="E180" s="16">
        <v>714.90002400000003</v>
      </c>
      <c r="F180" s="16">
        <v>967.70001200000002</v>
      </c>
      <c r="G180" s="16">
        <v>1526.3000489999999</v>
      </c>
      <c r="H180" s="16">
        <v>1499.3000489999999</v>
      </c>
      <c r="I180" s="16">
        <v>1691.099976</v>
      </c>
      <c r="J180" s="16">
        <v>1252.3000489999999</v>
      </c>
      <c r="K180" s="16">
        <v>1178.8000489999999</v>
      </c>
      <c r="L180" s="16">
        <v>2220</v>
      </c>
      <c r="M180" s="16">
        <v>2035.5</v>
      </c>
      <c r="N180" s="81">
        <v>2235</v>
      </c>
      <c r="O180" s="16">
        <v>2251</v>
      </c>
    </row>
    <row r="181" spans="3:15" x14ac:dyDescent="0.2">
      <c r="C181" s="23" t="s">
        <v>521</v>
      </c>
      <c r="D181" s="23" t="s">
        <v>401</v>
      </c>
      <c r="E181" s="24" t="s">
        <v>34</v>
      </c>
      <c r="F181" s="24">
        <v>35.361586167746403</v>
      </c>
      <c r="G181" s="24">
        <v>57.724504502744601</v>
      </c>
      <c r="H181" s="24">
        <v>-1.7689837602828999</v>
      </c>
      <c r="I181" s="24">
        <v>12.792631276703201</v>
      </c>
      <c r="J181" s="24">
        <v>-25.947604117286101</v>
      </c>
      <c r="K181" s="24">
        <v>-5.8692004411156899</v>
      </c>
      <c r="L181" s="24">
        <v>88.327104489287294</v>
      </c>
      <c r="M181" s="24">
        <v>-8.3108108108108105</v>
      </c>
      <c r="N181" s="152">
        <v>9.8010316875460592</v>
      </c>
      <c r="O181" s="24">
        <v>0.71588366890380295</v>
      </c>
    </row>
    <row r="182" spans="3:15" x14ac:dyDescent="0.2">
      <c r="C182" s="15" t="s">
        <v>176</v>
      </c>
      <c r="D182" s="15" t="s">
        <v>542</v>
      </c>
      <c r="E182" s="16">
        <v>884.69995100000006</v>
      </c>
      <c r="F182" s="16">
        <v>1016.900024</v>
      </c>
      <c r="G182" s="16">
        <v>983.90005499999995</v>
      </c>
      <c r="H182" s="16">
        <v>1167.299865</v>
      </c>
      <c r="I182" s="16">
        <v>1266.5000299999999</v>
      </c>
      <c r="J182" s="16">
        <v>1508.6998590000001</v>
      </c>
      <c r="K182" s="16">
        <v>1785.7000430000001</v>
      </c>
      <c r="L182" s="16">
        <v>2080.9998780000001</v>
      </c>
      <c r="M182" s="16">
        <v>2436.400208</v>
      </c>
      <c r="N182" s="81">
        <v>2492</v>
      </c>
      <c r="O182" s="16">
        <v>2083</v>
      </c>
    </row>
    <row r="183" spans="3:15" x14ac:dyDescent="0.2">
      <c r="C183" s="23" t="s">
        <v>521</v>
      </c>
      <c r="D183" s="23" t="s">
        <v>542</v>
      </c>
      <c r="E183" s="24" t="s">
        <v>34</v>
      </c>
      <c r="F183" s="24">
        <v>14.9429275824612</v>
      </c>
      <c r="G183" s="24">
        <v>-3.24515372417771</v>
      </c>
      <c r="H183" s="24">
        <v>18.640085348912798</v>
      </c>
      <c r="I183" s="24">
        <v>8.4982589285230503</v>
      </c>
      <c r="J183" s="24">
        <v>19.123554935881099</v>
      </c>
      <c r="K183" s="24">
        <v>18.360191548211699</v>
      </c>
      <c r="L183" s="24">
        <v>16.536922657172202</v>
      </c>
      <c r="M183" s="24">
        <v>17.078344586044199</v>
      </c>
      <c r="N183" s="152">
        <v>2.2820467597004899</v>
      </c>
      <c r="O183" s="24">
        <v>-16.412520064205498</v>
      </c>
    </row>
    <row r="184" spans="3:15" x14ac:dyDescent="0.2">
      <c r="C184" s="15" t="s">
        <v>179</v>
      </c>
      <c r="D184" s="15" t="s">
        <v>543</v>
      </c>
      <c r="E184" s="16">
        <v>884.69995100000006</v>
      </c>
      <c r="F184" s="16">
        <v>1016.900024</v>
      </c>
      <c r="G184" s="16">
        <v>983.90005499999995</v>
      </c>
      <c r="H184" s="16">
        <v>1167.299865</v>
      </c>
      <c r="I184" s="16">
        <v>1266.5000299999999</v>
      </c>
      <c r="J184" s="16">
        <v>1508.6998590000001</v>
      </c>
      <c r="K184" s="16">
        <v>1785.7000430000001</v>
      </c>
      <c r="L184" s="16">
        <v>2080.9998780000001</v>
      </c>
      <c r="M184" s="16">
        <v>2436.400208</v>
      </c>
      <c r="N184" s="81">
        <v>2492</v>
      </c>
      <c r="O184" s="16">
        <v>2083</v>
      </c>
    </row>
    <row r="185" spans="3:15" x14ac:dyDescent="0.2">
      <c r="C185" s="23" t="s">
        <v>521</v>
      </c>
      <c r="D185" s="23" t="s">
        <v>543</v>
      </c>
      <c r="E185" s="24" t="s">
        <v>34</v>
      </c>
      <c r="F185" s="24">
        <v>14.9429275824612</v>
      </c>
      <c r="G185" s="24">
        <v>-3.24515372417771</v>
      </c>
      <c r="H185" s="24">
        <v>18.640085348912798</v>
      </c>
      <c r="I185" s="24">
        <v>8.4982589285230503</v>
      </c>
      <c r="J185" s="24">
        <v>19.123554935881099</v>
      </c>
      <c r="K185" s="24">
        <v>18.360191548211699</v>
      </c>
      <c r="L185" s="24">
        <v>16.536922657172202</v>
      </c>
      <c r="M185" s="24">
        <v>17.078344586044199</v>
      </c>
      <c r="N185" s="152">
        <v>2.2820467597004899</v>
      </c>
      <c r="O185" s="24">
        <v>-16.412520064205498</v>
      </c>
    </row>
    <row r="186" spans="3:15" x14ac:dyDescent="0.2">
      <c r="C186" s="13" t="s">
        <v>44</v>
      </c>
      <c r="D186" s="13" t="s">
        <v>544</v>
      </c>
      <c r="E186" s="14">
        <v>1956.599976</v>
      </c>
      <c r="F186" s="14">
        <v>2344.3000489999999</v>
      </c>
      <c r="G186" s="14">
        <v>2911.6000979999999</v>
      </c>
      <c r="H186" s="14">
        <v>3116.8999020000001</v>
      </c>
      <c r="I186" s="14">
        <v>3420.5</v>
      </c>
      <c r="J186" s="14">
        <v>3217.3999020000001</v>
      </c>
      <c r="K186" s="14">
        <v>3443.6000979999999</v>
      </c>
      <c r="L186" s="14">
        <v>4825.8999020000001</v>
      </c>
      <c r="M186" s="14">
        <v>5187.2001950000003</v>
      </c>
      <c r="N186" s="153">
        <v>5640</v>
      </c>
      <c r="O186" s="14">
        <v>4994</v>
      </c>
    </row>
    <row r="187" spans="3:15" x14ac:dyDescent="0.2">
      <c r="C187" s="23" t="s">
        <v>521</v>
      </c>
      <c r="D187" s="23" t="s">
        <v>544</v>
      </c>
      <c r="E187" s="24" t="s">
        <v>34</v>
      </c>
      <c r="F187" s="24">
        <v>19.814989152386701</v>
      </c>
      <c r="G187" s="24">
        <v>24.1991228572465</v>
      </c>
      <c r="H187" s="24">
        <v>7.0510989521199097</v>
      </c>
      <c r="I187" s="24">
        <v>9.7404506896480996</v>
      </c>
      <c r="J187" s="24">
        <v>-5.9377312673585703</v>
      </c>
      <c r="K187" s="24">
        <v>7.03052784515189</v>
      </c>
      <c r="L187" s="24">
        <v>40.141124540065597</v>
      </c>
      <c r="M187" s="24">
        <v>7.4866926446250197</v>
      </c>
      <c r="N187" s="152">
        <v>8.7291754314101606</v>
      </c>
      <c r="O187" s="24">
        <v>-11.4539007092199</v>
      </c>
    </row>
    <row r="188" spans="3:15" x14ac:dyDescent="0.2">
      <c r="C188" s="15" t="s">
        <v>180</v>
      </c>
      <c r="D188" s="15" t="s">
        <v>403</v>
      </c>
      <c r="E188" s="16">
        <v>248.89999399999999</v>
      </c>
      <c r="F188" s="16">
        <v>226.89999399999999</v>
      </c>
      <c r="G188" s="16">
        <v>190.60000600000001</v>
      </c>
      <c r="H188" s="16">
        <v>193.300003</v>
      </c>
      <c r="I188" s="16">
        <v>396.60000600000001</v>
      </c>
      <c r="J188" s="16">
        <v>571.29998799999998</v>
      </c>
      <c r="K188" s="16">
        <v>570.5</v>
      </c>
      <c r="L188" s="16">
        <v>604.20001200000002</v>
      </c>
      <c r="M188" s="16">
        <v>833</v>
      </c>
      <c r="N188" s="81">
        <v>687</v>
      </c>
      <c r="O188" s="16">
        <v>725</v>
      </c>
    </row>
    <row r="189" spans="3:15" x14ac:dyDescent="0.2">
      <c r="C189" s="23" t="s">
        <v>521</v>
      </c>
      <c r="D189" s="23" t="s">
        <v>403</v>
      </c>
      <c r="E189" s="24" t="s">
        <v>34</v>
      </c>
      <c r="F189" s="24">
        <v>-8.8388913340030104</v>
      </c>
      <c r="G189" s="24">
        <v>-15.9982322432322</v>
      </c>
      <c r="H189" s="24">
        <v>1.4165776049345999</v>
      </c>
      <c r="I189" s="24">
        <v>105.17330566208</v>
      </c>
      <c r="J189" s="24">
        <v>44.049414865616498</v>
      </c>
      <c r="K189" s="24">
        <v>-0.14002940955776499</v>
      </c>
      <c r="L189" s="24">
        <v>5.9071011393514503</v>
      </c>
      <c r="M189" s="24">
        <v>37.868252806324001</v>
      </c>
      <c r="N189" s="152">
        <v>-17.527010804321701</v>
      </c>
      <c r="O189" s="24">
        <v>5.5312954876273697</v>
      </c>
    </row>
    <row r="190" spans="3:15" x14ac:dyDescent="0.2">
      <c r="C190" s="15" t="s">
        <v>183</v>
      </c>
      <c r="D190" s="15" t="s">
        <v>545</v>
      </c>
      <c r="E190" s="16">
        <v>812.5</v>
      </c>
      <c r="F190" s="16">
        <v>740.09997599999997</v>
      </c>
      <c r="G190" s="16">
        <v>662.70001200000002</v>
      </c>
      <c r="H190" s="16">
        <v>621.09997599999997</v>
      </c>
      <c r="I190" s="16">
        <v>756.79998799999998</v>
      </c>
      <c r="J190" s="16">
        <v>1047.900024</v>
      </c>
      <c r="K190" s="16">
        <v>1412</v>
      </c>
      <c r="L190" s="16">
        <v>1305.6999510000001</v>
      </c>
      <c r="M190" s="16">
        <v>1155.900024</v>
      </c>
      <c r="N190" s="81">
        <v>1336</v>
      </c>
      <c r="O190" s="16">
        <v>1339</v>
      </c>
    </row>
    <row r="191" spans="3:15" x14ac:dyDescent="0.2">
      <c r="C191" s="23" t="s">
        <v>521</v>
      </c>
      <c r="D191" s="23" t="s">
        <v>545</v>
      </c>
      <c r="E191" s="24" t="s">
        <v>34</v>
      </c>
      <c r="F191" s="24">
        <v>-8.9107721846153893</v>
      </c>
      <c r="G191" s="24">
        <v>-10.458041684897999</v>
      </c>
      <c r="H191" s="24">
        <v>-6.2773555525452496</v>
      </c>
      <c r="I191" s="24">
        <v>21.8483363779747</v>
      </c>
      <c r="J191" s="24">
        <v>38.464593104618302</v>
      </c>
      <c r="K191" s="24">
        <v>34.745678753796803</v>
      </c>
      <c r="L191" s="24">
        <v>-7.5283320821529696</v>
      </c>
      <c r="M191" s="24">
        <v>-11.4727680647665</v>
      </c>
      <c r="N191" s="152">
        <v>15.5809302068152</v>
      </c>
      <c r="O191" s="24">
        <v>0.224550898203593</v>
      </c>
    </row>
    <row r="192" spans="3:15" x14ac:dyDescent="0.2">
      <c r="C192" s="15" t="s">
        <v>187</v>
      </c>
      <c r="D192" s="15" t="s">
        <v>546</v>
      </c>
      <c r="E192" s="16">
        <v>812.5</v>
      </c>
      <c r="F192" s="16">
        <v>740.09997599999997</v>
      </c>
      <c r="G192" s="16">
        <v>662.70001200000002</v>
      </c>
      <c r="H192" s="16">
        <v>621.09997599999997</v>
      </c>
      <c r="I192" s="16">
        <v>756.79998799999998</v>
      </c>
      <c r="J192" s="16">
        <v>1047.900024</v>
      </c>
      <c r="K192" s="16">
        <v>1412</v>
      </c>
      <c r="L192" s="16">
        <v>1305.6999510000001</v>
      </c>
      <c r="M192" s="16">
        <v>1155.900024</v>
      </c>
      <c r="N192" s="81">
        <v>1336</v>
      </c>
      <c r="O192" s="16">
        <v>1339</v>
      </c>
    </row>
    <row r="193" spans="3:15" x14ac:dyDescent="0.2">
      <c r="C193" s="23" t="s">
        <v>521</v>
      </c>
      <c r="D193" s="23" t="s">
        <v>546</v>
      </c>
      <c r="E193" s="24" t="s">
        <v>34</v>
      </c>
      <c r="F193" s="24">
        <v>-8.9107721846153893</v>
      </c>
      <c r="G193" s="24">
        <v>-10.458041684897999</v>
      </c>
      <c r="H193" s="24">
        <v>-6.2773555525452496</v>
      </c>
      <c r="I193" s="24">
        <v>21.8483363779747</v>
      </c>
      <c r="J193" s="24">
        <v>38.464593104618302</v>
      </c>
      <c r="K193" s="24">
        <v>34.745678753796803</v>
      </c>
      <c r="L193" s="24">
        <v>-7.5283320821529696</v>
      </c>
      <c r="M193" s="24">
        <v>-11.4727680647665</v>
      </c>
      <c r="N193" s="152">
        <v>15.5809302068152</v>
      </c>
      <c r="O193" s="24">
        <v>0.224550898203593</v>
      </c>
    </row>
    <row r="194" spans="3:15" x14ac:dyDescent="0.2">
      <c r="C194" s="13" t="s">
        <v>188</v>
      </c>
      <c r="D194" s="13" t="s">
        <v>547</v>
      </c>
      <c r="E194" s="14">
        <v>1061.3999940000001</v>
      </c>
      <c r="F194" s="14">
        <v>966.99996899999996</v>
      </c>
      <c r="G194" s="14">
        <v>853.30001800000002</v>
      </c>
      <c r="H194" s="14">
        <v>814.39997900000003</v>
      </c>
      <c r="I194" s="14">
        <v>1153.3999940000001</v>
      </c>
      <c r="J194" s="14">
        <v>1619.200012</v>
      </c>
      <c r="K194" s="14">
        <v>1982.5</v>
      </c>
      <c r="L194" s="14">
        <v>1909.8999630000001</v>
      </c>
      <c r="M194" s="14">
        <v>1988.900024</v>
      </c>
      <c r="N194" s="153">
        <v>2023</v>
      </c>
      <c r="O194" s="14">
        <v>2064</v>
      </c>
    </row>
    <row r="195" spans="3:15" x14ac:dyDescent="0.2">
      <c r="C195" s="23" t="s">
        <v>521</v>
      </c>
      <c r="D195" s="23" t="s">
        <v>547</v>
      </c>
      <c r="E195" s="24" t="s">
        <v>34</v>
      </c>
      <c r="F195" s="24">
        <v>-8.8939161045444806</v>
      </c>
      <c r="G195" s="24">
        <v>-11.7580097874853</v>
      </c>
      <c r="H195" s="24">
        <v>-4.5587763013500799</v>
      </c>
      <c r="I195" s="24">
        <v>41.625739653905399</v>
      </c>
      <c r="J195" s="24">
        <v>40.384950617573899</v>
      </c>
      <c r="K195" s="24">
        <v>22.437005021464898</v>
      </c>
      <c r="L195" s="24">
        <v>-3.6620447414880202</v>
      </c>
      <c r="M195" s="24">
        <v>4.13634549088684</v>
      </c>
      <c r="N195" s="152">
        <v>1.71451433397941</v>
      </c>
      <c r="O195" s="24">
        <v>2.0266930301532402</v>
      </c>
    </row>
    <row r="196" spans="3:15" x14ac:dyDescent="0.2">
      <c r="C196" s="13" t="s">
        <v>45</v>
      </c>
      <c r="D196" s="13" t="s">
        <v>548</v>
      </c>
      <c r="E196" s="14">
        <v>3017.999969</v>
      </c>
      <c r="F196" s="14">
        <v>3311.3000179999999</v>
      </c>
      <c r="G196" s="14">
        <v>3764.9001159999998</v>
      </c>
      <c r="H196" s="14">
        <v>3931.2998809999999</v>
      </c>
      <c r="I196" s="14">
        <v>4573.8999940000003</v>
      </c>
      <c r="J196" s="14">
        <v>4836.5999140000004</v>
      </c>
      <c r="K196" s="14">
        <v>5426.1000979999999</v>
      </c>
      <c r="L196" s="14">
        <v>6735.7998660000003</v>
      </c>
      <c r="M196" s="14">
        <v>7176.1002200000003</v>
      </c>
      <c r="N196" s="153">
        <v>7663</v>
      </c>
      <c r="O196" s="14">
        <v>7058</v>
      </c>
    </row>
    <row r="197" spans="3:15" x14ac:dyDescent="0.2">
      <c r="C197" s="23" t="s">
        <v>521</v>
      </c>
      <c r="D197" s="23" t="s">
        <v>548</v>
      </c>
      <c r="E197" s="24" t="s">
        <v>34</v>
      </c>
      <c r="F197" s="24">
        <v>9.7183582509175306</v>
      </c>
      <c r="G197" s="24">
        <v>13.698550283401101</v>
      </c>
      <c r="H197" s="24">
        <v>4.4197657274581497</v>
      </c>
      <c r="I197" s="24">
        <v>16.345741420177401</v>
      </c>
      <c r="J197" s="24">
        <v>5.7434557017995003</v>
      </c>
      <c r="K197" s="24">
        <v>12.1883181259966</v>
      </c>
      <c r="L197" s="24">
        <v>24.137036625674099</v>
      </c>
      <c r="M197" s="24">
        <v>6.5367196585291198</v>
      </c>
      <c r="N197" s="152">
        <v>6.7850192315179196</v>
      </c>
      <c r="O197" s="24">
        <v>-7.8950802557745003</v>
      </c>
    </row>
    <row r="198" spans="3:15" x14ac:dyDescent="0.2">
      <c r="C198" s="15" t="s">
        <v>189</v>
      </c>
      <c r="D198" s="15" t="s">
        <v>405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81">
        <v>0</v>
      </c>
      <c r="O198" s="16">
        <v>0</v>
      </c>
    </row>
    <row r="199" spans="3:15" x14ac:dyDescent="0.2">
      <c r="C199" s="15" t="s">
        <v>46</v>
      </c>
      <c r="D199" s="15" t="s">
        <v>549</v>
      </c>
      <c r="E199" s="16">
        <v>476.60000600000001</v>
      </c>
      <c r="F199" s="16">
        <v>460.5</v>
      </c>
      <c r="G199" s="16">
        <v>392</v>
      </c>
      <c r="H199" s="16">
        <v>351.10000600000001</v>
      </c>
      <c r="I199" s="16">
        <v>245.699997</v>
      </c>
      <c r="J199" s="16">
        <v>408.60000600000001</v>
      </c>
      <c r="K199" s="16">
        <v>525.59997599999997</v>
      </c>
      <c r="L199" s="16">
        <v>685.40002400000003</v>
      </c>
      <c r="M199" s="16">
        <v>1269.5</v>
      </c>
      <c r="N199" s="81">
        <v>1762</v>
      </c>
      <c r="O199" s="16">
        <v>3308</v>
      </c>
    </row>
    <row r="200" spans="3:15" x14ac:dyDescent="0.2">
      <c r="C200" s="23" t="s">
        <v>521</v>
      </c>
      <c r="D200" s="23" t="s">
        <v>549</v>
      </c>
      <c r="E200" s="24" t="s">
        <v>34</v>
      </c>
      <c r="F200" s="24">
        <v>-3.3780960548288399</v>
      </c>
      <c r="G200" s="24">
        <v>-14.8751357220413</v>
      </c>
      <c r="H200" s="24">
        <v>-10.4336719387755</v>
      </c>
      <c r="I200" s="24">
        <v>-30.019939390146298</v>
      </c>
      <c r="J200" s="24">
        <v>66.300370772898304</v>
      </c>
      <c r="K200" s="24">
        <v>28.6343534708612</v>
      </c>
      <c r="L200" s="24">
        <v>30.403359074734801</v>
      </c>
      <c r="M200" s="24">
        <v>85.220302822749801</v>
      </c>
      <c r="N200" s="152">
        <v>38.794801102796399</v>
      </c>
      <c r="O200" s="24">
        <v>87.741203178206604</v>
      </c>
    </row>
    <row r="201" spans="3:15" x14ac:dyDescent="0.2">
      <c r="C201" s="15" t="s">
        <v>192</v>
      </c>
      <c r="D201" s="15" t="s">
        <v>550</v>
      </c>
      <c r="E201" s="16">
        <v>46.700001</v>
      </c>
      <c r="F201" s="16">
        <v>2.4</v>
      </c>
      <c r="G201" s="16">
        <v>8.8000000000000007</v>
      </c>
      <c r="H201" s="16">
        <v>24.6</v>
      </c>
      <c r="I201" s="16">
        <v>172.10000600000001</v>
      </c>
      <c r="J201" s="16">
        <v>854.59997599999997</v>
      </c>
      <c r="K201" s="16">
        <v>1242.5</v>
      </c>
      <c r="L201" s="16">
        <v>1752.6999510000001</v>
      </c>
      <c r="M201" s="16">
        <v>1615.400024</v>
      </c>
      <c r="N201" s="81">
        <v>1482</v>
      </c>
      <c r="O201" s="16">
        <v>1993</v>
      </c>
    </row>
    <row r="202" spans="3:15" x14ac:dyDescent="0.2">
      <c r="C202" s="23" t="s">
        <v>521</v>
      </c>
      <c r="D202" s="23" t="s">
        <v>550</v>
      </c>
      <c r="E202" s="24" t="s">
        <v>34</v>
      </c>
      <c r="F202" s="24">
        <v>-94.860813814543604</v>
      </c>
      <c r="G202" s="24">
        <v>266.66666666666703</v>
      </c>
      <c r="H202" s="24">
        <v>179.54545454545499</v>
      </c>
      <c r="I202" s="24">
        <v>599.59352032520303</v>
      </c>
      <c r="J202" s="24">
        <v>396.57172934671502</v>
      </c>
      <c r="K202" s="24">
        <v>45.389660062429002</v>
      </c>
      <c r="L202" s="24">
        <v>41.062370301810901</v>
      </c>
      <c r="M202" s="24">
        <v>-7.8336241706210901</v>
      </c>
      <c r="N202" s="152">
        <v>-8.25801795332894</v>
      </c>
      <c r="O202" s="24">
        <v>34.480431848852902</v>
      </c>
    </row>
    <row r="203" spans="3:15" x14ac:dyDescent="0.2">
      <c r="C203" s="15" t="s">
        <v>194</v>
      </c>
      <c r="D203" s="15" t="s">
        <v>551</v>
      </c>
      <c r="E203" s="16">
        <v>3452.5000500000001</v>
      </c>
      <c r="F203" s="16">
        <v>3843.000098</v>
      </c>
      <c r="G203" s="16">
        <v>4152.5998049999998</v>
      </c>
      <c r="H203" s="16">
        <v>4765.4999019999996</v>
      </c>
      <c r="I203" s="16">
        <v>4952.7001039999996</v>
      </c>
      <c r="J203" s="16">
        <v>5164.5999760000004</v>
      </c>
      <c r="K203" s="16">
        <v>4582.3999020000001</v>
      </c>
      <c r="L203" s="16">
        <v>5391.1999509999996</v>
      </c>
      <c r="M203" s="16">
        <v>5852.5001220000004</v>
      </c>
      <c r="N203" s="81">
        <v>6674</v>
      </c>
      <c r="O203" s="16">
        <v>6618</v>
      </c>
    </row>
    <row r="204" spans="3:15" x14ac:dyDescent="0.2">
      <c r="C204" s="23" t="s">
        <v>521</v>
      </c>
      <c r="D204" s="23" t="s">
        <v>551</v>
      </c>
      <c r="E204" s="24" t="s">
        <v>34</v>
      </c>
      <c r="F204" s="24">
        <v>11.310645687029</v>
      </c>
      <c r="G204" s="24">
        <v>8.0561982593006896</v>
      </c>
      <c r="H204" s="24">
        <v>14.759430857315699</v>
      </c>
      <c r="I204" s="24">
        <v>3.9282385027735498</v>
      </c>
      <c r="J204" s="24">
        <v>4.2784716932257201</v>
      </c>
      <c r="K204" s="24">
        <v>-11.272897740492899</v>
      </c>
      <c r="L204" s="24">
        <v>17.650141111582101</v>
      </c>
      <c r="M204" s="24">
        <v>8.5565398277323297</v>
      </c>
      <c r="N204" s="152">
        <v>14.036734060233799</v>
      </c>
      <c r="O204" s="24">
        <v>-0.83907701528318801</v>
      </c>
    </row>
    <row r="205" spans="3:15" x14ac:dyDescent="0.2">
      <c r="C205" s="13" t="s">
        <v>195</v>
      </c>
      <c r="D205" s="13" t="s">
        <v>552</v>
      </c>
      <c r="E205" s="14">
        <v>3882.4000550000001</v>
      </c>
      <c r="F205" s="14">
        <v>4301.1000979999999</v>
      </c>
      <c r="G205" s="14">
        <v>4535.7998049999997</v>
      </c>
      <c r="H205" s="14">
        <v>5091.9999079999998</v>
      </c>
      <c r="I205" s="14">
        <v>5026.3000949999996</v>
      </c>
      <c r="J205" s="14">
        <v>4718.6000059999997</v>
      </c>
      <c r="K205" s="14">
        <v>3865.4998780000001</v>
      </c>
      <c r="L205" s="14">
        <v>4323.9000239999996</v>
      </c>
      <c r="M205" s="14">
        <v>5506.6000979999999</v>
      </c>
      <c r="N205" s="153">
        <v>6954</v>
      </c>
      <c r="O205" s="14">
        <v>7933</v>
      </c>
    </row>
    <row r="206" spans="3:15" x14ac:dyDescent="0.2">
      <c r="C206" s="23" t="s">
        <v>521</v>
      </c>
      <c r="D206" s="23" t="s">
        <v>552</v>
      </c>
      <c r="E206" s="24" t="s">
        <v>34</v>
      </c>
      <c r="F206" s="24">
        <v>10.7845672024647</v>
      </c>
      <c r="G206" s="24">
        <v>5.4567366871822998</v>
      </c>
      <c r="H206" s="24">
        <v>12.262448232103999</v>
      </c>
      <c r="I206" s="24">
        <v>-1.2902555810494001</v>
      </c>
      <c r="J206" s="24">
        <v>-6.1218009904758803</v>
      </c>
      <c r="K206" s="24">
        <v>-18.0795178000939</v>
      </c>
      <c r="L206" s="24">
        <v>11.858754636338899</v>
      </c>
      <c r="M206" s="24">
        <v>27.352623035578301</v>
      </c>
      <c r="N206" s="152">
        <v>26.284819602674599</v>
      </c>
      <c r="O206" s="24">
        <v>14.0782283577797</v>
      </c>
    </row>
    <row r="207" spans="3:15" x14ac:dyDescent="0.2">
      <c r="C207" s="15" t="s">
        <v>196</v>
      </c>
      <c r="D207" s="15" t="s">
        <v>553</v>
      </c>
      <c r="E207" s="16">
        <v>22.200001</v>
      </c>
      <c r="F207" s="16">
        <v>25.200001</v>
      </c>
      <c r="G207" s="16">
        <v>24.1</v>
      </c>
      <c r="H207" s="16">
        <v>28.700001</v>
      </c>
      <c r="I207" s="16">
        <v>34.400002000000001</v>
      </c>
      <c r="J207" s="16">
        <v>34.900002000000001</v>
      </c>
      <c r="K207" s="16">
        <v>39.299999</v>
      </c>
      <c r="L207" s="16">
        <v>38.799999</v>
      </c>
      <c r="M207" s="16">
        <v>46.599997999999999</v>
      </c>
      <c r="N207" s="81">
        <v>50</v>
      </c>
      <c r="O207" s="16">
        <v>0</v>
      </c>
    </row>
    <row r="208" spans="3:15" x14ac:dyDescent="0.2">
      <c r="C208" s="23" t="s">
        <v>521</v>
      </c>
      <c r="D208" s="23" t="s">
        <v>553</v>
      </c>
      <c r="E208" s="24" t="s">
        <v>34</v>
      </c>
      <c r="F208" s="24">
        <v>13.5135129047967</v>
      </c>
      <c r="G208" s="24">
        <v>-4.3650831601157396</v>
      </c>
      <c r="H208" s="24">
        <v>19.087141078838201</v>
      </c>
      <c r="I208" s="24">
        <v>19.860629970012901</v>
      </c>
      <c r="J208" s="24">
        <v>1.4534882875878901</v>
      </c>
      <c r="K208" s="24">
        <v>12.607440538255601</v>
      </c>
      <c r="L208" s="24">
        <v>-1.2722646634164001</v>
      </c>
      <c r="M208" s="24">
        <v>20.103090724306501</v>
      </c>
      <c r="N208" s="152">
        <v>7.2961419440404303</v>
      </c>
      <c r="O208" s="24" t="s">
        <v>34</v>
      </c>
    </row>
    <row r="209" spans="3:15" x14ac:dyDescent="0.2">
      <c r="C209" s="13" t="s">
        <v>47</v>
      </c>
      <c r="D209" s="13" t="s">
        <v>554</v>
      </c>
      <c r="E209" s="14">
        <v>3904.6000560000002</v>
      </c>
      <c r="F209" s="14">
        <v>4326.3000979999997</v>
      </c>
      <c r="G209" s="14">
        <v>4559.899805</v>
      </c>
      <c r="H209" s="14">
        <v>5120.6999089999999</v>
      </c>
      <c r="I209" s="14">
        <v>5060.7000969999999</v>
      </c>
      <c r="J209" s="14">
        <v>4753.500008</v>
      </c>
      <c r="K209" s="14">
        <v>3904.7998769999999</v>
      </c>
      <c r="L209" s="14">
        <v>4362.7000239999998</v>
      </c>
      <c r="M209" s="14">
        <v>5553.2000959999996</v>
      </c>
      <c r="N209" s="153">
        <v>7004</v>
      </c>
      <c r="O209" s="14">
        <v>7933</v>
      </c>
    </row>
    <row r="210" spans="3:15" x14ac:dyDescent="0.2">
      <c r="C210" s="23" t="s">
        <v>521</v>
      </c>
      <c r="D210" s="23" t="s">
        <v>554</v>
      </c>
      <c r="E210" s="24" t="s">
        <v>34</v>
      </c>
      <c r="F210" s="24">
        <v>10.800082875376599</v>
      </c>
      <c r="G210" s="24">
        <v>5.3995261934786001</v>
      </c>
      <c r="H210" s="24">
        <v>12.2985181250052</v>
      </c>
      <c r="I210" s="24">
        <v>-1.1717111540659899</v>
      </c>
      <c r="J210" s="24">
        <v>-6.0703081216393198</v>
      </c>
      <c r="K210" s="24">
        <v>-17.854215411205701</v>
      </c>
      <c r="L210" s="24">
        <v>11.726597045270299</v>
      </c>
      <c r="M210" s="24">
        <v>27.288148748500799</v>
      </c>
      <c r="N210" s="152">
        <v>26.125475021961101</v>
      </c>
      <c r="O210" s="24">
        <v>13.263849229011999</v>
      </c>
    </row>
    <row r="211" spans="3:15" x14ac:dyDescent="0.2">
      <c r="C211" s="13" t="s">
        <v>48</v>
      </c>
      <c r="D211" s="13" t="s">
        <v>555</v>
      </c>
      <c r="E211" s="14">
        <v>6922.6000249999997</v>
      </c>
      <c r="F211" s="14">
        <v>7637.600117</v>
      </c>
      <c r="G211" s="14">
        <v>8324.7999209999998</v>
      </c>
      <c r="H211" s="14">
        <v>9051.9997899999998</v>
      </c>
      <c r="I211" s="14">
        <v>9634.6000910000002</v>
      </c>
      <c r="J211" s="14">
        <v>9590.0999219999994</v>
      </c>
      <c r="K211" s="14">
        <v>9330.8999750000003</v>
      </c>
      <c r="L211" s="14">
        <v>11098.499889000001</v>
      </c>
      <c r="M211" s="14">
        <v>12729.300316000001</v>
      </c>
      <c r="N211" s="153">
        <v>14667</v>
      </c>
      <c r="O211" s="14">
        <v>14991</v>
      </c>
    </row>
    <row r="212" spans="3:15" x14ac:dyDescent="0.2">
      <c r="C212" s="23" t="s">
        <v>521</v>
      </c>
      <c r="D212" s="23" t="s">
        <v>555</v>
      </c>
      <c r="E212" s="24" t="s">
        <v>34</v>
      </c>
      <c r="F212" s="24">
        <v>10.328490587609799</v>
      </c>
      <c r="G212" s="24">
        <v>8.9975881621559406</v>
      </c>
      <c r="H212" s="24">
        <v>8.7353435025576793</v>
      </c>
      <c r="I212" s="24">
        <v>6.4361501824559904</v>
      </c>
      <c r="J212" s="24">
        <v>-0.461878734765233</v>
      </c>
      <c r="K212" s="24">
        <v>-2.7027867186804402</v>
      </c>
      <c r="L212" s="24">
        <v>18.943509401406899</v>
      </c>
      <c r="M212" s="24">
        <v>14.6938815453458</v>
      </c>
      <c r="N212" s="152">
        <v>15.222358149288199</v>
      </c>
      <c r="O212" s="24">
        <v>2.2090407036203699</v>
      </c>
    </row>
    <row r="213" spans="3:15" x14ac:dyDescent="0.2">
      <c r="C213" s="13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51"/>
      <c r="O213" s="17"/>
    </row>
    <row r="214" spans="3:15" x14ac:dyDescent="0.2">
      <c r="C214" s="13" t="s">
        <v>22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51"/>
      <c r="O214" s="17"/>
    </row>
    <row r="215" spans="3:15" x14ac:dyDescent="0.2">
      <c r="C215" s="15" t="s">
        <v>23</v>
      </c>
      <c r="D215" s="15" t="s">
        <v>556</v>
      </c>
      <c r="E215" s="19" t="s">
        <v>24</v>
      </c>
      <c r="F215" s="19" t="s">
        <v>24</v>
      </c>
      <c r="G215" s="19" t="s">
        <v>24</v>
      </c>
      <c r="H215" s="19" t="s">
        <v>24</v>
      </c>
      <c r="I215" s="19" t="s">
        <v>24</v>
      </c>
      <c r="J215" s="19" t="s">
        <v>24</v>
      </c>
      <c r="K215" s="19" t="s">
        <v>24</v>
      </c>
      <c r="L215" s="19" t="s">
        <v>24</v>
      </c>
      <c r="M215" s="19" t="s">
        <v>24</v>
      </c>
      <c r="N215" s="154" t="s">
        <v>24</v>
      </c>
      <c r="O215" s="19" t="s">
        <v>24</v>
      </c>
    </row>
    <row r="216" spans="3:15" x14ac:dyDescent="0.2">
      <c r="C216" s="15" t="s">
        <v>49</v>
      </c>
      <c r="D216" s="15" t="s">
        <v>557</v>
      </c>
      <c r="E216" s="16">
        <v>3947.7359620000002</v>
      </c>
      <c r="F216" s="16">
        <v>3969.5039059999999</v>
      </c>
      <c r="G216" s="16">
        <v>3967.5120849999998</v>
      </c>
      <c r="H216" s="16">
        <v>3962.9278559999998</v>
      </c>
      <c r="I216" s="16">
        <v>3955.764036</v>
      </c>
      <c r="J216" s="16">
        <v>3901.6893359999999</v>
      </c>
      <c r="K216" s="16">
        <v>3851.0760479999999</v>
      </c>
      <c r="L216" s="16">
        <v>3770.7121579999998</v>
      </c>
      <c r="M216" s="16">
        <v>3823.5959469999998</v>
      </c>
      <c r="N216" s="81">
        <v>3870</v>
      </c>
      <c r="O216" s="16">
        <v>3882</v>
      </c>
    </row>
    <row r="217" spans="3:15" x14ac:dyDescent="0.2">
      <c r="C217" s="23" t="s">
        <v>521</v>
      </c>
      <c r="D217" s="23" t="s">
        <v>557</v>
      </c>
      <c r="E217" s="24" t="s">
        <v>34</v>
      </c>
      <c r="F217" s="24">
        <v>0.55140323997179497</v>
      </c>
      <c r="G217" s="24">
        <v>-5.0178083890769998E-2</v>
      </c>
      <c r="H217" s="24">
        <v>-0.115544172312207</v>
      </c>
      <c r="I217" s="24">
        <v>-0.18077089112670799</v>
      </c>
      <c r="J217" s="24">
        <v>-1.3669849745304701</v>
      </c>
      <c r="K217" s="24">
        <v>-1.29721470986946</v>
      </c>
      <c r="L217" s="24">
        <v>-2.0867905229172501</v>
      </c>
      <c r="M217" s="24">
        <v>1.40248809201203</v>
      </c>
      <c r="N217" s="152">
        <v>1.2136233441822999</v>
      </c>
      <c r="O217" s="24">
        <v>0.31007751937984501</v>
      </c>
    </row>
    <row r="218" spans="3:15" x14ac:dyDescent="0.2">
      <c r="C218" s="15" t="s">
        <v>50</v>
      </c>
      <c r="D218" s="15" t="s">
        <v>558</v>
      </c>
      <c r="E218" s="16">
        <v>20.280000999999999</v>
      </c>
      <c r="F218" s="16">
        <v>1.032</v>
      </c>
      <c r="G218" s="16">
        <v>3.024</v>
      </c>
      <c r="H218" s="16">
        <v>7.6079999999999997</v>
      </c>
      <c r="I218" s="16">
        <v>33.192</v>
      </c>
      <c r="J218" s="16">
        <v>141.98400000000001</v>
      </c>
      <c r="K218" s="16">
        <v>211.70400000000001</v>
      </c>
      <c r="L218" s="16">
        <v>313.259995</v>
      </c>
      <c r="M218" s="16">
        <v>288.29399899999999</v>
      </c>
      <c r="N218" s="81">
        <v>264</v>
      </c>
      <c r="O218" s="16">
        <v>282</v>
      </c>
    </row>
    <row r="219" spans="3:15" x14ac:dyDescent="0.2">
      <c r="C219" s="23" t="s">
        <v>521</v>
      </c>
      <c r="D219" s="23" t="s">
        <v>558</v>
      </c>
      <c r="E219" s="24" t="s">
        <v>34</v>
      </c>
      <c r="F219" s="24">
        <v>-94.911242854475205</v>
      </c>
      <c r="G219" s="24">
        <v>193.023255813953</v>
      </c>
      <c r="H219" s="24">
        <v>151.58730158730199</v>
      </c>
      <c r="I219" s="24">
        <v>336.27760252365903</v>
      </c>
      <c r="J219" s="24">
        <v>327.765726681128</v>
      </c>
      <c r="K219" s="24">
        <v>49.104124408384003</v>
      </c>
      <c r="L219" s="24">
        <v>47.970749253674903</v>
      </c>
      <c r="M219" s="24">
        <v>-7.9697364484730997</v>
      </c>
      <c r="N219" s="152">
        <v>-8.4268139761036007</v>
      </c>
      <c r="O219" s="24">
        <v>6.8181818181818201</v>
      </c>
    </row>
    <row r="220" spans="3:15" x14ac:dyDescent="0.2">
      <c r="C220" s="15" t="s">
        <v>55</v>
      </c>
      <c r="D220" s="15" t="s">
        <v>559</v>
      </c>
      <c r="E220" s="16">
        <v>-67.299957000000006</v>
      </c>
      <c r="F220" s="16">
        <v>387.10003699999999</v>
      </c>
      <c r="G220" s="16">
        <v>659.20002699999998</v>
      </c>
      <c r="H220" s="16">
        <v>624.40007000000003</v>
      </c>
      <c r="I220" s="16">
        <v>539.60000600000001</v>
      </c>
      <c r="J220" s="16">
        <v>119.90005499999999</v>
      </c>
      <c r="K220" s="16">
        <v>572.80001900000002</v>
      </c>
      <c r="L220" s="16">
        <v>805.60003700000004</v>
      </c>
      <c r="M220" s="16">
        <v>1356.500061</v>
      </c>
      <c r="N220" s="81">
        <v>1285</v>
      </c>
      <c r="O220" s="16">
        <v>1387</v>
      </c>
    </row>
    <row r="221" spans="3:15" x14ac:dyDescent="0.2">
      <c r="C221" s="23" t="s">
        <v>521</v>
      </c>
      <c r="D221" s="23" t="s">
        <v>559</v>
      </c>
      <c r="E221" s="24" t="s">
        <v>34</v>
      </c>
      <c r="F221" s="24" t="s">
        <v>34</v>
      </c>
      <c r="G221" s="24">
        <v>70.291904932057705</v>
      </c>
      <c r="H221" s="24">
        <v>-5.2791194743079002</v>
      </c>
      <c r="I221" s="24">
        <v>-13.5810465235854</v>
      </c>
      <c r="J221" s="24">
        <v>-77.779826970572699</v>
      </c>
      <c r="K221" s="24">
        <v>377.73123957282598</v>
      </c>
      <c r="L221" s="24">
        <v>40.6424598948905</v>
      </c>
      <c r="M221" s="24">
        <v>68.383813145231997</v>
      </c>
      <c r="N221" s="152">
        <v>-5.2709220630104996</v>
      </c>
      <c r="O221" s="24">
        <v>7.9377431906614797</v>
      </c>
    </row>
    <row r="222" spans="3:15" x14ac:dyDescent="0.2">
      <c r="C222" s="15" t="s">
        <v>56</v>
      </c>
      <c r="D222" s="15" t="s">
        <v>560</v>
      </c>
      <c r="E222" s="20">
        <v>-1.7236069999999999</v>
      </c>
      <c r="F222" s="20">
        <v>8.9475999999999996</v>
      </c>
      <c r="G222" s="20">
        <v>14.456459000000001</v>
      </c>
      <c r="H222" s="20">
        <v>12.193647</v>
      </c>
      <c r="I222" s="20">
        <v>10.662556</v>
      </c>
      <c r="J222" s="20">
        <v>2.5223529999999998</v>
      </c>
      <c r="K222" s="20">
        <v>14.669126</v>
      </c>
      <c r="L222" s="20">
        <v>18.465630000000001</v>
      </c>
      <c r="M222" s="20">
        <v>24.427358000000002</v>
      </c>
      <c r="N222" s="155">
        <v>18.346658999999999</v>
      </c>
      <c r="O222" s="20">
        <v>17.483927999999999</v>
      </c>
    </row>
    <row r="223" spans="3:15" x14ac:dyDescent="0.2">
      <c r="C223" s="23" t="s">
        <v>521</v>
      </c>
      <c r="D223" s="23" t="s">
        <v>560</v>
      </c>
      <c r="E223" s="24" t="s">
        <v>34</v>
      </c>
      <c r="F223" s="24" t="s">
        <v>34</v>
      </c>
      <c r="G223" s="24">
        <v>61.568007063346599</v>
      </c>
      <c r="H223" s="24">
        <v>-15.652602065277501</v>
      </c>
      <c r="I223" s="24">
        <v>-12.5564648541983</v>
      </c>
      <c r="J223" s="24">
        <v>-76.3438241262226</v>
      </c>
      <c r="K223" s="24">
        <v>481.565149683649</v>
      </c>
      <c r="L223" s="24">
        <v>25.880914786606901</v>
      </c>
      <c r="M223" s="24">
        <v>32.285538050962799</v>
      </c>
      <c r="N223" s="152">
        <v>-24.8929867896479</v>
      </c>
      <c r="O223" s="24">
        <v>-4.7023875028145499</v>
      </c>
    </row>
    <row r="224" spans="3:15" x14ac:dyDescent="0.2">
      <c r="C224" s="15" t="s">
        <v>57</v>
      </c>
      <c r="D224" s="15" t="s">
        <v>561</v>
      </c>
      <c r="E224" s="20" t="s">
        <v>34</v>
      </c>
      <c r="F224" s="20" t="s">
        <v>34</v>
      </c>
      <c r="G224" s="20" t="s">
        <v>34</v>
      </c>
      <c r="H224" s="20" t="s">
        <v>34</v>
      </c>
      <c r="I224" s="20" t="s">
        <v>34</v>
      </c>
      <c r="J224" s="20" t="s">
        <v>34</v>
      </c>
      <c r="K224" s="20" t="s">
        <v>34</v>
      </c>
      <c r="L224" s="20">
        <v>37.113841999999998</v>
      </c>
      <c r="M224" s="20">
        <v>37.119003999999997</v>
      </c>
      <c r="N224" s="155">
        <v>45.847082999999998</v>
      </c>
      <c r="O224" s="20">
        <v>49.592914999999998</v>
      </c>
    </row>
    <row r="225" spans="3:15" x14ac:dyDescent="0.2">
      <c r="C225" s="23" t="s">
        <v>521</v>
      </c>
      <c r="D225" s="23" t="s">
        <v>561</v>
      </c>
      <c r="E225" s="24" t="s">
        <v>34</v>
      </c>
      <c r="F225" s="24" t="s">
        <v>34</v>
      </c>
      <c r="G225" s="24" t="s">
        <v>34</v>
      </c>
      <c r="H225" s="24" t="s">
        <v>34</v>
      </c>
      <c r="I225" s="24" t="s">
        <v>34</v>
      </c>
      <c r="J225" s="24" t="s">
        <v>34</v>
      </c>
      <c r="K225" s="24" t="s">
        <v>34</v>
      </c>
      <c r="L225" s="24" t="s">
        <v>34</v>
      </c>
      <c r="M225" s="24">
        <v>1.3908557351724899E-2</v>
      </c>
      <c r="N225" s="152">
        <v>23.513774776931001</v>
      </c>
      <c r="O225" s="24">
        <v>8.1702733410542194</v>
      </c>
    </row>
    <row r="226" spans="3:15" x14ac:dyDescent="0.2">
      <c r="C226" s="15" t="s">
        <v>58</v>
      </c>
      <c r="D226" s="15" t="s">
        <v>562</v>
      </c>
      <c r="E226" s="20">
        <v>2.0958299999999999</v>
      </c>
      <c r="F226" s="20">
        <v>1.746705</v>
      </c>
      <c r="G226" s="20">
        <v>1.5471900000000001</v>
      </c>
      <c r="H226" s="20">
        <v>1.4231769999999999</v>
      </c>
      <c r="I226" s="20">
        <v>1.4057010000000001</v>
      </c>
      <c r="J226" s="20">
        <v>1.6736500000000001</v>
      </c>
      <c r="K226" s="20">
        <v>1.374492</v>
      </c>
      <c r="L226" s="20">
        <v>1.1994450000000001</v>
      </c>
      <c r="M226" s="20">
        <v>1.1860729999999999</v>
      </c>
      <c r="N226" s="155">
        <v>1.146809</v>
      </c>
      <c r="O226" s="20">
        <v>1.4901880000000001</v>
      </c>
    </row>
    <row r="227" spans="3:15" x14ac:dyDescent="0.2">
      <c r="C227" s="23" t="s">
        <v>521</v>
      </c>
      <c r="D227" s="23" t="s">
        <v>562</v>
      </c>
      <c r="E227" s="24" t="s">
        <v>34</v>
      </c>
      <c r="F227" s="24">
        <v>-16.658078183822202</v>
      </c>
      <c r="G227" s="24">
        <v>-11.422363822168</v>
      </c>
      <c r="H227" s="24">
        <v>-8.0153697994428708</v>
      </c>
      <c r="I227" s="24">
        <v>-1.22795688800478</v>
      </c>
      <c r="J227" s="24">
        <v>19.0615927569234</v>
      </c>
      <c r="K227" s="24">
        <v>-17.8745854868103</v>
      </c>
      <c r="L227" s="24">
        <v>-12.7353960590531</v>
      </c>
      <c r="M227" s="24">
        <v>-1.11484895097317</v>
      </c>
      <c r="N227" s="152">
        <v>-3.31042018492959</v>
      </c>
      <c r="O227" s="24">
        <v>29.9421263697791</v>
      </c>
    </row>
    <row r="228" spans="3:15" x14ac:dyDescent="0.2">
      <c r="C228" s="15" t="s">
        <v>59</v>
      </c>
      <c r="D228" s="15" t="s">
        <v>563</v>
      </c>
      <c r="E228" s="20" t="s">
        <v>34</v>
      </c>
      <c r="F228" s="20">
        <v>208.72521399999999</v>
      </c>
      <c r="G228" s="20">
        <v>201.628388</v>
      </c>
      <c r="H228" s="20">
        <v>186.98927</v>
      </c>
      <c r="I228" s="20">
        <v>190.18991500000001</v>
      </c>
      <c r="J228" s="20">
        <v>185.818658</v>
      </c>
      <c r="K228" s="20">
        <v>197.64425600000001</v>
      </c>
      <c r="L228" s="20">
        <v>224.84572800000001</v>
      </c>
      <c r="M228" s="20">
        <v>191.445492</v>
      </c>
      <c r="N228" s="155">
        <v>199.82325700000001</v>
      </c>
      <c r="O228" s="20">
        <v>211.33602200000001</v>
      </c>
    </row>
    <row r="229" spans="3:15" x14ac:dyDescent="0.2">
      <c r="C229" s="23" t="s">
        <v>521</v>
      </c>
      <c r="D229" s="23" t="s">
        <v>563</v>
      </c>
      <c r="E229" s="24" t="s">
        <v>34</v>
      </c>
      <c r="F229" s="24" t="s">
        <v>34</v>
      </c>
      <c r="G229" s="24">
        <v>-3.4000808354662899</v>
      </c>
      <c r="H229" s="24">
        <v>-7.2604448933054</v>
      </c>
      <c r="I229" s="24">
        <v>1.71167308156239</v>
      </c>
      <c r="J229" s="24">
        <v>-2.2983642429200399</v>
      </c>
      <c r="K229" s="24">
        <v>6.3640530651125502</v>
      </c>
      <c r="L229" s="24">
        <v>13.762844694054801</v>
      </c>
      <c r="M229" s="24">
        <v>-14.8547345315807</v>
      </c>
      <c r="N229" s="152">
        <v>4.3760575986819301</v>
      </c>
      <c r="O229" s="24">
        <v>5.76147400099679</v>
      </c>
    </row>
    <row r="230" spans="3:15" x14ac:dyDescent="0.2">
      <c r="C230" s="15" t="s">
        <v>60</v>
      </c>
      <c r="D230" s="15" t="s">
        <v>564</v>
      </c>
      <c r="E230" s="20">
        <v>40700</v>
      </c>
      <c r="F230" s="20">
        <v>40900</v>
      </c>
      <c r="G230" s="20">
        <v>42100</v>
      </c>
      <c r="H230" s="20">
        <v>42500</v>
      </c>
      <c r="I230" s="20">
        <v>44100</v>
      </c>
      <c r="J230" s="20">
        <v>40700</v>
      </c>
      <c r="K230" s="20">
        <v>40500</v>
      </c>
      <c r="L230" s="20">
        <v>40800</v>
      </c>
      <c r="M230" s="20">
        <v>43800</v>
      </c>
      <c r="N230" s="155">
        <v>46500</v>
      </c>
      <c r="O230" s="20">
        <v>49200</v>
      </c>
    </row>
    <row r="231" spans="3:15" x14ac:dyDescent="0.2">
      <c r="C231" s="21" t="s">
        <v>36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</row>
  </sheetData>
  <phoneticPr fontId="4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99"/>
  </sheetPr>
  <dimension ref="C4:AC152"/>
  <sheetViews>
    <sheetView topLeftCell="A34" zoomScale="51" zoomScaleNormal="51" workbookViewId="0">
      <selection activeCell="AJ64" sqref="AJ64"/>
    </sheetView>
  </sheetViews>
  <sheetFormatPr baseColWidth="10" defaultColWidth="9.1640625" defaultRowHeight="15" x14ac:dyDescent="0.2"/>
  <cols>
    <col min="1" max="2" width="9.1640625" style="1"/>
    <col min="3" max="3" width="51.33203125" style="1" bestFit="1" customWidth="1"/>
    <col min="4" max="16384" width="9.1640625" style="1"/>
  </cols>
  <sheetData>
    <row r="4" spans="3:24" x14ac:dyDescent="0.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3:24" ht="20" x14ac:dyDescent="0.2">
      <c r="C5" s="22" t="s">
        <v>84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3:24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3:24" x14ac:dyDescent="0.2">
      <c r="C7" s="9" t="s">
        <v>6</v>
      </c>
      <c r="D7" s="10" t="s">
        <v>37</v>
      </c>
      <c r="E7" s="10" t="s">
        <v>7</v>
      </c>
      <c r="F7" s="10" t="s">
        <v>8</v>
      </c>
      <c r="G7" s="10" t="s">
        <v>9</v>
      </c>
      <c r="H7" s="10" t="s">
        <v>10</v>
      </c>
      <c r="I7" s="10" t="s">
        <v>86</v>
      </c>
      <c r="J7" s="10" t="s">
        <v>87</v>
      </c>
      <c r="K7" s="10" t="s">
        <v>88</v>
      </c>
      <c r="L7" s="10" t="s">
        <v>89</v>
      </c>
      <c r="M7" s="10" t="s">
        <v>90</v>
      </c>
      <c r="N7" s="10" t="s">
        <v>91</v>
      </c>
      <c r="O7" s="10" t="s">
        <v>92</v>
      </c>
      <c r="P7" s="10" t="s">
        <v>93</v>
      </c>
      <c r="Q7" s="10" t="s">
        <v>94</v>
      </c>
      <c r="R7" s="10" t="s">
        <v>95</v>
      </c>
      <c r="S7" s="10" t="s">
        <v>96</v>
      </c>
      <c r="T7" s="10" t="s">
        <v>97</v>
      </c>
      <c r="U7" s="10" t="s">
        <v>98</v>
      </c>
      <c r="V7" s="10" t="s">
        <v>99</v>
      </c>
      <c r="W7" s="10" t="s">
        <v>100</v>
      </c>
      <c r="X7" s="10" t="s">
        <v>248</v>
      </c>
    </row>
    <row r="8" spans="3:24" x14ac:dyDescent="0.2">
      <c r="C8" s="11" t="s">
        <v>11</v>
      </c>
      <c r="D8" s="12" t="s">
        <v>38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102</v>
      </c>
      <c r="J8" s="12" t="s">
        <v>103</v>
      </c>
      <c r="K8" s="12" t="s">
        <v>104</v>
      </c>
      <c r="L8" s="12" t="s">
        <v>105</v>
      </c>
      <c r="M8" s="12" t="s">
        <v>106</v>
      </c>
      <c r="N8" s="12" t="s">
        <v>107</v>
      </c>
      <c r="O8" s="12" t="s">
        <v>108</v>
      </c>
      <c r="P8" s="12" t="s">
        <v>109</v>
      </c>
      <c r="Q8" s="12" t="s">
        <v>110</v>
      </c>
      <c r="R8" s="12" t="s">
        <v>111</v>
      </c>
      <c r="S8" s="12" t="s">
        <v>112</v>
      </c>
      <c r="T8" s="12" t="s">
        <v>113</v>
      </c>
      <c r="U8" s="12" t="s">
        <v>114</v>
      </c>
      <c r="V8" s="12" t="s">
        <v>115</v>
      </c>
      <c r="W8" s="12" t="s">
        <v>116</v>
      </c>
      <c r="X8" s="12" t="s">
        <v>116</v>
      </c>
    </row>
    <row r="9" spans="3:24" x14ac:dyDescent="0.2">
      <c r="C9" s="13" t="s">
        <v>249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28"/>
    </row>
    <row r="10" spans="3:24" x14ac:dyDescent="0.2">
      <c r="C10" s="15" t="s">
        <v>61</v>
      </c>
      <c r="D10" s="16">
        <v>3351</v>
      </c>
      <c r="E10" s="16">
        <v>4952</v>
      </c>
      <c r="F10" s="16">
        <v>3726</v>
      </c>
      <c r="G10" s="16">
        <v>7788</v>
      </c>
      <c r="H10" s="16">
        <v>9126</v>
      </c>
      <c r="I10" s="16">
        <v>3910</v>
      </c>
      <c r="J10" s="16">
        <v>11361</v>
      </c>
      <c r="K10" s="16">
        <v>8085</v>
      </c>
      <c r="L10" s="16">
        <v>19337</v>
      </c>
      <c r="M10" s="16">
        <v>8144</v>
      </c>
      <c r="N10" s="16">
        <v>8104</v>
      </c>
      <c r="O10" s="16">
        <v>8635</v>
      </c>
      <c r="P10" s="16">
        <v>8257</v>
      </c>
      <c r="Q10" s="16">
        <v>10009</v>
      </c>
      <c r="R10" s="16">
        <v>14570</v>
      </c>
      <c r="S10" s="16">
        <v>22003</v>
      </c>
      <c r="T10" s="16">
        <v>9135</v>
      </c>
      <c r="U10" s="16">
        <v>6960</v>
      </c>
      <c r="V10" s="16">
        <v>7215</v>
      </c>
      <c r="W10" s="16">
        <v>21308</v>
      </c>
      <c r="X10" s="29">
        <v>21308</v>
      </c>
    </row>
    <row r="11" spans="3:24" x14ac:dyDescent="0.2">
      <c r="C11" s="15" t="s">
        <v>62</v>
      </c>
      <c r="D11" s="16">
        <v>489</v>
      </c>
      <c r="E11" s="16">
        <v>905</v>
      </c>
      <c r="F11" s="16">
        <v>968</v>
      </c>
      <c r="G11" s="16">
        <v>1068</v>
      </c>
      <c r="H11" s="16">
        <v>1036</v>
      </c>
      <c r="I11" s="16">
        <v>4025</v>
      </c>
      <c r="J11" s="16">
        <v>5093</v>
      </c>
      <c r="K11" s="16">
        <v>5576</v>
      </c>
      <c r="L11" s="16">
        <v>5293</v>
      </c>
      <c r="M11" s="16">
        <v>5200</v>
      </c>
      <c r="N11" s="16">
        <v>5090</v>
      </c>
      <c r="O11" s="16">
        <v>4757</v>
      </c>
      <c r="P11" s="16">
        <v>8487</v>
      </c>
      <c r="Q11" s="16">
        <v>8907</v>
      </c>
      <c r="R11" s="16">
        <v>7655</v>
      </c>
      <c r="S11" s="16">
        <v>6410</v>
      </c>
      <c r="T11" s="16">
        <v>5537</v>
      </c>
      <c r="U11" s="16">
        <v>5157</v>
      </c>
      <c r="V11" s="16">
        <v>5757</v>
      </c>
      <c r="W11" s="16">
        <v>6269</v>
      </c>
      <c r="X11" s="29">
        <v>6269</v>
      </c>
    </row>
    <row r="12" spans="3:24" x14ac:dyDescent="0.2">
      <c r="C12" s="13" t="s">
        <v>145</v>
      </c>
      <c r="D12" s="14" t="s">
        <v>34</v>
      </c>
      <c r="E12" s="14" t="s">
        <v>34</v>
      </c>
      <c r="F12" s="14" t="s">
        <v>34</v>
      </c>
      <c r="G12" s="14" t="s">
        <v>34</v>
      </c>
      <c r="H12" s="14" t="s">
        <v>34</v>
      </c>
      <c r="I12" s="14" t="s">
        <v>34</v>
      </c>
      <c r="J12" s="14">
        <v>5093</v>
      </c>
      <c r="K12" s="14">
        <v>5576</v>
      </c>
      <c r="L12" s="14">
        <v>5293</v>
      </c>
      <c r="M12" s="14">
        <v>5200</v>
      </c>
      <c r="N12" s="14">
        <v>5090</v>
      </c>
      <c r="O12" s="14">
        <v>4757</v>
      </c>
      <c r="P12" s="14">
        <v>8487</v>
      </c>
      <c r="Q12" s="14">
        <v>8907</v>
      </c>
      <c r="R12" s="14">
        <v>7394</v>
      </c>
      <c r="S12" s="14">
        <v>5874</v>
      </c>
      <c r="T12" s="14">
        <v>5537</v>
      </c>
      <c r="U12" s="14">
        <v>5157</v>
      </c>
      <c r="V12" s="14">
        <v>5757</v>
      </c>
      <c r="W12" s="14">
        <v>6268</v>
      </c>
      <c r="X12" s="30"/>
    </row>
    <row r="13" spans="3:24" x14ac:dyDescent="0.2">
      <c r="C13" s="15" t="s">
        <v>250</v>
      </c>
      <c r="D13" s="16" t="s">
        <v>34</v>
      </c>
      <c r="E13" s="16" t="s">
        <v>34</v>
      </c>
      <c r="F13" s="16" t="s">
        <v>34</v>
      </c>
      <c r="G13" s="16" t="s">
        <v>34</v>
      </c>
      <c r="H13" s="16" t="s">
        <v>34</v>
      </c>
      <c r="I13" s="16" t="s">
        <v>34</v>
      </c>
      <c r="J13" s="16" t="s">
        <v>34</v>
      </c>
      <c r="K13" s="16" t="s">
        <v>34</v>
      </c>
      <c r="L13" s="16" t="s">
        <v>34</v>
      </c>
      <c r="M13" s="16" t="s">
        <v>34</v>
      </c>
      <c r="N13" s="16">
        <v>2806</v>
      </c>
      <c r="O13" s="16" t="s">
        <v>34</v>
      </c>
      <c r="P13" s="16">
        <v>6997</v>
      </c>
      <c r="Q13" s="16">
        <v>7434</v>
      </c>
      <c r="R13" s="16">
        <v>6149</v>
      </c>
      <c r="S13" s="16">
        <v>4822</v>
      </c>
      <c r="T13" s="16">
        <v>4450</v>
      </c>
      <c r="U13" s="16">
        <v>4082</v>
      </c>
      <c r="V13" s="16">
        <v>4488</v>
      </c>
      <c r="W13" s="16">
        <v>5065</v>
      </c>
      <c r="X13" s="29"/>
    </row>
    <row r="14" spans="3:24" x14ac:dyDescent="0.2">
      <c r="C14" s="13" t="s">
        <v>251</v>
      </c>
      <c r="D14" s="14" t="s">
        <v>34</v>
      </c>
      <c r="E14" s="14" t="s">
        <v>34</v>
      </c>
      <c r="F14" s="14" t="s">
        <v>34</v>
      </c>
      <c r="G14" s="14" t="s">
        <v>34</v>
      </c>
      <c r="H14" s="14" t="s">
        <v>34</v>
      </c>
      <c r="I14" s="14" t="s">
        <v>34</v>
      </c>
      <c r="J14" s="14" t="s">
        <v>34</v>
      </c>
      <c r="K14" s="14" t="s">
        <v>34</v>
      </c>
      <c r="L14" s="14" t="s">
        <v>34</v>
      </c>
      <c r="M14" s="14" t="s">
        <v>34</v>
      </c>
      <c r="N14" s="14" t="s">
        <v>34</v>
      </c>
      <c r="O14" s="14" t="s">
        <v>34</v>
      </c>
      <c r="P14" s="14" t="s">
        <v>34</v>
      </c>
      <c r="Q14" s="14" t="s">
        <v>34</v>
      </c>
      <c r="R14" s="14" t="s">
        <v>34</v>
      </c>
      <c r="S14" s="14">
        <v>4487</v>
      </c>
      <c r="T14" s="14">
        <v>3782</v>
      </c>
      <c r="U14" s="14">
        <v>3573</v>
      </c>
      <c r="V14" s="14">
        <v>3890</v>
      </c>
      <c r="W14" s="14">
        <v>4565</v>
      </c>
      <c r="X14" s="30"/>
    </row>
    <row r="15" spans="3:24" x14ac:dyDescent="0.2">
      <c r="C15" s="13" t="s">
        <v>252</v>
      </c>
      <c r="D15" s="14" t="s">
        <v>34</v>
      </c>
      <c r="E15" s="14" t="s">
        <v>34</v>
      </c>
      <c r="F15" s="14" t="s">
        <v>34</v>
      </c>
      <c r="G15" s="14" t="s">
        <v>34</v>
      </c>
      <c r="H15" s="14" t="s">
        <v>34</v>
      </c>
      <c r="I15" s="14" t="s">
        <v>34</v>
      </c>
      <c r="J15" s="14" t="s">
        <v>34</v>
      </c>
      <c r="K15" s="14" t="s">
        <v>34</v>
      </c>
      <c r="L15" s="14" t="s">
        <v>34</v>
      </c>
      <c r="M15" s="14" t="s">
        <v>34</v>
      </c>
      <c r="N15" s="14" t="s">
        <v>34</v>
      </c>
      <c r="O15" s="14" t="s">
        <v>34</v>
      </c>
      <c r="P15" s="14" t="s">
        <v>34</v>
      </c>
      <c r="Q15" s="14" t="s">
        <v>34</v>
      </c>
      <c r="R15" s="14" t="s">
        <v>34</v>
      </c>
      <c r="S15" s="14" t="s">
        <v>34</v>
      </c>
      <c r="T15" s="14">
        <v>384</v>
      </c>
      <c r="U15" s="14">
        <v>354</v>
      </c>
      <c r="V15" s="14">
        <v>356</v>
      </c>
      <c r="W15" s="14">
        <v>337</v>
      </c>
      <c r="X15" s="30"/>
    </row>
    <row r="16" spans="3:24" x14ac:dyDescent="0.2">
      <c r="C16" s="13" t="s">
        <v>253</v>
      </c>
      <c r="D16" s="14" t="s">
        <v>34</v>
      </c>
      <c r="E16" s="14" t="s">
        <v>34</v>
      </c>
      <c r="F16" s="14" t="s">
        <v>34</v>
      </c>
      <c r="G16" s="14" t="s">
        <v>34</v>
      </c>
      <c r="H16" s="14" t="s">
        <v>34</v>
      </c>
      <c r="I16" s="14" t="s">
        <v>34</v>
      </c>
      <c r="J16" s="14" t="s">
        <v>34</v>
      </c>
      <c r="K16" s="14" t="s">
        <v>34</v>
      </c>
      <c r="L16" s="14" t="s">
        <v>34</v>
      </c>
      <c r="M16" s="14" t="s">
        <v>34</v>
      </c>
      <c r="N16" s="14" t="s">
        <v>34</v>
      </c>
      <c r="O16" s="14" t="s">
        <v>34</v>
      </c>
      <c r="P16" s="14" t="s">
        <v>34</v>
      </c>
      <c r="Q16" s="14" t="s">
        <v>34</v>
      </c>
      <c r="R16" s="14" t="s">
        <v>34</v>
      </c>
      <c r="S16" s="14">
        <v>44</v>
      </c>
      <c r="T16" s="14">
        <v>24</v>
      </c>
      <c r="U16" s="14">
        <v>32</v>
      </c>
      <c r="V16" s="14">
        <v>35</v>
      </c>
      <c r="W16" s="14">
        <v>72</v>
      </c>
      <c r="X16" s="30"/>
    </row>
    <row r="17" spans="3:24" x14ac:dyDescent="0.2">
      <c r="C17" s="13" t="s">
        <v>254</v>
      </c>
      <c r="D17" s="14" t="s">
        <v>34</v>
      </c>
      <c r="E17" s="14" t="s">
        <v>34</v>
      </c>
      <c r="F17" s="14" t="s">
        <v>34</v>
      </c>
      <c r="G17" s="14" t="s">
        <v>34</v>
      </c>
      <c r="H17" s="14" t="s">
        <v>34</v>
      </c>
      <c r="I17" s="14" t="s">
        <v>34</v>
      </c>
      <c r="J17" s="14" t="s">
        <v>34</v>
      </c>
      <c r="K17" s="14" t="s">
        <v>34</v>
      </c>
      <c r="L17" s="14" t="s">
        <v>34</v>
      </c>
      <c r="M17" s="14" t="s">
        <v>34</v>
      </c>
      <c r="N17" s="14" t="s">
        <v>34</v>
      </c>
      <c r="O17" s="14" t="s">
        <v>34</v>
      </c>
      <c r="P17" s="14" t="s">
        <v>34</v>
      </c>
      <c r="Q17" s="14" t="s">
        <v>34</v>
      </c>
      <c r="R17" s="14" t="s">
        <v>34</v>
      </c>
      <c r="S17" s="14">
        <v>167</v>
      </c>
      <c r="T17" s="14">
        <v>207</v>
      </c>
      <c r="U17" s="14">
        <v>48</v>
      </c>
      <c r="V17" s="14">
        <v>200</v>
      </c>
      <c r="W17" s="14">
        <v>52</v>
      </c>
      <c r="X17" s="30"/>
    </row>
    <row r="18" spans="3:24" x14ac:dyDescent="0.2">
      <c r="C18" s="13" t="s">
        <v>255</v>
      </c>
      <c r="D18" s="14" t="s">
        <v>34</v>
      </c>
      <c r="E18" s="14" t="s">
        <v>34</v>
      </c>
      <c r="F18" s="14" t="s">
        <v>34</v>
      </c>
      <c r="G18" s="14" t="s">
        <v>34</v>
      </c>
      <c r="H18" s="14" t="s">
        <v>34</v>
      </c>
      <c r="I18" s="14" t="s">
        <v>34</v>
      </c>
      <c r="J18" s="14" t="s">
        <v>34</v>
      </c>
      <c r="K18" s="14" t="s">
        <v>34</v>
      </c>
      <c r="L18" s="14" t="s">
        <v>34</v>
      </c>
      <c r="M18" s="14" t="s">
        <v>34</v>
      </c>
      <c r="N18" s="14" t="s">
        <v>34</v>
      </c>
      <c r="O18" s="14" t="s">
        <v>34</v>
      </c>
      <c r="P18" s="14" t="s">
        <v>34</v>
      </c>
      <c r="Q18" s="14" t="s">
        <v>34</v>
      </c>
      <c r="R18" s="14" t="s">
        <v>34</v>
      </c>
      <c r="S18" s="14">
        <v>124</v>
      </c>
      <c r="T18" s="14">
        <v>53</v>
      </c>
      <c r="U18" s="14">
        <v>75</v>
      </c>
      <c r="V18" s="14">
        <v>7</v>
      </c>
      <c r="W18" s="14">
        <v>39</v>
      </c>
      <c r="X18" s="30"/>
    </row>
    <row r="19" spans="3:24" x14ac:dyDescent="0.2">
      <c r="C19" s="15" t="s">
        <v>147</v>
      </c>
      <c r="D19" s="16" t="s">
        <v>34</v>
      </c>
      <c r="E19" s="16" t="s">
        <v>34</v>
      </c>
      <c r="F19" s="16" t="s">
        <v>34</v>
      </c>
      <c r="G19" s="16" t="s">
        <v>34</v>
      </c>
      <c r="H19" s="16" t="s">
        <v>34</v>
      </c>
      <c r="I19" s="16" t="s">
        <v>34</v>
      </c>
      <c r="J19" s="16" t="s">
        <v>34</v>
      </c>
      <c r="K19" s="16" t="s">
        <v>34</v>
      </c>
      <c r="L19" s="16" t="s">
        <v>34</v>
      </c>
      <c r="M19" s="16" t="s">
        <v>34</v>
      </c>
      <c r="N19" s="16" t="s">
        <v>34</v>
      </c>
      <c r="O19" s="16" t="s">
        <v>34</v>
      </c>
      <c r="P19" s="16" t="s">
        <v>34</v>
      </c>
      <c r="Q19" s="16" t="s">
        <v>34</v>
      </c>
      <c r="R19" s="16" t="s">
        <v>34</v>
      </c>
      <c r="S19" s="16" t="s">
        <v>34</v>
      </c>
      <c r="T19" s="16">
        <v>490</v>
      </c>
      <c r="U19" s="16">
        <v>446</v>
      </c>
      <c r="V19" s="16">
        <v>600</v>
      </c>
      <c r="W19" s="16">
        <v>579</v>
      </c>
      <c r="X19" s="29"/>
    </row>
    <row r="20" spans="3:24" x14ac:dyDescent="0.2">
      <c r="C20" s="15" t="s">
        <v>146</v>
      </c>
      <c r="D20" s="16" t="s">
        <v>34</v>
      </c>
      <c r="E20" s="16" t="s">
        <v>34</v>
      </c>
      <c r="F20" s="16" t="s">
        <v>34</v>
      </c>
      <c r="G20" s="16" t="s">
        <v>34</v>
      </c>
      <c r="H20" s="16" t="s">
        <v>34</v>
      </c>
      <c r="I20" s="16" t="s">
        <v>34</v>
      </c>
      <c r="J20" s="16">
        <v>1473</v>
      </c>
      <c r="K20" s="16">
        <v>1880</v>
      </c>
      <c r="L20" s="16">
        <v>1765</v>
      </c>
      <c r="M20" s="16">
        <v>1886</v>
      </c>
      <c r="N20" s="16">
        <v>2223</v>
      </c>
      <c r="O20" s="16">
        <v>1672</v>
      </c>
      <c r="P20" s="16" t="s">
        <v>34</v>
      </c>
      <c r="Q20" s="16" t="s">
        <v>34</v>
      </c>
      <c r="R20" s="16" t="s">
        <v>34</v>
      </c>
      <c r="S20" s="16" t="s">
        <v>34</v>
      </c>
      <c r="T20" s="16">
        <v>522</v>
      </c>
      <c r="U20" s="16">
        <v>552</v>
      </c>
      <c r="V20" s="16">
        <v>583</v>
      </c>
      <c r="W20" s="16">
        <v>534</v>
      </c>
      <c r="X20" s="29"/>
    </row>
    <row r="21" spans="3:24" x14ac:dyDescent="0.2">
      <c r="C21" s="15" t="s">
        <v>256</v>
      </c>
      <c r="D21" s="16" t="s">
        <v>34</v>
      </c>
      <c r="E21" s="16" t="s">
        <v>34</v>
      </c>
      <c r="F21" s="16" t="s">
        <v>34</v>
      </c>
      <c r="G21" s="16" t="s">
        <v>34</v>
      </c>
      <c r="H21" s="16" t="s">
        <v>34</v>
      </c>
      <c r="I21" s="16" t="s">
        <v>34</v>
      </c>
      <c r="J21" s="16" t="s">
        <v>34</v>
      </c>
      <c r="K21" s="16" t="s">
        <v>34</v>
      </c>
      <c r="L21" s="16" t="s">
        <v>34</v>
      </c>
      <c r="M21" s="16" t="s">
        <v>34</v>
      </c>
      <c r="N21" s="16" t="s">
        <v>34</v>
      </c>
      <c r="O21" s="16" t="s">
        <v>34</v>
      </c>
      <c r="P21" s="16" t="s">
        <v>34</v>
      </c>
      <c r="Q21" s="16" t="s">
        <v>34</v>
      </c>
      <c r="R21" s="16" t="s">
        <v>34</v>
      </c>
      <c r="S21" s="16">
        <v>105</v>
      </c>
      <c r="T21" s="16">
        <v>75</v>
      </c>
      <c r="U21" s="16">
        <v>77</v>
      </c>
      <c r="V21" s="16">
        <v>86</v>
      </c>
      <c r="W21" s="16">
        <v>90</v>
      </c>
      <c r="X21" s="29"/>
    </row>
    <row r="22" spans="3:24" x14ac:dyDescent="0.2">
      <c r="C22" s="15" t="s">
        <v>257</v>
      </c>
      <c r="D22" s="16" t="s">
        <v>34</v>
      </c>
      <c r="E22" s="16" t="s">
        <v>34</v>
      </c>
      <c r="F22" s="16" t="s">
        <v>34</v>
      </c>
      <c r="G22" s="16" t="s">
        <v>34</v>
      </c>
      <c r="H22" s="16" t="s">
        <v>34</v>
      </c>
      <c r="I22" s="16" t="s">
        <v>34</v>
      </c>
      <c r="J22" s="16" t="s">
        <v>34</v>
      </c>
      <c r="K22" s="16" t="s">
        <v>34</v>
      </c>
      <c r="L22" s="16" t="s">
        <v>34</v>
      </c>
      <c r="M22" s="16" t="s">
        <v>34</v>
      </c>
      <c r="N22" s="16" t="s">
        <v>34</v>
      </c>
      <c r="O22" s="16" t="s">
        <v>34</v>
      </c>
      <c r="P22" s="16" t="s">
        <v>34</v>
      </c>
      <c r="Q22" s="16" t="s">
        <v>34</v>
      </c>
      <c r="R22" s="16" t="s">
        <v>34</v>
      </c>
      <c r="S22" s="16">
        <v>231</v>
      </c>
      <c r="T22" s="16" t="s">
        <v>34</v>
      </c>
      <c r="U22" s="16" t="s">
        <v>34</v>
      </c>
      <c r="V22" s="16" t="s">
        <v>34</v>
      </c>
      <c r="W22" s="16" t="s">
        <v>34</v>
      </c>
      <c r="X22" s="29"/>
    </row>
    <row r="23" spans="3:24" x14ac:dyDescent="0.2">
      <c r="C23" s="15" t="s">
        <v>258</v>
      </c>
      <c r="D23" s="16" t="s">
        <v>34</v>
      </c>
      <c r="E23" s="16" t="s">
        <v>34</v>
      </c>
      <c r="F23" s="16" t="s">
        <v>34</v>
      </c>
      <c r="G23" s="16" t="s">
        <v>34</v>
      </c>
      <c r="H23" s="16" t="s">
        <v>34</v>
      </c>
      <c r="I23" s="16" t="s">
        <v>34</v>
      </c>
      <c r="J23" s="16" t="s">
        <v>34</v>
      </c>
      <c r="K23" s="16" t="s">
        <v>34</v>
      </c>
      <c r="L23" s="16" t="s">
        <v>34</v>
      </c>
      <c r="M23" s="16" t="s">
        <v>34</v>
      </c>
      <c r="N23" s="16" t="s">
        <v>34</v>
      </c>
      <c r="O23" s="16" t="s">
        <v>34</v>
      </c>
      <c r="P23" s="16" t="s">
        <v>34</v>
      </c>
      <c r="Q23" s="16" t="s">
        <v>34</v>
      </c>
      <c r="R23" s="16" t="s">
        <v>34</v>
      </c>
      <c r="S23" s="16">
        <v>238</v>
      </c>
      <c r="T23" s="16" t="s">
        <v>34</v>
      </c>
      <c r="U23" s="16" t="s">
        <v>34</v>
      </c>
      <c r="V23" s="16" t="s">
        <v>34</v>
      </c>
      <c r="W23" s="16" t="s">
        <v>34</v>
      </c>
      <c r="X23" s="29"/>
    </row>
    <row r="24" spans="3:24" x14ac:dyDescent="0.2">
      <c r="C24" s="15" t="s">
        <v>259</v>
      </c>
      <c r="D24" s="16" t="s">
        <v>34</v>
      </c>
      <c r="E24" s="16" t="s">
        <v>34</v>
      </c>
      <c r="F24" s="16" t="s">
        <v>34</v>
      </c>
      <c r="G24" s="16" t="s">
        <v>34</v>
      </c>
      <c r="H24" s="16" t="s">
        <v>34</v>
      </c>
      <c r="I24" s="16" t="s">
        <v>34</v>
      </c>
      <c r="J24" s="16" t="s">
        <v>34</v>
      </c>
      <c r="K24" s="16" t="s">
        <v>34</v>
      </c>
      <c r="L24" s="16" t="s">
        <v>34</v>
      </c>
      <c r="M24" s="16" t="s">
        <v>34</v>
      </c>
      <c r="N24" s="16" t="s">
        <v>34</v>
      </c>
      <c r="O24" s="16" t="s">
        <v>34</v>
      </c>
      <c r="P24" s="16" t="s">
        <v>34</v>
      </c>
      <c r="Q24" s="16" t="s">
        <v>34</v>
      </c>
      <c r="R24" s="16" t="s">
        <v>34</v>
      </c>
      <c r="S24" s="16">
        <v>478</v>
      </c>
      <c r="T24" s="16" t="s">
        <v>34</v>
      </c>
      <c r="U24" s="16" t="s">
        <v>34</v>
      </c>
      <c r="V24" s="16" t="s">
        <v>34</v>
      </c>
      <c r="W24" s="16" t="s">
        <v>34</v>
      </c>
      <c r="X24" s="29"/>
    </row>
    <row r="25" spans="3:24" x14ac:dyDescent="0.2">
      <c r="C25" s="15" t="s">
        <v>151</v>
      </c>
      <c r="D25" s="16" t="s">
        <v>34</v>
      </c>
      <c r="E25" s="16" t="s">
        <v>34</v>
      </c>
      <c r="F25" s="16" t="s">
        <v>34</v>
      </c>
      <c r="G25" s="16" t="s">
        <v>34</v>
      </c>
      <c r="H25" s="16" t="s">
        <v>34</v>
      </c>
      <c r="I25" s="16" t="s">
        <v>34</v>
      </c>
      <c r="J25" s="16">
        <v>3482</v>
      </c>
      <c r="K25" s="16">
        <v>3559</v>
      </c>
      <c r="L25" s="16">
        <v>3408</v>
      </c>
      <c r="M25" s="16">
        <v>3262</v>
      </c>
      <c r="N25" s="16" t="s">
        <v>34</v>
      </c>
      <c r="O25" s="16" t="s">
        <v>34</v>
      </c>
      <c r="P25" s="16" t="s">
        <v>34</v>
      </c>
      <c r="Q25" s="16" t="s">
        <v>34</v>
      </c>
      <c r="R25" s="16" t="s">
        <v>34</v>
      </c>
      <c r="S25" s="16" t="s">
        <v>34</v>
      </c>
      <c r="T25" s="16" t="s">
        <v>34</v>
      </c>
      <c r="U25" s="16" t="s">
        <v>34</v>
      </c>
      <c r="V25" s="16" t="s">
        <v>34</v>
      </c>
      <c r="W25" s="16" t="s">
        <v>34</v>
      </c>
      <c r="X25" s="29"/>
    </row>
    <row r="26" spans="3:24" x14ac:dyDescent="0.2">
      <c r="C26" s="15" t="s">
        <v>163</v>
      </c>
      <c r="D26" s="16" t="s">
        <v>34</v>
      </c>
      <c r="E26" s="16" t="s">
        <v>34</v>
      </c>
      <c r="F26" s="16" t="s">
        <v>34</v>
      </c>
      <c r="G26" s="16" t="s">
        <v>34</v>
      </c>
      <c r="H26" s="16" t="s">
        <v>34</v>
      </c>
      <c r="I26" s="16" t="s">
        <v>34</v>
      </c>
      <c r="J26" s="16">
        <v>81</v>
      </c>
      <c r="K26" s="16">
        <v>78</v>
      </c>
      <c r="L26" s="16">
        <v>71</v>
      </c>
      <c r="M26" s="16" t="s">
        <v>34</v>
      </c>
      <c r="N26" s="16" t="s">
        <v>34</v>
      </c>
      <c r="O26" s="16" t="s">
        <v>34</v>
      </c>
      <c r="P26" s="16" t="s">
        <v>34</v>
      </c>
      <c r="Q26" s="16" t="s">
        <v>34</v>
      </c>
      <c r="R26" s="16" t="s">
        <v>34</v>
      </c>
      <c r="S26" s="16" t="s">
        <v>34</v>
      </c>
      <c r="T26" s="16" t="s">
        <v>34</v>
      </c>
      <c r="U26" s="16" t="s">
        <v>34</v>
      </c>
      <c r="V26" s="16" t="s">
        <v>34</v>
      </c>
      <c r="W26" s="16" t="s">
        <v>34</v>
      </c>
      <c r="X26" s="29"/>
    </row>
    <row r="27" spans="3:24" x14ac:dyDescent="0.2">
      <c r="C27" s="15" t="s">
        <v>260</v>
      </c>
      <c r="D27" s="16" t="s">
        <v>34</v>
      </c>
      <c r="E27" s="16" t="s">
        <v>34</v>
      </c>
      <c r="F27" s="16" t="s">
        <v>34</v>
      </c>
      <c r="G27" s="16" t="s">
        <v>34</v>
      </c>
      <c r="H27" s="16" t="s">
        <v>34</v>
      </c>
      <c r="I27" s="16" t="s">
        <v>34</v>
      </c>
      <c r="J27" s="16" t="s">
        <v>34</v>
      </c>
      <c r="K27" s="16" t="s">
        <v>34</v>
      </c>
      <c r="L27" s="16" t="s">
        <v>34</v>
      </c>
      <c r="M27" s="16" t="s">
        <v>34</v>
      </c>
      <c r="N27" s="16" t="s">
        <v>34</v>
      </c>
      <c r="O27" s="16" t="s">
        <v>34</v>
      </c>
      <c r="P27" s="16">
        <v>242</v>
      </c>
      <c r="Q27" s="16" t="s">
        <v>34</v>
      </c>
      <c r="R27" s="16" t="s">
        <v>34</v>
      </c>
      <c r="S27" s="16" t="s">
        <v>34</v>
      </c>
      <c r="T27" s="16" t="s">
        <v>34</v>
      </c>
      <c r="U27" s="16" t="s">
        <v>34</v>
      </c>
      <c r="V27" s="16" t="s">
        <v>34</v>
      </c>
      <c r="W27" s="16" t="s">
        <v>34</v>
      </c>
      <c r="X27" s="29"/>
    </row>
    <row r="28" spans="3:24" x14ac:dyDescent="0.2">
      <c r="C28" s="15" t="s">
        <v>152</v>
      </c>
      <c r="D28" s="16" t="s">
        <v>34</v>
      </c>
      <c r="E28" s="16" t="s">
        <v>34</v>
      </c>
      <c r="F28" s="16" t="s">
        <v>34</v>
      </c>
      <c r="G28" s="16" t="s">
        <v>34</v>
      </c>
      <c r="H28" s="16" t="s">
        <v>34</v>
      </c>
      <c r="I28" s="16" t="s">
        <v>34</v>
      </c>
      <c r="J28" s="16">
        <v>57</v>
      </c>
      <c r="K28" s="16">
        <v>59</v>
      </c>
      <c r="L28" s="16">
        <v>49</v>
      </c>
      <c r="M28" s="16">
        <v>52</v>
      </c>
      <c r="N28" s="16">
        <v>61</v>
      </c>
      <c r="O28" s="16" t="s">
        <v>34</v>
      </c>
      <c r="P28" s="16">
        <v>197</v>
      </c>
      <c r="Q28" s="16">
        <v>232</v>
      </c>
      <c r="R28" s="16">
        <v>190</v>
      </c>
      <c r="S28" s="16" t="s">
        <v>34</v>
      </c>
      <c r="T28" s="16" t="s">
        <v>34</v>
      </c>
      <c r="U28" s="16" t="s">
        <v>34</v>
      </c>
      <c r="V28" s="16" t="s">
        <v>34</v>
      </c>
      <c r="W28" s="16" t="s">
        <v>34</v>
      </c>
      <c r="X28" s="29"/>
    </row>
    <row r="29" spans="3:24" x14ac:dyDescent="0.2">
      <c r="C29" s="15" t="s">
        <v>261</v>
      </c>
      <c r="D29" s="16" t="s">
        <v>34</v>
      </c>
      <c r="E29" s="16" t="s">
        <v>34</v>
      </c>
      <c r="F29" s="16" t="s">
        <v>34</v>
      </c>
      <c r="G29" s="16" t="s">
        <v>34</v>
      </c>
      <c r="H29" s="16" t="s">
        <v>34</v>
      </c>
      <c r="I29" s="16" t="s">
        <v>34</v>
      </c>
      <c r="J29" s="16" t="s">
        <v>34</v>
      </c>
      <c r="K29" s="16" t="s">
        <v>34</v>
      </c>
      <c r="L29" s="16" t="s">
        <v>34</v>
      </c>
      <c r="M29" s="16" t="s">
        <v>34</v>
      </c>
      <c r="N29" s="16" t="s">
        <v>34</v>
      </c>
      <c r="O29" s="16" t="s">
        <v>34</v>
      </c>
      <c r="P29" s="16">
        <v>201</v>
      </c>
      <c r="Q29" s="16">
        <v>247</v>
      </c>
      <c r="R29" s="16">
        <v>244</v>
      </c>
      <c r="S29" s="16" t="s">
        <v>34</v>
      </c>
      <c r="T29" s="16" t="s">
        <v>34</v>
      </c>
      <c r="U29" s="16" t="s">
        <v>34</v>
      </c>
      <c r="V29" s="16" t="s">
        <v>34</v>
      </c>
      <c r="W29" s="16" t="s">
        <v>34</v>
      </c>
      <c r="X29" s="29"/>
    </row>
    <row r="30" spans="3:24" x14ac:dyDescent="0.2">
      <c r="C30" s="15" t="s">
        <v>154</v>
      </c>
      <c r="D30" s="16" t="s">
        <v>34</v>
      </c>
      <c r="E30" s="16" t="s">
        <v>34</v>
      </c>
      <c r="F30" s="16" t="s">
        <v>34</v>
      </c>
      <c r="G30" s="16" t="s">
        <v>34</v>
      </c>
      <c r="H30" s="16" t="s">
        <v>34</v>
      </c>
      <c r="I30" s="16" t="s">
        <v>34</v>
      </c>
      <c r="J30" s="16" t="s">
        <v>34</v>
      </c>
      <c r="K30" s="16" t="s">
        <v>34</v>
      </c>
      <c r="L30" s="16" t="s">
        <v>34</v>
      </c>
      <c r="M30" s="16" t="s">
        <v>34</v>
      </c>
      <c r="N30" s="16" t="s">
        <v>34</v>
      </c>
      <c r="O30" s="16">
        <v>2972</v>
      </c>
      <c r="P30" s="16" t="s">
        <v>34</v>
      </c>
      <c r="Q30" s="16">
        <v>153</v>
      </c>
      <c r="R30" s="16" t="s">
        <v>34</v>
      </c>
      <c r="S30" s="16" t="s">
        <v>34</v>
      </c>
      <c r="T30" s="16" t="s">
        <v>34</v>
      </c>
      <c r="U30" s="16" t="s">
        <v>34</v>
      </c>
      <c r="V30" s="16" t="s">
        <v>34</v>
      </c>
      <c r="W30" s="16" t="s">
        <v>34</v>
      </c>
      <c r="X30" s="29"/>
    </row>
    <row r="31" spans="3:24" x14ac:dyDescent="0.2">
      <c r="C31" s="15" t="s">
        <v>155</v>
      </c>
      <c r="D31" s="16" t="s">
        <v>34</v>
      </c>
      <c r="E31" s="16" t="s">
        <v>34</v>
      </c>
      <c r="F31" s="16" t="s">
        <v>34</v>
      </c>
      <c r="G31" s="16" t="s">
        <v>34</v>
      </c>
      <c r="H31" s="16" t="s">
        <v>34</v>
      </c>
      <c r="I31" s="16" t="s">
        <v>34</v>
      </c>
      <c r="J31" s="16" t="s">
        <v>34</v>
      </c>
      <c r="K31" s="16" t="s">
        <v>34</v>
      </c>
      <c r="L31" s="16" t="s">
        <v>34</v>
      </c>
      <c r="M31" s="16" t="s">
        <v>34</v>
      </c>
      <c r="N31" s="16" t="s">
        <v>34</v>
      </c>
      <c r="O31" s="16">
        <v>113</v>
      </c>
      <c r="P31" s="16" t="s">
        <v>34</v>
      </c>
      <c r="Q31" s="16" t="s">
        <v>34</v>
      </c>
      <c r="R31" s="16" t="s">
        <v>34</v>
      </c>
      <c r="S31" s="16" t="s">
        <v>34</v>
      </c>
      <c r="T31" s="16" t="s">
        <v>34</v>
      </c>
      <c r="U31" s="16" t="s">
        <v>34</v>
      </c>
      <c r="V31" s="16" t="s">
        <v>34</v>
      </c>
      <c r="W31" s="16" t="s">
        <v>34</v>
      </c>
      <c r="X31" s="29"/>
    </row>
    <row r="32" spans="3:24" x14ac:dyDescent="0.2">
      <c r="C32" s="15" t="s">
        <v>262</v>
      </c>
      <c r="D32" s="16" t="s">
        <v>34</v>
      </c>
      <c r="E32" s="16" t="s">
        <v>34</v>
      </c>
      <c r="F32" s="16" t="s">
        <v>34</v>
      </c>
      <c r="G32" s="16" t="s">
        <v>34</v>
      </c>
      <c r="H32" s="16" t="s">
        <v>34</v>
      </c>
      <c r="I32" s="16" t="s">
        <v>34</v>
      </c>
      <c r="J32" s="16" t="s">
        <v>34</v>
      </c>
      <c r="K32" s="16" t="s">
        <v>34</v>
      </c>
      <c r="L32" s="16" t="s">
        <v>34</v>
      </c>
      <c r="M32" s="16" t="s">
        <v>34</v>
      </c>
      <c r="N32" s="16" t="s">
        <v>34</v>
      </c>
      <c r="O32" s="16" t="s">
        <v>34</v>
      </c>
      <c r="P32" s="16">
        <v>418</v>
      </c>
      <c r="Q32" s="16">
        <v>422</v>
      </c>
      <c r="R32" s="16">
        <v>408</v>
      </c>
      <c r="S32" s="16" t="s">
        <v>34</v>
      </c>
      <c r="T32" s="16" t="s">
        <v>34</v>
      </c>
      <c r="U32" s="16" t="s">
        <v>34</v>
      </c>
      <c r="V32" s="16" t="s">
        <v>34</v>
      </c>
      <c r="W32" s="16" t="s">
        <v>34</v>
      </c>
      <c r="X32" s="29"/>
    </row>
    <row r="33" spans="3:24" x14ac:dyDescent="0.2">
      <c r="C33" s="15" t="s">
        <v>263</v>
      </c>
      <c r="D33" s="16" t="s">
        <v>34</v>
      </c>
      <c r="E33" s="16" t="s">
        <v>34</v>
      </c>
      <c r="F33" s="16" t="s">
        <v>34</v>
      </c>
      <c r="G33" s="16" t="s">
        <v>34</v>
      </c>
      <c r="H33" s="16" t="s">
        <v>34</v>
      </c>
      <c r="I33" s="16" t="s">
        <v>34</v>
      </c>
      <c r="J33" s="16" t="s">
        <v>34</v>
      </c>
      <c r="K33" s="16" t="s">
        <v>34</v>
      </c>
      <c r="L33" s="16" t="s">
        <v>34</v>
      </c>
      <c r="M33" s="16" t="s">
        <v>34</v>
      </c>
      <c r="N33" s="16" t="s">
        <v>34</v>
      </c>
      <c r="O33" s="16" t="s">
        <v>34</v>
      </c>
      <c r="P33" s="16">
        <v>432</v>
      </c>
      <c r="Q33" s="16">
        <v>419</v>
      </c>
      <c r="R33" s="16">
        <v>403</v>
      </c>
      <c r="S33" s="16" t="s">
        <v>34</v>
      </c>
      <c r="T33" s="16" t="s">
        <v>34</v>
      </c>
      <c r="U33" s="16" t="s">
        <v>34</v>
      </c>
      <c r="V33" s="16" t="s">
        <v>34</v>
      </c>
      <c r="W33" s="16" t="s">
        <v>34</v>
      </c>
      <c r="X33" s="29"/>
    </row>
    <row r="34" spans="3:24" x14ac:dyDescent="0.2">
      <c r="C34" s="15" t="s">
        <v>264</v>
      </c>
      <c r="D34" s="16">
        <v>345</v>
      </c>
      <c r="E34" s="16">
        <v>523</v>
      </c>
      <c r="F34" s="16">
        <v>-294</v>
      </c>
      <c r="G34" s="16">
        <v>-39</v>
      </c>
      <c r="H34" s="16">
        <v>70</v>
      </c>
      <c r="I34" s="16">
        <v>4341</v>
      </c>
      <c r="J34" s="16">
        <v>1436</v>
      </c>
      <c r="K34" s="16">
        <v>1988</v>
      </c>
      <c r="L34" s="16">
        <v>-9755</v>
      </c>
      <c r="M34" s="16">
        <v>749</v>
      </c>
      <c r="N34" s="16">
        <v>111</v>
      </c>
      <c r="O34" s="16">
        <v>-9113</v>
      </c>
      <c r="P34" s="16">
        <v>4240</v>
      </c>
      <c r="Q34" s="16">
        <v>2379</v>
      </c>
      <c r="R34" s="16">
        <v>839</v>
      </c>
      <c r="S34" s="16">
        <v>-897</v>
      </c>
      <c r="T34" s="16">
        <v>1351</v>
      </c>
      <c r="U34" s="16">
        <v>2724</v>
      </c>
      <c r="V34" s="16">
        <v>2561</v>
      </c>
      <c r="W34" s="16">
        <v>-12501</v>
      </c>
      <c r="X34" s="29">
        <v>-12501</v>
      </c>
    </row>
    <row r="35" spans="3:24" x14ac:dyDescent="0.2">
      <c r="C35" s="15" t="s">
        <v>265</v>
      </c>
      <c r="D35" s="16" t="s">
        <v>34</v>
      </c>
      <c r="E35" s="16" t="s">
        <v>34</v>
      </c>
      <c r="F35" s="16" t="s">
        <v>34</v>
      </c>
      <c r="G35" s="16" t="s">
        <v>34</v>
      </c>
      <c r="H35" s="16" t="s">
        <v>34</v>
      </c>
      <c r="I35" s="16" t="s">
        <v>34</v>
      </c>
      <c r="J35" s="16" t="s">
        <v>34</v>
      </c>
      <c r="K35" s="16">
        <v>157</v>
      </c>
      <c r="L35" s="16">
        <v>655</v>
      </c>
      <c r="M35" s="16">
        <v>437</v>
      </c>
      <c r="N35" s="16">
        <v>384</v>
      </c>
      <c r="O35" s="16">
        <v>349</v>
      </c>
      <c r="P35" s="16">
        <v>405</v>
      </c>
      <c r="Q35" s="16">
        <v>419</v>
      </c>
      <c r="R35" s="16">
        <v>481</v>
      </c>
      <c r="S35" s="16">
        <v>523</v>
      </c>
      <c r="T35" s="16">
        <v>586</v>
      </c>
      <c r="U35" s="16">
        <v>669</v>
      </c>
      <c r="V35" s="16">
        <v>691</v>
      </c>
      <c r="W35" s="16">
        <v>840</v>
      </c>
      <c r="X35" s="29">
        <v>840</v>
      </c>
    </row>
    <row r="36" spans="3:24" x14ac:dyDescent="0.2">
      <c r="C36" s="15" t="s">
        <v>266</v>
      </c>
      <c r="D36" s="16">
        <v>22</v>
      </c>
      <c r="E36" s="16">
        <v>213</v>
      </c>
      <c r="F36" s="16">
        <v>-265</v>
      </c>
      <c r="G36" s="16">
        <v>1092</v>
      </c>
      <c r="H36" s="16">
        <v>-285</v>
      </c>
      <c r="I36" s="16">
        <v>-104</v>
      </c>
      <c r="J36" s="16">
        <v>-1579</v>
      </c>
      <c r="K36" s="16">
        <v>-1457</v>
      </c>
      <c r="L36" s="16">
        <v>-1945</v>
      </c>
      <c r="M36" s="16">
        <v>-2788</v>
      </c>
      <c r="N36" s="16">
        <v>-1331</v>
      </c>
      <c r="O36" s="16">
        <v>-9582</v>
      </c>
      <c r="P36" s="16">
        <v>1953</v>
      </c>
      <c r="Q36" s="16">
        <v>454</v>
      </c>
      <c r="R36" s="16">
        <v>2198</v>
      </c>
      <c r="S36" s="16">
        <v>1703</v>
      </c>
      <c r="T36" s="16">
        <v>317</v>
      </c>
      <c r="U36" s="16">
        <v>-18</v>
      </c>
      <c r="V36" s="16">
        <v>-700</v>
      </c>
      <c r="W36" s="16">
        <v>-13070</v>
      </c>
      <c r="X36" s="29">
        <v>-13070</v>
      </c>
    </row>
    <row r="37" spans="3:24" x14ac:dyDescent="0.2">
      <c r="C37" s="15" t="s">
        <v>267</v>
      </c>
      <c r="D37" s="16">
        <v>323</v>
      </c>
      <c r="E37" s="16">
        <v>310</v>
      </c>
      <c r="F37" s="16">
        <v>-29</v>
      </c>
      <c r="G37" s="16">
        <v>-1131</v>
      </c>
      <c r="H37" s="16">
        <v>355</v>
      </c>
      <c r="I37" s="16">
        <v>4445</v>
      </c>
      <c r="J37" s="16">
        <v>3015</v>
      </c>
      <c r="K37" s="16">
        <v>3288</v>
      </c>
      <c r="L37" s="16">
        <v>-8465</v>
      </c>
      <c r="M37" s="16">
        <v>3100</v>
      </c>
      <c r="N37" s="16">
        <v>1058</v>
      </c>
      <c r="O37" s="16">
        <v>120</v>
      </c>
      <c r="P37" s="16">
        <v>1882</v>
      </c>
      <c r="Q37" s="16">
        <v>1506</v>
      </c>
      <c r="R37" s="16">
        <v>-1840</v>
      </c>
      <c r="S37" s="16">
        <v>-3123</v>
      </c>
      <c r="T37" s="16">
        <v>448</v>
      </c>
      <c r="U37" s="16">
        <v>2073</v>
      </c>
      <c r="V37" s="16">
        <v>2570</v>
      </c>
      <c r="W37" s="16">
        <v>-271</v>
      </c>
      <c r="X37" s="29">
        <v>-271</v>
      </c>
    </row>
    <row r="38" spans="3:24" x14ac:dyDescent="0.2">
      <c r="C38" s="15" t="s">
        <v>268</v>
      </c>
      <c r="D38" s="16">
        <v>498</v>
      </c>
      <c r="E38" s="16">
        <v>-907</v>
      </c>
      <c r="F38" s="16">
        <v>1803</v>
      </c>
      <c r="G38" s="16">
        <v>446</v>
      </c>
      <c r="H38" s="16">
        <v>-49</v>
      </c>
      <c r="I38" s="16">
        <v>-549</v>
      </c>
      <c r="J38" s="16">
        <v>-1550</v>
      </c>
      <c r="K38" s="16">
        <v>-916</v>
      </c>
      <c r="L38" s="16">
        <v>2719</v>
      </c>
      <c r="M38" s="16">
        <v>-740</v>
      </c>
      <c r="N38" s="16">
        <v>4933</v>
      </c>
      <c r="O38" s="16">
        <v>12308</v>
      </c>
      <c r="P38" s="16">
        <v>-9530</v>
      </c>
      <c r="Q38" s="16">
        <v>633</v>
      </c>
      <c r="R38" s="16">
        <v>805</v>
      </c>
      <c r="S38" s="16">
        <v>614</v>
      </c>
      <c r="T38" s="16">
        <v>1112</v>
      </c>
      <c r="U38" s="16">
        <v>-159</v>
      </c>
      <c r="V38" s="16">
        <v>368</v>
      </c>
      <c r="W38" s="16">
        <v>1394</v>
      </c>
      <c r="X38" s="29">
        <v>1394</v>
      </c>
    </row>
    <row r="39" spans="3:24" x14ac:dyDescent="0.2">
      <c r="C39" s="15" t="s">
        <v>269</v>
      </c>
      <c r="D39" s="16">
        <v>-765</v>
      </c>
      <c r="E39" s="16">
        <v>-1274</v>
      </c>
      <c r="F39" s="16">
        <v>-498</v>
      </c>
      <c r="G39" s="16">
        <v>81</v>
      </c>
      <c r="H39" s="16">
        <v>-963</v>
      </c>
      <c r="I39" s="16">
        <v>207</v>
      </c>
      <c r="J39" s="16">
        <v>-465</v>
      </c>
      <c r="K39" s="16">
        <v>-803</v>
      </c>
      <c r="L39" s="16">
        <v>-172</v>
      </c>
      <c r="M39" s="16">
        <v>-320</v>
      </c>
      <c r="N39" s="16">
        <v>195</v>
      </c>
      <c r="O39" s="16">
        <v>-472</v>
      </c>
      <c r="P39" s="16">
        <v>-608</v>
      </c>
      <c r="Q39" s="16">
        <v>-66</v>
      </c>
      <c r="R39" s="16">
        <v>367</v>
      </c>
      <c r="S39" s="16">
        <v>940</v>
      </c>
      <c r="T39" s="16">
        <v>148</v>
      </c>
      <c r="U39" s="16">
        <v>21</v>
      </c>
      <c r="V39" s="16">
        <v>-134</v>
      </c>
      <c r="W39" s="16">
        <v>259</v>
      </c>
      <c r="X39" s="29"/>
    </row>
    <row r="40" spans="3:24" x14ac:dyDescent="0.2">
      <c r="C40" s="15" t="s">
        <v>270</v>
      </c>
      <c r="D40" s="16">
        <v>-439</v>
      </c>
      <c r="E40" s="16">
        <v>-278</v>
      </c>
      <c r="F40" s="16">
        <v>-436</v>
      </c>
      <c r="G40" s="16">
        <v>-110</v>
      </c>
      <c r="H40" s="16">
        <v>-129</v>
      </c>
      <c r="I40" s="16">
        <v>-200</v>
      </c>
      <c r="J40" s="16">
        <v>-542</v>
      </c>
      <c r="K40" s="16">
        <v>72</v>
      </c>
      <c r="L40" s="16">
        <v>118</v>
      </c>
      <c r="M40" s="16">
        <v>720</v>
      </c>
      <c r="N40" s="16">
        <v>294</v>
      </c>
      <c r="O40" s="16">
        <v>1631</v>
      </c>
      <c r="P40" s="16">
        <v>2917</v>
      </c>
      <c r="Q40" s="16">
        <v>1084</v>
      </c>
      <c r="R40" s="16">
        <v>-631</v>
      </c>
      <c r="S40" s="16">
        <v>-538</v>
      </c>
      <c r="T40" s="16">
        <v>175</v>
      </c>
      <c r="U40" s="16">
        <v>-199</v>
      </c>
      <c r="V40" s="16">
        <v>365</v>
      </c>
      <c r="W40" s="16">
        <v>-357</v>
      </c>
      <c r="X40" s="29"/>
    </row>
    <row r="41" spans="3:24" x14ac:dyDescent="0.2">
      <c r="C41" s="15" t="s">
        <v>271</v>
      </c>
      <c r="D41" s="16" t="s">
        <v>34</v>
      </c>
      <c r="E41" s="16" t="s">
        <v>34</v>
      </c>
      <c r="F41" s="16" t="s">
        <v>34</v>
      </c>
      <c r="G41" s="16" t="s">
        <v>34</v>
      </c>
      <c r="H41" s="16" t="s">
        <v>34</v>
      </c>
      <c r="I41" s="16" t="s">
        <v>34</v>
      </c>
      <c r="J41" s="16" t="s">
        <v>34</v>
      </c>
      <c r="K41" s="16" t="s">
        <v>34</v>
      </c>
      <c r="L41" s="16" t="s">
        <v>34</v>
      </c>
      <c r="M41" s="16" t="s">
        <v>34</v>
      </c>
      <c r="N41" s="16" t="s">
        <v>34</v>
      </c>
      <c r="O41" s="16" t="s">
        <v>34</v>
      </c>
      <c r="P41" s="16" t="s">
        <v>34</v>
      </c>
      <c r="Q41" s="16">
        <v>-367</v>
      </c>
      <c r="R41" s="16">
        <v>579</v>
      </c>
      <c r="S41" s="16">
        <v>382</v>
      </c>
      <c r="T41" s="16">
        <v>297</v>
      </c>
      <c r="U41" s="16">
        <v>254</v>
      </c>
      <c r="V41" s="16">
        <v>871</v>
      </c>
      <c r="W41" s="16">
        <v>46</v>
      </c>
      <c r="X41" s="29"/>
    </row>
    <row r="42" spans="3:24" x14ac:dyDescent="0.2">
      <c r="C42" s="15" t="s">
        <v>272</v>
      </c>
      <c r="D42" s="16">
        <v>1702</v>
      </c>
      <c r="E42" s="16">
        <v>645</v>
      </c>
      <c r="F42" s="16">
        <v>2737</v>
      </c>
      <c r="G42" s="16">
        <v>475</v>
      </c>
      <c r="H42" s="16">
        <v>1043</v>
      </c>
      <c r="I42" s="16">
        <v>-556</v>
      </c>
      <c r="J42" s="16">
        <v>-543</v>
      </c>
      <c r="K42" s="16">
        <v>-185</v>
      </c>
      <c r="L42" s="16">
        <v>2773</v>
      </c>
      <c r="M42" s="16">
        <v>-1140</v>
      </c>
      <c r="N42" s="16">
        <v>4444</v>
      </c>
      <c r="O42" s="16">
        <v>11149</v>
      </c>
      <c r="P42" s="16">
        <v>-11839</v>
      </c>
      <c r="Q42" s="16">
        <v>-18</v>
      </c>
      <c r="R42" s="16">
        <v>490</v>
      </c>
      <c r="S42" s="16">
        <v>-170</v>
      </c>
      <c r="T42" s="16">
        <v>492</v>
      </c>
      <c r="U42" s="16">
        <v>-235</v>
      </c>
      <c r="V42" s="16">
        <v>-734</v>
      </c>
      <c r="W42" s="16">
        <v>1446</v>
      </c>
      <c r="X42" s="29">
        <v>1394</v>
      </c>
    </row>
    <row r="43" spans="3:24" x14ac:dyDescent="0.2">
      <c r="C43" s="15" t="s">
        <v>273</v>
      </c>
      <c r="D43" s="16" t="s">
        <v>34</v>
      </c>
      <c r="E43" s="16" t="s">
        <v>34</v>
      </c>
      <c r="F43" s="16" t="s">
        <v>34</v>
      </c>
      <c r="G43" s="16" t="s">
        <v>34</v>
      </c>
      <c r="H43" s="16" t="s">
        <v>34</v>
      </c>
      <c r="I43" s="16" t="s">
        <v>34</v>
      </c>
      <c r="J43" s="16" t="s">
        <v>34</v>
      </c>
      <c r="K43" s="16" t="s">
        <v>34</v>
      </c>
      <c r="L43" s="16" t="s">
        <v>34</v>
      </c>
      <c r="M43" s="16" t="s">
        <v>34</v>
      </c>
      <c r="N43" s="16" t="s">
        <v>34</v>
      </c>
      <c r="O43" s="16" t="s">
        <v>34</v>
      </c>
      <c r="P43" s="16" t="s">
        <v>34</v>
      </c>
      <c r="Q43" s="16">
        <v>-1688</v>
      </c>
      <c r="R43" s="16">
        <v>-7123</v>
      </c>
      <c r="S43" s="16">
        <v>-10446</v>
      </c>
      <c r="T43" s="16">
        <v>-51</v>
      </c>
      <c r="U43" s="16">
        <v>6</v>
      </c>
      <c r="V43" s="16">
        <v>0</v>
      </c>
      <c r="W43" s="16" t="s">
        <v>34</v>
      </c>
      <c r="X43" s="29"/>
    </row>
    <row r="44" spans="3:24" x14ac:dyDescent="0.2">
      <c r="C44" s="13" t="s">
        <v>249</v>
      </c>
      <c r="D44" s="14">
        <v>4683</v>
      </c>
      <c r="E44" s="14">
        <v>5473</v>
      </c>
      <c r="F44" s="14">
        <v>6203</v>
      </c>
      <c r="G44" s="14">
        <v>9263</v>
      </c>
      <c r="H44" s="14">
        <v>10183</v>
      </c>
      <c r="I44" s="14">
        <v>11727</v>
      </c>
      <c r="J44" s="14">
        <v>16340</v>
      </c>
      <c r="K44" s="14">
        <v>14733</v>
      </c>
      <c r="L44" s="14">
        <v>17594</v>
      </c>
      <c r="M44" s="14">
        <v>13353</v>
      </c>
      <c r="N44" s="14">
        <v>18238</v>
      </c>
      <c r="O44" s="14">
        <v>16587</v>
      </c>
      <c r="P44" s="14">
        <v>11454</v>
      </c>
      <c r="Q44" s="14">
        <v>20240</v>
      </c>
      <c r="R44" s="14">
        <v>16746</v>
      </c>
      <c r="S44" s="14">
        <v>17684</v>
      </c>
      <c r="T44" s="14">
        <v>17084</v>
      </c>
      <c r="U44" s="14">
        <v>14688</v>
      </c>
      <c r="V44" s="14">
        <v>15901</v>
      </c>
      <c r="W44" s="14">
        <v>16470</v>
      </c>
      <c r="X44" s="30">
        <v>16470</v>
      </c>
    </row>
    <row r="45" spans="3:24" x14ac:dyDescent="0.2">
      <c r="C45" s="13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28"/>
    </row>
    <row r="46" spans="3:24" x14ac:dyDescent="0.2">
      <c r="C46" s="13" t="s">
        <v>274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28"/>
    </row>
    <row r="47" spans="3:24" x14ac:dyDescent="0.2">
      <c r="C47" s="15" t="s">
        <v>275</v>
      </c>
      <c r="D47" s="16">
        <v>-1119</v>
      </c>
      <c r="E47" s="16">
        <v>-2410</v>
      </c>
      <c r="F47" s="16">
        <v>-2100</v>
      </c>
      <c r="G47" s="16">
        <v>-2135</v>
      </c>
      <c r="H47" s="16">
        <v>-1758</v>
      </c>
      <c r="I47" s="16">
        <v>-2629</v>
      </c>
      <c r="J47" s="16">
        <v>-2601</v>
      </c>
      <c r="K47" s="16">
        <v>-2106</v>
      </c>
      <c r="L47" s="16">
        <v>-2050</v>
      </c>
      <c r="M47" s="16">
        <v>-1880</v>
      </c>
      <c r="N47" s="16">
        <v>-1701</v>
      </c>
      <c r="O47" s="16">
        <v>-1205</v>
      </c>
      <c r="P47" s="16">
        <v>-1513</v>
      </c>
      <c r="Q47" s="16">
        <v>-1660</v>
      </c>
      <c r="R47" s="16">
        <v>-1327</v>
      </c>
      <c r="S47" s="16">
        <v>-1206</v>
      </c>
      <c r="T47" s="16">
        <v>-1583</v>
      </c>
      <c r="U47" s="16">
        <v>-1496</v>
      </c>
      <c r="V47" s="16">
        <v>-1999</v>
      </c>
      <c r="W47" s="16">
        <v>-2217</v>
      </c>
      <c r="X47" s="29">
        <v>-2217</v>
      </c>
    </row>
    <row r="48" spans="3:24" x14ac:dyDescent="0.2">
      <c r="C48" s="15" t="s">
        <v>276</v>
      </c>
      <c r="D48" s="16">
        <v>79</v>
      </c>
      <c r="E48" s="16">
        <v>83</v>
      </c>
      <c r="F48" s="16">
        <v>91</v>
      </c>
      <c r="G48" s="16">
        <v>68</v>
      </c>
      <c r="H48" s="16">
        <v>0</v>
      </c>
      <c r="I48" s="16">
        <v>0</v>
      </c>
      <c r="J48" s="16">
        <v>0</v>
      </c>
      <c r="K48" s="16" t="s">
        <v>34</v>
      </c>
      <c r="L48" s="16" t="s">
        <v>34</v>
      </c>
      <c r="M48" s="16" t="s">
        <v>34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29">
        <v>0</v>
      </c>
    </row>
    <row r="49" spans="3:24" x14ac:dyDescent="0.2">
      <c r="C49" s="23" t="s">
        <v>277</v>
      </c>
      <c r="D49" s="24" t="s">
        <v>34</v>
      </c>
      <c r="E49" s="24" t="s">
        <v>34</v>
      </c>
      <c r="F49" s="24" t="s">
        <v>34</v>
      </c>
      <c r="G49" s="24" t="s">
        <v>34</v>
      </c>
      <c r="H49" s="24" t="s">
        <v>34</v>
      </c>
      <c r="I49" s="24" t="s">
        <v>34</v>
      </c>
      <c r="J49" s="24" t="s">
        <v>34</v>
      </c>
      <c r="K49" s="24" t="s">
        <v>34</v>
      </c>
      <c r="L49" s="24" t="s">
        <v>34</v>
      </c>
      <c r="M49" s="24" t="s">
        <v>34</v>
      </c>
      <c r="N49" s="24" t="s">
        <v>34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31">
        <v>0</v>
      </c>
    </row>
    <row r="50" spans="3:24" x14ac:dyDescent="0.2">
      <c r="C50" s="23" t="s">
        <v>278</v>
      </c>
      <c r="D50" s="24" t="s">
        <v>34</v>
      </c>
      <c r="E50" s="24" t="s">
        <v>34</v>
      </c>
      <c r="F50" s="24" t="s">
        <v>34</v>
      </c>
      <c r="G50" s="24" t="s">
        <v>34</v>
      </c>
      <c r="H50" s="24" t="s">
        <v>34</v>
      </c>
      <c r="I50" s="24" t="s">
        <v>34</v>
      </c>
      <c r="J50" s="24" t="s">
        <v>34</v>
      </c>
      <c r="K50" s="24" t="s">
        <v>34</v>
      </c>
      <c r="L50" s="24" t="s">
        <v>34</v>
      </c>
      <c r="M50" s="24" t="s">
        <v>34</v>
      </c>
      <c r="N50" s="24" t="s">
        <v>34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31">
        <v>0</v>
      </c>
    </row>
    <row r="51" spans="3:24" x14ac:dyDescent="0.2">
      <c r="C51" s="15" t="s">
        <v>279</v>
      </c>
      <c r="D51" s="16">
        <v>-1198</v>
      </c>
      <c r="E51" s="16">
        <v>-2493</v>
      </c>
      <c r="F51" s="16">
        <v>-2191</v>
      </c>
      <c r="G51" s="16">
        <v>-2203</v>
      </c>
      <c r="H51" s="16">
        <v>-1758</v>
      </c>
      <c r="I51" s="16">
        <v>-2629</v>
      </c>
      <c r="J51" s="16">
        <v>-2601</v>
      </c>
      <c r="K51" s="16">
        <v>-2106</v>
      </c>
      <c r="L51" s="16">
        <v>-2050</v>
      </c>
      <c r="M51" s="16">
        <v>-1880</v>
      </c>
      <c r="N51" s="16">
        <v>-1701</v>
      </c>
      <c r="O51" s="16">
        <v>-1205</v>
      </c>
      <c r="P51" s="16">
        <v>-1513</v>
      </c>
      <c r="Q51" s="16">
        <v>-1660</v>
      </c>
      <c r="R51" s="16">
        <v>-1327</v>
      </c>
      <c r="S51" s="16">
        <v>-1206</v>
      </c>
      <c r="T51" s="16">
        <v>-1583</v>
      </c>
      <c r="U51" s="16">
        <v>-1496</v>
      </c>
      <c r="V51" s="16">
        <v>-1999</v>
      </c>
      <c r="W51" s="16">
        <v>-2217</v>
      </c>
      <c r="X51" s="29">
        <v>-2217</v>
      </c>
    </row>
    <row r="52" spans="3:24" x14ac:dyDescent="0.2">
      <c r="C52" s="23" t="s">
        <v>280</v>
      </c>
      <c r="D52" s="24" t="s">
        <v>34</v>
      </c>
      <c r="E52" s="24" t="s">
        <v>34</v>
      </c>
      <c r="F52" s="24" t="s">
        <v>34</v>
      </c>
      <c r="G52" s="24" t="s">
        <v>34</v>
      </c>
      <c r="H52" s="24" t="s">
        <v>34</v>
      </c>
      <c r="I52" s="24" t="s">
        <v>34</v>
      </c>
      <c r="J52" s="24" t="s">
        <v>34</v>
      </c>
      <c r="K52" s="24" t="s">
        <v>34</v>
      </c>
      <c r="L52" s="24" t="s">
        <v>34</v>
      </c>
      <c r="M52" s="24" t="s">
        <v>34</v>
      </c>
      <c r="N52" s="24" t="s">
        <v>34</v>
      </c>
      <c r="O52" s="24">
        <v>-1205</v>
      </c>
      <c r="P52" s="24">
        <v>-1513</v>
      </c>
      <c r="Q52" s="24">
        <v>-1660</v>
      </c>
      <c r="R52" s="24">
        <v>-1327</v>
      </c>
      <c r="S52" s="24">
        <v>-1206</v>
      </c>
      <c r="T52" s="24">
        <v>-1199</v>
      </c>
      <c r="U52" s="24">
        <v>-1397</v>
      </c>
      <c r="V52" s="24">
        <v>-1823</v>
      </c>
      <c r="W52" s="24">
        <v>-1956</v>
      </c>
      <c r="X52" s="31">
        <v>-1956</v>
      </c>
    </row>
    <row r="53" spans="3:24" x14ac:dyDescent="0.2">
      <c r="C53" s="23" t="s">
        <v>281</v>
      </c>
      <c r="D53" s="24" t="s">
        <v>34</v>
      </c>
      <c r="E53" s="24" t="s">
        <v>34</v>
      </c>
      <c r="F53" s="24" t="s">
        <v>34</v>
      </c>
      <c r="G53" s="24" t="s">
        <v>34</v>
      </c>
      <c r="H53" s="24" t="s">
        <v>34</v>
      </c>
      <c r="I53" s="24" t="s">
        <v>34</v>
      </c>
      <c r="J53" s="24" t="s">
        <v>34</v>
      </c>
      <c r="K53" s="24" t="s">
        <v>34</v>
      </c>
      <c r="L53" s="24" t="s">
        <v>34</v>
      </c>
      <c r="M53" s="24" t="s">
        <v>34</v>
      </c>
      <c r="N53" s="24" t="s">
        <v>34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-384</v>
      </c>
      <c r="U53" s="24">
        <v>-99</v>
      </c>
      <c r="V53" s="24">
        <v>-176</v>
      </c>
      <c r="W53" s="24">
        <v>-261</v>
      </c>
      <c r="X53" s="31">
        <v>-261</v>
      </c>
    </row>
    <row r="54" spans="3:24" x14ac:dyDescent="0.2">
      <c r="C54" s="15" t="s">
        <v>282</v>
      </c>
      <c r="D54" s="16">
        <v>-752</v>
      </c>
      <c r="E54" s="16">
        <v>2</v>
      </c>
      <c r="F54" s="16">
        <v>-272</v>
      </c>
      <c r="G54" s="16">
        <v>-3633</v>
      </c>
      <c r="H54" s="16">
        <v>600</v>
      </c>
      <c r="I54" s="16">
        <v>-1527</v>
      </c>
      <c r="J54" s="16">
        <v>241</v>
      </c>
      <c r="K54" s="16">
        <v>622</v>
      </c>
      <c r="L54" s="16">
        <v>-1692</v>
      </c>
      <c r="M54" s="16">
        <v>-1463</v>
      </c>
      <c r="N54" s="16">
        <v>-8348</v>
      </c>
      <c r="O54" s="16">
        <v>-384</v>
      </c>
      <c r="P54" s="16">
        <v>461</v>
      </c>
      <c r="Q54" s="16">
        <v>-2473</v>
      </c>
      <c r="R54" s="16">
        <v>-6155</v>
      </c>
      <c r="S54" s="16">
        <v>-3465</v>
      </c>
      <c r="T54" s="16">
        <v>-4573</v>
      </c>
      <c r="U54" s="16">
        <v>-2613</v>
      </c>
      <c r="V54" s="16">
        <v>3243</v>
      </c>
      <c r="W54" s="16">
        <v>57</v>
      </c>
      <c r="X54" s="29">
        <v>57</v>
      </c>
    </row>
    <row r="55" spans="3:24" x14ac:dyDescent="0.2">
      <c r="C55" s="15" t="s">
        <v>283</v>
      </c>
      <c r="D55" s="16">
        <v>0</v>
      </c>
      <c r="E55" s="16">
        <v>42</v>
      </c>
      <c r="F55" s="16">
        <v>346</v>
      </c>
      <c r="G55" s="16">
        <v>80</v>
      </c>
      <c r="H55" s="16">
        <v>3477</v>
      </c>
      <c r="I55" s="16">
        <v>356</v>
      </c>
      <c r="J55" s="16">
        <v>1570</v>
      </c>
      <c r="K55" s="16">
        <v>1309</v>
      </c>
      <c r="L55" s="16">
        <v>233</v>
      </c>
      <c r="M55" s="16">
        <v>172</v>
      </c>
      <c r="N55" s="16">
        <v>1009</v>
      </c>
      <c r="O55" s="16">
        <v>6504</v>
      </c>
      <c r="P55" s="16">
        <v>4381</v>
      </c>
      <c r="Q55" s="16">
        <v>2147</v>
      </c>
      <c r="R55" s="16">
        <v>4990</v>
      </c>
      <c r="S55" s="16">
        <v>7555</v>
      </c>
      <c r="T55" s="16">
        <v>6145</v>
      </c>
      <c r="U55" s="16">
        <v>6929</v>
      </c>
      <c r="V55" s="16">
        <v>11254</v>
      </c>
      <c r="W55" s="16">
        <v>3594</v>
      </c>
      <c r="X55" s="29">
        <v>3594</v>
      </c>
    </row>
    <row r="56" spans="3:24" x14ac:dyDescent="0.2">
      <c r="C56" s="15" t="s">
        <v>284</v>
      </c>
      <c r="D56" s="16">
        <v>-752</v>
      </c>
      <c r="E56" s="16">
        <v>-40</v>
      </c>
      <c r="F56" s="16">
        <v>-618</v>
      </c>
      <c r="G56" s="16">
        <v>-3713</v>
      </c>
      <c r="H56" s="16">
        <v>-2877</v>
      </c>
      <c r="I56" s="16">
        <v>-1883</v>
      </c>
      <c r="J56" s="16">
        <v>-1329</v>
      </c>
      <c r="K56" s="16">
        <v>-687</v>
      </c>
      <c r="L56" s="16">
        <v>-1925</v>
      </c>
      <c r="M56" s="16">
        <v>-1635</v>
      </c>
      <c r="N56" s="16">
        <v>-9357</v>
      </c>
      <c r="O56" s="16">
        <v>-6888</v>
      </c>
      <c r="P56" s="16">
        <v>-3920</v>
      </c>
      <c r="Q56" s="16">
        <v>-4620</v>
      </c>
      <c r="R56" s="16">
        <v>-11145</v>
      </c>
      <c r="S56" s="16">
        <v>-11020</v>
      </c>
      <c r="T56" s="16">
        <v>-10718</v>
      </c>
      <c r="U56" s="16">
        <v>-9542</v>
      </c>
      <c r="V56" s="16">
        <v>-8011</v>
      </c>
      <c r="W56" s="16">
        <v>-3537</v>
      </c>
      <c r="X56" s="29">
        <v>-3537</v>
      </c>
    </row>
    <row r="57" spans="3:24" x14ac:dyDescent="0.2">
      <c r="C57" s="15" t="s">
        <v>285</v>
      </c>
      <c r="D57" s="16" t="s">
        <v>34</v>
      </c>
      <c r="E57" s="16" t="s">
        <v>34</v>
      </c>
      <c r="F57" s="16" t="s">
        <v>34</v>
      </c>
      <c r="G57" s="16" t="s">
        <v>34</v>
      </c>
      <c r="H57" s="16" t="s">
        <v>34</v>
      </c>
      <c r="I57" s="16" t="s">
        <v>34</v>
      </c>
      <c r="J57" s="16" t="s">
        <v>34</v>
      </c>
      <c r="K57" s="16" t="s">
        <v>34</v>
      </c>
      <c r="L57" s="16" t="s">
        <v>34</v>
      </c>
      <c r="M57" s="16" t="s">
        <v>34</v>
      </c>
      <c r="N57" s="16" t="s">
        <v>34</v>
      </c>
      <c r="O57" s="16">
        <v>-43123</v>
      </c>
      <c r="P57" s="16">
        <v>-273</v>
      </c>
      <c r="Q57" s="16">
        <v>-906</v>
      </c>
      <c r="R57" s="16">
        <v>10708</v>
      </c>
      <c r="S57" s="16">
        <v>-274</v>
      </c>
      <c r="T57" s="16">
        <v>-195</v>
      </c>
      <c r="U57" s="16">
        <v>-16466</v>
      </c>
      <c r="V57" s="16">
        <v>-18368</v>
      </c>
      <c r="W57" s="16">
        <v>-1000</v>
      </c>
      <c r="X57" s="29">
        <v>-1000</v>
      </c>
    </row>
    <row r="58" spans="3:24" x14ac:dyDescent="0.2">
      <c r="C58" s="15" t="s">
        <v>286</v>
      </c>
      <c r="D58" s="16" t="s">
        <v>34</v>
      </c>
      <c r="E58" s="16" t="s">
        <v>34</v>
      </c>
      <c r="F58" s="16" t="s">
        <v>34</v>
      </c>
      <c r="G58" s="16" t="s">
        <v>34</v>
      </c>
      <c r="H58" s="16" t="s">
        <v>34</v>
      </c>
      <c r="I58" s="16" t="s">
        <v>34</v>
      </c>
      <c r="J58" s="16" t="s">
        <v>34</v>
      </c>
      <c r="K58" s="16" t="s">
        <v>34</v>
      </c>
      <c r="L58" s="16" t="s">
        <v>34</v>
      </c>
      <c r="M58" s="16" t="s">
        <v>34</v>
      </c>
      <c r="N58" s="16" t="s">
        <v>34</v>
      </c>
      <c r="O58" s="16">
        <v>0</v>
      </c>
      <c r="P58" s="16">
        <v>0</v>
      </c>
      <c r="Q58" s="16">
        <v>2376</v>
      </c>
      <c r="R58" s="16">
        <v>11850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29">
        <v>0</v>
      </c>
    </row>
    <row r="59" spans="3:24" x14ac:dyDescent="0.2">
      <c r="C59" s="15" t="s">
        <v>287</v>
      </c>
      <c r="D59" s="16" t="s">
        <v>34</v>
      </c>
      <c r="E59" s="16" t="s">
        <v>34</v>
      </c>
      <c r="F59" s="16" t="s">
        <v>34</v>
      </c>
      <c r="G59" s="16" t="s">
        <v>34</v>
      </c>
      <c r="H59" s="16" t="s">
        <v>34</v>
      </c>
      <c r="I59" s="16" t="s">
        <v>34</v>
      </c>
      <c r="J59" s="16" t="s">
        <v>34</v>
      </c>
      <c r="K59" s="16" t="s">
        <v>34</v>
      </c>
      <c r="L59" s="16" t="s">
        <v>34</v>
      </c>
      <c r="M59" s="16" t="s">
        <v>34</v>
      </c>
      <c r="N59" s="16" t="s">
        <v>34</v>
      </c>
      <c r="O59" s="16">
        <v>-43123</v>
      </c>
      <c r="P59" s="16">
        <v>-273</v>
      </c>
      <c r="Q59" s="16">
        <v>-3282</v>
      </c>
      <c r="R59" s="16">
        <v>-1142</v>
      </c>
      <c r="S59" s="16">
        <v>-274</v>
      </c>
      <c r="T59" s="16">
        <v>-195</v>
      </c>
      <c r="U59" s="16">
        <v>-16466</v>
      </c>
      <c r="V59" s="16">
        <v>-18368</v>
      </c>
      <c r="W59" s="16">
        <v>-1000</v>
      </c>
      <c r="X59" s="29">
        <v>-1000</v>
      </c>
    </row>
    <row r="60" spans="3:24" x14ac:dyDescent="0.2">
      <c r="C60" s="15" t="s">
        <v>288</v>
      </c>
      <c r="D60" s="16" t="s">
        <v>34</v>
      </c>
      <c r="E60" s="16" t="s">
        <v>34</v>
      </c>
      <c r="F60" s="16" t="s">
        <v>34</v>
      </c>
      <c r="G60" s="16" t="s">
        <v>34</v>
      </c>
      <c r="H60" s="16" t="s">
        <v>34</v>
      </c>
      <c r="I60" s="16" t="s">
        <v>34</v>
      </c>
      <c r="J60" s="16" t="s">
        <v>34</v>
      </c>
      <c r="K60" s="16" t="s">
        <v>34</v>
      </c>
      <c r="L60" s="16" t="s">
        <v>34</v>
      </c>
      <c r="M60" s="16" t="s">
        <v>34</v>
      </c>
      <c r="N60" s="16" t="s">
        <v>34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29">
        <v>0</v>
      </c>
    </row>
    <row r="61" spans="3:24" x14ac:dyDescent="0.2">
      <c r="C61" s="15" t="s">
        <v>63</v>
      </c>
      <c r="D61" s="16">
        <v>1536</v>
      </c>
      <c r="E61" s="16">
        <v>-1498</v>
      </c>
      <c r="F61" s="16">
        <v>-1381</v>
      </c>
      <c r="G61" s="16">
        <v>-1457</v>
      </c>
      <c r="H61" s="16">
        <v>-3180</v>
      </c>
      <c r="I61" s="16">
        <v>9006</v>
      </c>
      <c r="J61" s="16">
        <v>-7062</v>
      </c>
      <c r="K61" s="16">
        <v>-3588</v>
      </c>
      <c r="L61" s="16">
        <v>8843</v>
      </c>
      <c r="M61" s="16">
        <v>4138</v>
      </c>
      <c r="N61" s="16">
        <v>-2786</v>
      </c>
      <c r="O61" s="16">
        <v>13440</v>
      </c>
      <c r="P61" s="16">
        <v>833</v>
      </c>
      <c r="Q61" s="16">
        <v>6882</v>
      </c>
      <c r="R61" s="16">
        <v>2928</v>
      </c>
      <c r="S61" s="16">
        <v>-5599</v>
      </c>
      <c r="T61" s="16">
        <v>697</v>
      </c>
      <c r="U61" s="16">
        <v>17595</v>
      </c>
      <c r="V61" s="16">
        <v>9313</v>
      </c>
      <c r="W61" s="16">
        <v>-1581</v>
      </c>
      <c r="X61" s="29">
        <v>-1581</v>
      </c>
    </row>
    <row r="62" spans="3:24" x14ac:dyDescent="0.2">
      <c r="C62" s="13" t="s">
        <v>274</v>
      </c>
      <c r="D62" s="14">
        <v>-335</v>
      </c>
      <c r="E62" s="14">
        <v>-3906</v>
      </c>
      <c r="F62" s="14">
        <v>-3753</v>
      </c>
      <c r="G62" s="14">
        <v>-7225</v>
      </c>
      <c r="H62" s="14">
        <v>-4338</v>
      </c>
      <c r="I62" s="14">
        <v>4850</v>
      </c>
      <c r="J62" s="14">
        <v>-9422</v>
      </c>
      <c r="K62" s="14">
        <v>-5072</v>
      </c>
      <c r="L62" s="14">
        <v>5101</v>
      </c>
      <c r="M62" s="14">
        <v>795</v>
      </c>
      <c r="N62" s="14">
        <v>-12835</v>
      </c>
      <c r="O62" s="14">
        <v>-31272</v>
      </c>
      <c r="P62" s="14">
        <v>-492</v>
      </c>
      <c r="Q62" s="14">
        <v>1843</v>
      </c>
      <c r="R62" s="14">
        <v>6154</v>
      </c>
      <c r="S62" s="14">
        <v>-10544</v>
      </c>
      <c r="T62" s="14">
        <v>-5654</v>
      </c>
      <c r="U62" s="14">
        <v>-2980</v>
      </c>
      <c r="V62" s="14">
        <v>-7811</v>
      </c>
      <c r="W62" s="14">
        <v>-4741</v>
      </c>
      <c r="X62" s="30">
        <v>-4741</v>
      </c>
    </row>
    <row r="63" spans="3:24" x14ac:dyDescent="0.2">
      <c r="C63" s="13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28"/>
    </row>
    <row r="64" spans="3:24" x14ac:dyDescent="0.2">
      <c r="C64" s="13" t="s">
        <v>64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28"/>
    </row>
    <row r="65" spans="3:24" x14ac:dyDescent="0.2">
      <c r="C65" s="15" t="s">
        <v>65</v>
      </c>
      <c r="D65" s="16">
        <v>-976</v>
      </c>
      <c r="E65" s="16">
        <v>-1820</v>
      </c>
      <c r="F65" s="16">
        <v>-2197</v>
      </c>
      <c r="G65" s="16">
        <v>-2715</v>
      </c>
      <c r="H65" s="16">
        <v>-3168</v>
      </c>
      <c r="I65" s="16">
        <v>-4353</v>
      </c>
      <c r="J65" s="16">
        <v>-5082</v>
      </c>
      <c r="K65" s="16">
        <v>-5555</v>
      </c>
      <c r="L65" s="16">
        <v>-6919</v>
      </c>
      <c r="M65" s="16">
        <v>-7975</v>
      </c>
      <c r="N65" s="16">
        <v>-8541</v>
      </c>
      <c r="O65" s="16">
        <v>-5548</v>
      </c>
      <c r="P65" s="16">
        <v>-6088</v>
      </c>
      <c r="Q65" s="16">
        <v>-6234</v>
      </c>
      <c r="R65" s="16">
        <v>-6534</v>
      </c>
      <c r="S65" s="16">
        <v>-6580</v>
      </c>
      <c r="T65" s="16">
        <v>-6609</v>
      </c>
      <c r="U65" s="16">
        <v>-6940</v>
      </c>
      <c r="V65" s="16">
        <v>-7317</v>
      </c>
      <c r="W65" s="16">
        <v>-7659</v>
      </c>
      <c r="X65" s="29">
        <v>-7659</v>
      </c>
    </row>
    <row r="66" spans="3:24" x14ac:dyDescent="0.2">
      <c r="C66" s="15" t="s">
        <v>289</v>
      </c>
      <c r="D66" s="16">
        <v>200</v>
      </c>
      <c r="E66" s="16">
        <v>2099</v>
      </c>
      <c r="F66" s="16">
        <v>-1691</v>
      </c>
      <c r="G66" s="16">
        <v>3511</v>
      </c>
      <c r="H66" s="16">
        <v>2505</v>
      </c>
      <c r="I66" s="16">
        <v>-591</v>
      </c>
      <c r="J66" s="16">
        <v>4100</v>
      </c>
      <c r="K66" s="16">
        <v>-321</v>
      </c>
      <c r="L66" s="16">
        <v>-9934</v>
      </c>
      <c r="M66" s="16">
        <v>4900</v>
      </c>
      <c r="N66" s="16">
        <v>2407</v>
      </c>
      <c r="O66" s="16">
        <v>20120</v>
      </c>
      <c r="P66" s="16">
        <v>-4152</v>
      </c>
      <c r="Q66" s="16">
        <v>-5542</v>
      </c>
      <c r="R66" s="16">
        <v>-1725</v>
      </c>
      <c r="S66" s="16">
        <v>6036</v>
      </c>
      <c r="T66" s="16">
        <v>543</v>
      </c>
      <c r="U66" s="16">
        <v>1319</v>
      </c>
      <c r="V66" s="16">
        <v>2573</v>
      </c>
      <c r="W66" s="16">
        <v>-1005</v>
      </c>
      <c r="X66" s="29">
        <v>-1005</v>
      </c>
    </row>
    <row r="67" spans="3:24" x14ac:dyDescent="0.2">
      <c r="C67" s="15" t="s">
        <v>290</v>
      </c>
      <c r="D67" s="16" t="s">
        <v>34</v>
      </c>
      <c r="E67" s="16" t="s">
        <v>34</v>
      </c>
      <c r="F67" s="16" t="s">
        <v>34</v>
      </c>
      <c r="G67" s="16" t="s">
        <v>34</v>
      </c>
      <c r="H67" s="16" t="s">
        <v>34</v>
      </c>
      <c r="I67" s="16" t="s">
        <v>34</v>
      </c>
      <c r="J67" s="16" t="s">
        <v>34</v>
      </c>
      <c r="K67" s="16" t="s">
        <v>34</v>
      </c>
      <c r="L67" s="16" t="s">
        <v>34</v>
      </c>
      <c r="M67" s="16" t="s">
        <v>34</v>
      </c>
      <c r="N67" s="16" t="s">
        <v>34</v>
      </c>
      <c r="O67" s="16">
        <v>-2936</v>
      </c>
      <c r="P67" s="16">
        <v>-4146</v>
      </c>
      <c r="Q67" s="16">
        <v>1444</v>
      </c>
      <c r="R67" s="16">
        <v>-212</v>
      </c>
      <c r="S67" s="16">
        <v>3564</v>
      </c>
      <c r="T67" s="16">
        <v>-1838</v>
      </c>
      <c r="U67" s="16">
        <v>4309</v>
      </c>
      <c r="V67" s="16">
        <v>-714</v>
      </c>
      <c r="W67" s="16">
        <v>-125</v>
      </c>
      <c r="X67" s="29">
        <v>-125</v>
      </c>
    </row>
    <row r="68" spans="3:24" x14ac:dyDescent="0.2">
      <c r="C68" s="15" t="s">
        <v>291</v>
      </c>
      <c r="D68" s="16" t="s">
        <v>34</v>
      </c>
      <c r="E68" s="16" t="s">
        <v>34</v>
      </c>
      <c r="F68" s="16" t="s">
        <v>34</v>
      </c>
      <c r="G68" s="16" t="s">
        <v>34</v>
      </c>
      <c r="H68" s="16" t="s">
        <v>34</v>
      </c>
      <c r="I68" s="16" t="s">
        <v>34</v>
      </c>
      <c r="J68" s="16" t="s">
        <v>34</v>
      </c>
      <c r="K68" s="16" t="s">
        <v>34</v>
      </c>
      <c r="L68" s="16" t="s">
        <v>34</v>
      </c>
      <c r="M68" s="16" t="s">
        <v>34</v>
      </c>
      <c r="N68" s="16" t="s">
        <v>34</v>
      </c>
      <c r="O68" s="16">
        <v>24023</v>
      </c>
      <c r="P68" s="16">
        <v>0</v>
      </c>
      <c r="Q68" s="16">
        <v>0</v>
      </c>
      <c r="R68" s="16">
        <v>0</v>
      </c>
      <c r="S68" s="16">
        <v>6618</v>
      </c>
      <c r="T68" s="16">
        <v>4491</v>
      </c>
      <c r="U68" s="16">
        <v>0</v>
      </c>
      <c r="V68" s="16">
        <v>10976</v>
      </c>
      <c r="W68" s="16">
        <v>5274</v>
      </c>
      <c r="X68" s="29">
        <v>5274</v>
      </c>
    </row>
    <row r="69" spans="3:24" x14ac:dyDescent="0.2">
      <c r="C69" s="15" t="s">
        <v>292</v>
      </c>
      <c r="D69" s="16" t="s">
        <v>34</v>
      </c>
      <c r="E69" s="16" t="s">
        <v>34</v>
      </c>
      <c r="F69" s="16" t="s">
        <v>34</v>
      </c>
      <c r="G69" s="16" t="s">
        <v>34</v>
      </c>
      <c r="H69" s="16" t="s">
        <v>34</v>
      </c>
      <c r="I69" s="16" t="s">
        <v>34</v>
      </c>
      <c r="J69" s="16" t="s">
        <v>34</v>
      </c>
      <c r="K69" s="16" t="s">
        <v>34</v>
      </c>
      <c r="L69" s="16" t="s">
        <v>34</v>
      </c>
      <c r="M69" s="16" t="s">
        <v>34</v>
      </c>
      <c r="N69" s="16" t="s">
        <v>34</v>
      </c>
      <c r="O69" s="16">
        <v>-967</v>
      </c>
      <c r="P69" s="16">
        <v>-6</v>
      </c>
      <c r="Q69" s="16">
        <v>-6986</v>
      </c>
      <c r="R69" s="16">
        <v>-1513</v>
      </c>
      <c r="S69" s="16">
        <v>-4146</v>
      </c>
      <c r="T69" s="16">
        <v>-2110</v>
      </c>
      <c r="U69" s="16">
        <v>-2990</v>
      </c>
      <c r="V69" s="16">
        <v>-7689</v>
      </c>
      <c r="W69" s="16">
        <v>-6154</v>
      </c>
      <c r="X69" s="29">
        <v>-6154</v>
      </c>
    </row>
    <row r="70" spans="3:24" x14ac:dyDescent="0.2">
      <c r="C70" s="15" t="s">
        <v>293</v>
      </c>
      <c r="D70" s="16">
        <v>-1501</v>
      </c>
      <c r="E70" s="16">
        <v>-1906</v>
      </c>
      <c r="F70" s="16">
        <v>183</v>
      </c>
      <c r="G70" s="16">
        <v>-3603</v>
      </c>
      <c r="H70" s="16">
        <v>-4336</v>
      </c>
      <c r="I70" s="16">
        <v>-11965</v>
      </c>
      <c r="J70" s="16">
        <v>-5647</v>
      </c>
      <c r="K70" s="16">
        <v>-3346</v>
      </c>
      <c r="L70" s="16">
        <v>-6247</v>
      </c>
      <c r="M70" s="16">
        <v>-9535</v>
      </c>
      <c r="N70" s="16">
        <v>-426</v>
      </c>
      <c r="O70" s="16">
        <v>0</v>
      </c>
      <c r="P70" s="16">
        <v>-1000</v>
      </c>
      <c r="Q70" s="16">
        <v>-9000</v>
      </c>
      <c r="R70" s="16">
        <v>-7660</v>
      </c>
      <c r="S70" s="16">
        <v>-14540</v>
      </c>
      <c r="T70" s="16">
        <v>-3998</v>
      </c>
      <c r="U70" s="16">
        <v>-4897</v>
      </c>
      <c r="V70" s="16">
        <v>-3981</v>
      </c>
      <c r="W70" s="16">
        <v>-4138</v>
      </c>
      <c r="X70" s="29">
        <v>-4138</v>
      </c>
    </row>
    <row r="71" spans="3:24" x14ac:dyDescent="0.2">
      <c r="C71" s="15" t="s">
        <v>294</v>
      </c>
      <c r="D71" s="16">
        <v>411</v>
      </c>
      <c r="E71" s="16">
        <v>636</v>
      </c>
      <c r="F71" s="16">
        <v>1188</v>
      </c>
      <c r="G71" s="16">
        <v>62</v>
      </c>
      <c r="H71" s="16">
        <v>660</v>
      </c>
      <c r="I71" s="16">
        <v>1072</v>
      </c>
      <c r="J71" s="16">
        <v>1012</v>
      </c>
      <c r="K71" s="16">
        <v>451</v>
      </c>
      <c r="L71" s="16">
        <v>732</v>
      </c>
      <c r="M71" s="16">
        <v>459</v>
      </c>
      <c r="N71" s="16">
        <v>74</v>
      </c>
      <c r="O71" s="16">
        <v>0</v>
      </c>
      <c r="P71" s="16">
        <v>0</v>
      </c>
      <c r="Q71" s="16">
        <v>0</v>
      </c>
      <c r="R71" s="16">
        <v>568</v>
      </c>
      <c r="S71" s="16">
        <v>1750</v>
      </c>
      <c r="T71" s="16">
        <v>1002</v>
      </c>
      <c r="U71" s="16">
        <v>1263</v>
      </c>
      <c r="V71" s="16">
        <v>1019</v>
      </c>
      <c r="W71" s="16">
        <v>862</v>
      </c>
      <c r="X71" s="29">
        <v>862</v>
      </c>
    </row>
    <row r="72" spans="3:24" x14ac:dyDescent="0.2">
      <c r="C72" s="15" t="s">
        <v>295</v>
      </c>
      <c r="D72" s="16">
        <v>-1912</v>
      </c>
      <c r="E72" s="16">
        <v>-2542</v>
      </c>
      <c r="F72" s="16">
        <v>-1005</v>
      </c>
      <c r="G72" s="16">
        <v>-3665</v>
      </c>
      <c r="H72" s="16">
        <v>-4996</v>
      </c>
      <c r="I72" s="16">
        <v>-13037</v>
      </c>
      <c r="J72" s="16">
        <v>-6659</v>
      </c>
      <c r="K72" s="16">
        <v>-3797</v>
      </c>
      <c r="L72" s="16">
        <v>-6979</v>
      </c>
      <c r="M72" s="16">
        <v>-9994</v>
      </c>
      <c r="N72" s="16">
        <v>-500</v>
      </c>
      <c r="O72" s="16">
        <v>0</v>
      </c>
      <c r="P72" s="16">
        <v>-1000</v>
      </c>
      <c r="Q72" s="16">
        <v>-9000</v>
      </c>
      <c r="R72" s="16">
        <v>-8228</v>
      </c>
      <c r="S72" s="16">
        <v>-16290</v>
      </c>
      <c r="T72" s="16">
        <v>-5000</v>
      </c>
      <c r="U72" s="16">
        <v>-6160</v>
      </c>
      <c r="V72" s="16">
        <v>-5000</v>
      </c>
      <c r="W72" s="16">
        <v>-5000</v>
      </c>
      <c r="X72" s="29">
        <v>-5000</v>
      </c>
    </row>
    <row r="73" spans="3:24" x14ac:dyDescent="0.2">
      <c r="C73" s="15" t="s">
        <v>66</v>
      </c>
      <c r="D73" s="16" t="s">
        <v>34</v>
      </c>
      <c r="E73" s="16" t="s">
        <v>34</v>
      </c>
      <c r="F73" s="16" t="s">
        <v>34</v>
      </c>
      <c r="G73" s="16" t="s">
        <v>34</v>
      </c>
      <c r="H73" s="16" t="s">
        <v>34</v>
      </c>
      <c r="I73" s="16" t="s">
        <v>34</v>
      </c>
      <c r="J73" s="16" t="s">
        <v>34</v>
      </c>
      <c r="K73" s="16" t="s">
        <v>34</v>
      </c>
      <c r="L73" s="16" t="s">
        <v>34</v>
      </c>
      <c r="M73" s="16" t="s">
        <v>34</v>
      </c>
      <c r="N73" s="16" t="s">
        <v>34</v>
      </c>
      <c r="O73" s="16">
        <v>-91</v>
      </c>
      <c r="P73" s="16">
        <v>66</v>
      </c>
      <c r="Q73" s="16">
        <v>169</v>
      </c>
      <c r="R73" s="16">
        <v>-80</v>
      </c>
      <c r="S73" s="16">
        <v>109</v>
      </c>
      <c r="T73" s="16">
        <v>-123</v>
      </c>
      <c r="U73" s="16">
        <v>109</v>
      </c>
      <c r="V73" s="16">
        <v>-196</v>
      </c>
      <c r="W73" s="16">
        <v>-233</v>
      </c>
      <c r="X73" s="29">
        <v>-233</v>
      </c>
    </row>
    <row r="74" spans="3:24" x14ac:dyDescent="0.2">
      <c r="C74" s="13" t="s">
        <v>64</v>
      </c>
      <c r="D74" s="14">
        <v>-2272</v>
      </c>
      <c r="E74" s="14">
        <v>-1616</v>
      </c>
      <c r="F74" s="14">
        <v>-3701</v>
      </c>
      <c r="G74" s="14">
        <v>-2101</v>
      </c>
      <c r="H74" s="14">
        <v>-5003</v>
      </c>
      <c r="I74" s="14">
        <v>-16935</v>
      </c>
      <c r="J74" s="14">
        <v>-6630</v>
      </c>
      <c r="K74" s="14">
        <v>-9222</v>
      </c>
      <c r="L74" s="14">
        <v>-23115</v>
      </c>
      <c r="M74" s="14">
        <v>-12569</v>
      </c>
      <c r="N74" s="14">
        <v>-6687</v>
      </c>
      <c r="O74" s="14">
        <v>14481</v>
      </c>
      <c r="P74" s="14">
        <v>-11174</v>
      </c>
      <c r="Q74" s="14">
        <v>-20607</v>
      </c>
      <c r="R74" s="14">
        <v>-15999</v>
      </c>
      <c r="S74" s="14">
        <v>-14975</v>
      </c>
      <c r="T74" s="14">
        <v>-10187</v>
      </c>
      <c r="U74" s="14">
        <v>-10409</v>
      </c>
      <c r="V74" s="14">
        <v>-8921</v>
      </c>
      <c r="W74" s="14">
        <v>-13035</v>
      </c>
      <c r="X74" s="30">
        <v>-13035</v>
      </c>
    </row>
    <row r="75" spans="3:24" x14ac:dyDescent="0.2">
      <c r="C75" s="13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28"/>
    </row>
    <row r="76" spans="3:24" x14ac:dyDescent="0.2">
      <c r="C76" s="15" t="s">
        <v>296</v>
      </c>
      <c r="D76" s="16" t="s">
        <v>34</v>
      </c>
      <c r="E76" s="16" t="s">
        <v>34</v>
      </c>
      <c r="F76" s="16" t="s">
        <v>34</v>
      </c>
      <c r="G76" s="16" t="s">
        <v>34</v>
      </c>
      <c r="H76" s="16" t="s">
        <v>34</v>
      </c>
      <c r="I76" s="16" t="s">
        <v>34</v>
      </c>
      <c r="J76" s="16" t="s">
        <v>34</v>
      </c>
      <c r="K76" s="16" t="s">
        <v>34</v>
      </c>
      <c r="L76" s="16" t="s">
        <v>34</v>
      </c>
      <c r="M76" s="16" t="s">
        <v>34</v>
      </c>
      <c r="N76" s="16" t="s">
        <v>34</v>
      </c>
      <c r="O76" s="16">
        <v>60</v>
      </c>
      <c r="P76" s="16">
        <v>-31</v>
      </c>
      <c r="Q76" s="16">
        <v>-29</v>
      </c>
      <c r="R76" s="16">
        <v>-2</v>
      </c>
      <c r="S76" s="16">
        <v>-63</v>
      </c>
      <c r="T76" s="16">
        <v>-83</v>
      </c>
      <c r="U76" s="16">
        <v>-1000</v>
      </c>
      <c r="V76" s="16">
        <v>-215</v>
      </c>
      <c r="W76" s="16">
        <v>53</v>
      </c>
      <c r="X76" s="29">
        <v>53</v>
      </c>
    </row>
    <row r="77" spans="3:24" x14ac:dyDescent="0.2">
      <c r="C77" s="13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28"/>
    </row>
    <row r="78" spans="3:24" x14ac:dyDescent="0.2">
      <c r="C78" s="13" t="s">
        <v>67</v>
      </c>
      <c r="D78" s="14">
        <v>2076</v>
      </c>
      <c r="E78" s="14">
        <v>-49</v>
      </c>
      <c r="F78" s="14">
        <v>-1251</v>
      </c>
      <c r="G78" s="14">
        <v>-63</v>
      </c>
      <c r="H78" s="14">
        <v>842</v>
      </c>
      <c r="I78" s="14">
        <v>-358</v>
      </c>
      <c r="J78" s="14">
        <v>288</v>
      </c>
      <c r="K78" s="14">
        <v>439</v>
      </c>
      <c r="L78" s="14">
        <v>-420</v>
      </c>
      <c r="M78" s="14">
        <v>1579</v>
      </c>
      <c r="N78" s="14">
        <v>-1284</v>
      </c>
      <c r="O78" s="14">
        <v>-144</v>
      </c>
      <c r="P78" s="14">
        <v>-243</v>
      </c>
      <c r="Q78" s="14">
        <v>1447</v>
      </c>
      <c r="R78" s="14">
        <v>6899</v>
      </c>
      <c r="S78" s="14">
        <v>-7898</v>
      </c>
      <c r="T78" s="14">
        <v>1160</v>
      </c>
      <c r="U78" s="14">
        <v>299</v>
      </c>
      <c r="V78" s="14">
        <v>-1046</v>
      </c>
      <c r="W78" s="14">
        <v>-1253</v>
      </c>
      <c r="X78" s="30">
        <v>-1253</v>
      </c>
    </row>
    <row r="79" spans="3:24" x14ac:dyDescent="0.2">
      <c r="C79" s="13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28"/>
    </row>
    <row r="80" spans="3:24" x14ac:dyDescent="0.2">
      <c r="C80" s="13" t="s">
        <v>69</v>
      </c>
      <c r="D80" s="14">
        <v>1073</v>
      </c>
      <c r="E80" s="14">
        <v>379</v>
      </c>
      <c r="F80" s="14">
        <v>460</v>
      </c>
      <c r="G80" s="14">
        <v>303</v>
      </c>
      <c r="H80" s="14">
        <v>1480</v>
      </c>
      <c r="I80" s="14">
        <v>2905</v>
      </c>
      <c r="J80" s="14">
        <v>3388</v>
      </c>
      <c r="K80" s="14">
        <v>4713</v>
      </c>
      <c r="L80" s="14">
        <v>3443</v>
      </c>
      <c r="M80" s="14">
        <v>5617</v>
      </c>
      <c r="N80" s="14">
        <v>2252</v>
      </c>
      <c r="O80" s="14">
        <v>2300</v>
      </c>
      <c r="P80" s="14">
        <v>11775</v>
      </c>
      <c r="Q80" s="14">
        <v>2938</v>
      </c>
      <c r="R80" s="14">
        <v>2409</v>
      </c>
      <c r="S80" s="14">
        <v>2874</v>
      </c>
      <c r="T80" s="14">
        <v>2100</v>
      </c>
      <c r="U80" s="14">
        <v>2383</v>
      </c>
      <c r="V80" s="14">
        <v>2521</v>
      </c>
      <c r="W80" s="14">
        <v>2489</v>
      </c>
      <c r="X80" s="30">
        <v>2489</v>
      </c>
    </row>
    <row r="81" spans="3:29" x14ac:dyDescent="0.2">
      <c r="C81" s="13" t="s">
        <v>70</v>
      </c>
      <c r="D81" s="14">
        <v>155</v>
      </c>
      <c r="E81" s="14">
        <v>1573</v>
      </c>
      <c r="F81" s="14">
        <v>1041</v>
      </c>
      <c r="G81" s="14">
        <v>1006</v>
      </c>
      <c r="H81" s="14">
        <v>256</v>
      </c>
      <c r="I81" s="14">
        <v>350</v>
      </c>
      <c r="J81" s="14">
        <v>496</v>
      </c>
      <c r="K81" s="14">
        <v>649</v>
      </c>
      <c r="L81" s="14">
        <v>715</v>
      </c>
      <c r="M81" s="14">
        <v>643</v>
      </c>
      <c r="N81" s="14">
        <v>782</v>
      </c>
      <c r="O81" s="14">
        <v>935</v>
      </c>
      <c r="P81" s="14">
        <v>2155</v>
      </c>
      <c r="Q81" s="14">
        <v>2085</v>
      </c>
      <c r="R81" s="14">
        <v>1873</v>
      </c>
      <c r="S81" s="14">
        <v>1729</v>
      </c>
      <c r="T81" s="14">
        <v>1550</v>
      </c>
      <c r="U81" s="14">
        <v>1302</v>
      </c>
      <c r="V81" s="14">
        <v>1451</v>
      </c>
      <c r="W81" s="14">
        <v>1518</v>
      </c>
      <c r="X81" s="30"/>
    </row>
    <row r="82" spans="3:29" x14ac:dyDescent="0.2">
      <c r="C82" s="13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28"/>
    </row>
    <row r="83" spans="3:29" x14ac:dyDescent="0.2">
      <c r="C83" s="13" t="s">
        <v>22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28"/>
    </row>
    <row r="84" spans="3:29" x14ac:dyDescent="0.2">
      <c r="C84" s="15" t="s">
        <v>25</v>
      </c>
      <c r="D84" s="16">
        <v>3083</v>
      </c>
      <c r="E84" s="16">
        <v>7971</v>
      </c>
      <c r="F84" s="16">
        <v>9658</v>
      </c>
      <c r="G84" s="16">
        <v>11776</v>
      </c>
      <c r="H84" s="16">
        <v>13352</v>
      </c>
      <c r="I84" s="16">
        <v>20115</v>
      </c>
      <c r="J84" s="16">
        <v>22181</v>
      </c>
      <c r="K84" s="16">
        <v>19781</v>
      </c>
      <c r="L84" s="16">
        <v>19575</v>
      </c>
      <c r="M84" s="16">
        <v>19980</v>
      </c>
      <c r="N84" s="16">
        <v>22146</v>
      </c>
      <c r="O84" s="16">
        <v>15944</v>
      </c>
      <c r="P84" s="16">
        <v>22105</v>
      </c>
      <c r="Q84" s="16">
        <v>23710</v>
      </c>
      <c r="R84" s="16">
        <v>22919</v>
      </c>
      <c r="S84" s="16">
        <v>21594</v>
      </c>
      <c r="T84" s="16">
        <v>18786</v>
      </c>
      <c r="U84" s="16">
        <v>16981</v>
      </c>
      <c r="V84" s="16">
        <v>17763</v>
      </c>
      <c r="W84" s="16">
        <v>19889</v>
      </c>
      <c r="X84" s="29">
        <v>19890</v>
      </c>
    </row>
    <row r="85" spans="3:29" x14ac:dyDescent="0.2">
      <c r="C85" s="15" t="s">
        <v>68</v>
      </c>
      <c r="D85" s="20">
        <v>22.762847000000001</v>
      </c>
      <c r="E85" s="20">
        <v>29.116745000000002</v>
      </c>
      <c r="F85" s="20">
        <v>32.900697999999998</v>
      </c>
      <c r="G85" s="20">
        <v>40.573318999999998</v>
      </c>
      <c r="H85" s="20">
        <v>41.244247000000001</v>
      </c>
      <c r="I85" s="20">
        <v>44.514029999999998</v>
      </c>
      <c r="J85" s="20">
        <v>42.236651999999999</v>
      </c>
      <c r="K85" s="20">
        <v>41.727665999999999</v>
      </c>
      <c r="L85" s="20">
        <v>40.468463</v>
      </c>
      <c r="M85" s="20">
        <v>41.265644999999999</v>
      </c>
      <c r="N85" s="20">
        <v>45.854728999999999</v>
      </c>
      <c r="O85" s="20">
        <v>31.882261</v>
      </c>
      <c r="P85" s="20">
        <v>32.964492999999997</v>
      </c>
      <c r="Q85" s="20">
        <v>36.332152999999998</v>
      </c>
      <c r="R85" s="20">
        <v>41.932414999999999</v>
      </c>
      <c r="S85" s="20">
        <v>41.861818</v>
      </c>
      <c r="T85" s="20">
        <v>37.871181999999997</v>
      </c>
      <c r="U85" s="20">
        <v>34.760803000000003</v>
      </c>
      <c r="V85" s="20">
        <v>33.626761000000002</v>
      </c>
      <c r="W85" s="20">
        <v>37.850645</v>
      </c>
      <c r="X85" s="32">
        <v>37.852548243443799</v>
      </c>
    </row>
    <row r="86" spans="3:29" x14ac:dyDescent="0.2">
      <c r="C86" s="15" t="s">
        <v>297</v>
      </c>
      <c r="D86" s="16" t="s">
        <v>34</v>
      </c>
      <c r="E86" s="16" t="s">
        <v>34</v>
      </c>
      <c r="F86" s="16" t="s">
        <v>34</v>
      </c>
      <c r="G86" s="16" t="s">
        <v>34</v>
      </c>
      <c r="H86" s="16" t="s">
        <v>34</v>
      </c>
      <c r="I86" s="16" t="s">
        <v>34</v>
      </c>
      <c r="J86" s="16">
        <v>3539</v>
      </c>
      <c r="K86" s="16" t="s">
        <v>34</v>
      </c>
      <c r="L86" s="16" t="s">
        <v>34</v>
      </c>
      <c r="M86" s="16" t="s">
        <v>34</v>
      </c>
      <c r="N86" s="16">
        <v>1184</v>
      </c>
      <c r="O86" s="16">
        <v>43123</v>
      </c>
      <c r="P86" s="16">
        <v>273</v>
      </c>
      <c r="Q86" s="16">
        <v>3282</v>
      </c>
      <c r="R86" s="16">
        <v>1142</v>
      </c>
      <c r="S86" s="16">
        <v>274</v>
      </c>
      <c r="T86" s="16">
        <v>195</v>
      </c>
      <c r="U86" s="16">
        <v>16466</v>
      </c>
      <c r="V86" s="16">
        <v>18368</v>
      </c>
      <c r="W86" s="16">
        <v>1000</v>
      </c>
      <c r="X86" s="29">
        <v>1000</v>
      </c>
    </row>
    <row r="87" spans="3:29" x14ac:dyDescent="0.2">
      <c r="C87" s="15" t="s">
        <v>71</v>
      </c>
      <c r="D87" s="103">
        <v>3485</v>
      </c>
      <c r="E87" s="16">
        <v>2980</v>
      </c>
      <c r="F87" s="16">
        <v>4012</v>
      </c>
      <c r="G87" s="16">
        <v>7060</v>
      </c>
      <c r="H87" s="16">
        <v>8425</v>
      </c>
      <c r="I87" s="16">
        <v>9098</v>
      </c>
      <c r="J87" s="16">
        <v>13739</v>
      </c>
      <c r="K87" s="16">
        <v>12627</v>
      </c>
      <c r="L87" s="16">
        <v>15544</v>
      </c>
      <c r="M87" s="16">
        <v>11473</v>
      </c>
      <c r="N87" s="16">
        <v>16537</v>
      </c>
      <c r="O87" s="16">
        <v>15382</v>
      </c>
      <c r="P87" s="16">
        <v>9941</v>
      </c>
      <c r="Q87" s="16">
        <v>18580</v>
      </c>
      <c r="R87" s="16">
        <v>15419</v>
      </c>
      <c r="S87" s="16">
        <v>16478</v>
      </c>
      <c r="T87" s="16">
        <v>15885</v>
      </c>
      <c r="U87" s="16">
        <v>13291</v>
      </c>
      <c r="V87" s="16">
        <v>14078</v>
      </c>
      <c r="W87" s="16">
        <v>14514</v>
      </c>
      <c r="X87" s="29">
        <v>14514</v>
      </c>
    </row>
    <row r="88" spans="3:29" x14ac:dyDescent="0.2">
      <c r="C88" s="15" t="s">
        <v>72</v>
      </c>
      <c r="D88" s="16">
        <v>3592.6083269999999</v>
      </c>
      <c r="E88" s="16">
        <v>3240.1369330000002</v>
      </c>
      <c r="F88" s="16">
        <v>4290.8832380000003</v>
      </c>
      <c r="G88" s="16">
        <v>7261.1784859999998</v>
      </c>
      <c r="H88" s="16">
        <v>8620.4846560000005</v>
      </c>
      <c r="I88" s="16">
        <v>9233.8688320000001</v>
      </c>
      <c r="J88" s="16">
        <v>14019.979082</v>
      </c>
      <c r="K88" s="16">
        <v>12959.403888999999</v>
      </c>
      <c r="L88" s="16">
        <v>15981.949954</v>
      </c>
      <c r="M88" s="16">
        <v>11826.22645</v>
      </c>
      <c r="N88" s="16">
        <v>17003.632763000001</v>
      </c>
      <c r="O88" s="16">
        <v>16364.80133</v>
      </c>
      <c r="P88" s="16">
        <v>11530.653845999999</v>
      </c>
      <c r="Q88" s="16">
        <v>19726.943676999999</v>
      </c>
      <c r="R88" s="16">
        <v>16640.309552999999</v>
      </c>
      <c r="S88" s="16">
        <v>17504.580555</v>
      </c>
      <c r="T88" s="16">
        <v>16898.333332999999</v>
      </c>
      <c r="U88" s="16">
        <v>14223.852761</v>
      </c>
      <c r="V88" s="16">
        <v>15104.512753000001</v>
      </c>
      <c r="W88" s="16" t="s">
        <v>34</v>
      </c>
      <c r="X88" s="29"/>
    </row>
    <row r="89" spans="3:29" x14ac:dyDescent="0.2">
      <c r="C89" s="15" t="s">
        <v>73</v>
      </c>
      <c r="D89" s="16" t="s">
        <v>34</v>
      </c>
      <c r="E89" s="16" t="s">
        <v>34</v>
      </c>
      <c r="F89" s="16" t="s">
        <v>34</v>
      </c>
      <c r="G89" s="16">
        <v>10639</v>
      </c>
      <c r="H89" s="16">
        <v>10930</v>
      </c>
      <c r="I89" s="16">
        <v>8726</v>
      </c>
      <c r="J89" s="16">
        <v>17809</v>
      </c>
      <c r="K89" s="16">
        <v>12276</v>
      </c>
      <c r="L89" s="16">
        <v>5577</v>
      </c>
      <c r="M89" s="16">
        <v>16321</v>
      </c>
      <c r="N89" s="16">
        <v>18921</v>
      </c>
      <c r="O89" s="16">
        <v>35485</v>
      </c>
      <c r="P89" s="16">
        <v>5777</v>
      </c>
      <c r="Q89" s="16">
        <v>13028</v>
      </c>
      <c r="R89" s="16">
        <v>13686</v>
      </c>
      <c r="S89" s="16">
        <v>22506</v>
      </c>
      <c r="T89" s="16">
        <v>16424</v>
      </c>
      <c r="U89" s="16">
        <v>14605</v>
      </c>
      <c r="V89" s="16">
        <v>16647</v>
      </c>
      <c r="W89" s="16">
        <v>13505</v>
      </c>
      <c r="X89" s="29">
        <v>13506</v>
      </c>
    </row>
    <row r="90" spans="3:29" x14ac:dyDescent="0.2">
      <c r="C90" s="15" t="s">
        <v>74</v>
      </c>
      <c r="D90" s="20">
        <v>0.91976800000000003</v>
      </c>
      <c r="E90" s="20">
        <v>0.48645100000000002</v>
      </c>
      <c r="F90" s="20">
        <v>0.64605500000000005</v>
      </c>
      <c r="G90" s="20">
        <v>1.1315729999999999</v>
      </c>
      <c r="H90" s="20">
        <v>1.3685830000000001</v>
      </c>
      <c r="I90" s="20">
        <v>1.261334</v>
      </c>
      <c r="J90" s="20">
        <v>1.8243259999999999</v>
      </c>
      <c r="K90" s="20">
        <v>1.715392</v>
      </c>
      <c r="L90" s="20">
        <v>2.1463679999999998</v>
      </c>
      <c r="M90" s="20">
        <v>1.6586669999999999</v>
      </c>
      <c r="N90" s="20">
        <v>2.4583020000000002</v>
      </c>
      <c r="O90" s="20">
        <v>2.195233</v>
      </c>
      <c r="P90" s="20">
        <v>1.237058</v>
      </c>
      <c r="Q90" s="20">
        <v>2.376871</v>
      </c>
      <c r="R90" s="20">
        <v>2.0718890000000001</v>
      </c>
      <c r="S90" s="20">
        <v>2.4186109999999998</v>
      </c>
      <c r="T90" s="20">
        <v>2.503152</v>
      </c>
      <c r="U90" s="20">
        <v>2.15204</v>
      </c>
      <c r="V90" s="20">
        <v>2.3120379999999998</v>
      </c>
      <c r="W90" s="20">
        <v>2.4311560000000001</v>
      </c>
      <c r="X90" s="32">
        <v>2.4344240911644501</v>
      </c>
    </row>
    <row r="91" spans="3:29" x14ac:dyDescent="0.2">
      <c r="C91" s="15" t="s">
        <v>75</v>
      </c>
      <c r="D91" s="20">
        <v>45.301290999999999</v>
      </c>
      <c r="E91" s="20">
        <v>66.681921000000003</v>
      </c>
      <c r="F91" s="20">
        <v>71.201396000000003</v>
      </c>
      <c r="G91" s="20">
        <v>35.216450000000002</v>
      </c>
      <c r="H91" s="20">
        <v>22.336963999999998</v>
      </c>
      <c r="I91" s="20">
        <v>28.010034000000001</v>
      </c>
      <c r="J91" s="20">
        <v>14.739689</v>
      </c>
      <c r="K91" s="20">
        <v>13.594561000000001</v>
      </c>
      <c r="L91" s="20">
        <v>12.066894</v>
      </c>
      <c r="M91" s="20">
        <v>13.703775</v>
      </c>
      <c r="N91" s="20">
        <v>7.2041589999999998</v>
      </c>
      <c r="O91" s="20">
        <v>8.2861349999999998</v>
      </c>
      <c r="P91" s="20">
        <v>14.154548</v>
      </c>
      <c r="Q91" s="20">
        <v>9.1044070000000001</v>
      </c>
      <c r="R91" s="20">
        <v>12.104561</v>
      </c>
      <c r="S91" s="20">
        <v>12.664291</v>
      </c>
      <c r="T91" s="20">
        <v>12.444312</v>
      </c>
      <c r="U91" s="20">
        <v>14.99972</v>
      </c>
      <c r="V91" s="20">
        <v>14.048211</v>
      </c>
      <c r="W91" s="20">
        <v>14.898263999999999</v>
      </c>
      <c r="X91" s="32">
        <v>14.446947964650899</v>
      </c>
    </row>
    <row r="92" spans="3:29" x14ac:dyDescent="0.2">
      <c r="C92" s="15" t="s">
        <v>76</v>
      </c>
      <c r="D92" s="20">
        <v>1.3974930000000001</v>
      </c>
      <c r="E92" s="20">
        <v>1.10521</v>
      </c>
      <c r="F92" s="20">
        <v>1.6647879999999999</v>
      </c>
      <c r="G92" s="20">
        <v>1.1893940000000001</v>
      </c>
      <c r="H92" s="20">
        <v>1.115823</v>
      </c>
      <c r="I92" s="20">
        <v>2.9992329999999998</v>
      </c>
      <c r="J92" s="20">
        <v>1.4382539999999999</v>
      </c>
      <c r="K92" s="20">
        <v>1.822263</v>
      </c>
      <c r="L92" s="20">
        <v>0.90986199999999995</v>
      </c>
      <c r="M92" s="20">
        <v>1.6396120000000001</v>
      </c>
      <c r="N92" s="20">
        <v>2.2504940000000002</v>
      </c>
      <c r="O92" s="20">
        <v>1.920903</v>
      </c>
      <c r="P92" s="20">
        <v>1.3871869999999999</v>
      </c>
      <c r="Q92" s="20">
        <v>2.0221800000000001</v>
      </c>
      <c r="R92" s="20">
        <v>1.149348</v>
      </c>
      <c r="S92" s="20">
        <v>0.80370900000000001</v>
      </c>
      <c r="T92" s="20">
        <v>1.8701700000000001</v>
      </c>
      <c r="U92" s="20">
        <v>2.1103450000000001</v>
      </c>
      <c r="V92" s="20">
        <v>2.203881</v>
      </c>
      <c r="W92" s="20">
        <v>0.772949</v>
      </c>
      <c r="X92" s="32">
        <v>0.54929118461789195</v>
      </c>
    </row>
    <row r="93" spans="3:29" x14ac:dyDescent="0.2">
      <c r="C93" s="21" t="s">
        <v>36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6" spans="3:29" ht="20" x14ac:dyDescent="0.2">
      <c r="C96" s="22" t="s">
        <v>84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3:29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3:29" x14ac:dyDescent="0.2">
      <c r="C98" s="9" t="s">
        <v>6</v>
      </c>
      <c r="D98" s="9"/>
      <c r="E98" s="10" t="s">
        <v>248</v>
      </c>
      <c r="F98" s="10" t="s">
        <v>100</v>
      </c>
      <c r="G98" s="10" t="s">
        <v>99</v>
      </c>
      <c r="H98" s="10" t="s">
        <v>98</v>
      </c>
      <c r="I98" s="10" t="s">
        <v>97</v>
      </c>
      <c r="J98" s="10" t="s">
        <v>96</v>
      </c>
      <c r="K98" s="10" t="s">
        <v>95</v>
      </c>
      <c r="L98" s="10" t="s">
        <v>94</v>
      </c>
      <c r="M98" s="10" t="s">
        <v>93</v>
      </c>
      <c r="N98" s="10" t="s">
        <v>92</v>
      </c>
      <c r="O98" s="10" t="s">
        <v>91</v>
      </c>
      <c r="P98" s="10" t="s">
        <v>90</v>
      </c>
      <c r="Q98" s="10" t="s">
        <v>89</v>
      </c>
      <c r="R98" s="10" t="s">
        <v>88</v>
      </c>
      <c r="S98" s="10" t="s">
        <v>87</v>
      </c>
      <c r="T98" s="10" t="s">
        <v>86</v>
      </c>
      <c r="U98" s="10" t="s">
        <v>10</v>
      </c>
      <c r="V98" s="10" t="s">
        <v>9</v>
      </c>
      <c r="W98" s="10" t="s">
        <v>8</v>
      </c>
      <c r="X98" s="10" t="s">
        <v>7</v>
      </c>
      <c r="Y98" s="10" t="s">
        <v>37</v>
      </c>
      <c r="Z98" s="100" t="s">
        <v>85</v>
      </c>
      <c r="AA98" s="10" t="s">
        <v>426</v>
      </c>
      <c r="AB98" s="10" t="s">
        <v>427</v>
      </c>
      <c r="AC98" s="10" t="s">
        <v>428</v>
      </c>
    </row>
    <row r="99" spans="3:29" x14ac:dyDescent="0.2">
      <c r="C99" s="11" t="s">
        <v>11</v>
      </c>
      <c r="D99" s="11"/>
      <c r="E99" s="12" t="s">
        <v>116</v>
      </c>
      <c r="F99" s="12" t="s">
        <v>116</v>
      </c>
      <c r="G99" s="12" t="s">
        <v>115</v>
      </c>
      <c r="H99" s="12" t="s">
        <v>114</v>
      </c>
      <c r="I99" s="12" t="s">
        <v>113</v>
      </c>
      <c r="J99" s="12" t="s">
        <v>112</v>
      </c>
      <c r="K99" s="12" t="s">
        <v>111</v>
      </c>
      <c r="L99" s="12" t="s">
        <v>110</v>
      </c>
      <c r="M99" s="12" t="s">
        <v>109</v>
      </c>
      <c r="N99" s="12" t="s">
        <v>108</v>
      </c>
      <c r="O99" s="12" t="s">
        <v>107</v>
      </c>
      <c r="P99" s="12" t="s">
        <v>106</v>
      </c>
      <c r="Q99" s="12" t="s">
        <v>105</v>
      </c>
      <c r="R99" s="12" t="s">
        <v>104</v>
      </c>
      <c r="S99" s="12" t="s">
        <v>103</v>
      </c>
      <c r="T99" s="12" t="s">
        <v>102</v>
      </c>
      <c r="U99" s="12" t="s">
        <v>15</v>
      </c>
      <c r="V99" s="12" t="s">
        <v>14</v>
      </c>
      <c r="W99" s="12" t="s">
        <v>13</v>
      </c>
      <c r="X99" s="12" t="s">
        <v>12</v>
      </c>
      <c r="Y99" s="12" t="s">
        <v>38</v>
      </c>
      <c r="Z99" s="101" t="s">
        <v>101</v>
      </c>
      <c r="AA99" s="12" t="s">
        <v>429</v>
      </c>
      <c r="AB99" s="12" t="s">
        <v>430</v>
      </c>
      <c r="AC99" s="12" t="s">
        <v>431</v>
      </c>
    </row>
    <row r="100" spans="3:29" x14ac:dyDescent="0.2">
      <c r="C100" s="13" t="s">
        <v>249</v>
      </c>
      <c r="D100" s="17"/>
      <c r="E100" s="28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02"/>
      <c r="AA100" s="17"/>
      <c r="AB100" s="17"/>
      <c r="AC100" s="17"/>
    </row>
    <row r="101" spans="3:29" x14ac:dyDescent="0.2">
      <c r="C101" s="15" t="s">
        <v>61</v>
      </c>
      <c r="D101" s="15" t="s">
        <v>432</v>
      </c>
      <c r="E101" s="29">
        <v>21308</v>
      </c>
      <c r="F101" s="16">
        <v>21308</v>
      </c>
      <c r="G101" s="16">
        <v>7215</v>
      </c>
      <c r="H101" s="16">
        <v>6960</v>
      </c>
      <c r="I101" s="16">
        <v>9135</v>
      </c>
      <c r="J101" s="16">
        <v>22003</v>
      </c>
      <c r="K101" s="16">
        <v>14570</v>
      </c>
      <c r="L101" s="16">
        <v>10009</v>
      </c>
      <c r="M101" s="16">
        <v>8257</v>
      </c>
      <c r="N101" s="16">
        <v>8635</v>
      </c>
      <c r="O101" s="16">
        <v>8104</v>
      </c>
      <c r="P101" s="16">
        <v>8144</v>
      </c>
      <c r="Q101" s="16">
        <v>19337</v>
      </c>
      <c r="R101" s="16">
        <v>8085</v>
      </c>
      <c r="S101" s="16">
        <v>11361</v>
      </c>
      <c r="T101" s="16">
        <v>3910</v>
      </c>
      <c r="U101" s="16">
        <v>9126</v>
      </c>
      <c r="V101" s="16">
        <v>7788</v>
      </c>
      <c r="W101" s="16">
        <v>3726</v>
      </c>
      <c r="X101" s="16">
        <v>4952</v>
      </c>
      <c r="Y101" s="16">
        <v>3351</v>
      </c>
      <c r="Z101" s="103">
        <v>2213</v>
      </c>
      <c r="AA101" s="16">
        <v>1929</v>
      </c>
      <c r="AB101" s="16">
        <v>1572.900024</v>
      </c>
      <c r="AC101" s="16">
        <v>1298.400024</v>
      </c>
    </row>
    <row r="102" spans="3:29" x14ac:dyDescent="0.2">
      <c r="C102" s="15" t="s">
        <v>62</v>
      </c>
      <c r="D102" s="15" t="s">
        <v>433</v>
      </c>
      <c r="E102" s="29">
        <v>6269</v>
      </c>
      <c r="F102" s="16">
        <v>6269</v>
      </c>
      <c r="G102" s="16">
        <v>5757</v>
      </c>
      <c r="H102" s="16">
        <v>5157</v>
      </c>
      <c r="I102" s="16">
        <v>5537</v>
      </c>
      <c r="J102" s="16">
        <v>6410</v>
      </c>
      <c r="K102" s="16">
        <v>7655</v>
      </c>
      <c r="L102" s="16">
        <v>8907</v>
      </c>
      <c r="M102" s="16">
        <v>8487</v>
      </c>
      <c r="N102" s="16">
        <v>4757</v>
      </c>
      <c r="O102" s="16">
        <v>5090</v>
      </c>
      <c r="P102" s="16">
        <v>5200</v>
      </c>
      <c r="Q102" s="16">
        <v>5293</v>
      </c>
      <c r="R102" s="16">
        <v>5576</v>
      </c>
      <c r="S102" s="16">
        <v>5093</v>
      </c>
      <c r="T102" s="16">
        <v>4025</v>
      </c>
      <c r="U102" s="16">
        <v>1036</v>
      </c>
      <c r="V102" s="16">
        <v>1068</v>
      </c>
      <c r="W102" s="16">
        <v>968</v>
      </c>
      <c r="X102" s="16">
        <v>905</v>
      </c>
      <c r="Y102" s="16">
        <v>489</v>
      </c>
      <c r="Z102" s="103">
        <v>428</v>
      </c>
      <c r="AA102" s="16">
        <v>430</v>
      </c>
      <c r="AB102" s="16">
        <v>374</v>
      </c>
      <c r="AC102" s="16">
        <v>292</v>
      </c>
    </row>
    <row r="103" spans="3:29" x14ac:dyDescent="0.2">
      <c r="C103" s="15" t="s">
        <v>264</v>
      </c>
      <c r="D103" s="15" t="s">
        <v>434</v>
      </c>
      <c r="E103" s="29">
        <v>-12501</v>
      </c>
      <c r="F103" s="16">
        <v>-12501</v>
      </c>
      <c r="G103" s="16">
        <v>2561</v>
      </c>
      <c r="H103" s="16">
        <v>2730</v>
      </c>
      <c r="I103" s="16">
        <v>1351</v>
      </c>
      <c r="J103" s="16">
        <v>-897</v>
      </c>
      <c r="K103" s="16">
        <v>839</v>
      </c>
      <c r="L103" s="16">
        <v>2379</v>
      </c>
      <c r="M103" s="16">
        <v>4240</v>
      </c>
      <c r="N103" s="16">
        <v>-9113</v>
      </c>
      <c r="O103" s="16">
        <v>111</v>
      </c>
      <c r="P103" s="16">
        <v>749</v>
      </c>
      <c r="Q103" s="16">
        <v>-9755</v>
      </c>
      <c r="R103" s="16">
        <v>1988</v>
      </c>
      <c r="S103" s="16">
        <v>1436</v>
      </c>
      <c r="T103" s="16">
        <v>4341</v>
      </c>
      <c r="U103" s="16">
        <v>70</v>
      </c>
      <c r="V103" s="16">
        <v>-39</v>
      </c>
      <c r="W103" s="16">
        <v>-294</v>
      </c>
      <c r="X103" s="16">
        <v>523</v>
      </c>
      <c r="Y103" s="16">
        <v>345</v>
      </c>
      <c r="Z103" s="103">
        <v>59</v>
      </c>
      <c r="AA103" s="16">
        <v>231</v>
      </c>
      <c r="AB103" s="16">
        <v>-47.900002000000001</v>
      </c>
      <c r="AC103" s="16">
        <v>-108.099998</v>
      </c>
    </row>
    <row r="104" spans="3:29" x14ac:dyDescent="0.2">
      <c r="C104" s="15" t="s">
        <v>265</v>
      </c>
      <c r="D104" s="15" t="s">
        <v>435</v>
      </c>
      <c r="E104" s="29">
        <v>840</v>
      </c>
      <c r="F104" s="16">
        <v>840</v>
      </c>
      <c r="G104" s="16">
        <v>691</v>
      </c>
      <c r="H104" s="16">
        <v>669</v>
      </c>
      <c r="I104" s="16">
        <v>586</v>
      </c>
      <c r="J104" s="16">
        <v>523</v>
      </c>
      <c r="K104" s="16">
        <v>481</v>
      </c>
      <c r="L104" s="16">
        <v>419</v>
      </c>
      <c r="M104" s="16">
        <v>405</v>
      </c>
      <c r="N104" s="16">
        <v>349</v>
      </c>
      <c r="O104" s="16">
        <v>384</v>
      </c>
      <c r="P104" s="16">
        <v>437</v>
      </c>
      <c r="Q104" s="16">
        <v>655</v>
      </c>
      <c r="R104" s="16">
        <v>157</v>
      </c>
      <c r="S104" s="16" t="s">
        <v>34</v>
      </c>
      <c r="T104" s="16" t="s">
        <v>34</v>
      </c>
      <c r="U104" s="16" t="s">
        <v>34</v>
      </c>
      <c r="V104" s="16" t="s">
        <v>34</v>
      </c>
      <c r="W104" s="16" t="s">
        <v>34</v>
      </c>
      <c r="X104" s="16" t="s">
        <v>34</v>
      </c>
      <c r="Y104" s="16" t="s">
        <v>34</v>
      </c>
      <c r="Z104" s="103" t="s">
        <v>34</v>
      </c>
      <c r="AA104" s="16" t="s">
        <v>34</v>
      </c>
      <c r="AB104" s="16" t="s">
        <v>34</v>
      </c>
      <c r="AC104" s="16" t="s">
        <v>34</v>
      </c>
    </row>
    <row r="105" spans="3:29" x14ac:dyDescent="0.2">
      <c r="C105" s="15" t="s">
        <v>266</v>
      </c>
      <c r="D105" s="15" t="s">
        <v>436</v>
      </c>
      <c r="E105" s="29">
        <v>-13070</v>
      </c>
      <c r="F105" s="16">
        <v>-13070</v>
      </c>
      <c r="G105" s="16">
        <v>-700</v>
      </c>
      <c r="H105" s="16">
        <v>-20</v>
      </c>
      <c r="I105" s="16">
        <v>317</v>
      </c>
      <c r="J105" s="16">
        <v>1703</v>
      </c>
      <c r="K105" s="16">
        <v>2198</v>
      </c>
      <c r="L105" s="16">
        <v>454</v>
      </c>
      <c r="M105" s="16">
        <v>1953</v>
      </c>
      <c r="N105" s="16">
        <v>-9582</v>
      </c>
      <c r="O105" s="16">
        <v>-1331</v>
      </c>
      <c r="P105" s="16">
        <v>-2788</v>
      </c>
      <c r="Q105" s="16">
        <v>-1945</v>
      </c>
      <c r="R105" s="16">
        <v>-1457</v>
      </c>
      <c r="S105" s="16">
        <v>-1579</v>
      </c>
      <c r="T105" s="16">
        <v>-104</v>
      </c>
      <c r="U105" s="16">
        <v>-285</v>
      </c>
      <c r="V105" s="16">
        <v>1092</v>
      </c>
      <c r="W105" s="16">
        <v>-265</v>
      </c>
      <c r="X105" s="16">
        <v>213</v>
      </c>
      <c r="Y105" s="16">
        <v>22</v>
      </c>
      <c r="Z105" s="103" t="s">
        <v>34</v>
      </c>
      <c r="AA105" s="16" t="s">
        <v>34</v>
      </c>
      <c r="AB105" s="16" t="s">
        <v>34</v>
      </c>
      <c r="AC105" s="16" t="s">
        <v>34</v>
      </c>
    </row>
    <row r="106" spans="3:29" x14ac:dyDescent="0.2">
      <c r="C106" s="15" t="s">
        <v>267</v>
      </c>
      <c r="D106" s="15" t="s">
        <v>437</v>
      </c>
      <c r="E106" s="29">
        <v>-271</v>
      </c>
      <c r="F106" s="16">
        <v>-271</v>
      </c>
      <c r="G106" s="16">
        <v>2570</v>
      </c>
      <c r="H106" s="16">
        <v>2081</v>
      </c>
      <c r="I106" s="16">
        <v>448</v>
      </c>
      <c r="J106" s="16">
        <v>-3123</v>
      </c>
      <c r="K106" s="16">
        <v>-1840</v>
      </c>
      <c r="L106" s="16">
        <v>1506</v>
      </c>
      <c r="M106" s="16">
        <v>1882</v>
      </c>
      <c r="N106" s="16">
        <v>120</v>
      </c>
      <c r="O106" s="16">
        <v>1058</v>
      </c>
      <c r="P106" s="16">
        <v>3100</v>
      </c>
      <c r="Q106" s="16">
        <v>-8465</v>
      </c>
      <c r="R106" s="16">
        <v>3288</v>
      </c>
      <c r="S106" s="16">
        <v>3015</v>
      </c>
      <c r="T106" s="16">
        <v>4445</v>
      </c>
      <c r="U106" s="16">
        <v>355</v>
      </c>
      <c r="V106" s="16">
        <v>-1131</v>
      </c>
      <c r="W106" s="16">
        <v>-29</v>
      </c>
      <c r="X106" s="16">
        <v>310</v>
      </c>
      <c r="Y106" s="16">
        <v>323</v>
      </c>
      <c r="Z106" s="103">
        <v>59</v>
      </c>
      <c r="AA106" s="16">
        <v>231</v>
      </c>
      <c r="AB106" s="16">
        <v>-47.900002000000001</v>
      </c>
      <c r="AC106" s="16">
        <v>-108.099998</v>
      </c>
    </row>
    <row r="107" spans="3:29" x14ac:dyDescent="0.2">
      <c r="C107" s="15" t="s">
        <v>268</v>
      </c>
      <c r="D107" s="15" t="s">
        <v>438</v>
      </c>
      <c r="E107" s="29">
        <v>1394</v>
      </c>
      <c r="F107" s="16">
        <v>1394</v>
      </c>
      <c r="G107" s="16">
        <v>368</v>
      </c>
      <c r="H107" s="16">
        <v>-159</v>
      </c>
      <c r="I107" s="16">
        <v>1112</v>
      </c>
      <c r="J107" s="16">
        <v>614</v>
      </c>
      <c r="K107" s="16">
        <v>805</v>
      </c>
      <c r="L107" s="16">
        <v>633</v>
      </c>
      <c r="M107" s="16">
        <v>-9530</v>
      </c>
      <c r="N107" s="16">
        <v>12308</v>
      </c>
      <c r="O107" s="16">
        <v>4933</v>
      </c>
      <c r="P107" s="16">
        <v>-740</v>
      </c>
      <c r="Q107" s="16">
        <v>2719</v>
      </c>
      <c r="R107" s="16">
        <v>-916</v>
      </c>
      <c r="S107" s="16">
        <v>-1550</v>
      </c>
      <c r="T107" s="16">
        <v>-549</v>
      </c>
      <c r="U107" s="16">
        <v>-49</v>
      </c>
      <c r="V107" s="16">
        <v>446</v>
      </c>
      <c r="W107" s="16">
        <v>1803</v>
      </c>
      <c r="X107" s="16">
        <v>-907</v>
      </c>
      <c r="Y107" s="16">
        <v>498</v>
      </c>
      <c r="Z107" s="103">
        <v>-1160</v>
      </c>
      <c r="AA107" s="16">
        <v>-523</v>
      </c>
      <c r="AB107" s="16">
        <v>-77.599997999999999</v>
      </c>
      <c r="AC107" s="16">
        <v>6.2</v>
      </c>
    </row>
    <row r="108" spans="3:29" x14ac:dyDescent="0.2">
      <c r="C108" s="15" t="s">
        <v>269</v>
      </c>
      <c r="D108" s="15" t="s">
        <v>439</v>
      </c>
      <c r="E108" s="29"/>
      <c r="F108" s="16">
        <v>259</v>
      </c>
      <c r="G108" s="16">
        <v>-134</v>
      </c>
      <c r="H108" s="16">
        <v>21</v>
      </c>
      <c r="I108" s="16">
        <v>148</v>
      </c>
      <c r="J108" s="16">
        <v>940</v>
      </c>
      <c r="K108" s="16">
        <v>367</v>
      </c>
      <c r="L108" s="16">
        <v>-66</v>
      </c>
      <c r="M108" s="16">
        <v>-608</v>
      </c>
      <c r="N108" s="16">
        <v>-472</v>
      </c>
      <c r="O108" s="16">
        <v>195</v>
      </c>
      <c r="P108" s="16">
        <v>-320</v>
      </c>
      <c r="Q108" s="16">
        <v>-172</v>
      </c>
      <c r="R108" s="16">
        <v>-803</v>
      </c>
      <c r="S108" s="16">
        <v>-465</v>
      </c>
      <c r="T108" s="16">
        <v>207</v>
      </c>
      <c r="U108" s="16">
        <v>-963</v>
      </c>
      <c r="V108" s="16">
        <v>81</v>
      </c>
      <c r="W108" s="16">
        <v>-498</v>
      </c>
      <c r="X108" s="16">
        <v>-1274</v>
      </c>
      <c r="Y108" s="16">
        <v>-765</v>
      </c>
      <c r="Z108" s="103" t="s">
        <v>34</v>
      </c>
      <c r="AA108" s="16" t="s">
        <v>34</v>
      </c>
      <c r="AB108" s="16" t="s">
        <v>34</v>
      </c>
      <c r="AC108" s="16" t="s">
        <v>34</v>
      </c>
    </row>
    <row r="109" spans="3:29" x14ac:dyDescent="0.2">
      <c r="C109" s="15" t="s">
        <v>270</v>
      </c>
      <c r="D109" s="15" t="s">
        <v>440</v>
      </c>
      <c r="E109" s="29"/>
      <c r="F109" s="16">
        <v>-357</v>
      </c>
      <c r="G109" s="16">
        <v>365</v>
      </c>
      <c r="H109" s="16">
        <v>-199</v>
      </c>
      <c r="I109" s="16">
        <v>175</v>
      </c>
      <c r="J109" s="16">
        <v>-538</v>
      </c>
      <c r="K109" s="16">
        <v>-631</v>
      </c>
      <c r="L109" s="16">
        <v>1084</v>
      </c>
      <c r="M109" s="16">
        <v>2917</v>
      </c>
      <c r="N109" s="16">
        <v>1631</v>
      </c>
      <c r="O109" s="16">
        <v>294</v>
      </c>
      <c r="P109" s="16">
        <v>720</v>
      </c>
      <c r="Q109" s="16">
        <v>118</v>
      </c>
      <c r="R109" s="16">
        <v>72</v>
      </c>
      <c r="S109" s="16">
        <v>-542</v>
      </c>
      <c r="T109" s="16">
        <v>-200</v>
      </c>
      <c r="U109" s="16">
        <v>-129</v>
      </c>
      <c r="V109" s="16">
        <v>-110</v>
      </c>
      <c r="W109" s="16">
        <v>-436</v>
      </c>
      <c r="X109" s="16">
        <v>-278</v>
      </c>
      <c r="Y109" s="16">
        <v>-439</v>
      </c>
      <c r="Z109" s="103" t="s">
        <v>34</v>
      </c>
      <c r="AA109" s="16" t="s">
        <v>34</v>
      </c>
      <c r="AB109" s="16" t="s">
        <v>34</v>
      </c>
      <c r="AC109" s="16" t="s">
        <v>34</v>
      </c>
    </row>
    <row r="110" spans="3:29" x14ac:dyDescent="0.2">
      <c r="C110" s="15" t="s">
        <v>271</v>
      </c>
      <c r="D110" s="15" t="s">
        <v>441</v>
      </c>
      <c r="E110" s="29"/>
      <c r="F110" s="16">
        <v>46</v>
      </c>
      <c r="G110" s="16">
        <v>871</v>
      </c>
      <c r="H110" s="16">
        <v>254</v>
      </c>
      <c r="I110" s="16">
        <v>297</v>
      </c>
      <c r="J110" s="16">
        <v>382</v>
      </c>
      <c r="K110" s="16">
        <v>579</v>
      </c>
      <c r="L110" s="16">
        <v>-367</v>
      </c>
      <c r="M110" s="16" t="s">
        <v>34</v>
      </c>
      <c r="N110" s="16" t="s">
        <v>34</v>
      </c>
      <c r="O110" s="16" t="s">
        <v>34</v>
      </c>
      <c r="P110" s="16" t="s">
        <v>34</v>
      </c>
      <c r="Q110" s="16" t="s">
        <v>34</v>
      </c>
      <c r="R110" s="16" t="s">
        <v>34</v>
      </c>
      <c r="S110" s="16" t="s">
        <v>34</v>
      </c>
      <c r="T110" s="16" t="s">
        <v>34</v>
      </c>
      <c r="U110" s="16" t="s">
        <v>34</v>
      </c>
      <c r="V110" s="16" t="s">
        <v>34</v>
      </c>
      <c r="W110" s="16" t="s">
        <v>34</v>
      </c>
      <c r="X110" s="16" t="s">
        <v>34</v>
      </c>
      <c r="Y110" s="16" t="s">
        <v>34</v>
      </c>
      <c r="Z110" s="103" t="s">
        <v>34</v>
      </c>
      <c r="AA110" s="16" t="s">
        <v>34</v>
      </c>
      <c r="AB110" s="16" t="s">
        <v>34</v>
      </c>
      <c r="AC110" s="16" t="s">
        <v>34</v>
      </c>
    </row>
    <row r="111" spans="3:29" x14ac:dyDescent="0.2">
      <c r="C111" s="15" t="s">
        <v>272</v>
      </c>
      <c r="D111" s="15" t="s">
        <v>442</v>
      </c>
      <c r="E111" s="29">
        <v>1394</v>
      </c>
      <c r="F111" s="16">
        <v>1446</v>
      </c>
      <c r="G111" s="16">
        <v>-734</v>
      </c>
      <c r="H111" s="16">
        <v>-235</v>
      </c>
      <c r="I111" s="16">
        <v>492</v>
      </c>
      <c r="J111" s="16">
        <v>-170</v>
      </c>
      <c r="K111" s="16">
        <v>490</v>
      </c>
      <c r="L111" s="16">
        <v>-18</v>
      </c>
      <c r="M111" s="16">
        <v>-11839</v>
      </c>
      <c r="N111" s="16">
        <v>11149</v>
      </c>
      <c r="O111" s="16">
        <v>4444</v>
      </c>
      <c r="P111" s="16">
        <v>-1140</v>
      </c>
      <c r="Q111" s="16">
        <v>2773</v>
      </c>
      <c r="R111" s="16">
        <v>-185</v>
      </c>
      <c r="S111" s="16">
        <v>-543</v>
      </c>
      <c r="T111" s="16">
        <v>-556</v>
      </c>
      <c r="U111" s="16">
        <v>1043</v>
      </c>
      <c r="V111" s="16">
        <v>475</v>
      </c>
      <c r="W111" s="16">
        <v>2737</v>
      </c>
      <c r="X111" s="16">
        <v>645</v>
      </c>
      <c r="Y111" s="16">
        <v>1702</v>
      </c>
      <c r="Z111" s="103">
        <v>-1160</v>
      </c>
      <c r="AA111" s="16">
        <v>-523</v>
      </c>
      <c r="AB111" s="16">
        <v>-77.599997999999999</v>
      </c>
      <c r="AC111" s="16">
        <v>6.2</v>
      </c>
    </row>
    <row r="112" spans="3:29" x14ac:dyDescent="0.2">
      <c r="C112" s="15" t="s">
        <v>273</v>
      </c>
      <c r="D112" s="15" t="s">
        <v>443</v>
      </c>
      <c r="E112" s="29"/>
      <c r="F112" s="16" t="s">
        <v>34</v>
      </c>
      <c r="G112" s="16" t="s">
        <v>34</v>
      </c>
      <c r="H112" s="16" t="s">
        <v>34</v>
      </c>
      <c r="I112" s="16">
        <v>-51</v>
      </c>
      <c r="J112" s="16">
        <v>-10446</v>
      </c>
      <c r="K112" s="16">
        <v>-7123</v>
      </c>
      <c r="L112" s="16">
        <v>-1688</v>
      </c>
      <c r="M112" s="16" t="s">
        <v>34</v>
      </c>
      <c r="N112" s="16" t="s">
        <v>34</v>
      </c>
      <c r="O112" s="16" t="s">
        <v>34</v>
      </c>
      <c r="P112" s="16" t="s">
        <v>34</v>
      </c>
      <c r="Q112" s="16" t="s">
        <v>34</v>
      </c>
      <c r="R112" s="16" t="s">
        <v>34</v>
      </c>
      <c r="S112" s="16" t="s">
        <v>34</v>
      </c>
      <c r="T112" s="16" t="s">
        <v>34</v>
      </c>
      <c r="U112" s="16" t="s">
        <v>34</v>
      </c>
      <c r="V112" s="16" t="s">
        <v>34</v>
      </c>
      <c r="W112" s="16" t="s">
        <v>34</v>
      </c>
      <c r="X112" s="16" t="s">
        <v>34</v>
      </c>
      <c r="Y112" s="16" t="s">
        <v>34</v>
      </c>
      <c r="Z112" s="103" t="s">
        <v>34</v>
      </c>
      <c r="AA112" s="16" t="s">
        <v>34</v>
      </c>
      <c r="AB112" s="16" t="s">
        <v>34</v>
      </c>
      <c r="AC112" s="16" t="s">
        <v>34</v>
      </c>
    </row>
    <row r="113" spans="3:29" x14ac:dyDescent="0.2">
      <c r="C113" s="13" t="s">
        <v>249</v>
      </c>
      <c r="D113" s="13" t="s">
        <v>444</v>
      </c>
      <c r="E113" s="30">
        <v>16470</v>
      </c>
      <c r="F113" s="14">
        <v>16470</v>
      </c>
      <c r="G113" s="14">
        <v>15901</v>
      </c>
      <c r="H113" s="14">
        <v>14688</v>
      </c>
      <c r="I113" s="14">
        <v>17084</v>
      </c>
      <c r="J113" s="14">
        <v>17684</v>
      </c>
      <c r="K113" s="14">
        <v>16746</v>
      </c>
      <c r="L113" s="14">
        <v>20240</v>
      </c>
      <c r="M113" s="14">
        <v>11454</v>
      </c>
      <c r="N113" s="14">
        <v>16587</v>
      </c>
      <c r="O113" s="14">
        <v>18238</v>
      </c>
      <c r="P113" s="14">
        <v>13353</v>
      </c>
      <c r="Q113" s="14">
        <v>17594</v>
      </c>
      <c r="R113" s="14">
        <v>14733</v>
      </c>
      <c r="S113" s="14">
        <v>16340</v>
      </c>
      <c r="T113" s="14">
        <v>11727</v>
      </c>
      <c r="U113" s="14">
        <v>10183</v>
      </c>
      <c r="V113" s="14">
        <v>9263</v>
      </c>
      <c r="W113" s="14">
        <v>6203</v>
      </c>
      <c r="X113" s="14">
        <v>5473</v>
      </c>
      <c r="Y113" s="14">
        <v>4683</v>
      </c>
      <c r="Z113" s="104">
        <v>1540</v>
      </c>
      <c r="AA113" s="14">
        <v>2067</v>
      </c>
      <c r="AB113" s="14">
        <v>1821.400024</v>
      </c>
      <c r="AC113" s="14">
        <v>1488.5</v>
      </c>
    </row>
    <row r="114" spans="3:29" x14ac:dyDescent="0.2">
      <c r="C114" s="13"/>
      <c r="D114" s="17"/>
      <c r="E114" s="28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02"/>
      <c r="AA114" s="17"/>
      <c r="AB114" s="17"/>
      <c r="AC114" s="17"/>
    </row>
    <row r="115" spans="3:29" x14ac:dyDescent="0.2">
      <c r="C115" s="13" t="s">
        <v>274</v>
      </c>
      <c r="D115" s="17"/>
      <c r="E115" s="28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02"/>
      <c r="AA115" s="17"/>
      <c r="AB115" s="17"/>
      <c r="AC115" s="17"/>
    </row>
    <row r="116" spans="3:29" x14ac:dyDescent="0.2">
      <c r="C116" s="15" t="s">
        <v>275</v>
      </c>
      <c r="D116" s="15" t="s">
        <v>445</v>
      </c>
      <c r="E116" s="29">
        <v>-2217</v>
      </c>
      <c r="F116" s="16">
        <v>-2217</v>
      </c>
      <c r="G116" s="16">
        <v>-1999</v>
      </c>
      <c r="H116" s="16">
        <v>-1496</v>
      </c>
      <c r="I116" s="16">
        <v>-1583</v>
      </c>
      <c r="J116" s="16">
        <v>-1206</v>
      </c>
      <c r="K116" s="16">
        <v>-1327</v>
      </c>
      <c r="L116" s="16">
        <v>-1660</v>
      </c>
      <c r="M116" s="16">
        <v>-1513</v>
      </c>
      <c r="N116" s="16">
        <v>-1205</v>
      </c>
      <c r="O116" s="16">
        <v>-1701</v>
      </c>
      <c r="P116" s="16">
        <v>-1880</v>
      </c>
      <c r="Q116" s="16">
        <v>-2050</v>
      </c>
      <c r="R116" s="16">
        <v>-2106</v>
      </c>
      <c r="S116" s="16">
        <v>-2601</v>
      </c>
      <c r="T116" s="16">
        <v>-2629</v>
      </c>
      <c r="U116" s="16">
        <v>-1758</v>
      </c>
      <c r="V116" s="16">
        <v>-2135</v>
      </c>
      <c r="W116" s="16">
        <v>-2100</v>
      </c>
      <c r="X116" s="16">
        <v>-2410</v>
      </c>
      <c r="Y116" s="16">
        <v>-1119</v>
      </c>
      <c r="Z116" s="103">
        <v>-831</v>
      </c>
      <c r="AA116" s="16">
        <v>-774</v>
      </c>
      <c r="AB116" s="16">
        <v>-696.29998799999998</v>
      </c>
      <c r="AC116" s="16">
        <v>-671.5</v>
      </c>
    </row>
    <row r="117" spans="3:29" x14ac:dyDescent="0.2">
      <c r="C117" s="15" t="s">
        <v>276</v>
      </c>
      <c r="D117" s="15" t="s">
        <v>446</v>
      </c>
      <c r="E117" s="29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 t="s">
        <v>34</v>
      </c>
      <c r="Q117" s="16" t="s">
        <v>34</v>
      </c>
      <c r="R117" s="16" t="s">
        <v>34</v>
      </c>
      <c r="S117" s="16">
        <v>0</v>
      </c>
      <c r="T117" s="16">
        <v>0</v>
      </c>
      <c r="U117" s="16">
        <v>0</v>
      </c>
      <c r="V117" s="16">
        <v>68</v>
      </c>
      <c r="W117" s="16">
        <v>91</v>
      </c>
      <c r="X117" s="16">
        <v>83</v>
      </c>
      <c r="Y117" s="16">
        <v>79</v>
      </c>
      <c r="Z117" s="103">
        <v>47</v>
      </c>
      <c r="AA117" s="16">
        <v>0</v>
      </c>
      <c r="AB117" s="16">
        <v>0</v>
      </c>
      <c r="AC117" s="16">
        <v>0</v>
      </c>
    </row>
    <row r="118" spans="3:29" x14ac:dyDescent="0.2">
      <c r="C118" s="23" t="s">
        <v>277</v>
      </c>
      <c r="D118" s="23" t="s">
        <v>447</v>
      </c>
      <c r="E118" s="31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 t="s">
        <v>34</v>
      </c>
      <c r="P118" s="24" t="s">
        <v>34</v>
      </c>
      <c r="Q118" s="24" t="s">
        <v>34</v>
      </c>
      <c r="R118" s="24" t="s">
        <v>34</v>
      </c>
      <c r="S118" s="24" t="s">
        <v>34</v>
      </c>
      <c r="T118" s="24" t="s">
        <v>34</v>
      </c>
      <c r="U118" s="24" t="s">
        <v>34</v>
      </c>
      <c r="V118" s="24" t="s">
        <v>34</v>
      </c>
      <c r="W118" s="24" t="s">
        <v>34</v>
      </c>
      <c r="X118" s="24" t="s">
        <v>34</v>
      </c>
      <c r="Y118" s="24" t="s">
        <v>34</v>
      </c>
      <c r="Z118" s="105" t="s">
        <v>34</v>
      </c>
      <c r="AA118" s="24" t="s">
        <v>34</v>
      </c>
      <c r="AB118" s="24" t="s">
        <v>34</v>
      </c>
      <c r="AC118" s="24" t="s">
        <v>34</v>
      </c>
    </row>
    <row r="119" spans="3:29" x14ac:dyDescent="0.2">
      <c r="C119" s="23" t="s">
        <v>278</v>
      </c>
      <c r="D119" s="23" t="s">
        <v>448</v>
      </c>
      <c r="E119" s="31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 t="s">
        <v>34</v>
      </c>
      <c r="P119" s="24" t="s">
        <v>34</v>
      </c>
      <c r="Q119" s="24" t="s">
        <v>34</v>
      </c>
      <c r="R119" s="24" t="s">
        <v>34</v>
      </c>
      <c r="S119" s="24" t="s">
        <v>34</v>
      </c>
      <c r="T119" s="24" t="s">
        <v>34</v>
      </c>
      <c r="U119" s="24" t="s">
        <v>34</v>
      </c>
      <c r="V119" s="24" t="s">
        <v>34</v>
      </c>
      <c r="W119" s="24" t="s">
        <v>34</v>
      </c>
      <c r="X119" s="24" t="s">
        <v>34</v>
      </c>
      <c r="Y119" s="24" t="s">
        <v>34</v>
      </c>
      <c r="Z119" s="105" t="s">
        <v>34</v>
      </c>
      <c r="AA119" s="24" t="s">
        <v>34</v>
      </c>
      <c r="AB119" s="24" t="s">
        <v>34</v>
      </c>
      <c r="AC119" s="24" t="s">
        <v>34</v>
      </c>
    </row>
    <row r="120" spans="3:29" x14ac:dyDescent="0.2">
      <c r="C120" s="15" t="s">
        <v>279</v>
      </c>
      <c r="D120" s="15" t="s">
        <v>449</v>
      </c>
      <c r="E120" s="29">
        <v>-2217</v>
      </c>
      <c r="F120" s="16">
        <v>-2217</v>
      </c>
      <c r="G120" s="16">
        <v>-1999</v>
      </c>
      <c r="H120" s="16">
        <v>-1496</v>
      </c>
      <c r="I120" s="16">
        <v>-1583</v>
      </c>
      <c r="J120" s="16">
        <v>-1206</v>
      </c>
      <c r="K120" s="16">
        <v>-1327</v>
      </c>
      <c r="L120" s="16">
        <v>-1660</v>
      </c>
      <c r="M120" s="16">
        <v>-1513</v>
      </c>
      <c r="N120" s="16">
        <v>-1205</v>
      </c>
      <c r="O120" s="16">
        <v>-1701</v>
      </c>
      <c r="P120" s="16">
        <v>-1880</v>
      </c>
      <c r="Q120" s="16">
        <v>-2050</v>
      </c>
      <c r="R120" s="16">
        <v>-2106</v>
      </c>
      <c r="S120" s="16">
        <v>-2601</v>
      </c>
      <c r="T120" s="16">
        <v>-2629</v>
      </c>
      <c r="U120" s="16">
        <v>-1758</v>
      </c>
      <c r="V120" s="16">
        <v>-2203</v>
      </c>
      <c r="W120" s="16">
        <v>-2191</v>
      </c>
      <c r="X120" s="16">
        <v>-2493</v>
      </c>
      <c r="Y120" s="16">
        <v>-1198</v>
      </c>
      <c r="Z120" s="103">
        <v>-878</v>
      </c>
      <c r="AA120" s="16">
        <v>-774</v>
      </c>
      <c r="AB120" s="16">
        <v>-696.29998799999998</v>
      </c>
      <c r="AC120" s="16">
        <v>-671.5</v>
      </c>
    </row>
    <row r="121" spans="3:29" x14ac:dyDescent="0.2">
      <c r="C121" s="23" t="s">
        <v>280</v>
      </c>
      <c r="D121" s="23" t="s">
        <v>450</v>
      </c>
      <c r="E121" s="31">
        <v>-1956</v>
      </c>
      <c r="F121" s="24">
        <v>-1956</v>
      </c>
      <c r="G121" s="24">
        <v>-1823</v>
      </c>
      <c r="H121" s="24">
        <v>-1397</v>
      </c>
      <c r="I121" s="24">
        <v>-1199</v>
      </c>
      <c r="J121" s="24">
        <v>-1206</v>
      </c>
      <c r="K121" s="24">
        <v>-1327</v>
      </c>
      <c r="L121" s="24">
        <v>-1660</v>
      </c>
      <c r="M121" s="24">
        <v>-1513</v>
      </c>
      <c r="N121" s="24">
        <v>-1205</v>
      </c>
      <c r="O121" s="24" t="s">
        <v>34</v>
      </c>
      <c r="P121" s="24" t="s">
        <v>34</v>
      </c>
      <c r="Q121" s="24" t="s">
        <v>34</v>
      </c>
      <c r="R121" s="24" t="s">
        <v>34</v>
      </c>
      <c r="S121" s="24" t="s">
        <v>34</v>
      </c>
      <c r="T121" s="24" t="s">
        <v>34</v>
      </c>
      <c r="U121" s="24" t="s">
        <v>34</v>
      </c>
      <c r="V121" s="24" t="s">
        <v>34</v>
      </c>
      <c r="W121" s="24" t="s">
        <v>34</v>
      </c>
      <c r="X121" s="24" t="s">
        <v>34</v>
      </c>
      <c r="Y121" s="24" t="s">
        <v>34</v>
      </c>
      <c r="Z121" s="105" t="s">
        <v>34</v>
      </c>
      <c r="AA121" s="24" t="s">
        <v>34</v>
      </c>
      <c r="AB121" s="24" t="s">
        <v>34</v>
      </c>
      <c r="AC121" s="24" t="s">
        <v>34</v>
      </c>
    </row>
    <row r="122" spans="3:29" x14ac:dyDescent="0.2">
      <c r="C122" s="23" t="s">
        <v>281</v>
      </c>
      <c r="D122" s="23" t="s">
        <v>451</v>
      </c>
      <c r="E122" s="31">
        <v>-261</v>
      </c>
      <c r="F122" s="24">
        <v>-261</v>
      </c>
      <c r="G122" s="24">
        <v>-176</v>
      </c>
      <c r="H122" s="24">
        <v>-99</v>
      </c>
      <c r="I122" s="24">
        <v>-384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 t="s">
        <v>34</v>
      </c>
      <c r="P122" s="24" t="s">
        <v>34</v>
      </c>
      <c r="Q122" s="24" t="s">
        <v>34</v>
      </c>
      <c r="R122" s="24" t="s">
        <v>34</v>
      </c>
      <c r="S122" s="24" t="s">
        <v>34</v>
      </c>
      <c r="T122" s="24" t="s">
        <v>34</v>
      </c>
      <c r="U122" s="24" t="s">
        <v>34</v>
      </c>
      <c r="V122" s="24" t="s">
        <v>34</v>
      </c>
      <c r="W122" s="24" t="s">
        <v>34</v>
      </c>
      <c r="X122" s="24" t="s">
        <v>34</v>
      </c>
      <c r="Y122" s="24" t="s">
        <v>34</v>
      </c>
      <c r="Z122" s="105" t="s">
        <v>34</v>
      </c>
      <c r="AA122" s="24" t="s">
        <v>34</v>
      </c>
      <c r="AB122" s="24" t="s">
        <v>34</v>
      </c>
      <c r="AC122" s="24" t="s">
        <v>34</v>
      </c>
    </row>
    <row r="123" spans="3:29" x14ac:dyDescent="0.2">
      <c r="C123" s="15" t="s">
        <v>282</v>
      </c>
      <c r="D123" s="15" t="s">
        <v>452</v>
      </c>
      <c r="E123" s="29">
        <v>57</v>
      </c>
      <c r="F123" s="16">
        <v>57</v>
      </c>
      <c r="G123" s="16">
        <v>3243</v>
      </c>
      <c r="H123" s="16">
        <v>-2613</v>
      </c>
      <c r="I123" s="16">
        <v>-4573</v>
      </c>
      <c r="J123" s="16">
        <v>-3465</v>
      </c>
      <c r="K123" s="16">
        <v>-6155</v>
      </c>
      <c r="L123" s="16">
        <v>-2473</v>
      </c>
      <c r="M123" s="16">
        <v>461</v>
      </c>
      <c r="N123" s="16">
        <v>-384</v>
      </c>
      <c r="O123" s="16">
        <v>-8348</v>
      </c>
      <c r="P123" s="16">
        <v>-1463</v>
      </c>
      <c r="Q123" s="16">
        <v>-1692</v>
      </c>
      <c r="R123" s="16">
        <v>622</v>
      </c>
      <c r="S123" s="16">
        <v>241</v>
      </c>
      <c r="T123" s="16">
        <v>-1527</v>
      </c>
      <c r="U123" s="16">
        <v>600</v>
      </c>
      <c r="V123" s="16">
        <v>-3633</v>
      </c>
      <c r="W123" s="16">
        <v>-272</v>
      </c>
      <c r="X123" s="16">
        <v>2</v>
      </c>
      <c r="Y123" s="16">
        <v>-752</v>
      </c>
      <c r="Z123" s="103">
        <v>-74</v>
      </c>
      <c r="AA123" s="16">
        <v>-768</v>
      </c>
      <c r="AB123" s="16">
        <v>179.29998800000001</v>
      </c>
      <c r="AC123" s="16">
        <v>-141.40000499999999</v>
      </c>
    </row>
    <row r="124" spans="3:29" x14ac:dyDescent="0.2">
      <c r="C124" s="15" t="s">
        <v>283</v>
      </c>
      <c r="D124" s="15" t="s">
        <v>453</v>
      </c>
      <c r="E124" s="29">
        <v>3594</v>
      </c>
      <c r="F124" s="16">
        <v>3594</v>
      </c>
      <c r="G124" s="16">
        <v>11254</v>
      </c>
      <c r="H124" s="16">
        <v>6929</v>
      </c>
      <c r="I124" s="16">
        <v>6145</v>
      </c>
      <c r="J124" s="16">
        <v>7555</v>
      </c>
      <c r="K124" s="16">
        <v>4990</v>
      </c>
      <c r="L124" s="16">
        <v>2147</v>
      </c>
      <c r="M124" s="16">
        <v>4381</v>
      </c>
      <c r="N124" s="16">
        <v>6504</v>
      </c>
      <c r="O124" s="16">
        <v>1009</v>
      </c>
      <c r="P124" s="16">
        <v>172</v>
      </c>
      <c r="Q124" s="16">
        <v>233</v>
      </c>
      <c r="R124" s="16">
        <v>1309</v>
      </c>
      <c r="S124" s="16">
        <v>1570</v>
      </c>
      <c r="T124" s="16">
        <v>356</v>
      </c>
      <c r="U124" s="16">
        <v>3477</v>
      </c>
      <c r="V124" s="16">
        <v>80</v>
      </c>
      <c r="W124" s="16">
        <v>346</v>
      </c>
      <c r="X124" s="16">
        <v>42</v>
      </c>
      <c r="Y124" s="16">
        <v>0</v>
      </c>
      <c r="Z124" s="103">
        <v>0</v>
      </c>
      <c r="AA124" s="16">
        <v>52</v>
      </c>
      <c r="AB124" s="16">
        <v>330.29998799999998</v>
      </c>
      <c r="AC124" s="16">
        <v>20.700001</v>
      </c>
    </row>
    <row r="125" spans="3:29" x14ac:dyDescent="0.2">
      <c r="C125" s="15" t="s">
        <v>284</v>
      </c>
      <c r="D125" s="15" t="s">
        <v>454</v>
      </c>
      <c r="E125" s="29">
        <v>-3537</v>
      </c>
      <c r="F125" s="16">
        <v>-3537</v>
      </c>
      <c r="G125" s="16">
        <v>-8011</v>
      </c>
      <c r="H125" s="16">
        <v>-9542</v>
      </c>
      <c r="I125" s="16">
        <v>-10718</v>
      </c>
      <c r="J125" s="16">
        <v>-11020</v>
      </c>
      <c r="K125" s="16">
        <v>-11145</v>
      </c>
      <c r="L125" s="16">
        <v>-4620</v>
      </c>
      <c r="M125" s="16">
        <v>-3920</v>
      </c>
      <c r="N125" s="16">
        <v>-6888</v>
      </c>
      <c r="O125" s="16">
        <v>-9357</v>
      </c>
      <c r="P125" s="16">
        <v>-1635</v>
      </c>
      <c r="Q125" s="16">
        <v>-1925</v>
      </c>
      <c r="R125" s="16">
        <v>-687</v>
      </c>
      <c r="S125" s="16">
        <v>-1329</v>
      </c>
      <c r="T125" s="16">
        <v>-1883</v>
      </c>
      <c r="U125" s="16">
        <v>-2877</v>
      </c>
      <c r="V125" s="16">
        <v>-3713</v>
      </c>
      <c r="W125" s="16">
        <v>-618</v>
      </c>
      <c r="X125" s="16">
        <v>-40</v>
      </c>
      <c r="Y125" s="16">
        <v>-752</v>
      </c>
      <c r="Z125" s="103">
        <v>-74</v>
      </c>
      <c r="AA125" s="16">
        <v>-820</v>
      </c>
      <c r="AB125" s="16">
        <v>-151</v>
      </c>
      <c r="AC125" s="16">
        <v>-162.10000600000001</v>
      </c>
    </row>
    <row r="126" spans="3:29" x14ac:dyDescent="0.2">
      <c r="C126" s="15" t="s">
        <v>285</v>
      </c>
      <c r="D126" s="15" t="s">
        <v>455</v>
      </c>
      <c r="E126" s="29">
        <v>-1000</v>
      </c>
      <c r="F126" s="16">
        <v>-1000</v>
      </c>
      <c r="G126" s="16">
        <v>-18368</v>
      </c>
      <c r="H126" s="16">
        <v>-16466</v>
      </c>
      <c r="I126" s="16">
        <v>-195</v>
      </c>
      <c r="J126" s="16">
        <v>-274</v>
      </c>
      <c r="K126" s="16">
        <v>10708</v>
      </c>
      <c r="L126" s="16">
        <v>-906</v>
      </c>
      <c r="M126" s="16">
        <v>-273</v>
      </c>
      <c r="N126" s="16">
        <v>-43123</v>
      </c>
      <c r="O126" s="16" t="s">
        <v>34</v>
      </c>
      <c r="P126" s="16" t="s">
        <v>34</v>
      </c>
      <c r="Q126" s="16" t="s">
        <v>34</v>
      </c>
      <c r="R126" s="16" t="s">
        <v>34</v>
      </c>
      <c r="S126" s="16" t="s">
        <v>34</v>
      </c>
      <c r="T126" s="16" t="s">
        <v>34</v>
      </c>
      <c r="U126" s="16" t="s">
        <v>34</v>
      </c>
      <c r="V126" s="16" t="s">
        <v>34</v>
      </c>
      <c r="W126" s="16" t="s">
        <v>34</v>
      </c>
      <c r="X126" s="16" t="s">
        <v>34</v>
      </c>
      <c r="Y126" s="16" t="s">
        <v>34</v>
      </c>
      <c r="Z126" s="103" t="s">
        <v>34</v>
      </c>
      <c r="AA126" s="16" t="s">
        <v>34</v>
      </c>
      <c r="AB126" s="16" t="s">
        <v>34</v>
      </c>
      <c r="AC126" s="16" t="s">
        <v>34</v>
      </c>
    </row>
    <row r="127" spans="3:29" x14ac:dyDescent="0.2">
      <c r="C127" s="15" t="s">
        <v>286</v>
      </c>
      <c r="D127" s="15" t="s">
        <v>456</v>
      </c>
      <c r="E127" s="29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11850</v>
      </c>
      <c r="L127" s="16">
        <v>2376</v>
      </c>
      <c r="M127" s="16">
        <v>0</v>
      </c>
      <c r="N127" s="16">
        <v>0</v>
      </c>
      <c r="O127" s="16" t="s">
        <v>34</v>
      </c>
      <c r="P127" s="16" t="s">
        <v>34</v>
      </c>
      <c r="Q127" s="16" t="s">
        <v>34</v>
      </c>
      <c r="R127" s="16" t="s">
        <v>34</v>
      </c>
      <c r="S127" s="16" t="s">
        <v>34</v>
      </c>
      <c r="T127" s="16" t="s">
        <v>34</v>
      </c>
      <c r="U127" s="16" t="s">
        <v>34</v>
      </c>
      <c r="V127" s="16" t="s">
        <v>34</v>
      </c>
      <c r="W127" s="16" t="s">
        <v>34</v>
      </c>
      <c r="X127" s="16" t="s">
        <v>34</v>
      </c>
      <c r="Y127" s="16" t="s">
        <v>34</v>
      </c>
      <c r="Z127" s="103" t="s">
        <v>34</v>
      </c>
      <c r="AA127" s="16" t="s">
        <v>34</v>
      </c>
      <c r="AB127" s="16" t="s">
        <v>34</v>
      </c>
      <c r="AC127" s="16" t="s">
        <v>34</v>
      </c>
    </row>
    <row r="128" spans="3:29" x14ac:dyDescent="0.2">
      <c r="C128" s="15" t="s">
        <v>287</v>
      </c>
      <c r="D128" s="15" t="s">
        <v>457</v>
      </c>
      <c r="E128" s="29">
        <v>-1000</v>
      </c>
      <c r="F128" s="16">
        <v>-1000</v>
      </c>
      <c r="G128" s="16">
        <v>-18368</v>
      </c>
      <c r="H128" s="16">
        <v>-16466</v>
      </c>
      <c r="I128" s="16">
        <v>-195</v>
      </c>
      <c r="J128" s="16">
        <v>-274</v>
      </c>
      <c r="K128" s="16">
        <v>-1142</v>
      </c>
      <c r="L128" s="16">
        <v>-3282</v>
      </c>
      <c r="M128" s="16">
        <v>-273</v>
      </c>
      <c r="N128" s="16">
        <v>-43123</v>
      </c>
      <c r="O128" s="16" t="s">
        <v>34</v>
      </c>
      <c r="P128" s="16" t="s">
        <v>34</v>
      </c>
      <c r="Q128" s="16" t="s">
        <v>34</v>
      </c>
      <c r="R128" s="16" t="s">
        <v>34</v>
      </c>
      <c r="S128" s="16" t="s">
        <v>34</v>
      </c>
      <c r="T128" s="16" t="s">
        <v>34</v>
      </c>
      <c r="U128" s="16" t="s">
        <v>34</v>
      </c>
      <c r="V128" s="16" t="s">
        <v>34</v>
      </c>
      <c r="W128" s="16" t="s">
        <v>34</v>
      </c>
      <c r="X128" s="16" t="s">
        <v>34</v>
      </c>
      <c r="Y128" s="16" t="s">
        <v>34</v>
      </c>
      <c r="Z128" s="103" t="s">
        <v>34</v>
      </c>
      <c r="AA128" s="16" t="s">
        <v>34</v>
      </c>
      <c r="AB128" s="16" t="s">
        <v>34</v>
      </c>
      <c r="AC128" s="16" t="s">
        <v>34</v>
      </c>
    </row>
    <row r="129" spans="3:29" x14ac:dyDescent="0.2">
      <c r="C129" s="15" t="s">
        <v>288</v>
      </c>
      <c r="D129" s="15" t="s">
        <v>458</v>
      </c>
      <c r="E129" s="29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 t="s">
        <v>34</v>
      </c>
      <c r="P129" s="16" t="s">
        <v>34</v>
      </c>
      <c r="Q129" s="16" t="s">
        <v>34</v>
      </c>
      <c r="R129" s="16" t="s">
        <v>34</v>
      </c>
      <c r="S129" s="16" t="s">
        <v>34</v>
      </c>
      <c r="T129" s="16" t="s">
        <v>34</v>
      </c>
      <c r="U129" s="16" t="s">
        <v>34</v>
      </c>
      <c r="V129" s="16" t="s">
        <v>34</v>
      </c>
      <c r="W129" s="16" t="s">
        <v>34</v>
      </c>
      <c r="X129" s="16" t="s">
        <v>34</v>
      </c>
      <c r="Y129" s="16" t="s">
        <v>34</v>
      </c>
      <c r="Z129" s="103" t="s">
        <v>34</v>
      </c>
      <c r="AA129" s="16" t="s">
        <v>34</v>
      </c>
      <c r="AB129" s="16" t="s">
        <v>34</v>
      </c>
      <c r="AC129" s="16" t="s">
        <v>34</v>
      </c>
    </row>
    <row r="130" spans="3:29" x14ac:dyDescent="0.2">
      <c r="C130" s="15" t="s">
        <v>63</v>
      </c>
      <c r="D130" s="15" t="s">
        <v>459</v>
      </c>
      <c r="E130" s="29">
        <v>-1581</v>
      </c>
      <c r="F130" s="16">
        <v>-1581</v>
      </c>
      <c r="G130" s="16">
        <v>9313</v>
      </c>
      <c r="H130" s="16">
        <v>17595</v>
      </c>
      <c r="I130" s="16">
        <v>697</v>
      </c>
      <c r="J130" s="16">
        <v>-5599</v>
      </c>
      <c r="K130" s="16">
        <v>2928</v>
      </c>
      <c r="L130" s="16">
        <v>6882</v>
      </c>
      <c r="M130" s="16">
        <v>833</v>
      </c>
      <c r="N130" s="16">
        <v>13440</v>
      </c>
      <c r="O130" s="16">
        <v>-2786</v>
      </c>
      <c r="P130" s="16">
        <v>4138</v>
      </c>
      <c r="Q130" s="16">
        <v>8843</v>
      </c>
      <c r="R130" s="16">
        <v>-3588</v>
      </c>
      <c r="S130" s="16">
        <v>-7062</v>
      </c>
      <c r="T130" s="16">
        <v>9006</v>
      </c>
      <c r="U130" s="16">
        <v>-3180</v>
      </c>
      <c r="V130" s="16">
        <v>-1457</v>
      </c>
      <c r="W130" s="16">
        <v>-1381</v>
      </c>
      <c r="X130" s="16">
        <v>-1498</v>
      </c>
      <c r="Y130" s="16">
        <v>1536</v>
      </c>
      <c r="Z130" s="103">
        <v>-58</v>
      </c>
      <c r="AA130" s="16">
        <v>605</v>
      </c>
      <c r="AB130" s="16">
        <v>-1825.8000489999999</v>
      </c>
      <c r="AC130" s="16">
        <v>-27.399982000000001</v>
      </c>
    </row>
    <row r="131" spans="3:29" x14ac:dyDescent="0.2">
      <c r="C131" s="13" t="s">
        <v>274</v>
      </c>
      <c r="D131" s="13" t="s">
        <v>460</v>
      </c>
      <c r="E131" s="30">
        <v>-4741</v>
      </c>
      <c r="F131" s="14">
        <v>-4741</v>
      </c>
      <c r="G131" s="14">
        <v>-7811</v>
      </c>
      <c r="H131" s="14">
        <v>-2980</v>
      </c>
      <c r="I131" s="14">
        <v>-5654</v>
      </c>
      <c r="J131" s="14">
        <v>-10544</v>
      </c>
      <c r="K131" s="14">
        <v>6154</v>
      </c>
      <c r="L131" s="14">
        <v>1843</v>
      </c>
      <c r="M131" s="14">
        <v>-492</v>
      </c>
      <c r="N131" s="14">
        <v>-31272</v>
      </c>
      <c r="O131" s="14">
        <v>-12835</v>
      </c>
      <c r="P131" s="14">
        <v>795</v>
      </c>
      <c r="Q131" s="14">
        <v>5101</v>
      </c>
      <c r="R131" s="14">
        <v>-5072</v>
      </c>
      <c r="S131" s="14">
        <v>-9422</v>
      </c>
      <c r="T131" s="14">
        <v>4850</v>
      </c>
      <c r="U131" s="14">
        <v>-4338</v>
      </c>
      <c r="V131" s="14">
        <v>-7225</v>
      </c>
      <c r="W131" s="14">
        <v>-3753</v>
      </c>
      <c r="X131" s="14">
        <v>-3906</v>
      </c>
      <c r="Y131" s="14">
        <v>-335</v>
      </c>
      <c r="Z131" s="104">
        <v>-963</v>
      </c>
      <c r="AA131" s="14">
        <v>-937</v>
      </c>
      <c r="AB131" s="14">
        <v>-2342.8000489999999</v>
      </c>
      <c r="AC131" s="14">
        <v>-840.29998799999998</v>
      </c>
    </row>
    <row r="132" spans="3:29" x14ac:dyDescent="0.2">
      <c r="C132" s="13"/>
      <c r="D132" s="17"/>
      <c r="E132" s="28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02"/>
      <c r="AA132" s="17"/>
      <c r="AB132" s="17"/>
      <c r="AC132" s="17"/>
    </row>
    <row r="133" spans="3:29" x14ac:dyDescent="0.2">
      <c r="C133" s="13" t="s">
        <v>64</v>
      </c>
      <c r="D133" s="17"/>
      <c r="E133" s="28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02"/>
      <c r="AA133" s="17"/>
      <c r="AB133" s="17"/>
      <c r="AC133" s="17"/>
    </row>
    <row r="134" spans="3:29" x14ac:dyDescent="0.2">
      <c r="C134" s="15" t="s">
        <v>65</v>
      </c>
      <c r="D134" s="15" t="s">
        <v>461</v>
      </c>
      <c r="E134" s="29">
        <v>-7659</v>
      </c>
      <c r="F134" s="16">
        <v>-7659</v>
      </c>
      <c r="G134" s="16">
        <v>-7317</v>
      </c>
      <c r="H134" s="16">
        <v>-6940</v>
      </c>
      <c r="I134" s="16">
        <v>-6609</v>
      </c>
      <c r="J134" s="16">
        <v>-6580</v>
      </c>
      <c r="K134" s="16">
        <v>-6534</v>
      </c>
      <c r="L134" s="16">
        <v>-6234</v>
      </c>
      <c r="M134" s="16">
        <v>-6088</v>
      </c>
      <c r="N134" s="16">
        <v>-5548</v>
      </c>
      <c r="O134" s="16">
        <v>-8541</v>
      </c>
      <c r="P134" s="16">
        <v>-7975</v>
      </c>
      <c r="Q134" s="16">
        <v>-6919</v>
      </c>
      <c r="R134" s="16">
        <v>-5555</v>
      </c>
      <c r="S134" s="16">
        <v>-5082</v>
      </c>
      <c r="T134" s="16">
        <v>-4353</v>
      </c>
      <c r="U134" s="16">
        <v>-3168</v>
      </c>
      <c r="V134" s="16">
        <v>-2715</v>
      </c>
      <c r="W134" s="16">
        <v>-2197</v>
      </c>
      <c r="X134" s="16">
        <v>-1820</v>
      </c>
      <c r="Y134" s="16">
        <v>-976</v>
      </c>
      <c r="Z134" s="103">
        <v>-881</v>
      </c>
      <c r="AA134" s="16">
        <v>-771</v>
      </c>
      <c r="AB134" s="16">
        <v>-658.5</v>
      </c>
      <c r="AC134" s="16">
        <v>-594.59997599999997</v>
      </c>
    </row>
    <row r="135" spans="3:29" x14ac:dyDescent="0.2">
      <c r="C135" s="15" t="s">
        <v>289</v>
      </c>
      <c r="D135" s="15" t="s">
        <v>462</v>
      </c>
      <c r="E135" s="29">
        <v>-1005</v>
      </c>
      <c r="F135" s="16">
        <v>-1005</v>
      </c>
      <c r="G135" s="16">
        <v>2573</v>
      </c>
      <c r="H135" s="16">
        <v>1319</v>
      </c>
      <c r="I135" s="16">
        <v>543</v>
      </c>
      <c r="J135" s="16">
        <v>6036</v>
      </c>
      <c r="K135" s="16">
        <v>-1725</v>
      </c>
      <c r="L135" s="16">
        <v>-5542</v>
      </c>
      <c r="M135" s="16">
        <v>-4152</v>
      </c>
      <c r="N135" s="16">
        <v>20120</v>
      </c>
      <c r="O135" s="16">
        <v>2407</v>
      </c>
      <c r="P135" s="16">
        <v>4900</v>
      </c>
      <c r="Q135" s="16">
        <v>-9934</v>
      </c>
      <c r="R135" s="16">
        <v>-321</v>
      </c>
      <c r="S135" s="16">
        <v>4100</v>
      </c>
      <c r="T135" s="16">
        <v>-591</v>
      </c>
      <c r="U135" s="16">
        <v>2505</v>
      </c>
      <c r="V135" s="16">
        <v>3511</v>
      </c>
      <c r="W135" s="16">
        <v>-1691</v>
      </c>
      <c r="X135" s="16">
        <v>2099</v>
      </c>
      <c r="Y135" s="16">
        <v>200</v>
      </c>
      <c r="Z135" s="103">
        <v>183</v>
      </c>
      <c r="AA135" s="16">
        <v>91</v>
      </c>
      <c r="AB135" s="16">
        <v>58</v>
      </c>
      <c r="AC135" s="16">
        <v>1070.600048</v>
      </c>
    </row>
    <row r="136" spans="3:29" x14ac:dyDescent="0.2">
      <c r="C136" s="15" t="s">
        <v>290</v>
      </c>
      <c r="D136" s="15" t="s">
        <v>463</v>
      </c>
      <c r="E136" s="29">
        <v>-125</v>
      </c>
      <c r="F136" s="16">
        <v>-125</v>
      </c>
      <c r="G136" s="16">
        <v>-714</v>
      </c>
      <c r="H136" s="16">
        <v>4309</v>
      </c>
      <c r="I136" s="16">
        <v>-1838</v>
      </c>
      <c r="J136" s="16">
        <v>3564</v>
      </c>
      <c r="K136" s="16">
        <v>-212</v>
      </c>
      <c r="L136" s="16">
        <v>1444</v>
      </c>
      <c r="M136" s="16">
        <v>-4146</v>
      </c>
      <c r="N136" s="16">
        <v>-2936</v>
      </c>
      <c r="O136" s="16" t="s">
        <v>34</v>
      </c>
      <c r="P136" s="16" t="s">
        <v>34</v>
      </c>
      <c r="Q136" s="16" t="s">
        <v>34</v>
      </c>
      <c r="R136" s="16" t="s">
        <v>34</v>
      </c>
      <c r="S136" s="16" t="s">
        <v>34</v>
      </c>
      <c r="T136" s="16" t="s">
        <v>34</v>
      </c>
      <c r="U136" s="16" t="s">
        <v>34</v>
      </c>
      <c r="V136" s="16" t="s">
        <v>34</v>
      </c>
      <c r="W136" s="16" t="s">
        <v>34</v>
      </c>
      <c r="X136" s="16" t="s">
        <v>34</v>
      </c>
      <c r="Y136" s="16" t="s">
        <v>34</v>
      </c>
      <c r="Z136" s="103" t="s">
        <v>34</v>
      </c>
      <c r="AA136" s="16" t="s">
        <v>34</v>
      </c>
      <c r="AB136" s="16" t="s">
        <v>34</v>
      </c>
      <c r="AC136" s="16" t="s">
        <v>34</v>
      </c>
    </row>
    <row r="137" spans="3:29" x14ac:dyDescent="0.2">
      <c r="C137" s="15" t="s">
        <v>291</v>
      </c>
      <c r="D137" s="15" t="s">
        <v>464</v>
      </c>
      <c r="E137" s="29">
        <v>5274</v>
      </c>
      <c r="F137" s="16">
        <v>5274</v>
      </c>
      <c r="G137" s="16">
        <v>10976</v>
      </c>
      <c r="H137" s="16">
        <v>0</v>
      </c>
      <c r="I137" s="16">
        <v>4491</v>
      </c>
      <c r="J137" s="16">
        <v>6618</v>
      </c>
      <c r="K137" s="16">
        <v>0</v>
      </c>
      <c r="L137" s="16">
        <v>0</v>
      </c>
      <c r="M137" s="16">
        <v>0</v>
      </c>
      <c r="N137" s="16">
        <v>24023</v>
      </c>
      <c r="O137" s="16" t="s">
        <v>34</v>
      </c>
      <c r="P137" s="16" t="s">
        <v>34</v>
      </c>
      <c r="Q137" s="16" t="s">
        <v>34</v>
      </c>
      <c r="R137" s="16" t="s">
        <v>34</v>
      </c>
      <c r="S137" s="16" t="s">
        <v>34</v>
      </c>
      <c r="T137" s="16" t="s">
        <v>34</v>
      </c>
      <c r="U137" s="16" t="s">
        <v>34</v>
      </c>
      <c r="V137" s="16" t="s">
        <v>34</v>
      </c>
      <c r="W137" s="16" t="s">
        <v>34</v>
      </c>
      <c r="X137" s="16" t="s">
        <v>34</v>
      </c>
      <c r="Y137" s="16" t="s">
        <v>34</v>
      </c>
      <c r="Z137" s="103" t="s">
        <v>34</v>
      </c>
      <c r="AA137" s="16" t="s">
        <v>34</v>
      </c>
      <c r="AB137" s="16" t="s">
        <v>34</v>
      </c>
      <c r="AC137" s="16" t="s">
        <v>34</v>
      </c>
    </row>
    <row r="138" spans="3:29" x14ac:dyDescent="0.2">
      <c r="C138" s="15" t="s">
        <v>292</v>
      </c>
      <c r="D138" s="15" t="s">
        <v>465</v>
      </c>
      <c r="E138" s="29">
        <v>-6154</v>
      </c>
      <c r="F138" s="16">
        <v>-6154</v>
      </c>
      <c r="G138" s="16">
        <v>-7689</v>
      </c>
      <c r="H138" s="16">
        <v>-2990</v>
      </c>
      <c r="I138" s="16">
        <v>-2110</v>
      </c>
      <c r="J138" s="16">
        <v>-4146</v>
      </c>
      <c r="K138" s="16">
        <v>-1513</v>
      </c>
      <c r="L138" s="16">
        <v>-6986</v>
      </c>
      <c r="M138" s="16">
        <v>-6</v>
      </c>
      <c r="N138" s="16">
        <v>-967</v>
      </c>
      <c r="O138" s="16" t="s">
        <v>34</v>
      </c>
      <c r="P138" s="16" t="s">
        <v>34</v>
      </c>
      <c r="Q138" s="16" t="s">
        <v>34</v>
      </c>
      <c r="R138" s="16" t="s">
        <v>34</v>
      </c>
      <c r="S138" s="16" t="s">
        <v>34</v>
      </c>
      <c r="T138" s="16" t="s">
        <v>34</v>
      </c>
      <c r="U138" s="16" t="s">
        <v>34</v>
      </c>
      <c r="V138" s="16" t="s">
        <v>34</v>
      </c>
      <c r="W138" s="16" t="s">
        <v>34</v>
      </c>
      <c r="X138" s="16" t="s">
        <v>34</v>
      </c>
      <c r="Y138" s="16" t="s">
        <v>34</v>
      </c>
      <c r="Z138" s="103" t="s">
        <v>34</v>
      </c>
      <c r="AA138" s="16" t="s">
        <v>34</v>
      </c>
      <c r="AB138" s="16" t="s">
        <v>34</v>
      </c>
      <c r="AC138" s="16" t="s">
        <v>34</v>
      </c>
    </row>
    <row r="139" spans="3:29" x14ac:dyDescent="0.2">
      <c r="C139" s="15" t="s">
        <v>293</v>
      </c>
      <c r="D139" s="15" t="s">
        <v>466</v>
      </c>
      <c r="E139" s="29">
        <v>-4138</v>
      </c>
      <c r="F139" s="16">
        <v>-4138</v>
      </c>
      <c r="G139" s="16">
        <v>-3981</v>
      </c>
      <c r="H139" s="16">
        <v>-4897</v>
      </c>
      <c r="I139" s="16">
        <v>-3998</v>
      </c>
      <c r="J139" s="16">
        <v>-14540</v>
      </c>
      <c r="K139" s="16">
        <v>-7660</v>
      </c>
      <c r="L139" s="16">
        <v>-9000</v>
      </c>
      <c r="M139" s="16">
        <v>-1000</v>
      </c>
      <c r="N139" s="16">
        <v>0</v>
      </c>
      <c r="O139" s="16">
        <v>-426</v>
      </c>
      <c r="P139" s="16">
        <v>-9535</v>
      </c>
      <c r="Q139" s="16">
        <v>-6247</v>
      </c>
      <c r="R139" s="16">
        <v>-3346</v>
      </c>
      <c r="S139" s="16">
        <v>-5647</v>
      </c>
      <c r="T139" s="16">
        <v>-11965</v>
      </c>
      <c r="U139" s="16">
        <v>-4336</v>
      </c>
      <c r="V139" s="16">
        <v>-3603</v>
      </c>
      <c r="W139" s="16">
        <v>183</v>
      </c>
      <c r="X139" s="16">
        <v>-1906</v>
      </c>
      <c r="Y139" s="16">
        <v>-1501</v>
      </c>
      <c r="Z139" s="103">
        <v>-175</v>
      </c>
      <c r="AA139" s="16">
        <v>253</v>
      </c>
      <c r="AB139" s="16">
        <v>96.5</v>
      </c>
      <c r="AC139" s="16">
        <v>-447.00001500000002</v>
      </c>
    </row>
    <row r="140" spans="3:29" x14ac:dyDescent="0.2">
      <c r="C140" s="15" t="s">
        <v>294</v>
      </c>
      <c r="D140" s="15" t="s">
        <v>467</v>
      </c>
      <c r="E140" s="29">
        <v>862</v>
      </c>
      <c r="F140" s="16">
        <v>862</v>
      </c>
      <c r="G140" s="16">
        <v>1019</v>
      </c>
      <c r="H140" s="16">
        <v>1263</v>
      </c>
      <c r="I140" s="16">
        <v>1002</v>
      </c>
      <c r="J140" s="16">
        <v>1750</v>
      </c>
      <c r="K140" s="16">
        <v>568</v>
      </c>
      <c r="L140" s="16">
        <v>0</v>
      </c>
      <c r="M140" s="16">
        <v>0</v>
      </c>
      <c r="N140" s="16">
        <v>0</v>
      </c>
      <c r="O140" s="16">
        <v>74</v>
      </c>
      <c r="P140" s="16">
        <v>459</v>
      </c>
      <c r="Q140" s="16">
        <v>732</v>
      </c>
      <c r="R140" s="16">
        <v>451</v>
      </c>
      <c r="S140" s="16">
        <v>1012</v>
      </c>
      <c r="T140" s="16">
        <v>1072</v>
      </c>
      <c r="U140" s="16">
        <v>660</v>
      </c>
      <c r="V140" s="16">
        <v>62</v>
      </c>
      <c r="W140" s="16">
        <v>1188</v>
      </c>
      <c r="X140" s="16">
        <v>636</v>
      </c>
      <c r="Y140" s="16">
        <v>411</v>
      </c>
      <c r="Z140" s="103">
        <v>411</v>
      </c>
      <c r="AA140" s="16">
        <v>280</v>
      </c>
      <c r="AB140" s="16">
        <v>205</v>
      </c>
      <c r="AC140" s="16">
        <v>64.199996999999996</v>
      </c>
    </row>
    <row r="141" spans="3:29" x14ac:dyDescent="0.2">
      <c r="C141" s="15" t="s">
        <v>295</v>
      </c>
      <c r="D141" s="15" t="s">
        <v>468</v>
      </c>
      <c r="E141" s="29">
        <v>-5000</v>
      </c>
      <c r="F141" s="16">
        <v>-5000</v>
      </c>
      <c r="G141" s="16">
        <v>-5000</v>
      </c>
      <c r="H141" s="16">
        <v>-6160</v>
      </c>
      <c r="I141" s="16">
        <v>-5000</v>
      </c>
      <c r="J141" s="16">
        <v>-16290</v>
      </c>
      <c r="K141" s="16">
        <v>-8228</v>
      </c>
      <c r="L141" s="16">
        <v>-9000</v>
      </c>
      <c r="M141" s="16">
        <v>-1000</v>
      </c>
      <c r="N141" s="16">
        <v>0</v>
      </c>
      <c r="O141" s="16">
        <v>-500</v>
      </c>
      <c r="P141" s="16">
        <v>-9994</v>
      </c>
      <c r="Q141" s="16">
        <v>-6979</v>
      </c>
      <c r="R141" s="16">
        <v>-3797</v>
      </c>
      <c r="S141" s="16">
        <v>-6659</v>
      </c>
      <c r="T141" s="16">
        <v>-13037</v>
      </c>
      <c r="U141" s="16">
        <v>-4996</v>
      </c>
      <c r="V141" s="16">
        <v>-3665</v>
      </c>
      <c r="W141" s="16">
        <v>-1005</v>
      </c>
      <c r="X141" s="16">
        <v>-2542</v>
      </c>
      <c r="Y141" s="16">
        <v>-1912</v>
      </c>
      <c r="Z141" s="103">
        <v>-586</v>
      </c>
      <c r="AA141" s="16">
        <v>-27</v>
      </c>
      <c r="AB141" s="16">
        <v>-108.5</v>
      </c>
      <c r="AC141" s="16">
        <v>-511.20001200000002</v>
      </c>
    </row>
    <row r="142" spans="3:29" x14ac:dyDescent="0.2">
      <c r="C142" s="15" t="s">
        <v>66</v>
      </c>
      <c r="D142" s="15" t="s">
        <v>469</v>
      </c>
      <c r="E142" s="29">
        <v>-233</v>
      </c>
      <c r="F142" s="16">
        <v>-233</v>
      </c>
      <c r="G142" s="16">
        <v>-196</v>
      </c>
      <c r="H142" s="16">
        <v>109</v>
      </c>
      <c r="I142" s="16">
        <v>-123</v>
      </c>
      <c r="J142" s="16">
        <v>109</v>
      </c>
      <c r="K142" s="16">
        <v>-80</v>
      </c>
      <c r="L142" s="16">
        <v>169</v>
      </c>
      <c r="M142" s="16">
        <v>66</v>
      </c>
      <c r="N142" s="16">
        <v>-91</v>
      </c>
      <c r="O142" s="16" t="s">
        <v>34</v>
      </c>
      <c r="P142" s="16" t="s">
        <v>34</v>
      </c>
      <c r="Q142" s="16" t="s">
        <v>34</v>
      </c>
      <c r="R142" s="16" t="s">
        <v>34</v>
      </c>
      <c r="S142" s="16" t="s">
        <v>34</v>
      </c>
      <c r="T142" s="16" t="s">
        <v>34</v>
      </c>
      <c r="U142" s="16" t="s">
        <v>34</v>
      </c>
      <c r="V142" s="16" t="s">
        <v>34</v>
      </c>
      <c r="W142" s="16" t="s">
        <v>34</v>
      </c>
      <c r="X142" s="16" t="s">
        <v>34</v>
      </c>
      <c r="Y142" s="16" t="s">
        <v>34</v>
      </c>
      <c r="Z142" s="103" t="s">
        <v>34</v>
      </c>
      <c r="AA142" s="16" t="s">
        <v>34</v>
      </c>
      <c r="AB142" s="16" t="s">
        <v>34</v>
      </c>
      <c r="AC142" s="16" t="s">
        <v>34</v>
      </c>
    </row>
    <row r="143" spans="3:29" x14ac:dyDescent="0.2">
      <c r="C143" s="13" t="s">
        <v>64</v>
      </c>
      <c r="D143" s="13" t="s">
        <v>470</v>
      </c>
      <c r="E143" s="30">
        <v>-13035</v>
      </c>
      <c r="F143" s="14">
        <v>-13035</v>
      </c>
      <c r="G143" s="14">
        <v>-8921</v>
      </c>
      <c r="H143" s="14">
        <v>-10409</v>
      </c>
      <c r="I143" s="14">
        <v>-10187</v>
      </c>
      <c r="J143" s="14">
        <v>-14975</v>
      </c>
      <c r="K143" s="14">
        <v>-15999</v>
      </c>
      <c r="L143" s="14">
        <v>-20607</v>
      </c>
      <c r="M143" s="14">
        <v>-11174</v>
      </c>
      <c r="N143" s="14">
        <v>14481</v>
      </c>
      <c r="O143" s="14">
        <v>-6687</v>
      </c>
      <c r="P143" s="14">
        <v>-12569</v>
      </c>
      <c r="Q143" s="14">
        <v>-23115</v>
      </c>
      <c r="R143" s="14">
        <v>-9222</v>
      </c>
      <c r="S143" s="14">
        <v>-6630</v>
      </c>
      <c r="T143" s="14">
        <v>-16935</v>
      </c>
      <c r="U143" s="14">
        <v>-5003</v>
      </c>
      <c r="V143" s="14">
        <v>-2101</v>
      </c>
      <c r="W143" s="14">
        <v>-3701</v>
      </c>
      <c r="X143" s="14">
        <v>-1616</v>
      </c>
      <c r="Y143" s="14">
        <v>-2272</v>
      </c>
      <c r="Z143" s="104">
        <v>-850</v>
      </c>
      <c r="AA143" s="14">
        <v>-383</v>
      </c>
      <c r="AB143" s="14">
        <v>-533.79999899999996</v>
      </c>
      <c r="AC143" s="14">
        <v>80.900058999999999</v>
      </c>
    </row>
    <row r="144" spans="3:29" x14ac:dyDescent="0.2">
      <c r="C144" s="13"/>
      <c r="D144" s="17"/>
      <c r="E144" s="28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02"/>
      <c r="AA144" s="17"/>
      <c r="AB144" s="17"/>
      <c r="AC144" s="17"/>
    </row>
    <row r="145" spans="3:29" x14ac:dyDescent="0.2">
      <c r="C145" s="15" t="s">
        <v>296</v>
      </c>
      <c r="D145" s="15" t="s">
        <v>471</v>
      </c>
      <c r="E145" s="29">
        <v>53</v>
      </c>
      <c r="F145" s="16">
        <v>53</v>
      </c>
      <c r="G145" s="16">
        <v>-215</v>
      </c>
      <c r="H145" s="16">
        <v>-1000</v>
      </c>
      <c r="I145" s="16">
        <v>-83</v>
      </c>
      <c r="J145" s="16">
        <v>-63</v>
      </c>
      <c r="K145" s="16">
        <v>-2</v>
      </c>
      <c r="L145" s="16">
        <v>-29</v>
      </c>
      <c r="M145" s="16">
        <v>-31</v>
      </c>
      <c r="N145" s="16">
        <v>60</v>
      </c>
      <c r="O145" s="16" t="s">
        <v>34</v>
      </c>
      <c r="P145" s="16" t="s">
        <v>34</v>
      </c>
      <c r="Q145" s="16" t="s">
        <v>34</v>
      </c>
      <c r="R145" s="16" t="s">
        <v>34</v>
      </c>
      <c r="S145" s="16" t="s">
        <v>34</v>
      </c>
      <c r="T145" s="16" t="s">
        <v>34</v>
      </c>
      <c r="U145" s="16" t="s">
        <v>34</v>
      </c>
      <c r="V145" s="16" t="s">
        <v>34</v>
      </c>
      <c r="W145" s="16" t="s">
        <v>34</v>
      </c>
      <c r="X145" s="16" t="s">
        <v>34</v>
      </c>
      <c r="Y145" s="16" t="s">
        <v>34</v>
      </c>
      <c r="Z145" s="103" t="s">
        <v>34</v>
      </c>
      <c r="AA145" s="16" t="s">
        <v>34</v>
      </c>
      <c r="AB145" s="16" t="s">
        <v>34</v>
      </c>
      <c r="AC145" s="16" t="s">
        <v>34</v>
      </c>
    </row>
    <row r="146" spans="3:29" x14ac:dyDescent="0.2">
      <c r="C146" s="13"/>
      <c r="D146" s="17"/>
      <c r="E146" s="28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02"/>
      <c r="AA146" s="17"/>
      <c r="AB146" s="17"/>
      <c r="AC146" s="17"/>
    </row>
    <row r="147" spans="3:29" x14ac:dyDescent="0.2">
      <c r="C147" s="13" t="s">
        <v>67</v>
      </c>
      <c r="D147" s="13" t="s">
        <v>472</v>
      </c>
      <c r="E147" s="30">
        <v>-1253</v>
      </c>
      <c r="F147" s="14">
        <v>-1253</v>
      </c>
      <c r="G147" s="14">
        <v>-1046</v>
      </c>
      <c r="H147" s="14">
        <v>299</v>
      </c>
      <c r="I147" s="14">
        <v>1160</v>
      </c>
      <c r="J147" s="14">
        <v>-7898</v>
      </c>
      <c r="K147" s="14">
        <v>6899</v>
      </c>
      <c r="L147" s="14">
        <v>1447</v>
      </c>
      <c r="M147" s="14">
        <v>-243</v>
      </c>
      <c r="N147" s="14">
        <v>-144</v>
      </c>
      <c r="O147" s="14">
        <v>-1284</v>
      </c>
      <c r="P147" s="14">
        <v>1579</v>
      </c>
      <c r="Q147" s="14">
        <v>-420</v>
      </c>
      <c r="R147" s="14">
        <v>439</v>
      </c>
      <c r="S147" s="14">
        <v>288</v>
      </c>
      <c r="T147" s="14">
        <v>-358</v>
      </c>
      <c r="U147" s="14">
        <v>842</v>
      </c>
      <c r="V147" s="14">
        <v>-63</v>
      </c>
      <c r="W147" s="14">
        <v>-1251</v>
      </c>
      <c r="X147" s="14">
        <v>-49</v>
      </c>
      <c r="Y147" s="14">
        <v>2076</v>
      </c>
      <c r="Z147" s="104">
        <v>-273</v>
      </c>
      <c r="AA147" s="14">
        <v>747</v>
      </c>
      <c r="AB147" s="14">
        <v>-1055.1999510000001</v>
      </c>
      <c r="AC147" s="14">
        <v>729.09997599999997</v>
      </c>
    </row>
    <row r="148" spans="3:29" x14ac:dyDescent="0.2">
      <c r="C148" s="13"/>
      <c r="D148" s="17"/>
      <c r="E148" s="28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02"/>
      <c r="AA148" s="17"/>
      <c r="AB148" s="17"/>
      <c r="AC148" s="17"/>
    </row>
    <row r="149" spans="3:29" x14ac:dyDescent="0.2">
      <c r="C149" s="13" t="s">
        <v>69</v>
      </c>
      <c r="D149" s="13" t="s">
        <v>473</v>
      </c>
      <c r="E149" s="30">
        <v>2489</v>
      </c>
      <c r="F149" s="14">
        <v>2489</v>
      </c>
      <c r="G149" s="14">
        <v>2521</v>
      </c>
      <c r="H149" s="14">
        <v>2383</v>
      </c>
      <c r="I149" s="14">
        <v>2100</v>
      </c>
      <c r="J149" s="14">
        <v>2874</v>
      </c>
      <c r="K149" s="14">
        <v>2409</v>
      </c>
      <c r="L149" s="14">
        <v>2938</v>
      </c>
      <c r="M149" s="14">
        <v>11775</v>
      </c>
      <c r="N149" s="14">
        <v>2300</v>
      </c>
      <c r="O149" s="14">
        <v>2252</v>
      </c>
      <c r="P149" s="14">
        <v>5617</v>
      </c>
      <c r="Q149" s="14">
        <v>3443</v>
      </c>
      <c r="R149" s="14">
        <v>4713</v>
      </c>
      <c r="S149" s="14">
        <v>3388</v>
      </c>
      <c r="T149" s="14">
        <v>2905</v>
      </c>
      <c r="U149" s="14">
        <v>1480</v>
      </c>
      <c r="V149" s="14">
        <v>303</v>
      </c>
      <c r="W149" s="14">
        <v>460</v>
      </c>
      <c r="X149" s="14">
        <v>379</v>
      </c>
      <c r="Y149" s="14">
        <v>1073</v>
      </c>
      <c r="Z149" s="104">
        <v>149</v>
      </c>
      <c r="AA149" s="14" t="s">
        <v>34</v>
      </c>
      <c r="AB149" s="14" t="s">
        <v>34</v>
      </c>
      <c r="AC149" s="14" t="s">
        <v>34</v>
      </c>
    </row>
    <row r="150" spans="3:29" x14ac:dyDescent="0.2">
      <c r="C150" s="13" t="s">
        <v>70</v>
      </c>
      <c r="D150" s="13" t="s">
        <v>474</v>
      </c>
      <c r="E150" s="30"/>
      <c r="F150" s="14">
        <v>1518</v>
      </c>
      <c r="G150" s="14">
        <v>1451</v>
      </c>
      <c r="H150" s="14">
        <v>1302</v>
      </c>
      <c r="I150" s="14">
        <v>1550</v>
      </c>
      <c r="J150" s="14">
        <v>1729</v>
      </c>
      <c r="K150" s="14">
        <v>1873</v>
      </c>
      <c r="L150" s="14">
        <v>2085</v>
      </c>
      <c r="M150" s="14">
        <v>2155</v>
      </c>
      <c r="N150" s="14">
        <v>935</v>
      </c>
      <c r="O150" s="14">
        <v>782</v>
      </c>
      <c r="P150" s="14">
        <v>643</v>
      </c>
      <c r="Q150" s="14">
        <v>715</v>
      </c>
      <c r="R150" s="14">
        <v>649</v>
      </c>
      <c r="S150" s="14">
        <v>496</v>
      </c>
      <c r="T150" s="14">
        <v>350</v>
      </c>
      <c r="U150" s="14">
        <v>256</v>
      </c>
      <c r="V150" s="14">
        <v>1006</v>
      </c>
      <c r="W150" s="14">
        <v>1041</v>
      </c>
      <c r="X150" s="14">
        <v>1573</v>
      </c>
      <c r="Y150" s="14">
        <v>155</v>
      </c>
      <c r="Z150" s="104">
        <v>809</v>
      </c>
      <c r="AA150" s="14" t="s">
        <v>34</v>
      </c>
      <c r="AB150" s="14" t="s">
        <v>34</v>
      </c>
      <c r="AC150" s="14" t="s">
        <v>34</v>
      </c>
    </row>
    <row r="151" spans="3:29" x14ac:dyDescent="0.2">
      <c r="C151" s="13"/>
      <c r="D151" s="17"/>
      <c r="E151" s="28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02"/>
      <c r="AA151" s="17"/>
      <c r="AB151" s="17"/>
      <c r="AC151" s="17"/>
    </row>
    <row r="152" spans="3:29" x14ac:dyDescent="0.2">
      <c r="C152" s="21" t="s">
        <v>36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</sheetData>
  <phoneticPr fontId="44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99"/>
  </sheetPr>
  <dimension ref="A1:AB123"/>
  <sheetViews>
    <sheetView topLeftCell="H7" zoomScale="110" zoomScaleNormal="110" workbookViewId="0">
      <selection activeCell="A12" sqref="A12"/>
    </sheetView>
  </sheetViews>
  <sheetFormatPr baseColWidth="10" defaultColWidth="8.83203125" defaultRowHeight="15" x14ac:dyDescent="0.2"/>
  <cols>
    <col min="1" max="1" width="12" style="230" bestFit="1" customWidth="1"/>
    <col min="2" max="2" width="12.5" bestFit="1" customWidth="1"/>
    <col min="3" max="3" width="7.83203125" bestFit="1" customWidth="1"/>
    <col min="4" max="4" width="21.83203125" bestFit="1" customWidth="1"/>
    <col min="5" max="5" width="15.1640625" bestFit="1" customWidth="1"/>
    <col min="6" max="6" width="12.6640625" bestFit="1" customWidth="1"/>
    <col min="7" max="7" width="8.5" bestFit="1" customWidth="1"/>
    <col min="8" max="8" width="28.6640625" bestFit="1" customWidth="1"/>
    <col min="9" max="9" width="14.83203125" bestFit="1" customWidth="1"/>
    <col min="10" max="10" width="8.5" bestFit="1" customWidth="1"/>
    <col min="11" max="11" width="16.83203125" bestFit="1" customWidth="1"/>
    <col min="12" max="12" width="11.33203125" bestFit="1" customWidth="1"/>
    <col min="13" max="13" width="11.1640625" bestFit="1" customWidth="1"/>
    <col min="14" max="14" width="11.5" bestFit="1" customWidth="1"/>
    <col min="15" max="15" width="17.1640625" bestFit="1" customWidth="1"/>
    <col min="16" max="16" width="9.83203125" bestFit="1" customWidth="1"/>
    <col min="17" max="17" width="30.5" bestFit="1" customWidth="1"/>
    <col min="18" max="18" width="12.1640625" bestFit="1" customWidth="1"/>
    <col min="19" max="19" width="9.83203125" bestFit="1" customWidth="1"/>
    <col min="20" max="21" width="7.83203125" bestFit="1" customWidth="1"/>
    <col min="22" max="22" width="20.1640625" bestFit="1" customWidth="1"/>
    <col min="25" max="25" width="10.1640625" bestFit="1" customWidth="1"/>
    <col min="26" max="26" width="8" bestFit="1" customWidth="1"/>
    <col min="27" max="27" width="13.83203125" bestFit="1" customWidth="1"/>
  </cols>
  <sheetData>
    <row r="1" spans="1:28" s="1" customFormat="1" x14ac:dyDescent="0.2">
      <c r="A1" s="230"/>
    </row>
    <row r="2" spans="1:28" s="1" customFormat="1" x14ac:dyDescent="0.2">
      <c r="A2" s="230"/>
    </row>
    <row r="3" spans="1:28" s="1" customFormat="1" x14ac:dyDescent="0.2">
      <c r="A3" s="230"/>
    </row>
    <row r="4" spans="1:28" s="1" customFormat="1" x14ac:dyDescent="0.2">
      <c r="A4" s="230"/>
    </row>
    <row r="5" spans="1:28" x14ac:dyDescent="0.2">
      <c r="B5" t="s">
        <v>299</v>
      </c>
    </row>
    <row r="6" spans="1:28" x14ac:dyDescent="0.2">
      <c r="B6" t="s">
        <v>77</v>
      </c>
      <c r="C6" t="s">
        <v>300</v>
      </c>
      <c r="D6" t="s">
        <v>301</v>
      </c>
      <c r="E6" t="s">
        <v>302</v>
      </c>
      <c r="F6" t="s">
        <v>303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 t="s">
        <v>309</v>
      </c>
      <c r="M6" t="s">
        <v>310</v>
      </c>
      <c r="N6" t="s">
        <v>311</v>
      </c>
      <c r="O6" t="s">
        <v>312</v>
      </c>
      <c r="P6" t="s">
        <v>25</v>
      </c>
      <c r="Q6" t="s">
        <v>313</v>
      </c>
      <c r="R6" t="s">
        <v>314</v>
      </c>
      <c r="S6" t="s">
        <v>328</v>
      </c>
      <c r="T6" t="s">
        <v>246</v>
      </c>
      <c r="U6" t="s">
        <v>25</v>
      </c>
      <c r="V6" t="s">
        <v>326</v>
      </c>
      <c r="Y6" t="s">
        <v>47</v>
      </c>
      <c r="Z6" t="s">
        <v>329</v>
      </c>
      <c r="AA6" t="s">
        <v>330</v>
      </c>
    </row>
    <row r="7" spans="1:28" x14ac:dyDescent="0.2">
      <c r="B7" s="34" t="e">
        <f ca="1">_xll.BDH($B$5,$C$6:$R$6,"14.03.1998","14.04.2018","Dir=V","Dts=S","Sort=A","Quote=C","QtTyp=Y","Days=T","Per=cy","DtFmt=D","UseDPDF=Y","cols=17;rows=20")</f>
        <v>#NAME?</v>
      </c>
      <c r="C7">
        <v>41.666699999999999</v>
      </c>
      <c r="D7" t="s">
        <v>315</v>
      </c>
      <c r="E7">
        <v>161551.2432</v>
      </c>
      <c r="F7" s="41">
        <v>162224.2432</v>
      </c>
      <c r="G7">
        <v>84.459500000000006</v>
      </c>
      <c r="H7">
        <v>32.337499999999999</v>
      </c>
      <c r="I7">
        <v>13544</v>
      </c>
      <c r="J7" t="s">
        <v>315</v>
      </c>
      <c r="K7">
        <v>0.60799999999999998</v>
      </c>
      <c r="L7">
        <v>3893.3820000000001</v>
      </c>
      <c r="M7">
        <v>67.644599999999997</v>
      </c>
      <c r="N7" t="s">
        <v>315</v>
      </c>
      <c r="O7" t="s">
        <v>315</v>
      </c>
      <c r="P7">
        <v>3083</v>
      </c>
      <c r="Q7" t="s">
        <v>315</v>
      </c>
      <c r="R7" t="s">
        <v>315</v>
      </c>
    </row>
    <row r="8" spans="1:28" x14ac:dyDescent="0.2">
      <c r="B8" s="35">
        <v>36525</v>
      </c>
      <c r="C8">
        <v>32.4375</v>
      </c>
      <c r="D8" t="s">
        <v>315</v>
      </c>
      <c r="E8">
        <v>205231.1911</v>
      </c>
      <c r="F8">
        <v>204544.1911</v>
      </c>
      <c r="G8">
        <v>39.557899999999997</v>
      </c>
      <c r="H8">
        <v>35.250999999999998</v>
      </c>
      <c r="I8">
        <v>27376</v>
      </c>
      <c r="J8" t="s">
        <v>315</v>
      </c>
      <c r="K8">
        <v>0.94540000000000002</v>
      </c>
      <c r="L8">
        <v>6305.7939999999999</v>
      </c>
      <c r="M8">
        <v>-22.15</v>
      </c>
      <c r="N8" t="s">
        <v>315</v>
      </c>
      <c r="O8" t="s">
        <v>315</v>
      </c>
      <c r="P8">
        <v>7971</v>
      </c>
      <c r="Q8" t="s">
        <v>315</v>
      </c>
      <c r="R8" t="s">
        <v>315</v>
      </c>
    </row>
    <row r="9" spans="1:28" x14ac:dyDescent="0.2">
      <c r="B9" s="35">
        <v>36889</v>
      </c>
      <c r="C9">
        <v>46</v>
      </c>
      <c r="D9" t="s">
        <v>315</v>
      </c>
      <c r="E9">
        <v>288764.81929999997</v>
      </c>
      <c r="F9">
        <v>290215.81929999997</v>
      </c>
      <c r="G9">
        <v>45.097999999999999</v>
      </c>
      <c r="H9">
        <v>37.568800000000003</v>
      </c>
      <c r="I9">
        <v>29355</v>
      </c>
      <c r="J9" t="s">
        <v>315</v>
      </c>
      <c r="K9">
        <v>0.78259999999999996</v>
      </c>
      <c r="L9">
        <v>6309.04</v>
      </c>
      <c r="M9">
        <v>41.811199999999999</v>
      </c>
      <c r="N9" t="s">
        <v>315</v>
      </c>
      <c r="O9" t="s">
        <v>315</v>
      </c>
      <c r="P9">
        <v>9658</v>
      </c>
      <c r="Q9" t="s">
        <v>315</v>
      </c>
      <c r="R9" t="s">
        <v>315</v>
      </c>
    </row>
    <row r="10" spans="1:28" x14ac:dyDescent="0.2">
      <c r="B10" s="50">
        <v>37256</v>
      </c>
      <c r="C10" s="51">
        <v>39.85</v>
      </c>
      <c r="D10" s="51" t="s">
        <v>315</v>
      </c>
      <c r="E10" s="51">
        <v>250782.87839999999</v>
      </c>
      <c r="F10" s="51">
        <v>250525.87839999999</v>
      </c>
      <c r="G10" s="51">
        <v>31.378</v>
      </c>
      <c r="H10" s="51">
        <v>40.803600000000003</v>
      </c>
      <c r="I10" s="51">
        <v>29024</v>
      </c>
      <c r="J10" s="51" t="s">
        <v>315</v>
      </c>
      <c r="K10" s="51">
        <v>1.1041000000000001</v>
      </c>
      <c r="L10" s="51">
        <v>6286.7219999999998</v>
      </c>
      <c r="M10" s="51">
        <v>-13.3696</v>
      </c>
      <c r="N10" s="51" t="s">
        <v>315</v>
      </c>
      <c r="O10" s="51" t="s">
        <v>315</v>
      </c>
      <c r="P10" s="51">
        <v>11776</v>
      </c>
      <c r="Q10" s="51" t="s">
        <v>315</v>
      </c>
      <c r="R10" s="51" t="s">
        <v>315</v>
      </c>
      <c r="S10" s="51">
        <v>1.22</v>
      </c>
      <c r="T10" s="51">
        <v>10708</v>
      </c>
      <c r="U10" s="51">
        <v>11776</v>
      </c>
      <c r="V10" s="51">
        <v>21.296099999999999</v>
      </c>
      <c r="W10" s="51"/>
      <c r="X10" s="51"/>
      <c r="Y10" s="52">
        <v>18293</v>
      </c>
      <c r="Z10" s="51">
        <v>31.378</v>
      </c>
      <c r="AA10" s="51">
        <v>13.673999999999999</v>
      </c>
      <c r="AB10" s="51"/>
    </row>
    <row r="11" spans="1:28" x14ac:dyDescent="0.2">
      <c r="B11" s="48">
        <v>37621</v>
      </c>
      <c r="C11" s="49">
        <v>30.57</v>
      </c>
      <c r="D11" s="49" t="s">
        <v>315</v>
      </c>
      <c r="E11" s="49">
        <v>187635.34049999999</v>
      </c>
      <c r="F11" s="54">
        <v>188377.34049999999</v>
      </c>
      <c r="G11" s="49">
        <v>19.226400000000002</v>
      </c>
      <c r="H11" s="49">
        <v>45.58</v>
      </c>
      <c r="I11" s="49">
        <v>32373</v>
      </c>
      <c r="J11" s="49" t="s">
        <v>315</v>
      </c>
      <c r="K11" s="49">
        <v>1.7010000000000001</v>
      </c>
      <c r="L11" s="49">
        <v>6162.1639999999998</v>
      </c>
      <c r="M11" s="49">
        <v>-23.287299999999998</v>
      </c>
      <c r="N11" s="49" t="s">
        <v>315</v>
      </c>
      <c r="O11" s="49" t="s">
        <v>315</v>
      </c>
      <c r="P11" s="49">
        <v>13352</v>
      </c>
      <c r="Q11" s="49" t="s">
        <v>315</v>
      </c>
      <c r="R11" s="49" t="s">
        <v>315</v>
      </c>
      <c r="S11" s="49"/>
      <c r="T11" s="49"/>
      <c r="U11" s="49"/>
      <c r="V11" s="55"/>
      <c r="W11" s="49"/>
      <c r="X11" s="49"/>
      <c r="Y11" s="53"/>
      <c r="Z11" s="55"/>
      <c r="AA11" s="55"/>
    </row>
    <row r="12" spans="1:28" x14ac:dyDescent="0.2">
      <c r="B12" s="35">
        <v>37986</v>
      </c>
      <c r="C12">
        <v>35.33</v>
      </c>
      <c r="D12" t="s">
        <v>315</v>
      </c>
      <c r="E12">
        <v>272461.7058</v>
      </c>
      <c r="F12">
        <v>269621.7058</v>
      </c>
      <c r="G12">
        <v>20.188600000000001</v>
      </c>
      <c r="H12">
        <v>43.549300000000002</v>
      </c>
      <c r="I12">
        <v>45188</v>
      </c>
      <c r="J12" t="s">
        <v>315</v>
      </c>
      <c r="K12">
        <v>1.6983000000000001</v>
      </c>
      <c r="L12">
        <v>7631.5230000000001</v>
      </c>
      <c r="M12">
        <v>15.5708</v>
      </c>
      <c r="N12" t="s">
        <v>315</v>
      </c>
      <c r="O12" t="s">
        <v>315</v>
      </c>
      <c r="P12">
        <v>20115</v>
      </c>
      <c r="Q12" t="s">
        <v>315</v>
      </c>
      <c r="R12" t="s">
        <v>315</v>
      </c>
    </row>
    <row r="13" spans="1:28" x14ac:dyDescent="0.2">
      <c r="B13" s="35">
        <v>38352</v>
      </c>
      <c r="C13">
        <v>26.89</v>
      </c>
      <c r="D13" t="s">
        <v>315</v>
      </c>
      <c r="E13">
        <v>201353.4718</v>
      </c>
      <c r="F13">
        <v>202508.4718</v>
      </c>
      <c r="G13">
        <v>15.1067</v>
      </c>
      <c r="H13">
        <v>38.4604</v>
      </c>
      <c r="I13">
        <v>52516</v>
      </c>
      <c r="J13" t="s">
        <v>315</v>
      </c>
      <c r="K13">
        <v>2.5287999999999999</v>
      </c>
      <c r="L13">
        <v>7530.9960000000001</v>
      </c>
      <c r="M13">
        <v>-23.888999999999999</v>
      </c>
      <c r="N13" t="s">
        <v>315</v>
      </c>
      <c r="O13" t="s">
        <v>315</v>
      </c>
      <c r="P13">
        <v>22181</v>
      </c>
      <c r="Q13" t="s">
        <v>315</v>
      </c>
      <c r="R13" t="s">
        <v>315</v>
      </c>
    </row>
    <row r="14" spans="1:28" x14ac:dyDescent="0.2">
      <c r="B14" s="35">
        <v>38716</v>
      </c>
      <c r="C14">
        <v>23.32</v>
      </c>
      <c r="D14" t="s">
        <v>315</v>
      </c>
      <c r="E14">
        <v>167779.96599999999</v>
      </c>
      <c r="F14">
        <v>171900.96599999999</v>
      </c>
      <c r="G14">
        <v>11.959</v>
      </c>
      <c r="H14">
        <v>34.156199999999998</v>
      </c>
      <c r="I14">
        <v>47405</v>
      </c>
      <c r="J14" t="s">
        <v>315</v>
      </c>
      <c r="K14">
        <v>3.2589999999999999</v>
      </c>
      <c r="L14">
        <v>7371.3959999999997</v>
      </c>
      <c r="M14">
        <v>-13.276299999999999</v>
      </c>
      <c r="N14" t="s">
        <v>315</v>
      </c>
      <c r="O14" t="s">
        <v>315</v>
      </c>
      <c r="P14">
        <v>19781</v>
      </c>
      <c r="Q14" t="s">
        <v>315</v>
      </c>
      <c r="R14" t="s">
        <v>315</v>
      </c>
    </row>
    <row r="15" spans="1:28" x14ac:dyDescent="0.2">
      <c r="B15" s="35">
        <v>39080</v>
      </c>
      <c r="C15">
        <v>25.9</v>
      </c>
      <c r="D15" t="s">
        <v>315</v>
      </c>
      <c r="E15">
        <v>167232.5209</v>
      </c>
      <c r="F15">
        <v>186750.5209</v>
      </c>
      <c r="G15">
        <v>12.5121</v>
      </c>
      <c r="H15">
        <v>29.738900000000001</v>
      </c>
      <c r="I15">
        <v>48371</v>
      </c>
      <c r="J15" t="s">
        <v>315</v>
      </c>
      <c r="K15">
        <v>3.7065999999999999</v>
      </c>
      <c r="L15">
        <v>7210.4449999999997</v>
      </c>
      <c r="M15">
        <v>11.063499999999999</v>
      </c>
      <c r="N15" t="s">
        <v>315</v>
      </c>
      <c r="O15" t="s">
        <v>315</v>
      </c>
      <c r="P15">
        <v>19575</v>
      </c>
      <c r="Q15" t="s">
        <v>315</v>
      </c>
      <c r="R15" t="s">
        <v>315</v>
      </c>
    </row>
    <row r="16" spans="1:28" x14ac:dyDescent="0.2">
      <c r="B16" s="35">
        <v>39447</v>
      </c>
      <c r="C16">
        <v>22.73</v>
      </c>
      <c r="D16" t="s">
        <v>315</v>
      </c>
      <c r="E16">
        <v>143112.47159999999</v>
      </c>
      <c r="F16">
        <v>155241.47159999999</v>
      </c>
      <c r="G16">
        <v>10.4747</v>
      </c>
      <c r="H16">
        <v>23.823699999999999</v>
      </c>
      <c r="I16">
        <v>48418</v>
      </c>
      <c r="J16" t="s">
        <v>315</v>
      </c>
      <c r="K16">
        <v>5.1033999999999997</v>
      </c>
      <c r="L16">
        <v>6829.8050000000003</v>
      </c>
      <c r="M16">
        <v>-12.2394</v>
      </c>
      <c r="N16" t="s">
        <v>315</v>
      </c>
      <c r="O16" t="s">
        <v>315</v>
      </c>
      <c r="P16">
        <v>19980</v>
      </c>
      <c r="Q16" t="s">
        <v>315</v>
      </c>
      <c r="R16" t="s">
        <v>315</v>
      </c>
    </row>
    <row r="17" spans="2:27" x14ac:dyDescent="0.2">
      <c r="B17" s="35">
        <v>39813</v>
      </c>
      <c r="C17">
        <v>17.71</v>
      </c>
      <c r="D17" t="s">
        <v>315</v>
      </c>
      <c r="E17">
        <v>113226.3885</v>
      </c>
      <c r="F17">
        <v>119417.3885</v>
      </c>
      <c r="G17">
        <v>11.7285</v>
      </c>
      <c r="H17">
        <v>21.169</v>
      </c>
      <c r="I17">
        <v>48296</v>
      </c>
      <c r="J17" t="s">
        <v>315</v>
      </c>
      <c r="K17">
        <v>7.2275999999999998</v>
      </c>
      <c r="L17">
        <v>6742.9359999999997</v>
      </c>
      <c r="M17">
        <v>-22.0853</v>
      </c>
      <c r="N17" t="s">
        <v>315</v>
      </c>
      <c r="O17" t="s">
        <v>315</v>
      </c>
      <c r="P17">
        <v>22146</v>
      </c>
      <c r="Q17" t="s">
        <v>315</v>
      </c>
      <c r="R17" t="s">
        <v>315</v>
      </c>
    </row>
    <row r="18" spans="2:27" x14ac:dyDescent="0.2">
      <c r="B18" s="35">
        <v>40178</v>
      </c>
      <c r="C18">
        <v>18.190000000000001</v>
      </c>
      <c r="D18" t="s">
        <v>315</v>
      </c>
      <c r="E18">
        <v>169970.86230000001</v>
      </c>
      <c r="F18">
        <v>146784.86230000001</v>
      </c>
      <c r="G18">
        <v>11.0223</v>
      </c>
      <c r="H18">
        <v>20.249400000000001</v>
      </c>
      <c r="I18">
        <v>50009</v>
      </c>
      <c r="J18" t="s">
        <v>315</v>
      </c>
      <c r="K18">
        <v>4.3979999999999997</v>
      </c>
      <c r="L18">
        <v>8069.5360000000001</v>
      </c>
      <c r="M18">
        <v>2.7103000000000002</v>
      </c>
      <c r="N18" t="s">
        <v>315</v>
      </c>
      <c r="O18" t="s">
        <v>315</v>
      </c>
      <c r="P18">
        <v>15944</v>
      </c>
      <c r="Q18" t="s">
        <v>315</v>
      </c>
      <c r="R18" t="s">
        <v>315</v>
      </c>
    </row>
    <row r="19" spans="2:27" x14ac:dyDescent="0.2">
      <c r="B19" s="35">
        <v>40543</v>
      </c>
      <c r="C19">
        <v>17.510000000000002</v>
      </c>
      <c r="D19" t="s">
        <v>315</v>
      </c>
      <c r="E19">
        <v>156759.245</v>
      </c>
      <c r="F19">
        <v>140254.245</v>
      </c>
      <c r="G19">
        <v>11.948600000000001</v>
      </c>
      <c r="H19">
        <v>18.579899999999999</v>
      </c>
      <c r="I19">
        <v>67057</v>
      </c>
      <c r="J19" t="s">
        <v>315</v>
      </c>
      <c r="K19">
        <v>4.1119000000000003</v>
      </c>
      <c r="L19">
        <v>8009.951</v>
      </c>
      <c r="M19">
        <v>-3.7382999999999997</v>
      </c>
      <c r="N19" t="s">
        <v>315</v>
      </c>
      <c r="O19" t="s">
        <v>315</v>
      </c>
      <c r="P19">
        <v>22105</v>
      </c>
      <c r="Q19" t="s">
        <v>315</v>
      </c>
      <c r="R19" t="s">
        <v>315</v>
      </c>
    </row>
    <row r="20" spans="2:27" x14ac:dyDescent="0.2">
      <c r="B20" s="35">
        <v>40907</v>
      </c>
      <c r="C20">
        <v>21.64</v>
      </c>
      <c r="D20" t="s">
        <v>315</v>
      </c>
      <c r="E20">
        <v>179311.9615</v>
      </c>
      <c r="F20">
        <v>166345.9615</v>
      </c>
      <c r="G20">
        <v>13.278</v>
      </c>
      <c r="H20">
        <v>16.591999999999999</v>
      </c>
      <c r="I20">
        <v>65259</v>
      </c>
      <c r="J20" t="s">
        <v>315</v>
      </c>
      <c r="K20">
        <v>3.6968999999999999</v>
      </c>
      <c r="L20">
        <v>7686.9669999999996</v>
      </c>
      <c r="M20">
        <v>23.586500000000001</v>
      </c>
      <c r="N20" t="s">
        <v>315</v>
      </c>
      <c r="O20" t="s">
        <v>315</v>
      </c>
      <c r="P20">
        <v>23710</v>
      </c>
      <c r="Q20" t="s">
        <v>315</v>
      </c>
      <c r="R20" t="s">
        <v>315</v>
      </c>
    </row>
    <row r="21" spans="2:27" x14ac:dyDescent="0.2">
      <c r="B21" s="35">
        <v>41274</v>
      </c>
      <c r="C21">
        <v>25.0793</v>
      </c>
      <c r="D21" t="s">
        <v>315</v>
      </c>
      <c r="E21">
        <v>190166.2874</v>
      </c>
      <c r="F21">
        <v>184648.2874</v>
      </c>
      <c r="G21">
        <v>15.429500000000001</v>
      </c>
      <c r="H21">
        <v>15.138999999999999</v>
      </c>
      <c r="I21">
        <v>54657</v>
      </c>
      <c r="J21" t="s">
        <v>315</v>
      </c>
      <c r="K21">
        <v>3.5089000000000001</v>
      </c>
      <c r="L21">
        <v>7362.5739999999996</v>
      </c>
      <c r="M21">
        <v>15.8933</v>
      </c>
      <c r="N21" t="s">
        <v>315</v>
      </c>
      <c r="O21" t="s">
        <v>315</v>
      </c>
      <c r="P21">
        <v>22919</v>
      </c>
      <c r="Q21" t="s">
        <v>315</v>
      </c>
      <c r="R21" t="s">
        <v>315</v>
      </c>
    </row>
    <row r="22" spans="2:27" x14ac:dyDescent="0.2">
      <c r="B22" s="35">
        <v>41639</v>
      </c>
      <c r="C22">
        <v>30.63</v>
      </c>
      <c r="D22" t="s">
        <v>315</v>
      </c>
      <c r="E22">
        <v>202942.1986</v>
      </c>
      <c r="F22">
        <v>198515.1986</v>
      </c>
      <c r="G22">
        <v>17.398299999999999</v>
      </c>
      <c r="H22">
        <v>14.8878</v>
      </c>
      <c r="I22">
        <v>51584</v>
      </c>
      <c r="J22" t="s">
        <v>315</v>
      </c>
      <c r="K22">
        <v>3.1341999999999999</v>
      </c>
      <c r="L22">
        <v>6481.0709999999999</v>
      </c>
      <c r="M22">
        <v>22.1325</v>
      </c>
      <c r="N22" t="s">
        <v>315</v>
      </c>
      <c r="O22" t="s">
        <v>315</v>
      </c>
      <c r="P22">
        <v>21594</v>
      </c>
      <c r="Q22" t="s">
        <v>315</v>
      </c>
      <c r="R22" t="s">
        <v>315</v>
      </c>
    </row>
    <row r="23" spans="2:27" x14ac:dyDescent="0.2">
      <c r="B23" s="35">
        <v>42004</v>
      </c>
      <c r="C23">
        <v>31.15</v>
      </c>
      <c r="D23" t="s">
        <v>315</v>
      </c>
      <c r="E23">
        <v>197175.47260000001</v>
      </c>
      <c r="F23">
        <v>196265.47260000001</v>
      </c>
      <c r="G23">
        <v>17.5137</v>
      </c>
      <c r="H23">
        <v>14.848000000000001</v>
      </c>
      <c r="I23">
        <v>49605</v>
      </c>
      <c r="J23" t="s">
        <v>315</v>
      </c>
      <c r="K23">
        <v>3.3387000000000002</v>
      </c>
      <c r="L23">
        <v>6300.6570000000002</v>
      </c>
      <c r="M23">
        <v>1.6977</v>
      </c>
      <c r="N23" t="s">
        <v>315</v>
      </c>
      <c r="O23" t="s">
        <v>315</v>
      </c>
      <c r="P23">
        <v>18786</v>
      </c>
      <c r="Q23" t="s">
        <v>315</v>
      </c>
      <c r="R23" t="s">
        <v>315</v>
      </c>
    </row>
    <row r="24" spans="2:27" x14ac:dyDescent="0.2">
      <c r="B24" s="35">
        <v>42369</v>
      </c>
      <c r="C24">
        <v>32.28</v>
      </c>
      <c r="D24" t="s">
        <v>315</v>
      </c>
      <c r="E24">
        <v>215177.503</v>
      </c>
      <c r="F24">
        <v>199264.503</v>
      </c>
      <c r="G24">
        <v>19.355399999999999</v>
      </c>
      <c r="H24">
        <v>15.250299999999999</v>
      </c>
      <c r="I24">
        <v>48851</v>
      </c>
      <c r="J24" t="s">
        <v>315</v>
      </c>
      <c r="K24">
        <v>3.4695999999999998</v>
      </c>
      <c r="L24">
        <v>6173.0020000000004</v>
      </c>
      <c r="M24">
        <v>3.6276000000000002</v>
      </c>
      <c r="N24" t="s">
        <v>315</v>
      </c>
      <c r="O24" t="s">
        <v>315</v>
      </c>
      <c r="P24">
        <v>16981</v>
      </c>
      <c r="Q24" t="s">
        <v>315</v>
      </c>
      <c r="R24" t="s">
        <v>315</v>
      </c>
    </row>
    <row r="25" spans="2:27" x14ac:dyDescent="0.2">
      <c r="B25" s="35">
        <v>42734</v>
      </c>
      <c r="C25">
        <v>32.479999999999997</v>
      </c>
      <c r="D25" t="s">
        <v>315</v>
      </c>
      <c r="E25">
        <v>221656.1698</v>
      </c>
      <c r="F25">
        <v>197100.1698</v>
      </c>
      <c r="G25">
        <v>15.4847</v>
      </c>
      <c r="H25">
        <v>16.385000000000002</v>
      </c>
      <c r="I25">
        <v>52824</v>
      </c>
      <c r="J25" t="s">
        <v>315</v>
      </c>
      <c r="K25">
        <v>3.6945999999999999</v>
      </c>
      <c r="L25">
        <v>6068.3549999999996</v>
      </c>
      <c r="M25">
        <v>0.61960000000000004</v>
      </c>
      <c r="N25" t="s">
        <v>315</v>
      </c>
      <c r="O25" t="s">
        <v>315</v>
      </c>
      <c r="P25">
        <v>17763</v>
      </c>
      <c r="Q25" t="s">
        <v>315</v>
      </c>
      <c r="R25">
        <v>8.99</v>
      </c>
    </row>
    <row r="26" spans="2:27" x14ac:dyDescent="0.2">
      <c r="B26" s="35">
        <v>43098</v>
      </c>
      <c r="C26">
        <v>36.22</v>
      </c>
      <c r="D26" t="s">
        <v>315</v>
      </c>
      <c r="E26">
        <v>239764.81899999999</v>
      </c>
      <c r="F26">
        <v>215896.81899999999</v>
      </c>
      <c r="G26">
        <v>16.9817</v>
      </c>
      <c r="H26">
        <v>17.346900000000002</v>
      </c>
      <c r="I26">
        <v>52546</v>
      </c>
      <c r="J26">
        <v>0.69</v>
      </c>
      <c r="K26">
        <v>3.5339999999999998</v>
      </c>
      <c r="L26">
        <v>5960.7070000000003</v>
      </c>
      <c r="M26">
        <v>11.514799999999999</v>
      </c>
      <c r="N26" t="s">
        <v>315</v>
      </c>
      <c r="O26" t="s">
        <v>315</v>
      </c>
      <c r="P26">
        <v>19889</v>
      </c>
      <c r="Q26" t="s">
        <v>315</v>
      </c>
      <c r="R26">
        <v>3.81</v>
      </c>
    </row>
    <row r="30" spans="2:27" x14ac:dyDescent="0.2">
      <c r="B30" t="s">
        <v>316</v>
      </c>
    </row>
    <row r="31" spans="2:27" x14ac:dyDescent="0.2">
      <c r="B31" t="s">
        <v>77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 t="s">
        <v>305</v>
      </c>
      <c r="I31" t="s">
        <v>306</v>
      </c>
      <c r="J31" t="s">
        <v>307</v>
      </c>
      <c r="K31" t="s">
        <v>308</v>
      </c>
      <c r="L31" t="s">
        <v>309</v>
      </c>
      <c r="M31" t="s">
        <v>310</v>
      </c>
      <c r="N31" t="s">
        <v>311</v>
      </c>
      <c r="O31" t="s">
        <v>312</v>
      </c>
      <c r="P31" t="s">
        <v>25</v>
      </c>
      <c r="Q31" t="s">
        <v>313</v>
      </c>
      <c r="R31" t="s">
        <v>314</v>
      </c>
      <c r="S31" t="s">
        <v>328</v>
      </c>
      <c r="T31" t="s">
        <v>246</v>
      </c>
      <c r="U31" t="s">
        <v>25</v>
      </c>
      <c r="V31" t="s">
        <v>326</v>
      </c>
      <c r="Y31" t="s">
        <v>47</v>
      </c>
      <c r="Z31" t="s">
        <v>329</v>
      </c>
      <c r="AA31" t="s">
        <v>330</v>
      </c>
    </row>
    <row r="32" spans="2:27" x14ac:dyDescent="0.2">
      <c r="B32" s="34" t="e">
        <f ca="1">_xll.BDH($S$1,$T$2:$AI$2,"14.03.1998","14.04.2018","Dir=V","Dts=S","Sort=A","Quote=C","QtTyp=Y","Days=T","Per=cy","DtFmt=D","UseDPDF=Y","cols=17;rows=20")</f>
        <v>#NAME?</v>
      </c>
      <c r="C32">
        <v>88.875</v>
      </c>
      <c r="D32" t="s">
        <v>315</v>
      </c>
      <c r="E32">
        <v>98505.633199999997</v>
      </c>
      <c r="F32">
        <v>97735.833199999994</v>
      </c>
      <c r="G32">
        <v>46.049199999999999</v>
      </c>
      <c r="H32">
        <v>27.41</v>
      </c>
      <c r="I32">
        <v>9236.7998000000007</v>
      </c>
      <c r="J32" t="s">
        <v>315</v>
      </c>
      <c r="K32">
        <v>0.90010000000000001</v>
      </c>
      <c r="L32">
        <v>1099.7</v>
      </c>
      <c r="M32">
        <v>27.648099999999999</v>
      </c>
      <c r="N32" t="s">
        <v>315</v>
      </c>
      <c r="O32" t="s">
        <v>315</v>
      </c>
      <c r="P32">
        <v>3314.9</v>
      </c>
      <c r="Q32" t="s">
        <v>315</v>
      </c>
      <c r="R32" t="s">
        <v>315</v>
      </c>
    </row>
    <row r="33" spans="2:28" x14ac:dyDescent="0.2">
      <c r="B33" s="35">
        <v>36525</v>
      </c>
      <c r="C33">
        <v>66.5</v>
      </c>
      <c r="D33" t="s">
        <v>315</v>
      </c>
      <c r="E33">
        <v>71737.046199999997</v>
      </c>
      <c r="F33">
        <v>72519.646200000003</v>
      </c>
      <c r="G33">
        <v>28.297899999999998</v>
      </c>
      <c r="H33">
        <v>33.662300000000002</v>
      </c>
      <c r="I33">
        <v>10002.9</v>
      </c>
      <c r="J33" t="s">
        <v>315</v>
      </c>
      <c r="K33">
        <v>1.3835</v>
      </c>
      <c r="L33">
        <v>1090.521</v>
      </c>
      <c r="M33">
        <v>-25.175799999999999</v>
      </c>
      <c r="N33" t="s">
        <v>315</v>
      </c>
      <c r="O33" t="s">
        <v>315</v>
      </c>
      <c r="P33">
        <v>3803.4</v>
      </c>
      <c r="Q33" t="s">
        <v>315</v>
      </c>
      <c r="R33" t="s">
        <v>315</v>
      </c>
    </row>
    <row r="34" spans="2:28" x14ac:dyDescent="0.2">
      <c r="B34" s="35">
        <v>36889</v>
      </c>
      <c r="C34">
        <v>93.0625</v>
      </c>
      <c r="D34" t="s">
        <v>315</v>
      </c>
      <c r="E34">
        <v>103106.7752</v>
      </c>
      <c r="F34">
        <v>104906.9752</v>
      </c>
      <c r="G34">
        <v>35.117899999999999</v>
      </c>
      <c r="H34">
        <v>39.324199999999998</v>
      </c>
      <c r="I34">
        <v>10862.2</v>
      </c>
      <c r="J34" t="s">
        <v>315</v>
      </c>
      <c r="K34">
        <v>1.1174999999999999</v>
      </c>
      <c r="L34">
        <v>1127.2739999999999</v>
      </c>
      <c r="M34">
        <v>39.943600000000004</v>
      </c>
      <c r="N34" t="s">
        <v>315</v>
      </c>
      <c r="O34" t="s">
        <v>315</v>
      </c>
      <c r="P34">
        <v>3995.5</v>
      </c>
      <c r="Q34" t="s">
        <v>315</v>
      </c>
      <c r="R34" t="s">
        <v>315</v>
      </c>
    </row>
    <row r="35" spans="2:28" x14ac:dyDescent="0.2">
      <c r="B35" s="50">
        <v>37256</v>
      </c>
      <c r="C35" s="51">
        <v>78.540000000000006</v>
      </c>
      <c r="D35" s="51" t="s">
        <v>315</v>
      </c>
      <c r="E35" s="51">
        <v>87982.677800000005</v>
      </c>
      <c r="F35" s="51">
        <v>88295.277799999996</v>
      </c>
      <c r="G35" s="51">
        <v>28.456499999999998</v>
      </c>
      <c r="H35" s="51">
        <v>43.219700000000003</v>
      </c>
      <c r="I35" s="51">
        <v>11542.5</v>
      </c>
      <c r="J35" s="51" t="s">
        <v>315</v>
      </c>
      <c r="K35" s="51">
        <v>1.4259999999999999</v>
      </c>
      <c r="L35" s="51">
        <v>1124.2080000000001</v>
      </c>
      <c r="M35" s="51">
        <v>-15.6051</v>
      </c>
      <c r="N35" s="51" t="s">
        <v>315</v>
      </c>
      <c r="O35" s="51" t="s">
        <v>315</v>
      </c>
      <c r="P35" s="51">
        <v>4184.7</v>
      </c>
      <c r="Q35" s="51" t="s">
        <v>315</v>
      </c>
      <c r="R35" s="51" t="s">
        <v>315</v>
      </c>
      <c r="S35" s="51">
        <v>2.5499999999999998</v>
      </c>
      <c r="T35" s="51">
        <v>3729.8</v>
      </c>
      <c r="U35" s="51">
        <v>4184.7</v>
      </c>
      <c r="V35" s="51">
        <v>21.024799999999999</v>
      </c>
      <c r="W35" s="51"/>
      <c r="X35" s="51"/>
      <c r="Y35" s="52">
        <v>7104</v>
      </c>
      <c r="Z35" s="51">
        <v>28.456499999999998</v>
      </c>
      <c r="AA35" s="51">
        <v>12.419499999999999</v>
      </c>
      <c r="AB35" s="51"/>
    </row>
    <row r="36" spans="2:28" x14ac:dyDescent="0.2">
      <c r="B36" s="48">
        <v>37621</v>
      </c>
      <c r="C36" s="49">
        <v>63.5</v>
      </c>
      <c r="D36" s="49" t="s">
        <v>315</v>
      </c>
      <c r="E36" s="49">
        <v>72583.127200000003</v>
      </c>
      <c r="F36" s="49">
        <v>71334.227199999994</v>
      </c>
      <c r="G36" s="49">
        <v>24.902000000000001</v>
      </c>
      <c r="H36" s="49">
        <v>47.466299999999997</v>
      </c>
      <c r="I36" s="49">
        <v>11077.5</v>
      </c>
      <c r="J36" s="49" t="s">
        <v>315</v>
      </c>
      <c r="K36" s="49">
        <v>1.9527999999999999</v>
      </c>
      <c r="L36" s="49">
        <v>1123.374</v>
      </c>
      <c r="M36" s="49">
        <v>-19.1495</v>
      </c>
      <c r="N36" s="49" t="s">
        <v>315</v>
      </c>
      <c r="O36" s="49" t="s">
        <v>315</v>
      </c>
      <c r="P36" s="49">
        <v>3820.7</v>
      </c>
      <c r="Q36" s="49" t="s">
        <v>315</v>
      </c>
      <c r="R36" s="49" t="s">
        <v>315</v>
      </c>
      <c r="S36" s="49"/>
      <c r="T36" s="49"/>
      <c r="U36" s="49"/>
      <c r="V36" s="49"/>
      <c r="W36" s="49"/>
      <c r="X36" s="49"/>
      <c r="Y36" s="53"/>
      <c r="Z36" s="49"/>
      <c r="AA36" s="49"/>
    </row>
    <row r="37" spans="2:28" x14ac:dyDescent="0.2">
      <c r="B37" s="35">
        <v>37986</v>
      </c>
      <c r="C37">
        <v>70.33</v>
      </c>
      <c r="D37" t="s">
        <v>315</v>
      </c>
      <c r="E37">
        <v>80144.842000000004</v>
      </c>
      <c r="F37">
        <v>78973.842000000004</v>
      </c>
      <c r="G37">
        <v>27.259699999999999</v>
      </c>
      <c r="H37">
        <v>44.082500000000003</v>
      </c>
      <c r="I37">
        <v>12582.5</v>
      </c>
      <c r="J37" t="s">
        <v>315</v>
      </c>
      <c r="K37">
        <v>1.9053</v>
      </c>
      <c r="L37">
        <v>1122.904</v>
      </c>
      <c r="M37">
        <v>10.7559</v>
      </c>
      <c r="N37" t="s">
        <v>315</v>
      </c>
      <c r="O37" t="s">
        <v>315</v>
      </c>
      <c r="P37">
        <v>4050.3</v>
      </c>
      <c r="Q37" t="s">
        <v>315</v>
      </c>
      <c r="R37" t="s">
        <v>315</v>
      </c>
    </row>
    <row r="38" spans="2:28" x14ac:dyDescent="0.2">
      <c r="B38" s="35">
        <v>38352</v>
      </c>
      <c r="C38">
        <v>56.75</v>
      </c>
      <c r="D38" t="s">
        <v>315</v>
      </c>
      <c r="E38">
        <v>63268.622300000003</v>
      </c>
      <c r="F38">
        <v>64220.522299999997</v>
      </c>
      <c r="G38">
        <v>23.645800000000001</v>
      </c>
      <c r="H38">
        <v>38.097299999999997</v>
      </c>
      <c r="I38">
        <v>13857.9</v>
      </c>
      <c r="J38" t="s">
        <v>315</v>
      </c>
      <c r="K38">
        <v>2.5022000000000002</v>
      </c>
      <c r="L38">
        <v>1131.6389999999999</v>
      </c>
      <c r="M38">
        <v>-19.309000000000001</v>
      </c>
      <c r="N38" t="s">
        <v>315</v>
      </c>
      <c r="O38" t="s">
        <v>315</v>
      </c>
      <c r="P38">
        <v>4256.2</v>
      </c>
      <c r="Q38" t="s">
        <v>315</v>
      </c>
      <c r="R38" t="s">
        <v>315</v>
      </c>
    </row>
    <row r="39" spans="2:28" x14ac:dyDescent="0.2">
      <c r="B39" s="35">
        <v>38716</v>
      </c>
      <c r="C39">
        <v>56.59</v>
      </c>
      <c r="D39" t="s">
        <v>315</v>
      </c>
      <c r="E39">
        <v>65782.288400000005</v>
      </c>
      <c r="F39">
        <v>64321.788399999998</v>
      </c>
      <c r="G39">
        <v>19.7178</v>
      </c>
      <c r="H39">
        <v>33.363799999999998</v>
      </c>
      <c r="I39">
        <v>14645.3</v>
      </c>
      <c r="J39" t="s">
        <v>315</v>
      </c>
      <c r="K39">
        <v>2.6859999999999999</v>
      </c>
      <c r="L39">
        <v>1136.6279999999999</v>
      </c>
      <c r="M39">
        <v>-0.28189999999999998</v>
      </c>
      <c r="N39" t="s">
        <v>315</v>
      </c>
      <c r="O39" t="s">
        <v>315</v>
      </c>
      <c r="P39">
        <v>4375</v>
      </c>
      <c r="Q39" t="s">
        <v>315</v>
      </c>
      <c r="R39" t="s">
        <v>315</v>
      </c>
    </row>
    <row r="40" spans="2:28" x14ac:dyDescent="0.2">
      <c r="B40" s="35">
        <v>39080</v>
      </c>
      <c r="C40">
        <v>52.1</v>
      </c>
      <c r="D40" t="s">
        <v>315</v>
      </c>
      <c r="E40">
        <v>58778.560899999997</v>
      </c>
      <c r="F40">
        <v>58955.760900000001</v>
      </c>
      <c r="G40">
        <v>16.383600000000001</v>
      </c>
      <c r="H40">
        <v>30.5533</v>
      </c>
      <c r="I40">
        <v>15691</v>
      </c>
      <c r="J40" t="s">
        <v>315</v>
      </c>
      <c r="K40">
        <v>3.0710000000000002</v>
      </c>
      <c r="L40">
        <v>1131.5889999999999</v>
      </c>
      <c r="M40">
        <v>-7.9343000000000004</v>
      </c>
      <c r="N40" t="s">
        <v>315</v>
      </c>
      <c r="O40" t="s">
        <v>315</v>
      </c>
      <c r="P40">
        <v>4927.2</v>
      </c>
      <c r="Q40" t="s">
        <v>315</v>
      </c>
      <c r="R40" t="s">
        <v>315</v>
      </c>
    </row>
    <row r="41" spans="2:28" x14ac:dyDescent="0.2">
      <c r="B41" s="35">
        <v>39447</v>
      </c>
      <c r="C41">
        <v>53.39</v>
      </c>
      <c r="D41" t="s">
        <v>315</v>
      </c>
      <c r="E41">
        <v>60736.957399999999</v>
      </c>
      <c r="F41">
        <v>60560.957399999999</v>
      </c>
      <c r="G41">
        <v>15.081899999999999</v>
      </c>
      <c r="H41">
        <v>29.6997</v>
      </c>
      <c r="I41">
        <v>18633.5</v>
      </c>
      <c r="J41" t="s">
        <v>315</v>
      </c>
      <c r="K41">
        <v>3.1840999999999999</v>
      </c>
      <c r="L41">
        <v>1134.3130000000001</v>
      </c>
      <c r="M41">
        <v>2.476</v>
      </c>
      <c r="N41" t="s">
        <v>315</v>
      </c>
      <c r="O41" t="s">
        <v>315</v>
      </c>
      <c r="P41">
        <v>5850.8</v>
      </c>
      <c r="Q41" t="s">
        <v>315</v>
      </c>
      <c r="R41" t="s">
        <v>315</v>
      </c>
    </row>
    <row r="42" spans="2:28" x14ac:dyDescent="0.2">
      <c r="B42" s="35">
        <v>39813</v>
      </c>
      <c r="C42">
        <v>40.270000000000003</v>
      </c>
      <c r="D42" t="s">
        <v>315</v>
      </c>
      <c r="E42">
        <v>50323.412199999999</v>
      </c>
      <c r="F42">
        <v>45785.112200000003</v>
      </c>
      <c r="G42">
        <v>10.0174</v>
      </c>
      <c r="H42">
        <v>32.194499999999998</v>
      </c>
      <c r="I42">
        <v>20371.900000000001</v>
      </c>
      <c r="J42" t="s">
        <v>315</v>
      </c>
      <c r="K42">
        <v>4.6684999999999999</v>
      </c>
      <c r="L42">
        <v>1136.953</v>
      </c>
      <c r="M42">
        <v>-24.573899999999998</v>
      </c>
      <c r="N42" t="s">
        <v>315</v>
      </c>
      <c r="O42" t="s">
        <v>315</v>
      </c>
      <c r="P42">
        <v>6650.5</v>
      </c>
      <c r="Q42" t="s">
        <v>315</v>
      </c>
      <c r="R42" t="s">
        <v>315</v>
      </c>
    </row>
    <row r="43" spans="2:28" x14ac:dyDescent="0.2">
      <c r="B43" s="35">
        <v>40178</v>
      </c>
      <c r="C43">
        <v>35.71</v>
      </c>
      <c r="D43" t="s">
        <v>315</v>
      </c>
      <c r="E43">
        <v>43197.6921</v>
      </c>
      <c r="F43">
        <v>41031.592100000002</v>
      </c>
      <c r="G43">
        <v>8.4151000000000007</v>
      </c>
      <c r="H43">
        <v>38.620899999999999</v>
      </c>
      <c r="I43">
        <v>21836</v>
      </c>
      <c r="J43" t="s">
        <v>315</v>
      </c>
      <c r="K43">
        <v>5.4886999999999997</v>
      </c>
      <c r="L43">
        <v>1149.0219999999999</v>
      </c>
      <c r="M43">
        <v>-11.323600000000001</v>
      </c>
      <c r="N43" t="s">
        <v>315</v>
      </c>
      <c r="O43" t="s">
        <v>315</v>
      </c>
      <c r="P43">
        <v>6885.1</v>
      </c>
      <c r="Q43" t="s">
        <v>315</v>
      </c>
      <c r="R43" t="s">
        <v>315</v>
      </c>
    </row>
    <row r="44" spans="2:28" x14ac:dyDescent="0.2">
      <c r="B44" s="35">
        <v>40543</v>
      </c>
      <c r="C44">
        <v>35.04</v>
      </c>
      <c r="D44" t="s">
        <v>315</v>
      </c>
      <c r="E44">
        <v>40598.141600000003</v>
      </c>
      <c r="F44">
        <v>40406.141600000003</v>
      </c>
      <c r="G44">
        <v>7.5079000000000002</v>
      </c>
      <c r="H44">
        <v>42.264299999999999</v>
      </c>
      <c r="I44">
        <v>23076</v>
      </c>
      <c r="J44" t="s">
        <v>315</v>
      </c>
      <c r="K44">
        <v>5.5936000000000003</v>
      </c>
      <c r="L44">
        <v>1153.143</v>
      </c>
      <c r="M44">
        <v>-1.8761999999999999</v>
      </c>
      <c r="N44" t="s">
        <v>315</v>
      </c>
      <c r="O44" t="s">
        <v>315</v>
      </c>
      <c r="P44">
        <v>7858.4</v>
      </c>
      <c r="Q44" t="s">
        <v>315</v>
      </c>
      <c r="R44" t="s">
        <v>315</v>
      </c>
    </row>
    <row r="45" spans="2:28" x14ac:dyDescent="0.2">
      <c r="B45" s="35">
        <v>40907</v>
      </c>
      <c r="C45">
        <v>41.56</v>
      </c>
      <c r="D45" t="s">
        <v>315</v>
      </c>
      <c r="E45">
        <v>48200.3923</v>
      </c>
      <c r="F45">
        <v>48116.592299999997</v>
      </c>
      <c r="G45">
        <v>9.5670000000000002</v>
      </c>
      <c r="H45">
        <v>43.368400000000001</v>
      </c>
      <c r="I45">
        <v>24286.5</v>
      </c>
      <c r="J45" t="s">
        <v>315</v>
      </c>
      <c r="K45">
        <v>4.7161</v>
      </c>
      <c r="L45">
        <v>1157.7619999999999</v>
      </c>
      <c r="M45">
        <v>18.607299999999999</v>
      </c>
      <c r="N45" t="s">
        <v>315</v>
      </c>
      <c r="O45" t="s">
        <v>315</v>
      </c>
      <c r="P45">
        <v>6902.1</v>
      </c>
      <c r="Q45" t="s">
        <v>315</v>
      </c>
      <c r="R45" t="s">
        <v>315</v>
      </c>
    </row>
    <row r="46" spans="2:28" x14ac:dyDescent="0.2">
      <c r="B46" s="35">
        <v>41274</v>
      </c>
      <c r="C46">
        <v>49.32</v>
      </c>
      <c r="D46" t="s">
        <v>315</v>
      </c>
      <c r="E46">
        <v>57089.218000000001</v>
      </c>
      <c r="F46">
        <v>57233.517999999996</v>
      </c>
      <c r="G46">
        <v>13.052899999999999</v>
      </c>
      <c r="H46">
        <v>43.000799999999998</v>
      </c>
      <c r="I46">
        <v>22603.4</v>
      </c>
      <c r="J46" t="s">
        <v>315</v>
      </c>
      <c r="K46">
        <v>3.9740000000000002</v>
      </c>
      <c r="L46">
        <v>1160.453</v>
      </c>
      <c r="M46">
        <v>18.671800000000001</v>
      </c>
      <c r="N46" t="s">
        <v>315</v>
      </c>
      <c r="O46" t="s">
        <v>315</v>
      </c>
      <c r="P46">
        <v>6196.4</v>
      </c>
      <c r="Q46" t="s">
        <v>315</v>
      </c>
      <c r="R46" t="s">
        <v>315</v>
      </c>
    </row>
    <row r="47" spans="2:28" x14ac:dyDescent="0.2">
      <c r="B47" s="35">
        <v>41639</v>
      </c>
      <c r="C47">
        <v>51</v>
      </c>
      <c r="D47" t="s">
        <v>315</v>
      </c>
      <c r="E47">
        <v>57284.032599999999</v>
      </c>
      <c r="F47">
        <v>57459.132599999997</v>
      </c>
      <c r="G47">
        <v>12.4284</v>
      </c>
      <c r="H47">
        <v>39.805900000000001</v>
      </c>
      <c r="I47">
        <v>23113.1</v>
      </c>
      <c r="J47" t="s">
        <v>315</v>
      </c>
      <c r="K47">
        <v>3.8430999999999997</v>
      </c>
      <c r="L47">
        <v>1126.6500000000001</v>
      </c>
      <c r="M47">
        <v>3.4062999999999999</v>
      </c>
      <c r="N47" t="s">
        <v>315</v>
      </c>
      <c r="O47" t="s">
        <v>315</v>
      </c>
      <c r="P47">
        <v>6816</v>
      </c>
      <c r="Q47" t="s">
        <v>315</v>
      </c>
      <c r="R47" t="s">
        <v>315</v>
      </c>
    </row>
    <row r="48" spans="2:28" x14ac:dyDescent="0.2">
      <c r="B48" s="35">
        <v>42004</v>
      </c>
      <c r="C48">
        <v>68.989999999999995</v>
      </c>
      <c r="D48" t="s">
        <v>315</v>
      </c>
      <c r="E48">
        <v>80024.922600000005</v>
      </c>
      <c r="F48">
        <v>76815.522599999997</v>
      </c>
      <c r="G48">
        <v>28.290600000000001</v>
      </c>
      <c r="H48">
        <v>31.5047</v>
      </c>
      <c r="I48">
        <v>19615.599999999999</v>
      </c>
      <c r="J48" t="s">
        <v>315</v>
      </c>
      <c r="K48">
        <v>2.8410000000000002</v>
      </c>
      <c r="L48">
        <v>1113.43</v>
      </c>
      <c r="M48">
        <v>35.274500000000003</v>
      </c>
      <c r="N48" t="s">
        <v>315</v>
      </c>
      <c r="O48" t="s">
        <v>315</v>
      </c>
      <c r="P48">
        <v>4038.8</v>
      </c>
      <c r="Q48" t="s">
        <v>315</v>
      </c>
      <c r="R48" t="s">
        <v>315</v>
      </c>
    </row>
    <row r="49" spans="2:28" x14ac:dyDescent="0.2">
      <c r="B49" s="35">
        <v>42369</v>
      </c>
      <c r="C49">
        <v>84.26</v>
      </c>
      <c r="D49" t="s">
        <v>315</v>
      </c>
      <c r="E49">
        <v>93265.629100000006</v>
      </c>
      <c r="F49">
        <v>93366.5291</v>
      </c>
      <c r="G49">
        <v>30.254200000000001</v>
      </c>
      <c r="H49">
        <v>26.053100000000001</v>
      </c>
      <c r="I49">
        <v>19958.7</v>
      </c>
      <c r="J49" t="s">
        <v>315</v>
      </c>
      <c r="K49">
        <v>2.3736000000000002</v>
      </c>
      <c r="L49">
        <v>1108.077</v>
      </c>
      <c r="M49">
        <v>22.133600000000001</v>
      </c>
      <c r="N49" t="s">
        <v>315</v>
      </c>
      <c r="O49" t="s">
        <v>315</v>
      </c>
      <c r="P49">
        <v>4117.1000000000004</v>
      </c>
      <c r="Q49" t="s">
        <v>315</v>
      </c>
      <c r="R49" t="s">
        <v>315</v>
      </c>
    </row>
    <row r="50" spans="2:28" x14ac:dyDescent="0.2">
      <c r="B50" s="35">
        <v>42734</v>
      </c>
      <c r="C50">
        <v>73.55</v>
      </c>
      <c r="D50" t="s">
        <v>315</v>
      </c>
      <c r="E50">
        <v>80327.2932</v>
      </c>
      <c r="F50">
        <v>81195.393200000006</v>
      </c>
      <c r="G50">
        <v>23.972799999999999</v>
      </c>
      <c r="H50">
        <v>23.1493</v>
      </c>
      <c r="I50">
        <v>21222.1</v>
      </c>
      <c r="J50">
        <v>0.93500000000000005</v>
      </c>
      <c r="K50">
        <v>2.7736000000000001</v>
      </c>
      <c r="L50">
        <v>1103.9480000000001</v>
      </c>
      <c r="M50">
        <v>-12.710699999999999</v>
      </c>
      <c r="N50" t="s">
        <v>315</v>
      </c>
      <c r="O50" t="s">
        <v>315</v>
      </c>
      <c r="P50">
        <v>4955.3999999999996</v>
      </c>
      <c r="Q50" t="s">
        <v>315</v>
      </c>
      <c r="R50" t="s">
        <v>315</v>
      </c>
    </row>
    <row r="51" spans="2:28" x14ac:dyDescent="0.2">
      <c r="B51" s="35">
        <v>43098</v>
      </c>
      <c r="C51">
        <v>84.46</v>
      </c>
      <c r="D51">
        <v>14.035</v>
      </c>
      <c r="E51">
        <v>93008.359299999996</v>
      </c>
      <c r="F51">
        <v>92998.459300000002</v>
      </c>
      <c r="G51">
        <v>22.480599999999999</v>
      </c>
      <c r="H51">
        <v>23.360499999999998</v>
      </c>
      <c r="I51">
        <v>22871.3</v>
      </c>
      <c r="J51">
        <v>1.0860000000000001</v>
      </c>
      <c r="K51">
        <v>2.4626999999999999</v>
      </c>
      <c r="L51">
        <v>1101.095</v>
      </c>
      <c r="M51">
        <v>14.833399999999999</v>
      </c>
      <c r="N51" t="s">
        <v>315</v>
      </c>
      <c r="O51" t="s">
        <v>315</v>
      </c>
      <c r="P51">
        <v>3712.3</v>
      </c>
      <c r="Q51" t="s">
        <v>315</v>
      </c>
      <c r="R51">
        <v>2.6659999999999999</v>
      </c>
    </row>
    <row r="54" spans="2:28" x14ac:dyDescent="0.2">
      <c r="B54" t="s">
        <v>317</v>
      </c>
    </row>
    <row r="55" spans="2:28" x14ac:dyDescent="0.2">
      <c r="B55" t="s">
        <v>77</v>
      </c>
      <c r="C55" t="s">
        <v>300</v>
      </c>
      <c r="D55" t="s">
        <v>301</v>
      </c>
      <c r="E55" t="s">
        <v>302</v>
      </c>
      <c r="F55" t="s">
        <v>303</v>
      </c>
      <c r="G55" t="s">
        <v>304</v>
      </c>
      <c r="H55" t="s">
        <v>305</v>
      </c>
      <c r="I55" t="s">
        <v>306</v>
      </c>
      <c r="J55" t="s">
        <v>307</v>
      </c>
      <c r="K55" t="s">
        <v>308</v>
      </c>
      <c r="L55" t="s">
        <v>309</v>
      </c>
      <c r="M55" t="s">
        <v>310</v>
      </c>
      <c r="N55" t="s">
        <v>311</v>
      </c>
      <c r="O55" t="s">
        <v>312</v>
      </c>
      <c r="P55" t="s">
        <v>25</v>
      </c>
      <c r="Q55" t="s">
        <v>313</v>
      </c>
      <c r="R55" t="s">
        <v>314</v>
      </c>
      <c r="S55" t="s">
        <v>328</v>
      </c>
      <c r="T55" t="s">
        <v>246</v>
      </c>
      <c r="U55" t="s">
        <v>25</v>
      </c>
      <c r="V55" t="s">
        <v>326</v>
      </c>
      <c r="Y55" t="s">
        <v>47</v>
      </c>
      <c r="Z55" t="s">
        <v>329</v>
      </c>
      <c r="AA55" t="s">
        <v>330</v>
      </c>
    </row>
    <row r="56" spans="2:28" x14ac:dyDescent="0.2">
      <c r="B56" s="34" t="e">
        <f ca="1">_xll.BDH($AK$1,$AL$2:$BA$2,"14.03.1998","14.04.2018","Dir=V","Dts=S","Sort=A","Quote=C","QtTyp=Y","Days=T","Per=cy","DtFmt=D","UseDPDF=Y","cols=17;rows=20")</f>
        <v>#NAME?</v>
      </c>
      <c r="C56">
        <v>41.938000000000002</v>
      </c>
      <c r="D56" t="s">
        <v>315</v>
      </c>
      <c r="E56">
        <v>114068.1721</v>
      </c>
      <c r="F56">
        <v>112806.1721</v>
      </c>
      <c r="G56">
        <v>39.563699999999997</v>
      </c>
      <c r="H56">
        <v>29.604600000000001</v>
      </c>
      <c r="I56">
        <v>23995</v>
      </c>
      <c r="J56" t="s">
        <v>315</v>
      </c>
      <c r="K56">
        <v>1.1565000000000001</v>
      </c>
      <c r="L56">
        <v>2689.864</v>
      </c>
      <c r="M56">
        <v>27.3245</v>
      </c>
      <c r="N56" t="s">
        <v>315</v>
      </c>
      <c r="O56" t="s">
        <v>315</v>
      </c>
      <c r="P56">
        <v>6170</v>
      </c>
      <c r="Q56" t="s">
        <v>315</v>
      </c>
      <c r="R56" t="s">
        <v>315</v>
      </c>
    </row>
    <row r="57" spans="2:28" x14ac:dyDescent="0.2">
      <c r="B57" s="35">
        <v>36525</v>
      </c>
      <c r="C57">
        <v>46.625</v>
      </c>
      <c r="D57" t="s">
        <v>315</v>
      </c>
      <c r="E57">
        <v>143062.16029999999</v>
      </c>
      <c r="F57">
        <v>143126.16029999999</v>
      </c>
      <c r="G57">
        <v>31.717700000000001</v>
      </c>
      <c r="H57">
        <v>28.784300000000002</v>
      </c>
      <c r="I57">
        <v>27471</v>
      </c>
      <c r="J57" t="s">
        <v>315</v>
      </c>
      <c r="K57">
        <v>1.1689000000000001</v>
      </c>
      <c r="L57">
        <v>3069.73</v>
      </c>
      <c r="M57">
        <v>11.177300000000001</v>
      </c>
      <c r="N57" t="s">
        <v>315</v>
      </c>
      <c r="O57" t="s">
        <v>315</v>
      </c>
      <c r="P57">
        <v>7370</v>
      </c>
      <c r="Q57" t="s">
        <v>315</v>
      </c>
      <c r="R57" t="s">
        <v>315</v>
      </c>
    </row>
    <row r="58" spans="2:28" x14ac:dyDescent="0.2">
      <c r="B58" s="35">
        <v>36889</v>
      </c>
      <c r="C58">
        <v>52.530999999999999</v>
      </c>
      <c r="D58" t="s">
        <v>315</v>
      </c>
      <c r="E58">
        <v>143277.92739999999</v>
      </c>
      <c r="F58">
        <v>146039.92739999999</v>
      </c>
      <c r="G58">
        <v>32.426699999999997</v>
      </c>
      <c r="H58">
        <v>28.302800000000001</v>
      </c>
      <c r="I58">
        <v>29846</v>
      </c>
      <c r="J58" t="s">
        <v>315</v>
      </c>
      <c r="K58">
        <v>1.1801999999999999</v>
      </c>
      <c r="L58">
        <v>2780.058</v>
      </c>
      <c r="M58">
        <v>12.6676</v>
      </c>
      <c r="N58" t="s">
        <v>315</v>
      </c>
      <c r="O58" t="s">
        <v>315</v>
      </c>
      <c r="P58">
        <v>8301</v>
      </c>
      <c r="Q58" t="s">
        <v>315</v>
      </c>
      <c r="R58" t="s">
        <v>315</v>
      </c>
    </row>
    <row r="59" spans="2:28" x14ac:dyDescent="0.2">
      <c r="B59" s="50">
        <v>37256</v>
      </c>
      <c r="C59" s="51">
        <v>59.1</v>
      </c>
      <c r="D59" s="51" t="s">
        <v>315</v>
      </c>
      <c r="E59" s="51">
        <v>174951.11420000001</v>
      </c>
      <c r="F59" s="51">
        <v>180141.11420000001</v>
      </c>
      <c r="G59" s="51">
        <v>30.942399999999999</v>
      </c>
      <c r="H59" s="51">
        <v>27.781500000000001</v>
      </c>
      <c r="I59" s="51">
        <v>32317</v>
      </c>
      <c r="J59" s="51" t="s">
        <v>315</v>
      </c>
      <c r="K59" s="51">
        <v>1.1844000000000001</v>
      </c>
      <c r="L59" s="51">
        <v>3048.0729999999999</v>
      </c>
      <c r="M59" s="51">
        <v>12.5045</v>
      </c>
      <c r="N59" s="51" t="s">
        <v>315</v>
      </c>
      <c r="O59" s="51" t="s">
        <v>315</v>
      </c>
      <c r="P59" s="51">
        <v>9490</v>
      </c>
      <c r="Q59" s="51" t="s">
        <v>315</v>
      </c>
      <c r="R59" s="51" t="s">
        <v>315</v>
      </c>
      <c r="S59" s="51">
        <v>1.8399999999999999</v>
      </c>
      <c r="T59" s="51">
        <v>7885</v>
      </c>
      <c r="U59" s="51">
        <v>9490</v>
      </c>
      <c r="V59" s="51">
        <v>18.435300000000002</v>
      </c>
      <c r="W59" s="51"/>
      <c r="X59" s="51"/>
      <c r="Y59" s="52">
        <v>24233</v>
      </c>
      <c r="Z59" s="51">
        <v>30.942399999999999</v>
      </c>
      <c r="AA59" s="51">
        <v>7.4315999999999995</v>
      </c>
      <c r="AB59" s="51"/>
    </row>
    <row r="60" spans="2:28" x14ac:dyDescent="0.2">
      <c r="B60" s="48">
        <v>37621</v>
      </c>
      <c r="C60" s="49">
        <v>53.71</v>
      </c>
      <c r="D60" s="49" t="s">
        <v>315</v>
      </c>
      <c r="E60" s="49">
        <v>156213.93470000001</v>
      </c>
      <c r="F60" s="49">
        <v>159549.93470000001</v>
      </c>
      <c r="G60" s="49">
        <v>24.1937</v>
      </c>
      <c r="H60" s="49">
        <v>27.869399999999999</v>
      </c>
      <c r="I60" s="49">
        <v>36298</v>
      </c>
      <c r="J60" s="49" t="s">
        <v>315</v>
      </c>
      <c r="K60" s="49">
        <v>1.4802</v>
      </c>
      <c r="L60" s="49">
        <v>2970.5819999999999</v>
      </c>
      <c r="M60" s="49">
        <v>-9.1201000000000008</v>
      </c>
      <c r="N60" s="49" t="s">
        <v>315</v>
      </c>
      <c r="O60" s="49" t="s">
        <v>315</v>
      </c>
      <c r="P60" s="49">
        <v>11340</v>
      </c>
      <c r="Q60" s="49" t="s">
        <v>315</v>
      </c>
      <c r="R60" s="49" t="s">
        <v>315</v>
      </c>
      <c r="S60" s="49"/>
      <c r="T60" s="49"/>
      <c r="U60" s="49"/>
      <c r="V60" s="49"/>
      <c r="W60" s="49"/>
      <c r="X60" s="49"/>
      <c r="Y60" s="53"/>
      <c r="Z60" s="49"/>
      <c r="AA60" s="49"/>
      <c r="AB60" s="49"/>
    </row>
    <row r="61" spans="2:28" x14ac:dyDescent="0.2">
      <c r="B61" s="35">
        <v>37986</v>
      </c>
      <c r="C61">
        <v>51.66</v>
      </c>
      <c r="D61" t="s">
        <v>315</v>
      </c>
      <c r="E61">
        <v>147905.2708</v>
      </c>
      <c r="F61">
        <v>153334.2708</v>
      </c>
      <c r="G61">
        <v>19.494299999999999</v>
      </c>
      <c r="H61">
        <v>28.469799999999999</v>
      </c>
      <c r="I61">
        <v>41862</v>
      </c>
      <c r="J61" t="s">
        <v>315</v>
      </c>
      <c r="K61">
        <v>1.7906</v>
      </c>
      <c r="L61">
        <v>2968.143</v>
      </c>
      <c r="M61">
        <v>-3.8167999999999997</v>
      </c>
      <c r="N61" t="s">
        <v>315</v>
      </c>
      <c r="O61" t="s">
        <v>315</v>
      </c>
      <c r="P61">
        <v>12740</v>
      </c>
      <c r="Q61" t="s">
        <v>315</v>
      </c>
      <c r="R61" t="s">
        <v>315</v>
      </c>
    </row>
    <row r="62" spans="2:28" x14ac:dyDescent="0.2">
      <c r="B62" s="35">
        <v>38352</v>
      </c>
      <c r="C62">
        <v>63.42</v>
      </c>
      <c r="D62" t="s">
        <v>315</v>
      </c>
      <c r="E62">
        <v>178128.1876</v>
      </c>
      <c r="F62">
        <v>188213.1876</v>
      </c>
      <c r="G62">
        <v>20.392299999999999</v>
      </c>
      <c r="H62">
        <v>29.312999999999999</v>
      </c>
      <c r="I62">
        <v>47348</v>
      </c>
      <c r="J62" t="s">
        <v>315</v>
      </c>
      <c r="K62">
        <v>1.7265999999999999</v>
      </c>
      <c r="L62">
        <v>2967.7260000000001</v>
      </c>
      <c r="M62">
        <v>22.764199999999999</v>
      </c>
      <c r="N62" t="s">
        <v>315</v>
      </c>
      <c r="O62" t="s">
        <v>315</v>
      </c>
      <c r="P62">
        <v>14987</v>
      </c>
      <c r="Q62" t="s">
        <v>315</v>
      </c>
      <c r="R62" t="s">
        <v>315</v>
      </c>
    </row>
    <row r="63" spans="2:28" x14ac:dyDescent="0.2">
      <c r="B63" s="35">
        <v>38716</v>
      </c>
      <c r="C63">
        <v>60.1</v>
      </c>
      <c r="D63" t="s">
        <v>315</v>
      </c>
      <c r="E63">
        <v>165320.28890000001</v>
      </c>
      <c r="F63">
        <v>178793.28890000001</v>
      </c>
      <c r="G63">
        <v>17.7286</v>
      </c>
      <c r="H63">
        <v>29.631</v>
      </c>
      <c r="I63">
        <v>50514</v>
      </c>
      <c r="J63" t="s">
        <v>315</v>
      </c>
      <c r="K63">
        <v>2.1215000000000002</v>
      </c>
      <c r="L63">
        <v>2974.93</v>
      </c>
      <c r="M63">
        <v>-5.2348999999999997</v>
      </c>
      <c r="N63" t="s">
        <v>315</v>
      </c>
      <c r="O63" t="s">
        <v>315</v>
      </c>
      <c r="P63">
        <v>14924</v>
      </c>
      <c r="Q63" t="s">
        <v>315</v>
      </c>
      <c r="R63" t="s">
        <v>315</v>
      </c>
    </row>
    <row r="64" spans="2:28" x14ac:dyDescent="0.2">
      <c r="B64" s="35">
        <v>39080</v>
      </c>
      <c r="C64">
        <v>66.02</v>
      </c>
      <c r="D64" t="s">
        <v>315</v>
      </c>
      <c r="E64">
        <v>193908.4319</v>
      </c>
      <c r="F64">
        <v>191415.4319</v>
      </c>
      <c r="G64">
        <v>17.558499999999999</v>
      </c>
      <c r="H64">
        <v>30.050999999999998</v>
      </c>
      <c r="I64">
        <v>53324</v>
      </c>
      <c r="J64" t="s">
        <v>315</v>
      </c>
      <c r="K64">
        <v>2.2039</v>
      </c>
      <c r="L64">
        <v>2899.355</v>
      </c>
      <c r="M64">
        <v>9.8501999999999992</v>
      </c>
      <c r="N64" t="s">
        <v>315</v>
      </c>
      <c r="O64" t="s">
        <v>315</v>
      </c>
      <c r="P64">
        <v>15886</v>
      </c>
      <c r="Q64" t="s">
        <v>315</v>
      </c>
      <c r="R64" t="s">
        <v>315</v>
      </c>
    </row>
    <row r="65" spans="2:27" x14ac:dyDescent="0.2">
      <c r="B65" s="35">
        <v>39447</v>
      </c>
      <c r="C65">
        <v>66.7</v>
      </c>
      <c r="D65" t="s">
        <v>315</v>
      </c>
      <c r="E65">
        <v>191098.72500000001</v>
      </c>
      <c r="F65">
        <v>190878.72500000001</v>
      </c>
      <c r="G65">
        <v>16.072299999999998</v>
      </c>
      <c r="H65">
        <v>30.116700000000002</v>
      </c>
      <c r="I65">
        <v>61095</v>
      </c>
      <c r="J65" t="s">
        <v>315</v>
      </c>
      <c r="K65">
        <v>2.4287999999999998</v>
      </c>
      <c r="L65">
        <v>2861.75</v>
      </c>
      <c r="M65">
        <v>1.03</v>
      </c>
      <c r="N65" t="s">
        <v>315</v>
      </c>
      <c r="O65" t="s">
        <v>315</v>
      </c>
      <c r="P65">
        <v>17990</v>
      </c>
      <c r="Q65" t="s">
        <v>315</v>
      </c>
      <c r="R65" t="s">
        <v>315</v>
      </c>
    </row>
    <row r="66" spans="2:27" x14ac:dyDescent="0.2">
      <c r="B66" s="35">
        <v>39813</v>
      </c>
      <c r="C66">
        <v>59.83</v>
      </c>
      <c r="D66" t="s">
        <v>315</v>
      </c>
      <c r="E66">
        <v>165041.41029999999</v>
      </c>
      <c r="F66">
        <v>166002.41029999999</v>
      </c>
      <c r="G66">
        <v>13.1495</v>
      </c>
      <c r="H66">
        <v>29.697199999999999</v>
      </c>
      <c r="I66">
        <v>63747</v>
      </c>
      <c r="J66" t="s">
        <v>315</v>
      </c>
      <c r="K66">
        <v>3.0002</v>
      </c>
      <c r="L66">
        <v>2774.5680000000002</v>
      </c>
      <c r="M66">
        <v>-10.299899999999999</v>
      </c>
      <c r="N66" t="s">
        <v>315</v>
      </c>
      <c r="O66" t="s">
        <v>315</v>
      </c>
      <c r="P66">
        <v>19001</v>
      </c>
      <c r="Q66" t="s">
        <v>315</v>
      </c>
      <c r="R66" t="s">
        <v>315</v>
      </c>
    </row>
    <row r="67" spans="2:27" x14ac:dyDescent="0.2">
      <c r="B67" s="35">
        <v>40178</v>
      </c>
      <c r="C67">
        <v>64.41</v>
      </c>
      <c r="D67" t="s">
        <v>315</v>
      </c>
      <c r="E67">
        <v>172829.60579999999</v>
      </c>
      <c r="F67">
        <v>177713.60579999999</v>
      </c>
      <c r="G67">
        <v>14.2318</v>
      </c>
      <c r="H67">
        <v>28.771999999999998</v>
      </c>
      <c r="I67">
        <v>61897</v>
      </c>
      <c r="J67" t="s">
        <v>315</v>
      </c>
      <c r="K67">
        <v>2.9964</v>
      </c>
      <c r="L67">
        <v>2759.1</v>
      </c>
      <c r="M67">
        <v>7.6550000000000002</v>
      </c>
      <c r="N67" t="s">
        <v>315</v>
      </c>
      <c r="O67" t="s">
        <v>315</v>
      </c>
      <c r="P67">
        <v>18364</v>
      </c>
      <c r="Q67" t="s">
        <v>315</v>
      </c>
      <c r="R67" t="s">
        <v>315</v>
      </c>
    </row>
    <row r="68" spans="2:27" x14ac:dyDescent="0.2">
      <c r="B68" s="35">
        <v>40543</v>
      </c>
      <c r="C68">
        <v>61.85</v>
      </c>
      <c r="D68" t="s">
        <v>315</v>
      </c>
      <c r="E68">
        <v>158970.78899999999</v>
      </c>
      <c r="F68">
        <v>169855.78899999999</v>
      </c>
      <c r="G68">
        <v>12.992900000000001</v>
      </c>
      <c r="H68">
        <v>27.946400000000001</v>
      </c>
      <c r="I68">
        <v>61587</v>
      </c>
      <c r="J68" t="s">
        <v>315</v>
      </c>
      <c r="K68">
        <v>3.4115000000000002</v>
      </c>
      <c r="L68">
        <v>2746.2539999999999</v>
      </c>
      <c r="M68">
        <v>-3.9744999999999999</v>
      </c>
      <c r="N68" t="s">
        <v>315</v>
      </c>
      <c r="O68" t="s">
        <v>315</v>
      </c>
      <c r="P68">
        <v>19466</v>
      </c>
      <c r="Q68" t="s">
        <v>315</v>
      </c>
      <c r="R68" t="s">
        <v>315</v>
      </c>
    </row>
    <row r="69" spans="2:27" x14ac:dyDescent="0.2">
      <c r="B69" s="35">
        <v>40907</v>
      </c>
      <c r="C69">
        <v>65.58</v>
      </c>
      <c r="D69" t="s">
        <v>315</v>
      </c>
      <c r="E69">
        <v>166455.08540000001</v>
      </c>
      <c r="F69">
        <v>179089.08540000001</v>
      </c>
      <c r="G69">
        <v>13.1119</v>
      </c>
      <c r="H69">
        <v>27.119399999999999</v>
      </c>
      <c r="I69">
        <v>65030</v>
      </c>
      <c r="J69" t="s">
        <v>315</v>
      </c>
      <c r="K69">
        <v>3.4308999999999998</v>
      </c>
      <c r="L69">
        <v>2730.8490000000002</v>
      </c>
      <c r="M69">
        <v>6.0307000000000004</v>
      </c>
      <c r="N69" t="s">
        <v>315</v>
      </c>
      <c r="O69" t="s">
        <v>315</v>
      </c>
      <c r="P69">
        <v>18742</v>
      </c>
      <c r="Q69" t="s">
        <v>315</v>
      </c>
      <c r="R69" t="s">
        <v>315</v>
      </c>
    </row>
    <row r="70" spans="2:27" x14ac:dyDescent="0.2">
      <c r="B70" s="35">
        <v>41274</v>
      </c>
      <c r="C70">
        <v>70.099999999999994</v>
      </c>
      <c r="D70" t="s">
        <v>315</v>
      </c>
      <c r="E70">
        <v>189341.44649999999</v>
      </c>
      <c r="F70">
        <v>194265.44649999999</v>
      </c>
      <c r="G70">
        <v>13.7409</v>
      </c>
      <c r="H70">
        <v>25.976700000000001</v>
      </c>
      <c r="I70">
        <v>67224</v>
      </c>
      <c r="J70" t="s">
        <v>315</v>
      </c>
      <c r="K70">
        <v>3.4237000000000002</v>
      </c>
      <c r="L70">
        <v>2771.2620000000002</v>
      </c>
      <c r="M70">
        <v>6.8922999999999996</v>
      </c>
      <c r="N70" t="s">
        <v>315</v>
      </c>
      <c r="O70" t="s">
        <v>315</v>
      </c>
      <c r="P70">
        <v>19535</v>
      </c>
      <c r="Q70" t="s">
        <v>315</v>
      </c>
      <c r="R70" t="s">
        <v>315</v>
      </c>
    </row>
    <row r="71" spans="2:27" x14ac:dyDescent="0.2">
      <c r="B71" s="35">
        <v>41639</v>
      </c>
      <c r="C71">
        <v>91.59</v>
      </c>
      <c r="D71" t="s">
        <v>315</v>
      </c>
      <c r="E71">
        <v>247389.55009999999</v>
      </c>
      <c r="F71">
        <v>258415.55009999999</v>
      </c>
      <c r="G71">
        <v>16.627400000000002</v>
      </c>
      <c r="H71">
        <v>24.526599999999998</v>
      </c>
      <c r="I71">
        <v>71312</v>
      </c>
      <c r="J71" t="s">
        <v>315</v>
      </c>
      <c r="K71">
        <v>2.8277999999999999</v>
      </c>
      <c r="L71">
        <v>2821.4380000000001</v>
      </c>
      <c r="M71">
        <v>30.656199999999998</v>
      </c>
      <c r="N71" t="s">
        <v>315</v>
      </c>
      <c r="O71" t="s">
        <v>315</v>
      </c>
      <c r="P71">
        <v>22481</v>
      </c>
      <c r="Q71" t="s">
        <v>315</v>
      </c>
      <c r="R71" t="s">
        <v>315</v>
      </c>
    </row>
    <row r="72" spans="2:27" x14ac:dyDescent="0.2">
      <c r="B72" s="35">
        <v>42004</v>
      </c>
      <c r="C72">
        <v>104.57</v>
      </c>
      <c r="D72" t="s">
        <v>315</v>
      </c>
      <c r="E72">
        <v>278373.96950000001</v>
      </c>
      <c r="F72">
        <v>292702.96950000001</v>
      </c>
      <c r="G72">
        <v>19.25</v>
      </c>
      <c r="H72">
        <v>23.4328</v>
      </c>
      <c r="I72">
        <v>74331</v>
      </c>
      <c r="J72" t="s">
        <v>315</v>
      </c>
      <c r="K72">
        <v>2.6394000000000002</v>
      </c>
      <c r="L72">
        <v>2799.11</v>
      </c>
      <c r="M72">
        <v>14.171900000000001</v>
      </c>
      <c r="N72" t="s">
        <v>315</v>
      </c>
      <c r="O72" t="s">
        <v>315</v>
      </c>
      <c r="P72">
        <v>24854</v>
      </c>
      <c r="Q72" t="s">
        <v>315</v>
      </c>
      <c r="R72" t="s">
        <v>315</v>
      </c>
    </row>
    <row r="73" spans="2:27" x14ac:dyDescent="0.2">
      <c r="B73" s="35">
        <v>42369</v>
      </c>
      <c r="C73">
        <v>102.72</v>
      </c>
      <c r="D73">
        <v>9.9130000000000003</v>
      </c>
      <c r="E73">
        <v>265705.44699999999</v>
      </c>
      <c r="F73">
        <v>284220.44699999999</v>
      </c>
      <c r="G73">
        <v>19.281300000000002</v>
      </c>
      <c r="H73">
        <v>22.728999999999999</v>
      </c>
      <c r="I73">
        <v>70074</v>
      </c>
      <c r="J73">
        <v>1.9300000000000002</v>
      </c>
      <c r="K73">
        <v>2.8719000000000001</v>
      </c>
      <c r="L73">
        <v>2766.944</v>
      </c>
      <c r="M73">
        <v>-1.7690999999999999</v>
      </c>
      <c r="N73" t="s">
        <v>315</v>
      </c>
      <c r="O73" t="s">
        <v>315</v>
      </c>
      <c r="P73">
        <v>21811</v>
      </c>
      <c r="Q73" t="s">
        <v>315</v>
      </c>
      <c r="R73" t="s">
        <v>315</v>
      </c>
    </row>
    <row r="74" spans="2:27" x14ac:dyDescent="0.2">
      <c r="B74" s="35">
        <v>42734</v>
      </c>
      <c r="C74">
        <v>115.21</v>
      </c>
      <c r="D74">
        <v>12.032999999999999</v>
      </c>
      <c r="E74">
        <v>298651.46159999998</v>
      </c>
      <c r="F74">
        <v>313432.46159999998</v>
      </c>
      <c r="G74">
        <v>18.4435</v>
      </c>
      <c r="H74">
        <v>22.771599999999999</v>
      </c>
      <c r="I74">
        <v>71890</v>
      </c>
      <c r="J74">
        <v>1.83</v>
      </c>
      <c r="K74">
        <v>2.7340999999999998</v>
      </c>
      <c r="L74">
        <v>2720.5320000000002</v>
      </c>
      <c r="M74">
        <v>12.1593</v>
      </c>
      <c r="N74" t="s">
        <v>315</v>
      </c>
      <c r="O74" t="s">
        <v>315</v>
      </c>
      <c r="P74">
        <v>24890</v>
      </c>
      <c r="Q74" t="s">
        <v>315</v>
      </c>
      <c r="R74" t="s">
        <v>315</v>
      </c>
    </row>
    <row r="75" spans="2:27" x14ac:dyDescent="0.2">
      <c r="B75" s="35">
        <v>43098</v>
      </c>
      <c r="C75">
        <v>139.72</v>
      </c>
      <c r="D75">
        <v>13.478</v>
      </c>
      <c r="E75">
        <v>391645.58140000002</v>
      </c>
      <c r="F75">
        <v>375360.58140000002</v>
      </c>
      <c r="G75">
        <v>21.8569</v>
      </c>
      <c r="H75">
        <v>23.4436</v>
      </c>
      <c r="I75">
        <v>76450</v>
      </c>
      <c r="J75">
        <v>1.9790000000000001</v>
      </c>
      <c r="K75">
        <v>2.3761999999999999</v>
      </c>
      <c r="L75">
        <v>2686.52</v>
      </c>
      <c r="M75">
        <v>21.2742</v>
      </c>
      <c r="N75" t="s">
        <v>315</v>
      </c>
      <c r="O75">
        <v>4.8819999999999997</v>
      </c>
      <c r="P75">
        <v>24356</v>
      </c>
      <c r="Q75" t="s">
        <v>315</v>
      </c>
      <c r="R75">
        <v>2.512</v>
      </c>
    </row>
    <row r="78" spans="2:27" x14ac:dyDescent="0.2">
      <c r="B78" t="s">
        <v>318</v>
      </c>
    </row>
    <row r="79" spans="2:27" x14ac:dyDescent="0.2">
      <c r="B79" t="s">
        <v>77</v>
      </c>
      <c r="C79" t="s">
        <v>300</v>
      </c>
      <c r="D79" t="s">
        <v>301</v>
      </c>
      <c r="E79" t="s">
        <v>302</v>
      </c>
      <c r="F79" t="s">
        <v>303</v>
      </c>
      <c r="G79" t="s">
        <v>304</v>
      </c>
      <c r="H79" t="s">
        <v>305</v>
      </c>
      <c r="I79" t="s">
        <v>306</v>
      </c>
      <c r="J79" t="s">
        <v>307</v>
      </c>
      <c r="K79" t="s">
        <v>308</v>
      </c>
      <c r="L79" t="s">
        <v>309</v>
      </c>
      <c r="M79" t="s">
        <v>310</v>
      </c>
      <c r="N79" t="s">
        <v>311</v>
      </c>
      <c r="O79" t="s">
        <v>312</v>
      </c>
      <c r="P79" t="s">
        <v>25</v>
      </c>
      <c r="Q79" t="s">
        <v>313</v>
      </c>
      <c r="R79" t="s">
        <v>314</v>
      </c>
      <c r="S79" t="s">
        <v>328</v>
      </c>
      <c r="T79" t="s">
        <v>246</v>
      </c>
      <c r="U79" t="s">
        <v>25</v>
      </c>
      <c r="V79" t="s">
        <v>326</v>
      </c>
      <c r="Y79" t="s">
        <v>47</v>
      </c>
      <c r="Z79" t="s">
        <v>329</v>
      </c>
      <c r="AA79" t="s">
        <v>330</v>
      </c>
    </row>
    <row r="80" spans="2:27" x14ac:dyDescent="0.2">
      <c r="B80" s="34" t="e">
        <f ca="1">_xll.BDH($BU$1,$BV$2:$CK$2,"14.03.1998","14.04.2018","Dir=V","Dts=S","Sort=A","Quote=C","QtTyp=Y","Days=T","Per=cy","DtFmt=D","UseDPDF=Y","cols=17;rows=20")</f>
        <v>#NAME?</v>
      </c>
      <c r="C80">
        <v>69.801199999999994</v>
      </c>
      <c r="D80" t="s">
        <v>315</v>
      </c>
      <c r="E80">
        <v>178398.58809999999</v>
      </c>
      <c r="F80">
        <v>174204.288</v>
      </c>
      <c r="G80">
        <v>32.465699999999998</v>
      </c>
      <c r="H80">
        <v>33.813699999999997</v>
      </c>
      <c r="I80">
        <v>26898.199199999999</v>
      </c>
      <c r="J80" t="s">
        <v>315</v>
      </c>
      <c r="K80">
        <v>1.4182999999999999</v>
      </c>
      <c r="L80">
        <v>2362.0920000000001</v>
      </c>
      <c r="M80">
        <v>39.1509</v>
      </c>
      <c r="N80" t="s">
        <v>315</v>
      </c>
      <c r="O80" t="s">
        <v>315</v>
      </c>
      <c r="P80">
        <v>7655.3998000000001</v>
      </c>
      <c r="Q80" t="s">
        <v>315</v>
      </c>
      <c r="R80" t="s">
        <v>315</v>
      </c>
    </row>
    <row r="81" spans="2:28" x14ac:dyDescent="0.2">
      <c r="B81" s="35">
        <v>36525</v>
      </c>
      <c r="C81">
        <v>63.5901</v>
      </c>
      <c r="D81" t="s">
        <v>315</v>
      </c>
      <c r="E81">
        <v>163307.81169999999</v>
      </c>
      <c r="F81">
        <v>157046.81169999999</v>
      </c>
      <c r="G81">
        <v>25.955100000000002</v>
      </c>
      <c r="H81">
        <v>37.195700000000002</v>
      </c>
      <c r="I81">
        <v>32714</v>
      </c>
      <c r="J81" t="s">
        <v>315</v>
      </c>
      <c r="K81">
        <v>1.7612999999999999</v>
      </c>
      <c r="L81">
        <v>2337.4409999999998</v>
      </c>
      <c r="M81">
        <v>-8.8983000000000008</v>
      </c>
      <c r="N81" t="s">
        <v>315</v>
      </c>
      <c r="O81" t="s">
        <v>315</v>
      </c>
      <c r="P81">
        <v>9767.2999999999993</v>
      </c>
      <c r="Q81" t="s">
        <v>315</v>
      </c>
      <c r="R81" t="s">
        <v>315</v>
      </c>
    </row>
    <row r="82" spans="2:28" x14ac:dyDescent="0.2">
      <c r="B82" s="35">
        <v>36889</v>
      </c>
      <c r="C82">
        <v>88.612099999999998</v>
      </c>
      <c r="D82" t="s">
        <v>315</v>
      </c>
      <c r="E82">
        <v>223598.29029999999</v>
      </c>
      <c r="F82">
        <v>215911.8903</v>
      </c>
      <c r="G82">
        <v>30.555900000000001</v>
      </c>
      <c r="H82">
        <v>41.083199999999998</v>
      </c>
      <c r="I82">
        <v>40363.199999999997</v>
      </c>
      <c r="J82" t="s">
        <v>315</v>
      </c>
      <c r="K82">
        <v>1.4218999999999999</v>
      </c>
      <c r="L82">
        <v>2306.1350000000002</v>
      </c>
      <c r="M82">
        <v>39.348799999999997</v>
      </c>
      <c r="N82" t="s">
        <v>315</v>
      </c>
      <c r="O82" t="s">
        <v>315</v>
      </c>
      <c r="P82">
        <v>10366.4</v>
      </c>
      <c r="Q82" t="s">
        <v>315</v>
      </c>
      <c r="R82" t="s">
        <v>315</v>
      </c>
    </row>
    <row r="83" spans="2:28" x14ac:dyDescent="0.2">
      <c r="B83" s="50">
        <v>37256</v>
      </c>
      <c r="C83" s="51">
        <v>55.651699999999998</v>
      </c>
      <c r="D83" s="51" t="s">
        <v>315</v>
      </c>
      <c r="E83" s="51">
        <v>144169.14569999999</v>
      </c>
      <c r="F83" s="51">
        <v>133752.94570000001</v>
      </c>
      <c r="G83" s="51">
        <v>17.723500000000001</v>
      </c>
      <c r="H83" s="51">
        <v>43.965800000000002</v>
      </c>
      <c r="I83" s="51">
        <v>47715.7</v>
      </c>
      <c r="J83" s="51" t="s">
        <v>315</v>
      </c>
      <c r="K83" s="51">
        <v>2.4797000000000002</v>
      </c>
      <c r="L83" s="51">
        <v>2274.71</v>
      </c>
      <c r="M83" s="51">
        <v>-37.196300000000001</v>
      </c>
      <c r="N83" s="51" t="s">
        <v>315</v>
      </c>
      <c r="O83" s="51" t="s">
        <v>315</v>
      </c>
      <c r="P83" s="51">
        <v>11522.2</v>
      </c>
      <c r="Q83" s="51" t="s">
        <v>315</v>
      </c>
      <c r="R83" s="51" t="s">
        <v>315</v>
      </c>
      <c r="S83" s="51">
        <v>3.14</v>
      </c>
      <c r="T83" s="51">
        <v>10058.4</v>
      </c>
      <c r="U83" s="51">
        <v>11522.2</v>
      </c>
      <c r="V83" s="51">
        <v>12.5123</v>
      </c>
      <c r="W83" s="51"/>
      <c r="X83" s="51"/>
      <c r="Y83" s="52">
        <v>20887.599999999999</v>
      </c>
      <c r="Z83" s="51">
        <v>17.723500000000001</v>
      </c>
      <c r="AA83" s="51">
        <v>7.8803999999999998</v>
      </c>
      <c r="AB83" s="51"/>
    </row>
    <row r="84" spans="2:28" x14ac:dyDescent="0.2">
      <c r="B84" s="48">
        <v>37621</v>
      </c>
      <c r="C84" s="49">
        <v>53.579000000000001</v>
      </c>
      <c r="D84" s="49" t="s">
        <v>315</v>
      </c>
      <c r="E84" s="49">
        <v>135626.84760000001</v>
      </c>
      <c r="F84" s="49">
        <v>127120.9476</v>
      </c>
      <c r="G84" s="49">
        <v>17.063400000000001</v>
      </c>
      <c r="H84" s="49">
        <v>44.808</v>
      </c>
      <c r="I84" s="49">
        <v>51790.3</v>
      </c>
      <c r="J84" s="49" t="s">
        <v>315</v>
      </c>
      <c r="K84" s="49">
        <v>2.6503000000000001</v>
      </c>
      <c r="L84" s="49">
        <v>2245.556</v>
      </c>
      <c r="M84" s="49">
        <v>-3.7244999999999999</v>
      </c>
      <c r="N84" s="49" t="s">
        <v>315</v>
      </c>
      <c r="O84" s="49" t="s">
        <v>315</v>
      </c>
      <c r="P84" s="49">
        <v>11361</v>
      </c>
      <c r="Q84" s="49" t="s">
        <v>315</v>
      </c>
      <c r="R84" s="49" t="s">
        <v>315</v>
      </c>
      <c r="S84" s="49"/>
      <c r="T84" s="49"/>
      <c r="U84" s="49"/>
      <c r="V84" s="49"/>
      <c r="W84" s="49"/>
      <c r="X84" s="49"/>
      <c r="Y84" s="53"/>
      <c r="Z84" s="49"/>
      <c r="AA84" s="49"/>
    </row>
    <row r="85" spans="2:28" x14ac:dyDescent="0.2">
      <c r="B85" s="35">
        <v>37986</v>
      </c>
      <c r="C85">
        <v>46.2</v>
      </c>
      <c r="D85" t="s">
        <v>315</v>
      </c>
      <c r="E85">
        <v>109333.0646</v>
      </c>
      <c r="F85">
        <v>102794.8646</v>
      </c>
      <c r="G85">
        <v>15.451499999999999</v>
      </c>
      <c r="H85">
        <v>44.534700000000001</v>
      </c>
      <c r="I85">
        <v>22485.9</v>
      </c>
      <c r="J85" t="s">
        <v>315</v>
      </c>
      <c r="K85">
        <v>3.1602000000000001</v>
      </c>
      <c r="L85">
        <v>2224.9969999999998</v>
      </c>
      <c r="M85">
        <v>-13.7721</v>
      </c>
      <c r="N85" t="s">
        <v>315</v>
      </c>
      <c r="O85" t="s">
        <v>315</v>
      </c>
      <c r="P85">
        <v>9985.4</v>
      </c>
      <c r="Q85" t="s">
        <v>315</v>
      </c>
      <c r="R85" t="s">
        <v>315</v>
      </c>
    </row>
    <row r="86" spans="2:28" x14ac:dyDescent="0.2">
      <c r="B86" s="35">
        <v>38352</v>
      </c>
      <c r="C86">
        <v>32.14</v>
      </c>
      <c r="D86" t="s">
        <v>315</v>
      </c>
      <c r="E86">
        <v>73462.872799999997</v>
      </c>
      <c r="F86">
        <v>71273.1728</v>
      </c>
      <c r="G86">
        <v>10.469099999999999</v>
      </c>
      <c r="H86">
        <v>43.819299999999998</v>
      </c>
      <c r="I86">
        <v>22938.6</v>
      </c>
      <c r="J86" t="s">
        <v>315</v>
      </c>
      <c r="K86">
        <v>4.6670999999999996</v>
      </c>
      <c r="L86">
        <v>2217.585</v>
      </c>
      <c r="M86">
        <v>-30.4329</v>
      </c>
      <c r="N86" t="s">
        <v>315</v>
      </c>
      <c r="O86" t="s">
        <v>315</v>
      </c>
      <c r="P86">
        <v>9141.6</v>
      </c>
      <c r="Q86" t="s">
        <v>315</v>
      </c>
      <c r="R86" t="s">
        <v>315</v>
      </c>
    </row>
    <row r="87" spans="2:28" x14ac:dyDescent="0.2">
      <c r="B87" s="35">
        <v>38716</v>
      </c>
      <c r="C87">
        <v>31.81</v>
      </c>
      <c r="D87" t="s">
        <v>315</v>
      </c>
      <c r="E87">
        <v>64423.974199999997</v>
      </c>
      <c r="F87">
        <v>69556.7742</v>
      </c>
      <c r="G87">
        <v>12.5731</v>
      </c>
      <c r="H87">
        <v>40.436900000000001</v>
      </c>
      <c r="I87">
        <v>22011.9</v>
      </c>
      <c r="J87" t="s">
        <v>315</v>
      </c>
      <c r="K87">
        <v>4.7783999999999995</v>
      </c>
      <c r="L87">
        <v>2186.6320000000001</v>
      </c>
      <c r="M87">
        <v>-1.0267999999999999</v>
      </c>
      <c r="N87" t="s">
        <v>315</v>
      </c>
      <c r="O87" t="s">
        <v>315</v>
      </c>
      <c r="P87">
        <v>7762.9</v>
      </c>
      <c r="Q87" t="s">
        <v>315</v>
      </c>
      <c r="R87" t="s">
        <v>315</v>
      </c>
    </row>
    <row r="88" spans="2:28" x14ac:dyDescent="0.2">
      <c r="B88" s="35">
        <v>39080</v>
      </c>
      <c r="C88">
        <v>43.6</v>
      </c>
      <c r="D88" t="s">
        <v>315</v>
      </c>
      <c r="E88">
        <v>95184.917100000006</v>
      </c>
      <c r="F88">
        <v>94655.717099999994</v>
      </c>
      <c r="G88">
        <v>17.301600000000001</v>
      </c>
      <c r="H88">
        <v>37.213099999999997</v>
      </c>
      <c r="I88">
        <v>22636</v>
      </c>
      <c r="J88" t="s">
        <v>315</v>
      </c>
      <c r="K88">
        <v>3.4862000000000002</v>
      </c>
      <c r="L88">
        <v>2171.0030000000002</v>
      </c>
      <c r="M88">
        <v>37.063800000000001</v>
      </c>
      <c r="N88" t="s">
        <v>315</v>
      </c>
      <c r="O88" t="s">
        <v>315</v>
      </c>
      <c r="P88">
        <v>7510.4</v>
      </c>
      <c r="Q88" t="s">
        <v>315</v>
      </c>
      <c r="R88" t="s">
        <v>315</v>
      </c>
    </row>
    <row r="89" spans="2:28" x14ac:dyDescent="0.2">
      <c r="B89" s="35">
        <v>39447</v>
      </c>
      <c r="C89">
        <v>58.11</v>
      </c>
      <c r="D89" t="s">
        <v>315</v>
      </c>
      <c r="E89">
        <v>126395.6306</v>
      </c>
      <c r="F89">
        <v>126480.3306</v>
      </c>
      <c r="G89">
        <v>18.159400000000002</v>
      </c>
      <c r="H89">
        <v>36.717500000000001</v>
      </c>
      <c r="I89">
        <v>24197.7</v>
      </c>
      <c r="J89" t="s">
        <v>315</v>
      </c>
      <c r="K89">
        <v>2.6156999999999999</v>
      </c>
      <c r="L89">
        <v>2176.567</v>
      </c>
      <c r="M89">
        <v>33.279800000000002</v>
      </c>
      <c r="N89" t="s">
        <v>315</v>
      </c>
      <c r="O89" t="s">
        <v>315</v>
      </c>
      <c r="P89">
        <v>7959.3</v>
      </c>
      <c r="Q89" t="s">
        <v>315</v>
      </c>
      <c r="R89" t="s">
        <v>315</v>
      </c>
    </row>
    <row r="90" spans="2:28" x14ac:dyDescent="0.2">
      <c r="B90" s="35">
        <v>39813</v>
      </c>
      <c r="C90">
        <v>30.4</v>
      </c>
      <c r="D90" t="s">
        <v>315</v>
      </c>
      <c r="E90">
        <v>67434.055500000002</v>
      </c>
      <c r="F90">
        <v>64271.255499999999</v>
      </c>
      <c r="G90">
        <v>8.8888999999999996</v>
      </c>
      <c r="H90">
        <v>36.681199999999997</v>
      </c>
      <c r="I90">
        <v>23850.3</v>
      </c>
      <c r="J90" t="s">
        <v>315</v>
      </c>
      <c r="K90">
        <v>5</v>
      </c>
      <c r="L90">
        <v>2114.1860000000001</v>
      </c>
      <c r="M90">
        <v>-47.685400000000001</v>
      </c>
      <c r="N90" t="s">
        <v>315</v>
      </c>
      <c r="O90" t="s">
        <v>315</v>
      </c>
      <c r="P90">
        <v>8070.3</v>
      </c>
      <c r="Q90" t="s">
        <v>315</v>
      </c>
      <c r="R90" t="s">
        <v>315</v>
      </c>
    </row>
    <row r="91" spans="2:28" x14ac:dyDescent="0.2">
      <c r="B91" s="35">
        <v>40178</v>
      </c>
      <c r="C91">
        <v>36.54</v>
      </c>
      <c r="D91" t="s">
        <v>315</v>
      </c>
      <c r="E91">
        <v>122114.5825</v>
      </c>
      <c r="F91">
        <v>111610.5825</v>
      </c>
      <c r="G91">
        <v>5.7167000000000003</v>
      </c>
      <c r="H91">
        <v>35.846600000000002</v>
      </c>
      <c r="I91">
        <v>27428</v>
      </c>
      <c r="J91" t="s">
        <v>315</v>
      </c>
      <c r="K91">
        <v>4.1597999999999997</v>
      </c>
      <c r="L91">
        <v>3054.4769999999999</v>
      </c>
      <c r="M91">
        <v>20.197399999999998</v>
      </c>
      <c r="N91" t="s">
        <v>315</v>
      </c>
      <c r="O91" t="s">
        <v>315</v>
      </c>
      <c r="P91">
        <v>4963</v>
      </c>
      <c r="Q91" t="s">
        <v>315</v>
      </c>
      <c r="R91" t="s">
        <v>315</v>
      </c>
    </row>
    <row r="92" spans="2:28" x14ac:dyDescent="0.2">
      <c r="B92" s="35">
        <v>40543</v>
      </c>
      <c r="C92">
        <v>36.04</v>
      </c>
      <c r="D92" t="s">
        <v>315</v>
      </c>
      <c r="E92">
        <v>119144.94620000001</v>
      </c>
      <c r="F92">
        <v>111034.94620000001</v>
      </c>
      <c r="G92">
        <v>25.428799999999999</v>
      </c>
      <c r="H92">
        <v>31.064299999999999</v>
      </c>
      <c r="I92">
        <v>45987</v>
      </c>
      <c r="J92" t="s">
        <v>315</v>
      </c>
      <c r="K92">
        <v>4.2175000000000002</v>
      </c>
      <c r="L92">
        <v>3080.8809999999999</v>
      </c>
      <c r="M92">
        <v>-1.3684000000000001</v>
      </c>
      <c r="N92" t="s">
        <v>315</v>
      </c>
      <c r="O92" t="s">
        <v>315</v>
      </c>
      <c r="P92">
        <v>9751</v>
      </c>
      <c r="Q92" t="s">
        <v>315</v>
      </c>
      <c r="R92" t="s">
        <v>315</v>
      </c>
    </row>
    <row r="93" spans="2:28" x14ac:dyDescent="0.2">
      <c r="B93" s="35">
        <v>40907</v>
      </c>
      <c r="C93">
        <v>37.700000000000003</v>
      </c>
      <c r="D93" t="s">
        <v>315</v>
      </c>
      <c r="E93">
        <v>119875.6363</v>
      </c>
      <c r="F93">
        <v>114906.6363</v>
      </c>
      <c r="G93">
        <v>13.878500000000001</v>
      </c>
      <c r="H93">
        <v>27.951899999999998</v>
      </c>
      <c r="I93">
        <v>48047</v>
      </c>
      <c r="J93" t="s">
        <v>315</v>
      </c>
      <c r="K93">
        <v>4.1379000000000001</v>
      </c>
      <c r="L93">
        <v>3047.9209999999998</v>
      </c>
      <c r="M93">
        <v>4.6059999999999999</v>
      </c>
      <c r="N93" t="s">
        <v>315</v>
      </c>
      <c r="O93" t="s">
        <v>315</v>
      </c>
      <c r="P93">
        <v>15097</v>
      </c>
      <c r="Q93" t="s">
        <v>315</v>
      </c>
      <c r="R93" t="s">
        <v>315</v>
      </c>
    </row>
    <row r="94" spans="2:28" x14ac:dyDescent="0.2">
      <c r="B94" s="35">
        <v>41274</v>
      </c>
      <c r="C94">
        <v>40.94</v>
      </c>
      <c r="D94" t="s">
        <v>315</v>
      </c>
      <c r="E94">
        <v>131331.54860000001</v>
      </c>
      <c r="F94">
        <v>124460.54859999999</v>
      </c>
      <c r="G94">
        <v>17.003599999999999</v>
      </c>
      <c r="H94">
        <v>22.858699999999999</v>
      </c>
      <c r="I94">
        <v>47267</v>
      </c>
      <c r="J94" t="s">
        <v>315</v>
      </c>
      <c r="K94">
        <v>4.1280000000000001</v>
      </c>
      <c r="L94">
        <v>3040.0720000000001</v>
      </c>
      <c r="M94">
        <v>8.5942000000000007</v>
      </c>
      <c r="N94" t="s">
        <v>315</v>
      </c>
      <c r="O94" t="s">
        <v>315</v>
      </c>
      <c r="P94">
        <v>16191</v>
      </c>
      <c r="Q94" t="s">
        <v>315</v>
      </c>
      <c r="R94" t="s">
        <v>315</v>
      </c>
    </row>
    <row r="95" spans="2:28" x14ac:dyDescent="0.2">
      <c r="B95" s="35">
        <v>41639</v>
      </c>
      <c r="C95">
        <v>50.05</v>
      </c>
      <c r="D95" t="s">
        <v>315</v>
      </c>
      <c r="E95">
        <v>156377.5442</v>
      </c>
      <c r="F95">
        <v>146242.5442</v>
      </c>
      <c r="G95">
        <v>24.2258</v>
      </c>
      <c r="H95">
        <v>17.317</v>
      </c>
      <c r="I95">
        <v>44033</v>
      </c>
      <c r="J95" t="s">
        <v>315</v>
      </c>
      <c r="K95">
        <v>3.4565000000000001</v>
      </c>
      <c r="L95">
        <v>2921.9290000000001</v>
      </c>
      <c r="M95">
        <v>22.252099999999999</v>
      </c>
      <c r="N95" t="s">
        <v>315</v>
      </c>
      <c r="O95" t="s">
        <v>315</v>
      </c>
      <c r="P95">
        <v>12944</v>
      </c>
      <c r="Q95" t="s">
        <v>315</v>
      </c>
      <c r="R95" t="s">
        <v>315</v>
      </c>
    </row>
    <row r="96" spans="2:28" x14ac:dyDescent="0.2">
      <c r="B96" s="35">
        <v>42004</v>
      </c>
      <c r="C96">
        <v>56.79</v>
      </c>
      <c r="D96" t="s">
        <v>315</v>
      </c>
      <c r="E96">
        <v>167729.09419999999</v>
      </c>
      <c r="F96">
        <v>161901.09419999999</v>
      </c>
      <c r="G96">
        <v>28.0227</v>
      </c>
      <c r="H96">
        <v>12.232900000000001</v>
      </c>
      <c r="I96">
        <v>42237</v>
      </c>
      <c r="J96" t="s">
        <v>315</v>
      </c>
      <c r="K96">
        <v>3.1166999999999998</v>
      </c>
      <c r="L96">
        <v>2850.873</v>
      </c>
      <c r="M96">
        <v>13.4665</v>
      </c>
      <c r="N96" t="s">
        <v>315</v>
      </c>
      <c r="O96" t="s">
        <v>315</v>
      </c>
      <c r="P96">
        <v>12361</v>
      </c>
      <c r="Q96" t="s">
        <v>315</v>
      </c>
      <c r="R96" t="s">
        <v>315</v>
      </c>
    </row>
    <row r="97" spans="2:28" x14ac:dyDescent="0.2">
      <c r="B97" s="35">
        <v>42369</v>
      </c>
      <c r="C97">
        <v>52.82</v>
      </c>
      <c r="D97" t="s">
        <v>315</v>
      </c>
      <c r="E97">
        <v>160630.95250000001</v>
      </c>
      <c r="F97">
        <v>147554.95250000001</v>
      </c>
      <c r="G97">
        <v>14.7188</v>
      </c>
      <c r="H97">
        <v>15.052199999999999</v>
      </c>
      <c r="I97">
        <v>39498</v>
      </c>
      <c r="J97" t="s">
        <v>315</v>
      </c>
      <c r="K97">
        <v>3.4266999999999999</v>
      </c>
      <c r="L97">
        <v>2793.5430000000001</v>
      </c>
      <c r="M97">
        <v>-6.9907000000000004</v>
      </c>
      <c r="N97" t="s">
        <v>315</v>
      </c>
      <c r="O97" t="s">
        <v>315</v>
      </c>
      <c r="P97">
        <v>13303</v>
      </c>
      <c r="Q97" t="s">
        <v>315</v>
      </c>
      <c r="R97" t="s">
        <v>315</v>
      </c>
    </row>
    <row r="98" spans="2:28" x14ac:dyDescent="0.2">
      <c r="B98" s="35">
        <v>42734</v>
      </c>
      <c r="C98">
        <v>58.87</v>
      </c>
      <c r="D98" t="s">
        <v>315</v>
      </c>
      <c r="E98">
        <v>173033.68179999999</v>
      </c>
      <c r="F98">
        <v>162312.68179999999</v>
      </c>
      <c r="G98">
        <v>28.256</v>
      </c>
      <c r="H98">
        <v>14.692299999999999</v>
      </c>
      <c r="I98">
        <v>39807</v>
      </c>
      <c r="J98">
        <v>0.95</v>
      </c>
      <c r="K98">
        <v>3.1425000000000001</v>
      </c>
      <c r="L98">
        <v>2757.1370000000002</v>
      </c>
      <c r="M98">
        <v>11.454000000000001</v>
      </c>
      <c r="N98" t="s">
        <v>315</v>
      </c>
      <c r="O98" t="s">
        <v>315</v>
      </c>
      <c r="P98">
        <v>10820</v>
      </c>
      <c r="Q98" t="s">
        <v>315</v>
      </c>
      <c r="R98" t="s">
        <v>315</v>
      </c>
    </row>
    <row r="99" spans="2:28" x14ac:dyDescent="0.2">
      <c r="B99" s="35">
        <v>43098</v>
      </c>
      <c r="C99">
        <v>56.27</v>
      </c>
      <c r="D99">
        <v>11.041</v>
      </c>
      <c r="E99">
        <v>169449.0607</v>
      </c>
      <c r="F99">
        <v>153304.0607</v>
      </c>
      <c r="G99">
        <v>16.8064</v>
      </c>
      <c r="H99">
        <v>16.878299999999999</v>
      </c>
      <c r="I99">
        <v>40122</v>
      </c>
      <c r="J99">
        <v>0.96</v>
      </c>
      <c r="K99">
        <v>3.3588</v>
      </c>
      <c r="L99">
        <v>2724.4369999999999</v>
      </c>
      <c r="M99">
        <v>-4.4165000000000001</v>
      </c>
      <c r="N99" t="s">
        <v>315</v>
      </c>
      <c r="O99" t="s">
        <v>315</v>
      </c>
      <c r="P99">
        <v>11170</v>
      </c>
      <c r="Q99" t="s">
        <v>315</v>
      </c>
      <c r="R99">
        <v>3.4119999999999999</v>
      </c>
    </row>
    <row r="102" spans="2:28" x14ac:dyDescent="0.2">
      <c r="B102" t="s">
        <v>319</v>
      </c>
    </row>
    <row r="103" spans="2:28" x14ac:dyDescent="0.2">
      <c r="B103" t="s">
        <v>77</v>
      </c>
      <c r="C103" t="s">
        <v>300</v>
      </c>
      <c r="D103" t="s">
        <v>301</v>
      </c>
      <c r="E103" t="s">
        <v>302</v>
      </c>
      <c r="F103" t="s">
        <v>303</v>
      </c>
      <c r="G103" t="s">
        <v>304</v>
      </c>
      <c r="H103" t="s">
        <v>305</v>
      </c>
      <c r="I103" t="s">
        <v>306</v>
      </c>
      <c r="J103" t="s">
        <v>307</v>
      </c>
      <c r="K103" t="s">
        <v>308</v>
      </c>
      <c r="L103" t="s">
        <v>309</v>
      </c>
      <c r="M103" t="s">
        <v>310</v>
      </c>
      <c r="N103" t="s">
        <v>311</v>
      </c>
      <c r="O103" t="s">
        <v>312</v>
      </c>
      <c r="P103" t="s">
        <v>25</v>
      </c>
      <c r="Q103" t="s">
        <v>313</v>
      </c>
      <c r="R103" t="s">
        <v>314</v>
      </c>
      <c r="S103" t="s">
        <v>328</v>
      </c>
      <c r="T103" t="s">
        <v>246</v>
      </c>
      <c r="U103" t="s">
        <v>25</v>
      </c>
      <c r="V103" t="s">
        <v>326</v>
      </c>
      <c r="Y103" t="s">
        <v>47</v>
      </c>
      <c r="Z103" t="s">
        <v>329</v>
      </c>
      <c r="AA103" t="s">
        <v>330</v>
      </c>
    </row>
    <row r="104" spans="2:28" x14ac:dyDescent="0.2">
      <c r="B104" s="34" t="e">
        <f ca="1">_xll.BDH($CM$1,$CN$2:$DC$2,"14.03.1998","14.04.2018","Dir=V","Dts=S","Sort=A","Quote=C","QtTyp=Y","Days=T","Per=cy","DtFmt=D","UseDPDF=Y","cols=17;rows=20")</f>
        <v>#NAME?</v>
      </c>
      <c r="C104">
        <v>63.6798</v>
      </c>
      <c r="D104" t="s">
        <v>315</v>
      </c>
      <c r="E104">
        <v>132269.3561</v>
      </c>
      <c r="F104">
        <v>132952.3561</v>
      </c>
      <c r="G104">
        <v>35.575299999999999</v>
      </c>
      <c r="H104">
        <v>43.677900000000001</v>
      </c>
      <c r="I104">
        <v>18284</v>
      </c>
      <c r="J104" t="s">
        <v>315</v>
      </c>
      <c r="K104">
        <v>1.2248999999999999</v>
      </c>
      <c r="L104">
        <v>1987.144</v>
      </c>
      <c r="M104">
        <v>41.413499999999999</v>
      </c>
      <c r="N104" t="s">
        <v>315</v>
      </c>
      <c r="O104" t="s">
        <v>315</v>
      </c>
      <c r="P104">
        <v>5746</v>
      </c>
      <c r="Q104" t="s">
        <v>315</v>
      </c>
      <c r="R104" t="s">
        <v>315</v>
      </c>
    </row>
    <row r="105" spans="2:28" x14ac:dyDescent="0.2">
      <c r="B105" s="35">
        <v>36525</v>
      </c>
      <c r="C105">
        <v>61.092199999999998</v>
      </c>
      <c r="D105" t="s">
        <v>315</v>
      </c>
      <c r="E105">
        <v>126145.2313</v>
      </c>
      <c r="F105">
        <v>127328.2313</v>
      </c>
      <c r="G105">
        <v>32.669600000000003</v>
      </c>
      <c r="H105">
        <v>46.693600000000004</v>
      </c>
      <c r="I105">
        <v>16878</v>
      </c>
      <c r="J105" t="s">
        <v>315</v>
      </c>
      <c r="K105">
        <v>1.4077</v>
      </c>
      <c r="L105">
        <v>1983.692</v>
      </c>
      <c r="M105">
        <v>-4.0635000000000003</v>
      </c>
      <c r="N105" t="s">
        <v>315</v>
      </c>
      <c r="O105" t="s">
        <v>315</v>
      </c>
      <c r="P105">
        <v>5917</v>
      </c>
      <c r="Q105" t="s">
        <v>315</v>
      </c>
      <c r="R105" t="s">
        <v>315</v>
      </c>
    </row>
    <row r="106" spans="2:28" x14ac:dyDescent="0.2">
      <c r="B106" s="35">
        <v>36889</v>
      </c>
      <c r="C106">
        <v>70.372</v>
      </c>
      <c r="D106" t="s">
        <v>315</v>
      </c>
      <c r="E106">
        <v>142687.45600000001</v>
      </c>
      <c r="F106">
        <v>144574.45600000001</v>
      </c>
      <c r="G106">
        <v>32.579599999999999</v>
      </c>
      <c r="H106">
        <v>47.3581</v>
      </c>
      <c r="I106">
        <v>18216</v>
      </c>
      <c r="J106" t="s">
        <v>315</v>
      </c>
      <c r="K106">
        <v>1.3926000000000001</v>
      </c>
      <c r="L106">
        <v>1955.36</v>
      </c>
      <c r="M106">
        <v>15.1899</v>
      </c>
      <c r="N106" t="s">
        <v>315</v>
      </c>
      <c r="O106" t="s">
        <v>315</v>
      </c>
      <c r="P106">
        <v>6732</v>
      </c>
      <c r="Q106" t="s">
        <v>315</v>
      </c>
      <c r="R106" t="s">
        <v>315</v>
      </c>
    </row>
    <row r="107" spans="2:28" x14ac:dyDescent="0.2">
      <c r="B107" s="50">
        <v>37256</v>
      </c>
      <c r="C107" s="51">
        <v>51</v>
      </c>
      <c r="D107" s="51" t="s">
        <v>315</v>
      </c>
      <c r="E107" s="51">
        <v>99434.684899999993</v>
      </c>
      <c r="F107" s="51">
        <v>98677.684899999993</v>
      </c>
      <c r="G107" s="51">
        <v>24.637699999999999</v>
      </c>
      <c r="H107" s="51">
        <v>47.057000000000002</v>
      </c>
      <c r="I107" s="51">
        <v>17987</v>
      </c>
      <c r="J107" s="51" t="s">
        <v>315</v>
      </c>
      <c r="K107" s="51">
        <v>2.1568999999999998</v>
      </c>
      <c r="L107" s="51">
        <v>1934.857</v>
      </c>
      <c r="M107" s="51">
        <v>-27.527999999999999</v>
      </c>
      <c r="N107" s="51" t="s">
        <v>315</v>
      </c>
      <c r="O107" s="51" t="s">
        <v>315</v>
      </c>
      <c r="P107" s="51">
        <v>5886</v>
      </c>
      <c r="Q107" s="51" t="s">
        <v>315</v>
      </c>
      <c r="R107" s="51" t="s">
        <v>315</v>
      </c>
      <c r="S107" s="51">
        <v>2.46</v>
      </c>
      <c r="T107" s="51">
        <v>5158</v>
      </c>
      <c r="U107" s="51">
        <v>5886</v>
      </c>
      <c r="V107" s="51">
        <v>16.8934</v>
      </c>
      <c r="W107" s="51"/>
      <c r="X107" s="51"/>
      <c r="Y107" s="52">
        <v>9075</v>
      </c>
      <c r="Z107" s="51">
        <v>24.637699999999999</v>
      </c>
      <c r="AA107" s="51">
        <v>12.3622</v>
      </c>
      <c r="AB107" s="51"/>
    </row>
    <row r="108" spans="2:28" x14ac:dyDescent="0.2">
      <c r="B108" s="48">
        <v>37621</v>
      </c>
      <c r="C108" s="49">
        <v>23.15</v>
      </c>
      <c r="D108" s="49" t="s">
        <v>315</v>
      </c>
      <c r="E108" s="49">
        <v>48493.589899999999</v>
      </c>
      <c r="F108" s="49">
        <v>44842.589899999999</v>
      </c>
      <c r="G108" s="49">
        <v>17.405999999999999</v>
      </c>
      <c r="H108" s="49">
        <v>43.625599999999999</v>
      </c>
      <c r="I108" s="49">
        <v>18106</v>
      </c>
      <c r="J108" s="49" t="s">
        <v>315</v>
      </c>
      <c r="K108" s="49">
        <v>4.8380000000000001</v>
      </c>
      <c r="L108" s="49">
        <v>1937.0450000000001</v>
      </c>
      <c r="M108" s="49">
        <v>-54.607799999999997</v>
      </c>
      <c r="N108" s="49" t="s">
        <v>315</v>
      </c>
      <c r="O108" s="49" t="s">
        <v>315</v>
      </c>
      <c r="P108" s="49">
        <v>4894</v>
      </c>
      <c r="Q108" s="49" t="s">
        <v>315</v>
      </c>
      <c r="R108" s="49" t="s">
        <v>315</v>
      </c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2:28" x14ac:dyDescent="0.2">
      <c r="B109" s="35">
        <v>37986</v>
      </c>
      <c r="C109">
        <v>28.6</v>
      </c>
      <c r="D109" t="s">
        <v>315</v>
      </c>
      <c r="E109">
        <v>58655.579899999997</v>
      </c>
      <c r="F109">
        <v>55463.579899999997</v>
      </c>
      <c r="G109">
        <v>16.067399999999999</v>
      </c>
      <c r="H109">
        <v>41.295000000000002</v>
      </c>
      <c r="I109">
        <v>20894</v>
      </c>
      <c r="J109" t="s">
        <v>315</v>
      </c>
      <c r="K109">
        <v>3.9161000000000001</v>
      </c>
      <c r="L109">
        <v>1939.2860000000001</v>
      </c>
      <c r="M109">
        <v>23.542100000000001</v>
      </c>
      <c r="N109" t="s">
        <v>315</v>
      </c>
      <c r="O109" t="s">
        <v>315</v>
      </c>
      <c r="P109">
        <v>5905</v>
      </c>
      <c r="Q109" t="s">
        <v>315</v>
      </c>
      <c r="R109" t="s">
        <v>315</v>
      </c>
    </row>
    <row r="110" spans="2:28" x14ac:dyDescent="0.2">
      <c r="B110" s="35">
        <v>38352</v>
      </c>
      <c r="C110">
        <v>25.62</v>
      </c>
      <c r="D110" t="s">
        <v>315</v>
      </c>
      <c r="E110">
        <v>52718.465300000003</v>
      </c>
      <c r="F110">
        <v>49846.465300000003</v>
      </c>
      <c r="G110">
        <v>15.070600000000001</v>
      </c>
      <c r="H110">
        <v>38.655500000000004</v>
      </c>
      <c r="I110">
        <v>19380</v>
      </c>
      <c r="J110" t="s">
        <v>315</v>
      </c>
      <c r="K110">
        <v>4.3715999999999999</v>
      </c>
      <c r="L110">
        <v>1945.6079999999999</v>
      </c>
      <c r="M110">
        <v>-10.419599999999999</v>
      </c>
      <c r="N110" t="s">
        <v>315</v>
      </c>
      <c r="O110" t="s">
        <v>315</v>
      </c>
      <c r="P110">
        <v>5608</v>
      </c>
      <c r="Q110" t="s">
        <v>315</v>
      </c>
      <c r="R110" t="s">
        <v>315</v>
      </c>
    </row>
    <row r="111" spans="2:28" x14ac:dyDescent="0.2">
      <c r="B111" s="35">
        <v>38716</v>
      </c>
      <c r="C111">
        <v>22.98</v>
      </c>
      <c r="D111" t="s">
        <v>315</v>
      </c>
      <c r="E111">
        <v>47756.844100000002</v>
      </c>
      <c r="F111">
        <v>44960.844100000002</v>
      </c>
      <c r="G111">
        <v>16.069900000000001</v>
      </c>
      <c r="H111">
        <v>34.2104</v>
      </c>
      <c r="I111">
        <v>19207</v>
      </c>
      <c r="J111" t="s">
        <v>315</v>
      </c>
      <c r="K111">
        <v>4.8738000000000001</v>
      </c>
      <c r="L111">
        <v>1956.521</v>
      </c>
      <c r="M111">
        <v>-10.304399999999999</v>
      </c>
      <c r="N111" t="s">
        <v>315</v>
      </c>
      <c r="O111" t="s">
        <v>315</v>
      </c>
      <c r="P111">
        <v>5054</v>
      </c>
      <c r="Q111" t="s">
        <v>315</v>
      </c>
      <c r="R111" t="s">
        <v>315</v>
      </c>
    </row>
    <row r="112" spans="2:28" x14ac:dyDescent="0.2">
      <c r="B112" s="35">
        <v>39080</v>
      </c>
      <c r="C112">
        <v>26.32</v>
      </c>
      <c r="D112" t="s">
        <v>315</v>
      </c>
      <c r="E112">
        <v>55186.284899999999</v>
      </c>
      <c r="F112">
        <v>51764.284899999999</v>
      </c>
      <c r="G112">
        <v>26.0594</v>
      </c>
      <c r="H112">
        <v>29.034800000000001</v>
      </c>
      <c r="I112">
        <v>17256</v>
      </c>
      <c r="J112" t="s">
        <v>315</v>
      </c>
      <c r="K112">
        <v>4.2553000000000001</v>
      </c>
      <c r="L112">
        <v>1966.7280000000001</v>
      </c>
      <c r="M112">
        <v>14.5344</v>
      </c>
      <c r="N112" t="s">
        <v>315</v>
      </c>
      <c r="O112" t="s">
        <v>315</v>
      </c>
      <c r="P112">
        <v>3313</v>
      </c>
      <c r="Q112" t="s">
        <v>315</v>
      </c>
      <c r="R112" t="s">
        <v>315</v>
      </c>
    </row>
    <row r="113" spans="2:18" x14ac:dyDescent="0.2">
      <c r="B113" s="35">
        <v>39447</v>
      </c>
      <c r="C113">
        <v>26.52</v>
      </c>
      <c r="D113" t="s">
        <v>315</v>
      </c>
      <c r="E113">
        <v>56517.124300000003</v>
      </c>
      <c r="F113">
        <v>52470.124300000003</v>
      </c>
      <c r="G113">
        <v>20.881900000000002</v>
      </c>
      <c r="H113">
        <v>28.05</v>
      </c>
      <c r="I113">
        <v>18193</v>
      </c>
      <c r="J113" t="s">
        <v>315</v>
      </c>
      <c r="K113">
        <v>4.2232000000000003</v>
      </c>
      <c r="L113">
        <v>1978.511</v>
      </c>
      <c r="M113">
        <v>0.75990000000000002</v>
      </c>
      <c r="N113" t="s">
        <v>315</v>
      </c>
      <c r="O113" t="s">
        <v>315</v>
      </c>
      <c r="P113">
        <v>4059</v>
      </c>
      <c r="Q113" t="s">
        <v>315</v>
      </c>
      <c r="R113" t="s">
        <v>315</v>
      </c>
    </row>
    <row r="114" spans="2:18" x14ac:dyDescent="0.2">
      <c r="B114" s="35">
        <v>39813</v>
      </c>
      <c r="C114">
        <v>23.25</v>
      </c>
      <c r="D114" t="s">
        <v>315</v>
      </c>
      <c r="E114">
        <v>44278.971899999997</v>
      </c>
      <c r="F114">
        <v>46025.971899999997</v>
      </c>
      <c r="G114">
        <v>12.988799999999999</v>
      </c>
      <c r="H114">
        <v>26.825299999999999</v>
      </c>
      <c r="I114">
        <v>17715</v>
      </c>
      <c r="J114" t="s">
        <v>315</v>
      </c>
      <c r="K114">
        <v>5.3333000000000004</v>
      </c>
      <c r="L114">
        <v>1979.6120000000001</v>
      </c>
      <c r="M114">
        <v>-12.330299999999999</v>
      </c>
      <c r="N114" t="s">
        <v>315</v>
      </c>
      <c r="O114" t="s">
        <v>315</v>
      </c>
      <c r="P114">
        <v>4382</v>
      </c>
      <c r="Q114" t="s">
        <v>315</v>
      </c>
      <c r="R114" t="s">
        <v>315</v>
      </c>
    </row>
    <row r="115" spans="2:18" x14ac:dyDescent="0.2">
      <c r="B115" s="35">
        <v>40178</v>
      </c>
      <c r="C115">
        <v>25.25</v>
      </c>
      <c r="D115" t="s">
        <v>315</v>
      </c>
      <c r="E115">
        <v>38384.285100000001</v>
      </c>
      <c r="F115">
        <v>43220.285100000001</v>
      </c>
      <c r="G115">
        <v>15.036099999999999</v>
      </c>
      <c r="H115">
        <v>25.048999999999999</v>
      </c>
      <c r="I115">
        <v>18808</v>
      </c>
      <c r="J115" t="s">
        <v>315</v>
      </c>
      <c r="K115">
        <v>4.9504999999999999</v>
      </c>
      <c r="L115">
        <v>1711.694</v>
      </c>
      <c r="M115">
        <v>8.6021999999999998</v>
      </c>
      <c r="N115" t="s">
        <v>315</v>
      </c>
      <c r="O115" t="s">
        <v>315</v>
      </c>
      <c r="P115">
        <v>5378</v>
      </c>
      <c r="Q115" t="s">
        <v>315</v>
      </c>
      <c r="R115" t="s">
        <v>315</v>
      </c>
    </row>
    <row r="116" spans="2:18" x14ac:dyDescent="0.2">
      <c r="B116" s="35">
        <v>40543</v>
      </c>
      <c r="C116">
        <v>26.48</v>
      </c>
      <c r="D116" t="s">
        <v>315</v>
      </c>
      <c r="E116">
        <v>40003.426800000001</v>
      </c>
      <c r="F116">
        <v>45325.426800000001</v>
      </c>
      <c r="G116">
        <v>13.442299999999999</v>
      </c>
      <c r="H116">
        <v>24.274000000000001</v>
      </c>
      <c r="I116">
        <v>19484</v>
      </c>
      <c r="J116" t="s">
        <v>315</v>
      </c>
      <c r="K116">
        <v>4.8338000000000001</v>
      </c>
      <c r="L116">
        <v>1711.6849999999999</v>
      </c>
      <c r="M116">
        <v>4.8712999999999997</v>
      </c>
      <c r="N116" t="s">
        <v>315</v>
      </c>
      <c r="O116" t="s">
        <v>315</v>
      </c>
      <c r="P116">
        <v>6585</v>
      </c>
      <c r="Q116" t="s">
        <v>315</v>
      </c>
      <c r="R116" t="s">
        <v>315</v>
      </c>
    </row>
    <row r="117" spans="2:18" x14ac:dyDescent="0.2">
      <c r="B117" s="35">
        <v>40907</v>
      </c>
      <c r="C117">
        <v>35.24</v>
      </c>
      <c r="D117" t="s">
        <v>315</v>
      </c>
      <c r="E117">
        <v>53475.289900000003</v>
      </c>
      <c r="F117">
        <v>59715.289900000003</v>
      </c>
      <c r="G117">
        <v>15.733000000000001</v>
      </c>
      <c r="H117">
        <v>25.409099999999999</v>
      </c>
      <c r="I117">
        <v>21244</v>
      </c>
      <c r="J117" t="s">
        <v>315</v>
      </c>
      <c r="K117">
        <v>3.7457000000000003</v>
      </c>
      <c r="L117">
        <v>1694.5309999999999</v>
      </c>
      <c r="M117">
        <v>33.081600000000002</v>
      </c>
      <c r="N117" t="s">
        <v>315</v>
      </c>
      <c r="O117" t="s">
        <v>315</v>
      </c>
      <c r="P117">
        <v>7275</v>
      </c>
      <c r="Q117" t="s">
        <v>315</v>
      </c>
      <c r="R117" t="s">
        <v>315</v>
      </c>
    </row>
    <row r="118" spans="2:18" x14ac:dyDescent="0.2">
      <c r="B118" s="35">
        <v>41274</v>
      </c>
      <c r="C118">
        <v>32.590000000000003</v>
      </c>
      <c r="D118" t="s">
        <v>315</v>
      </c>
      <c r="E118">
        <v>54852.949399999998</v>
      </c>
      <c r="F118">
        <v>53795.949399999998</v>
      </c>
      <c r="G118">
        <v>15.868500000000001</v>
      </c>
      <c r="H118">
        <v>25.218800000000002</v>
      </c>
      <c r="I118">
        <v>17621</v>
      </c>
      <c r="J118" t="s">
        <v>315</v>
      </c>
      <c r="K118">
        <v>4.1730999999999998</v>
      </c>
      <c r="L118">
        <v>1650.6890000000001</v>
      </c>
      <c r="M118">
        <v>-7.5198999999999998</v>
      </c>
      <c r="N118" t="s">
        <v>315</v>
      </c>
      <c r="O118" t="s">
        <v>315</v>
      </c>
      <c r="P118">
        <v>2941</v>
      </c>
      <c r="Q118" t="s">
        <v>315</v>
      </c>
      <c r="R118" t="s">
        <v>315</v>
      </c>
    </row>
    <row r="119" spans="2:18" x14ac:dyDescent="0.2">
      <c r="B119" s="35">
        <v>41639</v>
      </c>
      <c r="C119">
        <v>53.15</v>
      </c>
      <c r="D119" t="s">
        <v>315</v>
      </c>
      <c r="E119">
        <v>87663.752299999993</v>
      </c>
      <c r="F119">
        <v>87513.752299999993</v>
      </c>
      <c r="G119">
        <v>32.176000000000002</v>
      </c>
      <c r="H119">
        <v>22.764700000000001</v>
      </c>
      <c r="I119">
        <v>16385</v>
      </c>
      <c r="J119" t="s">
        <v>315</v>
      </c>
      <c r="K119">
        <v>2.6528999999999998</v>
      </c>
      <c r="L119">
        <v>1646.5429999999999</v>
      </c>
      <c r="M119">
        <v>63.086799999999997</v>
      </c>
      <c r="N119" t="s">
        <v>315</v>
      </c>
      <c r="O119" t="s">
        <v>315</v>
      </c>
      <c r="P119">
        <v>3859</v>
      </c>
      <c r="Q119" t="s">
        <v>315</v>
      </c>
      <c r="R119" t="s">
        <v>315</v>
      </c>
    </row>
    <row r="120" spans="2:18" x14ac:dyDescent="0.2">
      <c r="B120" s="35">
        <v>42004</v>
      </c>
      <c r="C120">
        <v>59.03</v>
      </c>
      <c r="D120" t="s">
        <v>315</v>
      </c>
      <c r="E120">
        <v>94037.786800000002</v>
      </c>
      <c r="F120">
        <v>97917.576199999996</v>
      </c>
      <c r="G120">
        <v>33.33</v>
      </c>
      <c r="H120">
        <v>21.779900000000001</v>
      </c>
      <c r="I120">
        <v>15879</v>
      </c>
      <c r="J120" t="s">
        <v>315</v>
      </c>
      <c r="K120">
        <v>2.4563999999999999</v>
      </c>
      <c r="L120">
        <v>1658.7760000000001</v>
      </c>
      <c r="M120">
        <v>11.063000000000001</v>
      </c>
      <c r="N120" t="s">
        <v>315</v>
      </c>
      <c r="O120" t="s">
        <v>315</v>
      </c>
      <c r="P120">
        <v>3058</v>
      </c>
      <c r="Q120" t="s">
        <v>315</v>
      </c>
      <c r="R120" t="s">
        <v>315</v>
      </c>
    </row>
    <row r="121" spans="2:18" x14ac:dyDescent="0.2">
      <c r="B121" s="35">
        <v>42369</v>
      </c>
      <c r="C121">
        <v>68.790000000000006</v>
      </c>
      <c r="D121" t="s">
        <v>315</v>
      </c>
      <c r="E121">
        <v>112678.41989999999</v>
      </c>
      <c r="F121">
        <v>114761.41989999999</v>
      </c>
      <c r="G121">
        <v>34.570300000000003</v>
      </c>
      <c r="H121">
        <v>21.9069</v>
      </c>
      <c r="I121">
        <v>16560</v>
      </c>
      <c r="J121" t="s">
        <v>315</v>
      </c>
      <c r="K121">
        <v>2.1659999999999999</v>
      </c>
      <c r="L121">
        <v>1668.2860000000001</v>
      </c>
      <c r="M121">
        <v>16.533999999999999</v>
      </c>
      <c r="N121" t="s">
        <v>315</v>
      </c>
      <c r="O121" t="s">
        <v>315</v>
      </c>
      <c r="P121">
        <v>2573</v>
      </c>
      <c r="Q121" t="s">
        <v>315</v>
      </c>
      <c r="R121" t="s">
        <v>315</v>
      </c>
    </row>
    <row r="122" spans="2:18" x14ac:dyDescent="0.2">
      <c r="B122" s="35">
        <v>42734</v>
      </c>
      <c r="C122">
        <v>58.44</v>
      </c>
      <c r="D122" t="s">
        <v>315</v>
      </c>
      <c r="E122">
        <v>95475.680099999998</v>
      </c>
      <c r="F122">
        <v>97666.680099999998</v>
      </c>
      <c r="G122">
        <v>21.361699999999999</v>
      </c>
      <c r="H122">
        <v>23.0944</v>
      </c>
      <c r="I122">
        <v>19427</v>
      </c>
      <c r="J122">
        <v>0.96</v>
      </c>
      <c r="K122">
        <v>2.601</v>
      </c>
      <c r="L122">
        <v>1671.23</v>
      </c>
      <c r="M122">
        <v>-15.0458</v>
      </c>
      <c r="N122" t="s">
        <v>315</v>
      </c>
      <c r="O122" t="s">
        <v>315</v>
      </c>
      <c r="P122">
        <v>5256</v>
      </c>
      <c r="Q122" t="s">
        <v>315</v>
      </c>
      <c r="R122" t="s">
        <v>315</v>
      </c>
    </row>
    <row r="123" spans="2:18" x14ac:dyDescent="0.2">
      <c r="B123" s="35">
        <v>43098</v>
      </c>
      <c r="C123">
        <v>61.28</v>
      </c>
      <c r="D123">
        <v>15.191000000000001</v>
      </c>
      <c r="E123">
        <v>99072.957399999999</v>
      </c>
      <c r="F123">
        <v>100296.9574</v>
      </c>
      <c r="G123">
        <v>19.7272</v>
      </c>
      <c r="H123">
        <v>25.755199999999999</v>
      </c>
      <c r="I123">
        <v>20776</v>
      </c>
      <c r="J123">
        <v>0.79500000000000004</v>
      </c>
      <c r="K123">
        <v>2.5457000000000001</v>
      </c>
      <c r="L123">
        <v>1636.7</v>
      </c>
      <c r="M123">
        <v>4.8597000000000001</v>
      </c>
      <c r="N123" t="s">
        <v>315</v>
      </c>
      <c r="O123" t="s">
        <v>315</v>
      </c>
      <c r="P123">
        <v>4484</v>
      </c>
      <c r="Q123" t="s">
        <v>315</v>
      </c>
      <c r="R123">
        <v>2.6109999999999998</v>
      </c>
    </row>
  </sheetData>
  <phoneticPr fontId="4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99"/>
  </sheetPr>
  <dimension ref="B3:D32"/>
  <sheetViews>
    <sheetView zoomScale="55" zoomScaleNormal="55" workbookViewId="0">
      <selection activeCell="J17" sqref="J17"/>
    </sheetView>
  </sheetViews>
  <sheetFormatPr baseColWidth="10" defaultColWidth="9.1640625" defaultRowHeight="15" x14ac:dyDescent="0.2"/>
  <cols>
    <col min="1" max="1" width="9.1640625" style="1"/>
    <col min="2" max="2" width="10.1640625" style="1" bestFit="1" customWidth="1"/>
    <col min="3" max="3" width="38" style="1" bestFit="1" customWidth="1"/>
    <col min="4" max="16384" width="9.1640625" style="1"/>
  </cols>
  <sheetData>
    <row r="3" spans="2:4" ht="16" thickBot="1" x14ac:dyDescent="0.25"/>
    <row r="4" spans="2:4" x14ac:dyDescent="0.2">
      <c r="B4" s="224" t="s">
        <v>571</v>
      </c>
      <c r="C4" s="225" t="s">
        <v>572</v>
      </c>
      <c r="D4" s="226"/>
    </row>
    <row r="5" spans="2:4" x14ac:dyDescent="0.2">
      <c r="B5" s="227" t="s">
        <v>369</v>
      </c>
      <c r="C5" s="228">
        <v>35430</v>
      </c>
      <c r="D5" s="229"/>
    </row>
    <row r="6" spans="2:4" x14ac:dyDescent="0.2">
      <c r="B6" s="227" t="s">
        <v>370</v>
      </c>
      <c r="C6" s="228">
        <v>42369</v>
      </c>
      <c r="D6" s="229"/>
    </row>
    <row r="7" spans="2:4" x14ac:dyDescent="0.2">
      <c r="B7" s="227" t="s">
        <v>573</v>
      </c>
      <c r="C7" s="230" t="s">
        <v>574</v>
      </c>
      <c r="D7" s="229"/>
    </row>
    <row r="8" spans="2:4" x14ac:dyDescent="0.2">
      <c r="B8" s="227"/>
      <c r="C8" s="230"/>
      <c r="D8" s="229"/>
    </row>
    <row r="9" spans="2:4" x14ac:dyDescent="0.2">
      <c r="B9" s="227" t="s">
        <v>77</v>
      </c>
      <c r="C9" s="230" t="s">
        <v>300</v>
      </c>
      <c r="D9" s="229" t="s">
        <v>575</v>
      </c>
    </row>
    <row r="10" spans="2:4" x14ac:dyDescent="0.2">
      <c r="B10" s="231" t="e">
        <f ca="1">_xll.BDH(C4,C9:D9,C5,C6,"Dir=V","Dts=S","Sort=D","Quote=C","QtTyp=P","Days=T",CONCATENATE("Per=c",C7),"DtFmt=D","UseDPDF=Y","cols=3;rows=20")</f>
        <v>#NAME?</v>
      </c>
      <c r="C10" s="230">
        <v>2.86</v>
      </c>
      <c r="D10" s="229">
        <v>2.86</v>
      </c>
    </row>
    <row r="11" spans="2:4" x14ac:dyDescent="0.2">
      <c r="B11" s="232">
        <v>42004</v>
      </c>
      <c r="C11" s="230">
        <v>2.57</v>
      </c>
      <c r="D11" s="229">
        <v>2.57</v>
      </c>
    </row>
    <row r="12" spans="2:4" x14ac:dyDescent="0.2">
      <c r="B12" s="232">
        <v>41639</v>
      </c>
      <c r="C12" s="230">
        <v>1.6800000000000002</v>
      </c>
      <c r="D12" s="229">
        <v>1.6800000000000002</v>
      </c>
    </row>
    <row r="13" spans="2:4" x14ac:dyDescent="0.2">
      <c r="B13" s="232">
        <v>41274</v>
      </c>
      <c r="C13" s="230">
        <v>2.2200000000000002</v>
      </c>
      <c r="D13" s="229">
        <v>2.2200000000000002</v>
      </c>
    </row>
    <row r="14" spans="2:4" x14ac:dyDescent="0.2">
      <c r="B14" s="232">
        <v>40908</v>
      </c>
      <c r="C14" s="230">
        <v>1.6</v>
      </c>
      <c r="D14" s="229">
        <v>1.6</v>
      </c>
    </row>
    <row r="15" spans="2:4" x14ac:dyDescent="0.2">
      <c r="B15" s="232">
        <v>40543</v>
      </c>
      <c r="C15" s="230">
        <v>2.5300000000000002</v>
      </c>
      <c r="D15" s="229">
        <v>2.5300000000000002</v>
      </c>
    </row>
    <row r="16" spans="2:4" x14ac:dyDescent="0.2">
      <c r="B16" s="232">
        <v>40178</v>
      </c>
      <c r="C16" s="230">
        <v>-2.7800000000000002</v>
      </c>
      <c r="D16" s="229">
        <v>-2.7800000000000002</v>
      </c>
    </row>
    <row r="17" spans="2:4" x14ac:dyDescent="0.2">
      <c r="B17" s="232">
        <v>39813</v>
      </c>
      <c r="C17" s="230">
        <v>-0.28999999999999998</v>
      </c>
      <c r="D17" s="229">
        <v>-0.28999999999999998</v>
      </c>
    </row>
    <row r="18" spans="2:4" x14ac:dyDescent="0.2">
      <c r="B18" s="232">
        <v>39447</v>
      </c>
      <c r="C18" s="230">
        <v>1.78</v>
      </c>
      <c r="D18" s="229">
        <v>1.78</v>
      </c>
    </row>
    <row r="19" spans="2:4" x14ac:dyDescent="0.2">
      <c r="B19" s="232">
        <v>39082</v>
      </c>
      <c r="C19" s="230">
        <v>2.67</v>
      </c>
      <c r="D19" s="229">
        <v>2.67</v>
      </c>
    </row>
    <row r="20" spans="2:4" x14ac:dyDescent="0.2">
      <c r="B20" s="232">
        <v>38717</v>
      </c>
      <c r="C20" s="230">
        <v>3.35</v>
      </c>
      <c r="D20" s="229">
        <v>3.35</v>
      </c>
    </row>
    <row r="21" spans="2:4" x14ac:dyDescent="0.2">
      <c r="B21" s="232">
        <v>38352</v>
      </c>
      <c r="C21" s="230">
        <v>3.79</v>
      </c>
      <c r="D21" s="229">
        <v>3.79</v>
      </c>
    </row>
    <row r="22" spans="2:4" x14ac:dyDescent="0.2">
      <c r="B22" s="232">
        <v>37986</v>
      </c>
      <c r="C22" s="230">
        <v>2.81</v>
      </c>
      <c r="D22" s="229">
        <v>2.81</v>
      </c>
    </row>
    <row r="23" spans="2:4" x14ac:dyDescent="0.2">
      <c r="B23" s="232">
        <v>37621</v>
      </c>
      <c r="C23" s="230">
        <v>1.79</v>
      </c>
      <c r="D23" s="229">
        <v>1.79</v>
      </c>
    </row>
    <row r="24" spans="2:4" x14ac:dyDescent="0.2">
      <c r="B24" s="232">
        <v>37256</v>
      </c>
      <c r="C24" s="230">
        <v>0.98</v>
      </c>
      <c r="D24" s="233">
        <v>9.7999999999999997E-3</v>
      </c>
    </row>
    <row r="25" spans="2:4" x14ac:dyDescent="0.2">
      <c r="B25" s="232">
        <v>36891</v>
      </c>
      <c r="C25" s="230">
        <v>4.09</v>
      </c>
      <c r="D25" s="233">
        <v>4.0899999999999999E-2</v>
      </c>
    </row>
    <row r="26" spans="2:4" x14ac:dyDescent="0.2">
      <c r="B26" s="232">
        <v>36525</v>
      </c>
      <c r="C26" s="230">
        <v>4.6899999999999995</v>
      </c>
      <c r="D26" s="233">
        <v>4.6899999999999997E-2</v>
      </c>
    </row>
    <row r="27" spans="2:4" x14ac:dyDescent="0.2">
      <c r="B27" s="232">
        <v>36160</v>
      </c>
      <c r="C27" s="230">
        <v>4.45</v>
      </c>
      <c r="D27" s="233">
        <v>4.4499999999999998E-2</v>
      </c>
    </row>
    <row r="28" spans="2:4" x14ac:dyDescent="0.2">
      <c r="B28" s="232">
        <v>35795</v>
      </c>
      <c r="C28" s="230">
        <v>4.49</v>
      </c>
      <c r="D28" s="233">
        <v>4.4900000000000002E-2</v>
      </c>
    </row>
    <row r="29" spans="2:4" ht="16" thickBot="1" x14ac:dyDescent="0.25">
      <c r="B29" s="234">
        <v>35430</v>
      </c>
      <c r="C29" s="220">
        <v>3.8</v>
      </c>
      <c r="D29" s="235">
        <v>3.7999999999999999E-2</v>
      </c>
    </row>
    <row r="30" spans="2:4" x14ac:dyDescent="0.2">
      <c r="B30" s="1" t="s">
        <v>36</v>
      </c>
    </row>
    <row r="32" spans="2:4" x14ac:dyDescent="0.2">
      <c r="B32" s="412" t="s">
        <v>618</v>
      </c>
      <c r="C32" s="412"/>
      <c r="D32" s="236">
        <f>AVERAGE(D24:D29)</f>
        <v>3.7499999999999999E-2</v>
      </c>
    </row>
  </sheetData>
  <mergeCells count="1">
    <mergeCell ref="B32:C32"/>
  </mergeCells>
  <phoneticPr fontId="44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8533-B409-416B-831F-945AB319FB6A}">
  <sheetPr>
    <tabColor rgb="FFFFFF99"/>
  </sheetPr>
  <dimension ref="C3:Q42"/>
  <sheetViews>
    <sheetView workbookViewId="0">
      <selection activeCell="B14" sqref="B14"/>
    </sheetView>
  </sheetViews>
  <sheetFormatPr baseColWidth="10" defaultColWidth="9.1640625" defaultRowHeight="15" x14ac:dyDescent="0.2"/>
  <cols>
    <col min="1" max="2" width="9.1640625" style="1"/>
    <col min="3" max="3" width="14.83203125" style="1" customWidth="1"/>
    <col min="4" max="4" width="21.1640625" style="1" customWidth="1"/>
    <col min="5" max="16384" width="9.1640625" style="1"/>
  </cols>
  <sheetData>
    <row r="3" spans="3:17" ht="16" x14ac:dyDescent="0.2">
      <c r="C3" s="416" t="s">
        <v>584</v>
      </c>
      <c r="D3" s="415"/>
      <c r="E3" s="415"/>
      <c r="F3" s="415"/>
      <c r="G3" s="415"/>
      <c r="H3" s="415"/>
    </row>
    <row r="4" spans="3:17" ht="16" x14ac:dyDescent="0.2">
      <c r="C4" s="416" t="s">
        <v>585</v>
      </c>
      <c r="D4" s="415"/>
      <c r="E4" s="415"/>
      <c r="F4" s="415"/>
      <c r="G4" s="415"/>
      <c r="H4" s="415"/>
    </row>
    <row r="5" spans="3:17" x14ac:dyDescent="0.2">
      <c r="C5" s="415"/>
      <c r="D5" s="415"/>
      <c r="E5" s="415"/>
      <c r="F5" s="415"/>
      <c r="G5" s="415"/>
      <c r="H5" s="415"/>
    </row>
    <row r="6" spans="3:17" x14ac:dyDescent="0.2">
      <c r="C6" s="211" t="s">
        <v>586</v>
      </c>
      <c r="D6" s="417" t="s">
        <v>587</v>
      </c>
      <c r="E6" s="415"/>
      <c r="F6" s="415"/>
      <c r="G6" s="415"/>
      <c r="H6" s="415"/>
    </row>
    <row r="7" spans="3:17" x14ac:dyDescent="0.2">
      <c r="C7" s="418" t="s">
        <v>588</v>
      </c>
      <c r="D7" s="415"/>
      <c r="E7" s="415"/>
      <c r="F7" s="415"/>
      <c r="G7" s="415"/>
      <c r="H7" s="415"/>
    </row>
    <row r="8" spans="3:17" ht="14.5" customHeight="1" x14ac:dyDescent="0.2">
      <c r="C8" s="211" t="s">
        <v>589</v>
      </c>
      <c r="D8" s="417" t="s">
        <v>590</v>
      </c>
      <c r="E8" s="415"/>
      <c r="F8" s="415"/>
      <c r="G8" s="415"/>
      <c r="H8" s="415"/>
    </row>
    <row r="9" spans="3:17" x14ac:dyDescent="0.2">
      <c r="C9" s="211" t="s">
        <v>591</v>
      </c>
      <c r="D9" s="417" t="s">
        <v>592</v>
      </c>
      <c r="E9" s="415"/>
      <c r="F9" s="415"/>
      <c r="G9" s="415"/>
      <c r="H9" s="415"/>
    </row>
    <row r="10" spans="3:17" ht="14.5" customHeight="1" x14ac:dyDescent="0.2">
      <c r="C10" s="211" t="s">
        <v>593</v>
      </c>
      <c r="D10" s="417" t="s">
        <v>594</v>
      </c>
      <c r="E10" s="415"/>
      <c r="F10" s="415"/>
      <c r="G10" s="415"/>
      <c r="H10" s="415"/>
    </row>
    <row r="11" spans="3:17" x14ac:dyDescent="0.2">
      <c r="C11" s="211" t="s">
        <v>595</v>
      </c>
      <c r="D11" s="417" t="s">
        <v>596</v>
      </c>
      <c r="E11" s="415"/>
      <c r="F11" s="415"/>
      <c r="G11" s="415"/>
      <c r="H11" s="415"/>
    </row>
    <row r="12" spans="3:17" x14ac:dyDescent="0.2">
      <c r="C12" s="211" t="s">
        <v>597</v>
      </c>
      <c r="D12" s="414" t="s">
        <v>598</v>
      </c>
      <c r="E12" s="415"/>
      <c r="F12" s="415"/>
      <c r="G12" s="415"/>
      <c r="H12" s="415"/>
    </row>
    <row r="13" spans="3:17" ht="16" thickBot="1" x14ac:dyDescent="0.25"/>
    <row r="14" spans="3:17" ht="16" thickBot="1" x14ac:dyDescent="0.25">
      <c r="C14" s="212" t="s">
        <v>599</v>
      </c>
      <c r="D14" s="213" t="s">
        <v>600</v>
      </c>
      <c r="E14" s="213" t="s">
        <v>601</v>
      </c>
      <c r="F14" s="213" t="s">
        <v>602</v>
      </c>
      <c r="G14" s="213" t="s">
        <v>603</v>
      </c>
      <c r="H14" s="213" t="s">
        <v>604</v>
      </c>
      <c r="I14" s="213" t="s">
        <v>605</v>
      </c>
      <c r="J14" s="213" t="s">
        <v>606</v>
      </c>
      <c r="K14" s="213" t="s">
        <v>607</v>
      </c>
      <c r="L14" s="213" t="s">
        <v>608</v>
      </c>
      <c r="M14" s="213" t="s">
        <v>609</v>
      </c>
      <c r="N14" s="213" t="s">
        <v>610</v>
      </c>
      <c r="O14" s="213" t="s">
        <v>611</v>
      </c>
      <c r="P14" s="213" t="s">
        <v>612</v>
      </c>
      <c r="Q14" s="214" t="s">
        <v>613</v>
      </c>
    </row>
    <row r="15" spans="3:17" ht="16" thickTop="1" x14ac:dyDescent="0.2">
      <c r="C15" s="215">
        <v>1995</v>
      </c>
      <c r="D15" s="216">
        <v>2.9</v>
      </c>
      <c r="E15" s="216">
        <v>3</v>
      </c>
      <c r="F15" s="216">
        <v>3</v>
      </c>
      <c r="G15" s="216">
        <v>3.1</v>
      </c>
      <c r="H15" s="216">
        <v>3.1</v>
      </c>
      <c r="I15" s="216">
        <v>3</v>
      </c>
      <c r="J15" s="216">
        <v>3</v>
      </c>
      <c r="K15" s="216">
        <v>2.9</v>
      </c>
      <c r="L15" s="216">
        <v>2.9</v>
      </c>
      <c r="M15" s="216">
        <v>3</v>
      </c>
      <c r="N15" s="216">
        <v>3</v>
      </c>
      <c r="O15" s="216">
        <v>3</v>
      </c>
      <c r="P15" s="216">
        <v>3</v>
      </c>
      <c r="Q15" s="217">
        <v>3</v>
      </c>
    </row>
    <row r="16" spans="3:17" x14ac:dyDescent="0.2">
      <c r="C16" s="215">
        <v>1996</v>
      </c>
      <c r="D16" s="216">
        <v>3</v>
      </c>
      <c r="E16" s="216">
        <v>2.9</v>
      </c>
      <c r="F16" s="216">
        <v>2.8</v>
      </c>
      <c r="G16" s="216">
        <v>2.7</v>
      </c>
      <c r="H16" s="216">
        <v>2.7</v>
      </c>
      <c r="I16" s="216">
        <v>2.7</v>
      </c>
      <c r="J16" s="216">
        <v>2.7</v>
      </c>
      <c r="K16" s="216">
        <v>2.6</v>
      </c>
      <c r="L16" s="216">
        <v>2.7</v>
      </c>
      <c r="M16" s="216">
        <v>2.6</v>
      </c>
      <c r="N16" s="216">
        <v>2.6</v>
      </c>
      <c r="O16" s="216">
        <v>2.6</v>
      </c>
      <c r="P16" s="216">
        <v>2.7</v>
      </c>
      <c r="Q16" s="217">
        <v>2.7</v>
      </c>
    </row>
    <row r="17" spans="3:17" x14ac:dyDescent="0.2">
      <c r="C17" s="215">
        <v>1997</v>
      </c>
      <c r="D17" s="216">
        <v>2.5</v>
      </c>
      <c r="E17" s="216">
        <v>2.5</v>
      </c>
      <c r="F17" s="216">
        <v>2.5</v>
      </c>
      <c r="G17" s="216">
        <v>2.7</v>
      </c>
      <c r="H17" s="216">
        <v>2.5</v>
      </c>
      <c r="I17" s="216">
        <v>2.4</v>
      </c>
      <c r="J17" s="216">
        <v>2.4</v>
      </c>
      <c r="K17" s="216">
        <v>2.2999999999999998</v>
      </c>
      <c r="L17" s="216">
        <v>2.2000000000000002</v>
      </c>
      <c r="M17" s="216">
        <v>2.2999999999999998</v>
      </c>
      <c r="N17" s="216">
        <v>2.2000000000000002</v>
      </c>
      <c r="O17" s="216">
        <v>2.2000000000000002</v>
      </c>
      <c r="P17" s="216">
        <v>2.6</v>
      </c>
      <c r="Q17" s="217">
        <v>2.2000000000000002</v>
      </c>
    </row>
    <row r="18" spans="3:17" x14ac:dyDescent="0.2">
      <c r="C18" s="215">
        <v>1998</v>
      </c>
      <c r="D18" s="216">
        <v>2.2000000000000002</v>
      </c>
      <c r="E18" s="216">
        <v>2.2999999999999998</v>
      </c>
      <c r="F18" s="216">
        <v>2.1</v>
      </c>
      <c r="G18" s="216">
        <v>2.1</v>
      </c>
      <c r="H18" s="216">
        <v>2.2000000000000002</v>
      </c>
      <c r="I18" s="216">
        <v>2.2000000000000002</v>
      </c>
      <c r="J18" s="216">
        <v>2.2000000000000002</v>
      </c>
      <c r="K18" s="216">
        <v>2.5</v>
      </c>
      <c r="L18" s="216">
        <v>2.5</v>
      </c>
      <c r="M18" s="216">
        <v>2.2999999999999998</v>
      </c>
      <c r="N18" s="216">
        <v>2.2999999999999998</v>
      </c>
      <c r="O18" s="216">
        <v>2.4</v>
      </c>
      <c r="P18" s="216">
        <v>2.2000000000000002</v>
      </c>
      <c r="Q18" s="217">
        <v>2.4</v>
      </c>
    </row>
    <row r="19" spans="3:17" x14ac:dyDescent="0.2">
      <c r="C19" s="215">
        <v>1999</v>
      </c>
      <c r="D19" s="216">
        <v>2.4</v>
      </c>
      <c r="E19" s="216">
        <v>2.1</v>
      </c>
      <c r="F19" s="216">
        <v>2.1</v>
      </c>
      <c r="G19" s="216">
        <v>2.2000000000000002</v>
      </c>
      <c r="H19" s="216">
        <v>2</v>
      </c>
      <c r="I19" s="216">
        <v>2.1</v>
      </c>
      <c r="J19" s="216">
        <v>2.1</v>
      </c>
      <c r="K19" s="216">
        <v>1.9</v>
      </c>
      <c r="L19" s="216">
        <v>2</v>
      </c>
      <c r="M19" s="216">
        <v>2.1</v>
      </c>
      <c r="N19" s="216">
        <v>2.1</v>
      </c>
      <c r="O19" s="216">
        <v>1.9</v>
      </c>
      <c r="P19" s="216">
        <v>2.1</v>
      </c>
      <c r="Q19" s="217">
        <v>2</v>
      </c>
    </row>
    <row r="20" spans="3:17" x14ac:dyDescent="0.2">
      <c r="C20" s="215">
        <v>2000</v>
      </c>
      <c r="D20" s="216">
        <v>2</v>
      </c>
      <c r="E20" s="216">
        <v>2.2000000000000002</v>
      </c>
      <c r="F20" s="216">
        <v>2.4</v>
      </c>
      <c r="G20" s="216">
        <v>2.2999999999999998</v>
      </c>
      <c r="H20" s="216">
        <v>2.4</v>
      </c>
      <c r="I20" s="216">
        <v>2.5</v>
      </c>
      <c r="J20" s="216">
        <v>2.5</v>
      </c>
      <c r="K20" s="216">
        <v>2.6</v>
      </c>
      <c r="L20" s="216">
        <v>2.6</v>
      </c>
      <c r="M20" s="216">
        <v>2.5</v>
      </c>
      <c r="N20" s="216">
        <v>2.6</v>
      </c>
      <c r="O20" s="216">
        <v>2.6</v>
      </c>
      <c r="P20" s="216">
        <v>2.2999999999999998</v>
      </c>
      <c r="Q20" s="217">
        <v>2.5</v>
      </c>
    </row>
    <row r="21" spans="3:17" x14ac:dyDescent="0.2">
      <c r="C21" s="215">
        <v>2001</v>
      </c>
      <c r="D21" s="216">
        <v>2.6</v>
      </c>
      <c r="E21" s="216">
        <v>2.7</v>
      </c>
      <c r="F21" s="216">
        <v>2.7</v>
      </c>
      <c r="G21" s="216">
        <v>2.6</v>
      </c>
      <c r="H21" s="216">
        <v>2.5</v>
      </c>
      <c r="I21" s="216">
        <v>2.7</v>
      </c>
      <c r="J21" s="216">
        <v>2.7</v>
      </c>
      <c r="K21" s="216">
        <v>2.7</v>
      </c>
      <c r="L21" s="216">
        <v>2.6</v>
      </c>
      <c r="M21" s="216">
        <v>2.6</v>
      </c>
      <c r="N21" s="216">
        <v>2.8</v>
      </c>
      <c r="O21" s="216">
        <v>2.7</v>
      </c>
      <c r="P21" s="216">
        <v>2.6</v>
      </c>
      <c r="Q21" s="217">
        <v>2.7</v>
      </c>
    </row>
    <row r="22" spans="3:17" x14ac:dyDescent="0.2">
      <c r="C22" s="215">
        <v>2002</v>
      </c>
      <c r="D22" s="216">
        <v>2.6</v>
      </c>
      <c r="E22" s="216">
        <v>2.6</v>
      </c>
      <c r="F22" s="216">
        <v>2.4</v>
      </c>
      <c r="G22" s="216">
        <v>2.5</v>
      </c>
      <c r="H22" s="216">
        <v>2.5</v>
      </c>
      <c r="I22" s="216">
        <v>2.2999999999999998</v>
      </c>
      <c r="J22" s="216">
        <v>2.2000000000000002</v>
      </c>
      <c r="K22" s="216">
        <v>2.4</v>
      </c>
      <c r="L22" s="216">
        <v>2.2000000000000002</v>
      </c>
      <c r="M22" s="216">
        <v>2.2000000000000002</v>
      </c>
      <c r="N22" s="216">
        <v>2</v>
      </c>
      <c r="O22" s="216">
        <v>1.9</v>
      </c>
      <c r="P22" s="216">
        <v>2.5</v>
      </c>
      <c r="Q22" s="217">
        <v>2.2000000000000002</v>
      </c>
    </row>
    <row r="23" spans="3:17" x14ac:dyDescent="0.2">
      <c r="C23" s="215">
        <v>2003</v>
      </c>
      <c r="D23" s="216">
        <v>1.9</v>
      </c>
      <c r="E23" s="216">
        <v>1.7</v>
      </c>
      <c r="F23" s="216">
        <v>1.7</v>
      </c>
      <c r="G23" s="216">
        <v>1.5</v>
      </c>
      <c r="H23" s="216">
        <v>1.6</v>
      </c>
      <c r="I23" s="216">
        <v>1.5</v>
      </c>
      <c r="J23" s="216">
        <v>1.5</v>
      </c>
      <c r="K23" s="216">
        <v>1.3</v>
      </c>
      <c r="L23" s="216">
        <v>1.2</v>
      </c>
      <c r="M23" s="216">
        <v>1.3</v>
      </c>
      <c r="N23" s="216">
        <v>1.1000000000000001</v>
      </c>
      <c r="O23" s="216">
        <v>1.1000000000000001</v>
      </c>
      <c r="P23" s="216">
        <v>1.7</v>
      </c>
      <c r="Q23" s="217">
        <v>1.3</v>
      </c>
    </row>
    <row r="24" spans="3:17" x14ac:dyDescent="0.2">
      <c r="C24" s="215">
        <v>2004</v>
      </c>
      <c r="D24" s="216">
        <v>1.1000000000000001</v>
      </c>
      <c r="E24" s="216">
        <v>1.2</v>
      </c>
      <c r="F24" s="216">
        <v>1.6</v>
      </c>
      <c r="G24" s="216">
        <v>1.8</v>
      </c>
      <c r="H24" s="216">
        <v>1.7</v>
      </c>
      <c r="I24" s="216">
        <v>1.9</v>
      </c>
      <c r="J24" s="216">
        <v>1.8</v>
      </c>
      <c r="K24" s="216">
        <v>1.7</v>
      </c>
      <c r="L24" s="216">
        <v>2</v>
      </c>
      <c r="M24" s="216">
        <v>2</v>
      </c>
      <c r="N24" s="216">
        <v>2.2000000000000002</v>
      </c>
      <c r="O24" s="216">
        <v>2.2000000000000002</v>
      </c>
      <c r="P24" s="216">
        <v>1.6</v>
      </c>
      <c r="Q24" s="217">
        <v>2</v>
      </c>
    </row>
    <row r="25" spans="3:17" x14ac:dyDescent="0.2">
      <c r="C25" s="215">
        <v>2005</v>
      </c>
      <c r="D25" s="216">
        <v>2.2999999999999998</v>
      </c>
      <c r="E25" s="216">
        <v>2.4</v>
      </c>
      <c r="F25" s="216">
        <v>2.2999999999999998</v>
      </c>
      <c r="G25" s="216">
        <v>2.2000000000000002</v>
      </c>
      <c r="H25" s="216">
        <v>2.2000000000000002</v>
      </c>
      <c r="I25" s="216">
        <v>2</v>
      </c>
      <c r="J25" s="216">
        <v>2.1</v>
      </c>
      <c r="K25" s="216">
        <v>2.1</v>
      </c>
      <c r="L25" s="216">
        <v>2</v>
      </c>
      <c r="M25" s="216">
        <v>2.1</v>
      </c>
      <c r="N25" s="216">
        <v>2.1</v>
      </c>
      <c r="O25" s="216">
        <v>2.2000000000000002</v>
      </c>
      <c r="P25" s="216">
        <v>2.2000000000000002</v>
      </c>
      <c r="Q25" s="217">
        <v>2.1</v>
      </c>
    </row>
    <row r="26" spans="3:17" x14ac:dyDescent="0.2">
      <c r="C26" s="215">
        <v>2006</v>
      </c>
      <c r="D26" s="216">
        <v>2.1</v>
      </c>
      <c r="E26" s="216">
        <v>2.1</v>
      </c>
      <c r="F26" s="216">
        <v>2.1</v>
      </c>
      <c r="G26" s="216">
        <v>2.2999999999999998</v>
      </c>
      <c r="H26" s="216">
        <v>2.4</v>
      </c>
      <c r="I26" s="216">
        <v>2.6</v>
      </c>
      <c r="J26" s="216">
        <v>2.7</v>
      </c>
      <c r="K26" s="216">
        <v>2.8</v>
      </c>
      <c r="L26" s="216">
        <v>2.9</v>
      </c>
      <c r="M26" s="216">
        <v>2.7</v>
      </c>
      <c r="N26" s="216">
        <v>2.6</v>
      </c>
      <c r="O26" s="216">
        <v>2.6</v>
      </c>
      <c r="P26" s="216">
        <v>2.2000000000000002</v>
      </c>
      <c r="Q26" s="217">
        <v>2.7</v>
      </c>
    </row>
    <row r="27" spans="3:17" x14ac:dyDescent="0.2">
      <c r="C27" s="215">
        <v>2007</v>
      </c>
      <c r="D27" s="216">
        <v>2.7</v>
      </c>
      <c r="E27" s="216">
        <v>2.7</v>
      </c>
      <c r="F27" s="216">
        <v>2.5</v>
      </c>
      <c r="G27" s="216">
        <v>2.2999999999999998</v>
      </c>
      <c r="H27" s="216">
        <v>2.2000000000000002</v>
      </c>
      <c r="I27" s="216">
        <v>2.2000000000000002</v>
      </c>
      <c r="J27" s="216">
        <v>2.2000000000000002</v>
      </c>
      <c r="K27" s="216">
        <v>2.1</v>
      </c>
      <c r="L27" s="216">
        <v>2.1</v>
      </c>
      <c r="M27" s="216">
        <v>2.2000000000000002</v>
      </c>
      <c r="N27" s="216">
        <v>2.2999999999999998</v>
      </c>
      <c r="O27" s="216">
        <v>2.4</v>
      </c>
      <c r="P27" s="216">
        <v>2.4</v>
      </c>
      <c r="Q27" s="217">
        <v>2.2999999999999998</v>
      </c>
    </row>
    <row r="28" spans="3:17" x14ac:dyDescent="0.2">
      <c r="C28" s="215">
        <v>2008</v>
      </c>
      <c r="D28" s="216">
        <v>2.5</v>
      </c>
      <c r="E28" s="216">
        <v>2.2999999999999998</v>
      </c>
      <c r="F28" s="216">
        <v>2.4</v>
      </c>
      <c r="G28" s="216">
        <v>2.2999999999999998</v>
      </c>
      <c r="H28" s="216">
        <v>2.2999999999999998</v>
      </c>
      <c r="I28" s="216">
        <v>2.4</v>
      </c>
      <c r="J28" s="216">
        <v>2.5</v>
      </c>
      <c r="K28" s="216">
        <v>2.5</v>
      </c>
      <c r="L28" s="216">
        <v>2.5</v>
      </c>
      <c r="M28" s="216">
        <v>2.2000000000000002</v>
      </c>
      <c r="N28" s="216">
        <v>2</v>
      </c>
      <c r="O28" s="216">
        <v>1.8</v>
      </c>
      <c r="P28" s="216">
        <v>2.2999999999999998</v>
      </c>
      <c r="Q28" s="217">
        <v>2.2999999999999998</v>
      </c>
    </row>
    <row r="29" spans="3:17" x14ac:dyDescent="0.2">
      <c r="C29" s="215">
        <v>2009</v>
      </c>
      <c r="D29" s="216">
        <v>1.7</v>
      </c>
      <c r="E29" s="216">
        <v>1.8</v>
      </c>
      <c r="F29" s="216">
        <v>1.8</v>
      </c>
      <c r="G29" s="216">
        <v>1.9</v>
      </c>
      <c r="H29" s="216">
        <v>1.8</v>
      </c>
      <c r="I29" s="216">
        <v>1.7</v>
      </c>
      <c r="J29" s="216">
        <v>1.5</v>
      </c>
      <c r="K29" s="216">
        <v>1.4</v>
      </c>
      <c r="L29" s="216">
        <v>1.5</v>
      </c>
      <c r="M29" s="216">
        <v>1.7</v>
      </c>
      <c r="N29" s="216">
        <v>1.7</v>
      </c>
      <c r="O29" s="216">
        <v>1.8</v>
      </c>
      <c r="P29" s="216">
        <v>1.8</v>
      </c>
      <c r="Q29" s="217">
        <v>1.6</v>
      </c>
    </row>
    <row r="30" spans="3:17" x14ac:dyDescent="0.2">
      <c r="C30" s="215">
        <v>2010</v>
      </c>
      <c r="D30" s="216">
        <v>1.6</v>
      </c>
      <c r="E30" s="216">
        <v>1.3</v>
      </c>
      <c r="F30" s="216">
        <v>1.1000000000000001</v>
      </c>
      <c r="G30" s="216">
        <v>0.9</v>
      </c>
      <c r="H30" s="216">
        <v>0.9</v>
      </c>
      <c r="I30" s="216">
        <v>0.9</v>
      </c>
      <c r="J30" s="216">
        <v>0.9</v>
      </c>
      <c r="K30" s="216">
        <v>0.9</v>
      </c>
      <c r="L30" s="216">
        <v>0.8</v>
      </c>
      <c r="M30" s="216">
        <v>0.6</v>
      </c>
      <c r="N30" s="216">
        <v>0.8</v>
      </c>
      <c r="O30" s="216">
        <v>0.8</v>
      </c>
      <c r="P30" s="216">
        <v>1.1000000000000001</v>
      </c>
      <c r="Q30" s="217">
        <v>0.8</v>
      </c>
    </row>
    <row r="31" spans="3:17" x14ac:dyDescent="0.2">
      <c r="C31" s="215">
        <v>2011</v>
      </c>
      <c r="D31" s="216">
        <v>1</v>
      </c>
      <c r="E31" s="216">
        <v>1.1000000000000001</v>
      </c>
      <c r="F31" s="216">
        <v>1.2</v>
      </c>
      <c r="G31" s="216">
        <v>1.3</v>
      </c>
      <c r="H31" s="216">
        <v>1.5</v>
      </c>
      <c r="I31" s="216">
        <v>1.6</v>
      </c>
      <c r="J31" s="216">
        <v>1.8</v>
      </c>
      <c r="K31" s="216">
        <v>2</v>
      </c>
      <c r="L31" s="216">
        <v>2</v>
      </c>
      <c r="M31" s="216">
        <v>2.1</v>
      </c>
      <c r="N31" s="216">
        <v>2.2000000000000002</v>
      </c>
      <c r="O31" s="216">
        <v>2.2000000000000002</v>
      </c>
      <c r="P31" s="216">
        <v>1.3</v>
      </c>
      <c r="Q31" s="217">
        <v>2</v>
      </c>
    </row>
    <row r="32" spans="3:17" x14ac:dyDescent="0.2">
      <c r="C32" s="215">
        <v>2012</v>
      </c>
      <c r="D32" s="216">
        <v>2.2999999999999998</v>
      </c>
      <c r="E32" s="216">
        <v>2.2000000000000002</v>
      </c>
      <c r="F32" s="216">
        <v>2.2999999999999998</v>
      </c>
      <c r="G32" s="216">
        <v>2.2999999999999998</v>
      </c>
      <c r="H32" s="216">
        <v>2.2999999999999998</v>
      </c>
      <c r="I32" s="216">
        <v>2.2000000000000002</v>
      </c>
      <c r="J32" s="216">
        <v>2.1</v>
      </c>
      <c r="K32" s="216">
        <v>1.9</v>
      </c>
      <c r="L32" s="216">
        <v>2</v>
      </c>
      <c r="M32" s="216">
        <v>2</v>
      </c>
      <c r="N32" s="216">
        <v>1.9</v>
      </c>
      <c r="O32" s="216">
        <v>1.9</v>
      </c>
      <c r="P32" s="216">
        <v>2.2000000000000002</v>
      </c>
      <c r="Q32" s="217">
        <v>2</v>
      </c>
    </row>
    <row r="33" spans="3:17" x14ac:dyDescent="0.2">
      <c r="C33" s="215">
        <v>2013</v>
      </c>
      <c r="D33" s="216">
        <v>1.9</v>
      </c>
      <c r="E33" s="216">
        <v>2</v>
      </c>
      <c r="F33" s="216">
        <v>1.9</v>
      </c>
      <c r="G33" s="216">
        <v>1.7</v>
      </c>
      <c r="H33" s="216">
        <v>1.7</v>
      </c>
      <c r="I33" s="216">
        <v>1.6</v>
      </c>
      <c r="J33" s="216">
        <v>1.7</v>
      </c>
      <c r="K33" s="216">
        <v>1.8</v>
      </c>
      <c r="L33" s="216">
        <v>1.7</v>
      </c>
      <c r="M33" s="216">
        <v>1.7</v>
      </c>
      <c r="N33" s="216">
        <v>1.7</v>
      </c>
      <c r="O33" s="216">
        <v>1.7</v>
      </c>
      <c r="P33" s="216">
        <v>1.8</v>
      </c>
      <c r="Q33" s="217">
        <v>1.7</v>
      </c>
    </row>
    <row r="34" spans="3:17" x14ac:dyDescent="0.2">
      <c r="C34" s="215">
        <v>2014</v>
      </c>
      <c r="D34" s="216">
        <v>1.6</v>
      </c>
      <c r="E34" s="216">
        <v>1.6</v>
      </c>
      <c r="F34" s="216">
        <v>1.7</v>
      </c>
      <c r="G34" s="216">
        <v>1.8</v>
      </c>
      <c r="H34" s="216">
        <v>2</v>
      </c>
      <c r="I34" s="216">
        <v>1.9</v>
      </c>
      <c r="J34" s="216">
        <v>1.9</v>
      </c>
      <c r="K34" s="216">
        <v>1.7</v>
      </c>
      <c r="L34" s="216">
        <v>1.7</v>
      </c>
      <c r="M34" s="216">
        <v>1.8</v>
      </c>
      <c r="N34" s="216">
        <v>1.7</v>
      </c>
      <c r="O34" s="216">
        <v>1.6</v>
      </c>
      <c r="P34" s="216">
        <v>1.8</v>
      </c>
      <c r="Q34" s="217">
        <v>1.7</v>
      </c>
    </row>
    <row r="35" spans="3:17" x14ac:dyDescent="0.2">
      <c r="C35" s="215">
        <v>2015</v>
      </c>
      <c r="D35" s="216">
        <v>1.6</v>
      </c>
      <c r="E35" s="216">
        <v>1.7</v>
      </c>
      <c r="F35" s="216">
        <v>1.8</v>
      </c>
      <c r="G35" s="216">
        <v>1.8</v>
      </c>
      <c r="H35" s="216">
        <v>1.7</v>
      </c>
      <c r="I35" s="216">
        <v>1.8</v>
      </c>
      <c r="J35" s="216">
        <v>1.8</v>
      </c>
      <c r="K35" s="216">
        <v>1.8</v>
      </c>
      <c r="L35" s="216">
        <v>1.9</v>
      </c>
      <c r="M35" s="216">
        <v>1.9</v>
      </c>
      <c r="N35" s="216">
        <v>2</v>
      </c>
      <c r="O35" s="216">
        <v>2.1</v>
      </c>
      <c r="P35" s="216">
        <v>1.7</v>
      </c>
      <c r="Q35" s="217">
        <v>1.9</v>
      </c>
    </row>
    <row r="36" spans="3:17" x14ac:dyDescent="0.2">
      <c r="C36" s="215">
        <v>2016</v>
      </c>
      <c r="D36" s="216">
        <v>2.2000000000000002</v>
      </c>
      <c r="E36" s="216">
        <v>2.2999999999999998</v>
      </c>
      <c r="F36" s="216">
        <v>2.2000000000000002</v>
      </c>
      <c r="G36" s="216">
        <v>2.1</v>
      </c>
      <c r="H36" s="216">
        <v>2.2000000000000002</v>
      </c>
      <c r="I36" s="216">
        <v>2.2000000000000002</v>
      </c>
      <c r="J36" s="216">
        <v>2.2000000000000002</v>
      </c>
      <c r="K36" s="216">
        <v>2.2999999999999998</v>
      </c>
      <c r="L36" s="216">
        <v>2.2000000000000002</v>
      </c>
      <c r="M36" s="216">
        <v>2.1</v>
      </c>
      <c r="N36" s="216">
        <v>2.1</v>
      </c>
      <c r="O36" s="216">
        <v>2.2000000000000002</v>
      </c>
      <c r="P36" s="216">
        <v>2.2000000000000002</v>
      </c>
      <c r="Q36" s="217">
        <v>2.2000000000000002</v>
      </c>
    </row>
    <row r="37" spans="3:17" x14ac:dyDescent="0.2">
      <c r="C37" s="215">
        <v>2017</v>
      </c>
      <c r="D37" s="216">
        <v>2.2999999999999998</v>
      </c>
      <c r="E37" s="216">
        <v>2.2000000000000002</v>
      </c>
      <c r="F37" s="216">
        <v>2</v>
      </c>
      <c r="G37" s="216">
        <v>1.9</v>
      </c>
      <c r="H37" s="216">
        <v>1.7</v>
      </c>
      <c r="I37" s="216">
        <v>1.7</v>
      </c>
      <c r="J37" s="216">
        <v>1.7</v>
      </c>
      <c r="K37" s="216">
        <v>1.7</v>
      </c>
      <c r="L37" s="216">
        <v>1.7</v>
      </c>
      <c r="M37" s="216">
        <v>1.8</v>
      </c>
      <c r="N37" s="216">
        <v>1.7</v>
      </c>
      <c r="O37" s="216">
        <v>1.8</v>
      </c>
      <c r="P37" s="216">
        <v>2</v>
      </c>
      <c r="Q37" s="217">
        <v>1.7</v>
      </c>
    </row>
    <row r="38" spans="3:17" ht="16" thickBot="1" x14ac:dyDescent="0.25">
      <c r="C38" s="218">
        <v>2018</v>
      </c>
      <c r="D38" s="219">
        <v>1.8</v>
      </c>
      <c r="E38" s="219">
        <v>1.8</v>
      </c>
      <c r="F38" s="219">
        <v>2.1</v>
      </c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1"/>
    </row>
    <row r="39" spans="3:17" x14ac:dyDescent="0.2">
      <c r="C39" s="1" t="s">
        <v>614</v>
      </c>
    </row>
    <row r="41" spans="3:17" x14ac:dyDescent="0.2">
      <c r="C41" s="413" t="s">
        <v>617</v>
      </c>
      <c r="D41" s="413"/>
      <c r="E41" s="413"/>
      <c r="F41" s="222">
        <f>AVERAGE(D21:O21)</f>
        <v>2.6583333333333337</v>
      </c>
      <c r="G41" s="223">
        <f>0.027</f>
        <v>2.7E-2</v>
      </c>
    </row>
    <row r="42" spans="3:17" x14ac:dyDescent="0.2">
      <c r="C42" s="1" t="s">
        <v>617</v>
      </c>
    </row>
  </sheetData>
  <mergeCells count="11">
    <mergeCell ref="C41:E41"/>
    <mergeCell ref="D12:H12"/>
    <mergeCell ref="C3:H3"/>
    <mergeCell ref="C4:H4"/>
    <mergeCell ref="C5:H5"/>
    <mergeCell ref="D6:H6"/>
    <mergeCell ref="C7:H7"/>
    <mergeCell ref="D8:H8"/>
    <mergeCell ref="D9:H9"/>
    <mergeCell ref="D10:H10"/>
    <mergeCell ref="D11:H11"/>
  </mergeCells>
  <phoneticPr fontId="4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Project Title</vt:lpstr>
      <vt:lpstr>Summary</vt:lpstr>
      <vt:lpstr>1. Valuations&gt;&gt;&gt;</vt:lpstr>
      <vt:lpstr>1.1 Multiple Valuation</vt:lpstr>
      <vt:lpstr>1.2 DCF Analysis</vt:lpstr>
      <vt:lpstr>2. Input Parameters&gt;&gt;&gt;</vt:lpstr>
      <vt:lpstr>2.1 WACC</vt:lpstr>
      <vt:lpstr>2.2 Stock &amp; Index Data</vt:lpstr>
      <vt:lpstr>2.3 Assumptions Pfizer</vt:lpstr>
      <vt:lpstr>3. Financial Statements&gt;&gt;&gt;</vt:lpstr>
      <vt:lpstr>3.1 Income Statements</vt:lpstr>
      <vt:lpstr>3.2 Balance Sheets</vt:lpstr>
      <vt:lpstr>3.3 CF Statements</vt:lpstr>
      <vt:lpstr>3.4 Trading Multiples Bloomberg</vt:lpstr>
      <vt:lpstr>3.5 US GDP Growth Rate</vt:lpstr>
      <vt:lpstr>3.6 US Inflation Growth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Microsoft Office User</cp:lastModifiedBy>
  <dcterms:created xsi:type="dcterms:W3CDTF">2018-04-21T12:37:47Z</dcterms:created>
  <dcterms:modified xsi:type="dcterms:W3CDTF">2019-05-07T13:37:59Z</dcterms:modified>
</cp:coreProperties>
</file>