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rinterSettings/printerSettings3.bin" ContentType="application/vnd.openxmlformats-officedocument.spreadsheetml.printerSettings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rinterSettings/printerSettings4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 T\Documents\EBS\M&amp;A\Valuation Models\20042017\"/>
    </mc:Choice>
  </mc:AlternateContent>
  <bookViews>
    <workbookView xWindow="0" yWindow="0" windowWidth="20490" windowHeight="7230" tabRatio="949" firstSheet="10" activeTab="13"/>
  </bookViews>
  <sheets>
    <sheet name="WACC &gt;&gt;&gt;&gt;" sheetId="23" r:id="rId1"/>
    <sheet name="Cost of Equity" sheetId="22" r:id="rId2"/>
    <sheet name="WACC" sheetId="18" r:id="rId3"/>
    <sheet name="FINANCIALS &gt;&gt;&gt;&gt;" sheetId="24" r:id="rId4"/>
    <sheet name="Assumption" sheetId="17" r:id="rId5"/>
    <sheet name="Value of Control Inputs" sheetId="29" r:id="rId6"/>
    <sheet name="Balance Sheet" sheetId="12" r:id="rId7"/>
    <sheet name="Income Statement" sheetId="11" r:id="rId8"/>
    <sheet name="Cash Flow Statement" sheetId="13" r:id="rId9"/>
    <sheet name="ADJUSTMENTS &gt;&gt;&gt;&gt;" sheetId="25" r:id="rId10"/>
    <sheet name="Operating lease converter" sheetId="15" r:id="rId11"/>
    <sheet name="R&amp;D converter" sheetId="16" r:id="rId12"/>
    <sheet name="VALUATION &gt;&gt;&gt;&gt;" sheetId="26" r:id="rId13"/>
    <sheet name="Free Cash Flow" sheetId="14" r:id="rId14"/>
    <sheet name="Tax Shield" sheetId="19" r:id="rId15"/>
    <sheet name="Costs of Financial Distress" sheetId="20" r:id="rId16"/>
    <sheet name="Sensitivity Analysis" sheetId="21" r:id="rId17"/>
    <sheet name="Multiples" sheetId="27" r:id="rId18"/>
    <sheet name="Opti K structure" sheetId="30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acq">[1]Assumptions!$H$8</definedName>
    <definedName name="acq_fye">[1]Assumptions!$H$32</definedName>
    <definedName name="acq_price">[1]Assumptions!$J$11</definedName>
    <definedName name="assume">[1]Assumptions!$T$11</definedName>
    <definedName name="base_year">[2]Control!$D$11</definedName>
    <definedName name="case">[1]Assumptions!$T$7</definedName>
    <definedName name="cash_rate">[1]Assumptions!$T$20</definedName>
    <definedName name="circ">[2]Control!$D$13</definedName>
    <definedName name="curr">[2]Control!$D$9</definedName>
    <definedName name="debt_rate">[1]Assumptions!$T$16</definedName>
    <definedName name="eps">[1]Assumptions!$T$41</definedName>
    <definedName name="fees">[1]Assumptions!$T$24</definedName>
    <definedName name="libor">[3]LBO!$AF$34</definedName>
    <definedName name="min_cash">[1]Assumptions!$T$21</definedName>
    <definedName name="pct_cash">[1]Assumptions!$T$8</definedName>
    <definedName name="project">[2]Control!$D$5</definedName>
    <definedName name="sec_338">[1]Assumptions!$T$13</definedName>
    <definedName name="synergies">[1]Assumptions!$T$28</definedName>
    <definedName name="tax_rate">[1]Assumptions!$T$39</definedName>
    <definedName name="tgt">[1]Assumptions!$L$8</definedName>
    <definedName name="tgt_price">[1]Assumptions!$N$11</definedName>
    <definedName name="type">[1]Assumptions!$T$12</definedName>
    <definedName name="year">[1]Assumptions!$T$40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1" l="1"/>
  <c r="I26" i="21"/>
  <c r="I23" i="21"/>
  <c r="I24" i="21"/>
  <c r="B7" i="21"/>
  <c r="B6" i="21"/>
  <c r="B5" i="21"/>
  <c r="B4" i="21"/>
  <c r="B3" i="21"/>
  <c r="B2" i="21"/>
  <c r="B9" i="21"/>
  <c r="D17" i="21" s="1"/>
  <c r="B8" i="21"/>
  <c r="G14" i="21"/>
  <c r="H14" i="21" s="1"/>
  <c r="I14" i="21" s="1"/>
  <c r="D14" i="21"/>
  <c r="E18" i="30"/>
  <c r="M49" i="30" s="1"/>
  <c r="E6" i="30"/>
  <c r="K17" i="30"/>
  <c r="M36" i="30"/>
  <c r="M41" i="30"/>
  <c r="M50" i="30"/>
  <c r="M51" i="30"/>
  <c r="E16" i="30"/>
  <c r="M40" i="30" s="1"/>
  <c r="M43" i="30" s="1"/>
  <c r="M44" i="30" s="1"/>
  <c r="L49" i="30"/>
  <c r="L36" i="30"/>
  <c r="K36" i="30"/>
  <c r="J36" i="30"/>
  <c r="J41" i="30"/>
  <c r="K49" i="30"/>
  <c r="J49" i="30"/>
  <c r="I49" i="30"/>
  <c r="I36" i="30"/>
  <c r="I41" i="30"/>
  <c r="H49" i="30"/>
  <c r="H36" i="30"/>
  <c r="H41" i="30"/>
  <c r="G49" i="30"/>
  <c r="G36" i="30"/>
  <c r="G41" i="30" s="1"/>
  <c r="F49" i="30"/>
  <c r="F36" i="30"/>
  <c r="F41" i="30"/>
  <c r="F50" i="30"/>
  <c r="F51" i="30"/>
  <c r="E49" i="30"/>
  <c r="E36" i="30"/>
  <c r="E41" i="30"/>
  <c r="E51" i="30" s="1"/>
  <c r="E50" i="30"/>
  <c r="D49" i="30"/>
  <c r="D36" i="30"/>
  <c r="D41" i="30" s="1"/>
  <c r="D51" i="30" s="1"/>
  <c r="D50" i="30"/>
  <c r="C49" i="30"/>
  <c r="C53" i="30" s="1"/>
  <c r="C50" i="30"/>
  <c r="C51" i="30"/>
  <c r="C46" i="30"/>
  <c r="C52" i="30"/>
  <c r="E5" i="30"/>
  <c r="C48" i="30" s="1"/>
  <c r="C45" i="30"/>
  <c r="E3" i="30"/>
  <c r="E7" i="30"/>
  <c r="D30" i="30" s="1"/>
  <c r="E30" i="30" s="1"/>
  <c r="C22" i="30"/>
  <c r="D22" i="30"/>
  <c r="E22" i="30"/>
  <c r="I47" i="30"/>
  <c r="H47" i="30"/>
  <c r="G47" i="30"/>
  <c r="F47" i="30"/>
  <c r="D47" i="30"/>
  <c r="C47" i="30"/>
  <c r="E13" i="30"/>
  <c r="L39" i="30" s="1"/>
  <c r="M39" i="30"/>
  <c r="K39" i="30"/>
  <c r="J39" i="30"/>
  <c r="I39" i="30"/>
  <c r="H39" i="30"/>
  <c r="G39" i="30"/>
  <c r="F39" i="30"/>
  <c r="E39" i="30"/>
  <c r="C39" i="30"/>
  <c r="E12" i="30"/>
  <c r="J38" i="30" s="1"/>
  <c r="M38" i="30"/>
  <c r="L38" i="30"/>
  <c r="K38" i="30"/>
  <c r="E38" i="30"/>
  <c r="D38" i="30"/>
  <c r="C38" i="30"/>
  <c r="C36" i="30"/>
  <c r="M35" i="30"/>
  <c r="L35" i="30"/>
  <c r="K35" i="30"/>
  <c r="J35" i="30"/>
  <c r="I35" i="30"/>
  <c r="H35" i="30"/>
  <c r="G35" i="30"/>
  <c r="F35" i="30"/>
  <c r="E35" i="30"/>
  <c r="D35" i="30"/>
  <c r="C35" i="30"/>
  <c r="C31" i="30"/>
  <c r="D31" i="30"/>
  <c r="E31" i="30"/>
  <c r="C30" i="30"/>
  <c r="C29" i="30"/>
  <c r="C28" i="30"/>
  <c r="D28" i="30"/>
  <c r="E28" i="30"/>
  <c r="C27" i="30"/>
  <c r="C26" i="30"/>
  <c r="C25" i="30"/>
  <c r="D25" i="30"/>
  <c r="E25" i="30" s="1"/>
  <c r="C24" i="30"/>
  <c r="C23" i="30"/>
  <c r="D23" i="30"/>
  <c r="E23" i="30"/>
  <c r="E17" i="30"/>
  <c r="K16" i="30"/>
  <c r="E14" i="30"/>
  <c r="I7" i="11"/>
  <c r="J7" i="11"/>
  <c r="K7" i="11"/>
  <c r="L7" i="11"/>
  <c r="M7" i="11"/>
  <c r="D26" i="17"/>
  <c r="E26" i="17"/>
  <c r="F26" i="17"/>
  <c r="M26" i="17"/>
  <c r="D27" i="17"/>
  <c r="E27" i="17"/>
  <c r="F27" i="17"/>
  <c r="G27" i="17"/>
  <c r="H27" i="17"/>
  <c r="M27" i="17"/>
  <c r="M28" i="17"/>
  <c r="M11" i="13"/>
  <c r="D17" i="17"/>
  <c r="E17" i="17"/>
  <c r="F17" i="17"/>
  <c r="G17" i="17"/>
  <c r="H17" i="17"/>
  <c r="L17" i="17"/>
  <c r="L13" i="11"/>
  <c r="H45" i="14"/>
  <c r="O19" i="14"/>
  <c r="M17" i="17"/>
  <c r="M13" i="11"/>
  <c r="O11" i="14"/>
  <c r="I15" i="16"/>
  <c r="L15" i="16"/>
  <c r="K17" i="17"/>
  <c r="K13" i="11"/>
  <c r="I16" i="16"/>
  <c r="L16" i="16"/>
  <c r="J17" i="17"/>
  <c r="J13" i="11"/>
  <c r="I17" i="16"/>
  <c r="L17" i="16"/>
  <c r="I17" i="17"/>
  <c r="I13" i="11"/>
  <c r="I18" i="16"/>
  <c r="L18" i="16"/>
  <c r="L25" i="16"/>
  <c r="L26" i="16"/>
  <c r="E41" i="14"/>
  <c r="F41" i="14"/>
  <c r="G41" i="14"/>
  <c r="H41" i="14"/>
  <c r="I41" i="14"/>
  <c r="O17" i="14"/>
  <c r="N58" i="14"/>
  <c r="D21" i="17"/>
  <c r="E21" i="17"/>
  <c r="F21" i="17"/>
  <c r="G21" i="17"/>
  <c r="H21" i="17"/>
  <c r="M21" i="17"/>
  <c r="M46" i="12"/>
  <c r="L21" i="17"/>
  <c r="L46" i="12"/>
  <c r="M48" i="12"/>
  <c r="O18" i="14"/>
  <c r="N59" i="14"/>
  <c r="I8" i="11"/>
  <c r="J8" i="11"/>
  <c r="K8" i="11"/>
  <c r="L8" i="11"/>
  <c r="M8" i="11"/>
  <c r="AB14" i="17"/>
  <c r="AC14" i="17"/>
  <c r="I13" i="17"/>
  <c r="I9" i="11"/>
  <c r="J13" i="17"/>
  <c r="J9" i="11"/>
  <c r="K13" i="17"/>
  <c r="K9" i="11"/>
  <c r="L13" i="17"/>
  <c r="L9" i="11"/>
  <c r="M13" i="17"/>
  <c r="M9" i="11"/>
  <c r="D14" i="17"/>
  <c r="E14" i="17"/>
  <c r="F14" i="17"/>
  <c r="M14" i="17"/>
  <c r="M10" i="11"/>
  <c r="D15" i="17"/>
  <c r="E15" i="17"/>
  <c r="F15" i="17"/>
  <c r="G15" i="17"/>
  <c r="H15" i="17"/>
  <c r="M15" i="17"/>
  <c r="M11" i="11"/>
  <c r="D16" i="17"/>
  <c r="E16" i="17"/>
  <c r="F16" i="17"/>
  <c r="M16" i="17"/>
  <c r="M12" i="11"/>
  <c r="M14" i="11"/>
  <c r="E24" i="17"/>
  <c r="F24" i="17"/>
  <c r="G24" i="17"/>
  <c r="H24" i="17"/>
  <c r="I24" i="17"/>
  <c r="I7" i="13"/>
  <c r="J24" i="17"/>
  <c r="J7" i="13"/>
  <c r="K24" i="17"/>
  <c r="K7" i="13"/>
  <c r="L24" i="17"/>
  <c r="L7" i="13"/>
  <c r="M24" i="17"/>
  <c r="M7" i="13"/>
  <c r="M17" i="11"/>
  <c r="M18" i="11"/>
  <c r="I36" i="14"/>
  <c r="O14" i="14"/>
  <c r="I37" i="14"/>
  <c r="O12" i="14"/>
  <c r="O15" i="14"/>
  <c r="N54" i="14"/>
  <c r="I14" i="16"/>
  <c r="K14" i="16"/>
  <c r="K15" i="16"/>
  <c r="K16" i="16"/>
  <c r="K17" i="16"/>
  <c r="K18" i="16"/>
  <c r="K25" i="16"/>
  <c r="L27" i="16"/>
  <c r="M52" i="14"/>
  <c r="N56" i="14"/>
  <c r="N61" i="14"/>
  <c r="D46" i="14"/>
  <c r="H46" i="14"/>
  <c r="D41" i="14"/>
  <c r="D42" i="14"/>
  <c r="I42" i="14"/>
  <c r="D38" i="14"/>
  <c r="I38" i="14"/>
  <c r="M51" i="14"/>
  <c r="O25" i="14"/>
  <c r="N73" i="14"/>
  <c r="N72" i="14"/>
  <c r="N71" i="14"/>
  <c r="N70" i="14"/>
  <c r="G10" i="20"/>
  <c r="G12" i="20"/>
  <c r="E36" i="14"/>
  <c r="K14" i="14"/>
  <c r="E37" i="14"/>
  <c r="E38" i="14"/>
  <c r="I14" i="17"/>
  <c r="I10" i="11"/>
  <c r="I15" i="17"/>
  <c r="I11" i="11"/>
  <c r="I16" i="17"/>
  <c r="I12" i="11"/>
  <c r="I14" i="11"/>
  <c r="I17" i="11"/>
  <c r="I18" i="11"/>
  <c r="K12" i="14"/>
  <c r="K15" i="14"/>
  <c r="K11" i="14"/>
  <c r="E42" i="14"/>
  <c r="K17" i="14"/>
  <c r="I21" i="17"/>
  <c r="I46" i="12"/>
  <c r="I48" i="12"/>
  <c r="K18" i="14"/>
  <c r="D45" i="14"/>
  <c r="I26" i="17"/>
  <c r="I27" i="17"/>
  <c r="I28" i="17"/>
  <c r="I11" i="13"/>
  <c r="K19" i="14"/>
  <c r="K21" i="14"/>
  <c r="K23" i="14"/>
  <c r="F36" i="14"/>
  <c r="L14" i="14"/>
  <c r="F37" i="14"/>
  <c r="F38" i="14"/>
  <c r="J14" i="17"/>
  <c r="J10" i="11"/>
  <c r="J15" i="17"/>
  <c r="J11" i="11"/>
  <c r="J16" i="17"/>
  <c r="J12" i="11"/>
  <c r="J14" i="11"/>
  <c r="J17" i="11"/>
  <c r="J18" i="11"/>
  <c r="L12" i="14"/>
  <c r="L15" i="14"/>
  <c r="L11" i="14"/>
  <c r="F42" i="14"/>
  <c r="L17" i="14"/>
  <c r="J21" i="17"/>
  <c r="J46" i="12"/>
  <c r="J48" i="12"/>
  <c r="L18" i="14"/>
  <c r="E45" i="14"/>
  <c r="E46" i="14"/>
  <c r="J26" i="17"/>
  <c r="J27" i="17"/>
  <c r="J28" i="17"/>
  <c r="J11" i="13"/>
  <c r="L19" i="14"/>
  <c r="L21" i="14"/>
  <c r="L23" i="14"/>
  <c r="G36" i="14"/>
  <c r="M14" i="14"/>
  <c r="G37" i="14"/>
  <c r="G38" i="14"/>
  <c r="K14" i="17"/>
  <c r="K10" i="11"/>
  <c r="K15" i="17"/>
  <c r="K11" i="11"/>
  <c r="K16" i="17"/>
  <c r="K12" i="11"/>
  <c r="K14" i="11"/>
  <c r="K17" i="11"/>
  <c r="K18" i="11"/>
  <c r="M12" i="14"/>
  <c r="M15" i="14"/>
  <c r="M11" i="14"/>
  <c r="G42" i="14"/>
  <c r="M17" i="14"/>
  <c r="K21" i="17"/>
  <c r="K46" i="12"/>
  <c r="K48" i="12"/>
  <c r="M18" i="14"/>
  <c r="F45" i="14"/>
  <c r="F46" i="14"/>
  <c r="K26" i="17"/>
  <c r="K27" i="17"/>
  <c r="K28" i="17"/>
  <c r="K11" i="13"/>
  <c r="M19" i="14"/>
  <c r="M21" i="14"/>
  <c r="M23" i="14"/>
  <c r="H36" i="14"/>
  <c r="N14" i="14"/>
  <c r="H37" i="14"/>
  <c r="H38" i="14"/>
  <c r="L14" i="17"/>
  <c r="L10" i="11"/>
  <c r="L15" i="17"/>
  <c r="L11" i="11"/>
  <c r="L16" i="17"/>
  <c r="L12" i="11"/>
  <c r="L14" i="11"/>
  <c r="L17" i="11"/>
  <c r="L18" i="11"/>
  <c r="N12" i="14"/>
  <c r="N15" i="14"/>
  <c r="N11" i="14"/>
  <c r="H42" i="14"/>
  <c r="N17" i="14"/>
  <c r="L48" i="12"/>
  <c r="N18" i="14"/>
  <c r="G45" i="14"/>
  <c r="G46" i="14"/>
  <c r="L26" i="17"/>
  <c r="L27" i="17"/>
  <c r="L28" i="17"/>
  <c r="L11" i="13"/>
  <c r="N19" i="14"/>
  <c r="N21" i="14"/>
  <c r="N23" i="14"/>
  <c r="O21" i="14"/>
  <c r="O23" i="14"/>
  <c r="O24" i="14"/>
  <c r="O27" i="14"/>
  <c r="H14" i="20"/>
  <c r="H16" i="20"/>
  <c r="G16" i="20"/>
  <c r="G22" i="20"/>
  <c r="H19" i="19"/>
  <c r="G19" i="19"/>
  <c r="F19" i="19"/>
  <c r="E19" i="19"/>
  <c r="D19" i="19"/>
  <c r="C19" i="19"/>
  <c r="H13" i="19"/>
  <c r="C27" i="19"/>
  <c r="C28" i="19"/>
  <c r="D27" i="19"/>
  <c r="E27" i="19"/>
  <c r="F27" i="19"/>
  <c r="G27" i="19"/>
  <c r="D28" i="19"/>
  <c r="E28" i="19"/>
  <c r="F28" i="19"/>
  <c r="G28" i="19"/>
  <c r="O26" i="14"/>
  <c r="G29" i="19"/>
  <c r="O28" i="14"/>
  <c r="P28" i="14"/>
  <c r="I77" i="14"/>
  <c r="I73" i="14"/>
  <c r="I74" i="14"/>
  <c r="I75" i="14"/>
  <c r="I76" i="14"/>
  <c r="I72" i="14"/>
  <c r="E71" i="14"/>
  <c r="F71" i="14"/>
  <c r="G71" i="14"/>
  <c r="H71" i="14"/>
  <c r="D71" i="14"/>
  <c r="M49" i="17"/>
  <c r="M51" i="17"/>
  <c r="I40" i="17"/>
  <c r="L40" i="17"/>
  <c r="M40" i="17"/>
  <c r="K40" i="17"/>
  <c r="J40" i="17"/>
  <c r="J10" i="29"/>
  <c r="M44" i="17"/>
  <c r="L44" i="17"/>
  <c r="I37" i="17"/>
  <c r="M37" i="17"/>
  <c r="I39" i="17"/>
  <c r="M39" i="17"/>
  <c r="J37" i="17"/>
  <c r="J39" i="17"/>
  <c r="J15" i="11"/>
  <c r="H58" i="29"/>
  <c r="H59" i="29"/>
  <c r="K37" i="17"/>
  <c r="K39" i="17"/>
  <c r="K15" i="11"/>
  <c r="I58" i="29"/>
  <c r="I59" i="29"/>
  <c r="L37" i="17"/>
  <c r="L39" i="17"/>
  <c r="L15" i="11"/>
  <c r="J58" i="29"/>
  <c r="J59" i="29"/>
  <c r="M15" i="11"/>
  <c r="K58" i="29"/>
  <c r="K59" i="29"/>
  <c r="I15" i="11"/>
  <c r="G58" i="29"/>
  <c r="G59" i="29"/>
  <c r="M38" i="17"/>
  <c r="C14" i="15"/>
  <c r="C24" i="15"/>
  <c r="C25" i="15"/>
  <c r="C26" i="15"/>
  <c r="C27" i="15"/>
  <c r="C28" i="15"/>
  <c r="C29" i="15"/>
  <c r="C30" i="15"/>
  <c r="G14" i="18"/>
  <c r="G15" i="18"/>
  <c r="G21" i="18"/>
  <c r="D28" i="18"/>
  <c r="F33" i="15"/>
  <c r="F34" i="15"/>
  <c r="J44" i="17"/>
  <c r="K44" i="17"/>
  <c r="I44" i="17"/>
  <c r="K38" i="17"/>
  <c r="L38" i="17"/>
  <c r="J38" i="17"/>
  <c r="H15" i="18"/>
  <c r="G6" i="20"/>
  <c r="G11" i="17"/>
  <c r="H11" i="17"/>
  <c r="K54" i="14"/>
  <c r="J52" i="14"/>
  <c r="J51" i="14"/>
  <c r="K56" i="14"/>
  <c r="L54" i="14"/>
  <c r="K52" i="14"/>
  <c r="K51" i="14"/>
  <c r="L56" i="14"/>
  <c r="M54" i="14"/>
  <c r="L52" i="14"/>
  <c r="L51" i="14"/>
  <c r="M56" i="14"/>
  <c r="J54" i="14"/>
  <c r="I49" i="14"/>
  <c r="I50" i="14"/>
  <c r="I51" i="14"/>
  <c r="I52" i="14"/>
  <c r="J56" i="14"/>
  <c r="N51" i="14"/>
  <c r="N52" i="14"/>
  <c r="I49" i="17"/>
  <c r="I51" i="17"/>
  <c r="J58" i="14"/>
  <c r="J59" i="14"/>
  <c r="J61" i="14"/>
  <c r="P49" i="17"/>
  <c r="J49" i="17"/>
  <c r="K49" i="17"/>
  <c r="L49" i="17"/>
  <c r="E43" i="29"/>
  <c r="E47" i="29"/>
  <c r="E48" i="29"/>
  <c r="D43" i="29"/>
  <c r="D47" i="29"/>
  <c r="D48" i="29"/>
  <c r="C43" i="29"/>
  <c r="C47" i="29"/>
  <c r="C48" i="29"/>
  <c r="B43" i="29"/>
  <c r="B47" i="29"/>
  <c r="B48" i="29"/>
  <c r="K47" i="29"/>
  <c r="J47" i="29"/>
  <c r="I47" i="29"/>
  <c r="H47" i="29"/>
  <c r="G47" i="29"/>
  <c r="F47" i="29"/>
  <c r="K46" i="29"/>
  <c r="J46" i="29"/>
  <c r="I46" i="29"/>
  <c r="H46" i="29"/>
  <c r="G46" i="29"/>
  <c r="F46" i="29"/>
  <c r="B44" i="29"/>
  <c r="C44" i="29"/>
  <c r="D44" i="29"/>
  <c r="E44" i="29"/>
  <c r="K44" i="29"/>
  <c r="J44" i="29"/>
  <c r="I44" i="29"/>
  <c r="H44" i="29"/>
  <c r="G44" i="29"/>
  <c r="F44" i="29"/>
  <c r="K43" i="29"/>
  <c r="J43" i="29"/>
  <c r="I43" i="29"/>
  <c r="H43" i="29"/>
  <c r="G43" i="29"/>
  <c r="F43" i="29"/>
  <c r="K42" i="29"/>
  <c r="J42" i="29"/>
  <c r="I42" i="29"/>
  <c r="H42" i="29"/>
  <c r="G42" i="29"/>
  <c r="F42" i="29"/>
  <c r="K41" i="29"/>
  <c r="J41" i="29"/>
  <c r="I41" i="29"/>
  <c r="H41" i="29"/>
  <c r="G41" i="29"/>
  <c r="F41" i="29"/>
  <c r="K40" i="29"/>
  <c r="J40" i="29"/>
  <c r="I40" i="29"/>
  <c r="H40" i="29"/>
  <c r="G40" i="29"/>
  <c r="F40" i="29"/>
  <c r="K39" i="29"/>
  <c r="J39" i="29"/>
  <c r="I39" i="29"/>
  <c r="H39" i="29"/>
  <c r="G39" i="29"/>
  <c r="F39" i="29"/>
  <c r="B15" i="29"/>
  <c r="C15" i="29"/>
  <c r="E15" i="29"/>
  <c r="F15" i="29"/>
  <c r="L15" i="29"/>
  <c r="K15" i="29"/>
  <c r="L34" i="29"/>
  <c r="J15" i="29"/>
  <c r="K34" i="29"/>
  <c r="I15" i="29"/>
  <c r="J34" i="29"/>
  <c r="H15" i="29"/>
  <c r="I34" i="29"/>
  <c r="H34" i="29"/>
  <c r="L14" i="29"/>
  <c r="K14" i="29"/>
  <c r="L33" i="29"/>
  <c r="J14" i="29"/>
  <c r="K33" i="29"/>
  <c r="I14" i="29"/>
  <c r="J33" i="29"/>
  <c r="H14" i="29"/>
  <c r="I33" i="29"/>
  <c r="H33" i="29"/>
  <c r="L13" i="29"/>
  <c r="K13" i="29"/>
  <c r="L32" i="29"/>
  <c r="J13" i="29"/>
  <c r="K32" i="29"/>
  <c r="I13" i="29"/>
  <c r="J32" i="29"/>
  <c r="H13" i="29"/>
  <c r="I32" i="29"/>
  <c r="H32" i="29"/>
  <c r="L10" i="29"/>
  <c r="K10" i="29"/>
  <c r="L31" i="29"/>
  <c r="K31" i="29"/>
  <c r="I10" i="29"/>
  <c r="J31" i="29"/>
  <c r="H10" i="29"/>
  <c r="I31" i="29"/>
  <c r="H31" i="29"/>
  <c r="L7" i="29"/>
  <c r="K7" i="29"/>
  <c r="L30" i="29"/>
  <c r="J7" i="29"/>
  <c r="K30" i="29"/>
  <c r="I7" i="29"/>
  <c r="J30" i="29"/>
  <c r="H7" i="29"/>
  <c r="I30" i="29"/>
  <c r="H30" i="29"/>
  <c r="L6" i="29"/>
  <c r="K6" i="29"/>
  <c r="L29" i="29"/>
  <c r="J6" i="29"/>
  <c r="K29" i="29"/>
  <c r="I6" i="29"/>
  <c r="J29" i="29"/>
  <c r="H6" i="29"/>
  <c r="I29" i="29"/>
  <c r="H29" i="29"/>
  <c r="L5" i="29"/>
  <c r="K5" i="29"/>
  <c r="L28" i="29"/>
  <c r="J5" i="29"/>
  <c r="K28" i="29"/>
  <c r="I5" i="29"/>
  <c r="J28" i="29"/>
  <c r="H5" i="29"/>
  <c r="I28" i="29"/>
  <c r="H28" i="29"/>
  <c r="M25" i="29"/>
  <c r="M15" i="29"/>
  <c r="G15" i="29"/>
  <c r="G14" i="29"/>
  <c r="G13" i="29"/>
  <c r="G10" i="29"/>
  <c r="G7" i="29"/>
  <c r="G6" i="29"/>
  <c r="G5" i="29"/>
  <c r="D15" i="11"/>
  <c r="J51" i="17"/>
  <c r="K51" i="17"/>
  <c r="L51" i="17"/>
  <c r="G16" i="17"/>
  <c r="H16" i="17"/>
  <c r="D35" i="18"/>
  <c r="F34" i="18"/>
  <c r="F35" i="18"/>
  <c r="F36" i="18"/>
  <c r="G37" i="18"/>
  <c r="D37" i="18"/>
  <c r="D38" i="18"/>
  <c r="D39" i="18"/>
  <c r="D40" i="18"/>
  <c r="D41" i="18"/>
  <c r="D42" i="18"/>
  <c r="D43" i="18"/>
  <c r="F43" i="18"/>
  <c r="D14" i="27"/>
  <c r="D28" i="27"/>
  <c r="E48" i="27"/>
  <c r="E15" i="27"/>
  <c r="E29" i="27"/>
  <c r="D48" i="27"/>
  <c r="F15" i="27"/>
  <c r="F29" i="27"/>
  <c r="C48" i="27"/>
  <c r="D15" i="27"/>
  <c r="D29" i="27"/>
  <c r="E47" i="27"/>
  <c r="E14" i="27"/>
  <c r="E28" i="27"/>
  <c r="D47" i="27"/>
  <c r="F14" i="27"/>
  <c r="F28" i="27"/>
  <c r="C47" i="27"/>
  <c r="F18" i="27"/>
  <c r="F32" i="27"/>
  <c r="F39" i="27"/>
  <c r="E18" i="27"/>
  <c r="E32" i="27"/>
  <c r="E39" i="27"/>
  <c r="D18" i="27"/>
  <c r="D32" i="27"/>
  <c r="D39" i="27"/>
  <c r="F16" i="27"/>
  <c r="F30" i="27"/>
  <c r="F38" i="27"/>
  <c r="E16" i="27"/>
  <c r="E30" i="27"/>
  <c r="E38" i="27"/>
  <c r="D16" i="27"/>
  <c r="D30" i="27"/>
  <c r="D38" i="27"/>
  <c r="F17" i="27"/>
  <c r="F31" i="27"/>
  <c r="F37" i="27"/>
  <c r="E17" i="27"/>
  <c r="E31" i="27"/>
  <c r="E37" i="27"/>
  <c r="D17" i="27"/>
  <c r="D31" i="27"/>
  <c r="D37" i="27"/>
  <c r="F36" i="27"/>
  <c r="E36" i="27"/>
  <c r="D36" i="27"/>
  <c r="F35" i="27"/>
  <c r="E35" i="27"/>
  <c r="D35" i="27"/>
  <c r="F20" i="27"/>
  <c r="F34" i="27"/>
  <c r="E20" i="27"/>
  <c r="E34" i="27"/>
  <c r="D20" i="27"/>
  <c r="D34" i="27"/>
  <c r="F19" i="27"/>
  <c r="F33" i="27"/>
  <c r="E19" i="27"/>
  <c r="E33" i="27"/>
  <c r="D19" i="27"/>
  <c r="D33" i="27"/>
  <c r="F25" i="27"/>
  <c r="E25" i="27"/>
  <c r="D25" i="27"/>
  <c r="F24" i="27"/>
  <c r="E24" i="27"/>
  <c r="D24" i="27"/>
  <c r="F23" i="27"/>
  <c r="E23" i="27"/>
  <c r="D23" i="27"/>
  <c r="F22" i="27"/>
  <c r="E22" i="27"/>
  <c r="D22" i="27"/>
  <c r="F21" i="27"/>
  <c r="E21" i="27"/>
  <c r="D21" i="27"/>
  <c r="M11" i="27"/>
  <c r="I11" i="27"/>
  <c r="M10" i="27"/>
  <c r="L10" i="27"/>
  <c r="K10" i="27"/>
  <c r="J10" i="27"/>
  <c r="I10" i="27"/>
  <c r="M9" i="27"/>
  <c r="L9" i="27"/>
  <c r="K9" i="27"/>
  <c r="J9" i="27"/>
  <c r="I9" i="27"/>
  <c r="M8" i="27"/>
  <c r="L8" i="27"/>
  <c r="K8" i="27"/>
  <c r="J8" i="27"/>
  <c r="I8" i="27"/>
  <c r="H7" i="13"/>
  <c r="E7" i="13"/>
  <c r="D7" i="13"/>
  <c r="F7" i="13"/>
  <c r="G7" i="13"/>
  <c r="A25" i="16"/>
  <c r="B25" i="16"/>
  <c r="E25" i="16"/>
  <c r="A12" i="16"/>
  <c r="A26" i="16"/>
  <c r="B26" i="16"/>
  <c r="E26" i="16"/>
  <c r="A13" i="16"/>
  <c r="A27" i="16"/>
  <c r="B27" i="16"/>
  <c r="E27" i="16"/>
  <c r="A14" i="16"/>
  <c r="A28" i="16"/>
  <c r="B28" i="16"/>
  <c r="E28" i="16"/>
  <c r="A15" i="16"/>
  <c r="A29" i="16"/>
  <c r="B29" i="16"/>
  <c r="E29" i="16"/>
  <c r="A16" i="16"/>
  <c r="A30" i="16"/>
  <c r="B30" i="16"/>
  <c r="E30" i="16"/>
  <c r="A17" i="16"/>
  <c r="A31" i="16"/>
  <c r="B31" i="16"/>
  <c r="E31" i="16"/>
  <c r="A18" i="16"/>
  <c r="A32" i="16"/>
  <c r="B32" i="16"/>
  <c r="E32" i="16"/>
  <c r="A19" i="16"/>
  <c r="A33" i="16"/>
  <c r="B33" i="16"/>
  <c r="E33" i="16"/>
  <c r="A20" i="16"/>
  <c r="A34" i="16"/>
  <c r="B34" i="16"/>
  <c r="E34" i="16"/>
  <c r="E35" i="16"/>
  <c r="D37" i="16"/>
  <c r="H15" i="16"/>
  <c r="H16" i="16"/>
  <c r="H17" i="16"/>
  <c r="H18" i="16"/>
  <c r="H19" i="16"/>
  <c r="I19" i="16"/>
  <c r="L19" i="16"/>
  <c r="H20" i="16"/>
  <c r="I20" i="16"/>
  <c r="L20" i="16"/>
  <c r="H21" i="16"/>
  <c r="I21" i="16"/>
  <c r="L21" i="16"/>
  <c r="H22" i="16"/>
  <c r="I22" i="16"/>
  <c r="L22" i="16"/>
  <c r="H23" i="16"/>
  <c r="I23" i="16"/>
  <c r="L23" i="16"/>
  <c r="H24" i="16"/>
  <c r="I24" i="16"/>
  <c r="L24" i="16"/>
  <c r="B24" i="15"/>
  <c r="C10" i="18"/>
  <c r="E6" i="18"/>
  <c r="E7" i="18"/>
  <c r="E8" i="18"/>
  <c r="E9" i="18"/>
  <c r="G6" i="18"/>
  <c r="A24" i="15"/>
  <c r="B25" i="15"/>
  <c r="A25" i="15"/>
  <c r="B26" i="15"/>
  <c r="A26" i="15"/>
  <c r="B27" i="15"/>
  <c r="A27" i="15"/>
  <c r="B28" i="15"/>
  <c r="A28" i="15"/>
  <c r="D20" i="15"/>
  <c r="B29" i="15"/>
  <c r="D11" i="12"/>
  <c r="D42" i="12"/>
  <c r="D43" i="12"/>
  <c r="D26" i="12"/>
  <c r="D44" i="12"/>
  <c r="D45" i="12"/>
  <c r="D46" i="12"/>
  <c r="E11" i="12"/>
  <c r="E42" i="12"/>
  <c r="E43" i="12"/>
  <c r="E26" i="12"/>
  <c r="E44" i="12"/>
  <c r="E45" i="12"/>
  <c r="E46" i="12"/>
  <c r="F11" i="12"/>
  <c r="F42" i="12"/>
  <c r="F43" i="12"/>
  <c r="F26" i="12"/>
  <c r="F44" i="12"/>
  <c r="F45" i="12"/>
  <c r="F46" i="12"/>
  <c r="G11" i="12"/>
  <c r="G42" i="12"/>
  <c r="G43" i="12"/>
  <c r="G26" i="12"/>
  <c r="G44" i="12"/>
  <c r="G45" i="12"/>
  <c r="G46" i="12"/>
  <c r="H11" i="12"/>
  <c r="H42" i="12"/>
  <c r="H43" i="12"/>
  <c r="H26" i="12"/>
  <c r="H44" i="12"/>
  <c r="H45" i="12"/>
  <c r="H46" i="12"/>
  <c r="G13" i="18"/>
  <c r="G19" i="18"/>
  <c r="C18" i="19"/>
  <c r="B22" i="19"/>
  <c r="D18" i="19"/>
  <c r="E18" i="19"/>
  <c r="F18" i="19"/>
  <c r="G18" i="19"/>
  <c r="H34" i="12"/>
  <c r="I55" i="22"/>
  <c r="B29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36" i="22"/>
  <c r="G2" i="22"/>
  <c r="H2" i="22"/>
  <c r="J2" i="22"/>
  <c r="G3" i="22"/>
  <c r="H3" i="22"/>
  <c r="J3" i="22"/>
  <c r="G4" i="22"/>
  <c r="H4" i="22"/>
  <c r="J4" i="22"/>
  <c r="G5" i="22"/>
  <c r="H5" i="22"/>
  <c r="J5" i="22"/>
  <c r="G6" i="22"/>
  <c r="H6" i="22"/>
  <c r="J6" i="22"/>
  <c r="G7" i="22"/>
  <c r="H7" i="22"/>
  <c r="J7" i="22"/>
  <c r="G8" i="22"/>
  <c r="H8" i="22"/>
  <c r="J8" i="22"/>
  <c r="G9" i="22"/>
  <c r="H9" i="22"/>
  <c r="J9" i="22"/>
  <c r="G10" i="22"/>
  <c r="H10" i="22"/>
  <c r="J10" i="22"/>
  <c r="G11" i="22"/>
  <c r="H11" i="22"/>
  <c r="J11" i="22"/>
  <c r="G12" i="22"/>
  <c r="H12" i="22"/>
  <c r="J12" i="22"/>
  <c r="G13" i="22"/>
  <c r="H13" i="22"/>
  <c r="J13" i="22"/>
  <c r="G14" i="22"/>
  <c r="H14" i="22"/>
  <c r="J14" i="22"/>
  <c r="G15" i="22"/>
  <c r="H15" i="22"/>
  <c r="J15" i="22"/>
  <c r="G16" i="22"/>
  <c r="H16" i="22"/>
  <c r="J16" i="22"/>
  <c r="G17" i="22"/>
  <c r="H17" i="22"/>
  <c r="J17" i="22"/>
  <c r="G18" i="22"/>
  <c r="H18" i="22"/>
  <c r="J18" i="22"/>
  <c r="G19" i="22"/>
  <c r="H19" i="22"/>
  <c r="J19" i="22"/>
  <c r="G20" i="22"/>
  <c r="H20" i="22"/>
  <c r="J20" i="22"/>
  <c r="G21" i="22"/>
  <c r="H21" i="22"/>
  <c r="J21" i="22"/>
  <c r="G22" i="22"/>
  <c r="H22" i="22"/>
  <c r="J22" i="22"/>
  <c r="G23" i="22"/>
  <c r="H23" i="22"/>
  <c r="J23" i="22"/>
  <c r="G24" i="22"/>
  <c r="H24" i="22"/>
  <c r="J24" i="22"/>
  <c r="J25" i="22"/>
  <c r="B34" i="22"/>
  <c r="J29" i="22"/>
  <c r="H30" i="22"/>
  <c r="H31" i="22"/>
  <c r="B35" i="22"/>
  <c r="B37" i="22"/>
  <c r="B43" i="22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B33" i="22"/>
  <c r="I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H25" i="22"/>
  <c r="G25" i="22"/>
  <c r="E25" i="22"/>
  <c r="D39" i="16"/>
  <c r="D36" i="14"/>
  <c r="H14" i="14"/>
  <c r="D40" i="16"/>
  <c r="D37" i="14"/>
  <c r="D26" i="18"/>
  <c r="E16" i="12"/>
  <c r="E19" i="12"/>
  <c r="D9" i="19"/>
  <c r="F16" i="12"/>
  <c r="F19" i="12"/>
  <c r="E9" i="19"/>
  <c r="G16" i="12"/>
  <c r="G19" i="12"/>
  <c r="F9" i="19"/>
  <c r="H16" i="12"/>
  <c r="H19" i="12"/>
  <c r="G9" i="19"/>
  <c r="D16" i="12"/>
  <c r="D19" i="12"/>
  <c r="C9" i="19"/>
  <c r="D7" i="19"/>
  <c r="E7" i="19"/>
  <c r="F7" i="19"/>
  <c r="G7" i="19"/>
  <c r="C7" i="19"/>
  <c r="D6" i="19"/>
  <c r="E6" i="19"/>
  <c r="F6" i="19"/>
  <c r="G6" i="19"/>
  <c r="C6" i="19"/>
  <c r="G8" i="19"/>
  <c r="G10" i="19"/>
  <c r="F8" i="19"/>
  <c r="F10" i="19"/>
  <c r="E8" i="19"/>
  <c r="E10" i="19"/>
  <c r="D8" i="19"/>
  <c r="D10" i="19"/>
  <c r="C8" i="19"/>
  <c r="C10" i="19"/>
  <c r="F49" i="14"/>
  <c r="G49" i="14"/>
  <c r="H49" i="14"/>
  <c r="F50" i="14"/>
  <c r="G50" i="14"/>
  <c r="H50" i="14"/>
  <c r="E50" i="14"/>
  <c r="E49" i="14"/>
  <c r="J14" i="14"/>
  <c r="E14" i="11"/>
  <c r="F14" i="11"/>
  <c r="G14" i="11"/>
  <c r="H14" i="11"/>
  <c r="E37" i="18"/>
  <c r="E43" i="18"/>
  <c r="F13" i="17"/>
  <c r="G13" i="17"/>
  <c r="H13" i="17"/>
  <c r="E13" i="17"/>
  <c r="D10" i="11"/>
  <c r="D14" i="11"/>
  <c r="D18" i="15"/>
  <c r="G26" i="17"/>
  <c r="H26" i="17"/>
  <c r="J24" i="16"/>
  <c r="J23" i="16"/>
  <c r="K23" i="16"/>
  <c r="J21" i="16"/>
  <c r="K21" i="16"/>
  <c r="J19" i="16"/>
  <c r="J20" i="16"/>
  <c r="J22" i="16"/>
  <c r="J15" i="16"/>
  <c r="J18" i="16"/>
  <c r="J17" i="16"/>
  <c r="J16" i="16"/>
  <c r="J14" i="16"/>
  <c r="C46" i="12"/>
  <c r="F12" i="17"/>
  <c r="G12" i="17"/>
  <c r="H12" i="17"/>
  <c r="E12" i="17"/>
  <c r="K22" i="16"/>
  <c r="K20" i="16"/>
  <c r="K24" i="16"/>
  <c r="D28" i="17"/>
  <c r="E28" i="17"/>
  <c r="G28" i="17"/>
  <c r="F28" i="17"/>
  <c r="H28" i="17"/>
  <c r="J11" i="14"/>
  <c r="K19" i="16"/>
  <c r="G14" i="17"/>
  <c r="H14" i="17"/>
  <c r="E11" i="17"/>
  <c r="F11" i="17"/>
  <c r="F11" i="14"/>
  <c r="F14" i="14"/>
  <c r="F18" i="17"/>
  <c r="G11" i="14"/>
  <c r="G14" i="14"/>
  <c r="G18" i="17"/>
  <c r="H11" i="14"/>
  <c r="E11" i="14"/>
  <c r="E14" i="14"/>
  <c r="E18" i="17"/>
  <c r="D11" i="14"/>
  <c r="D14" i="14"/>
  <c r="D18" i="17"/>
  <c r="D18" i="11"/>
  <c r="D19" i="11"/>
  <c r="E15" i="11"/>
  <c r="F9" i="14"/>
  <c r="G9" i="14"/>
  <c r="H15" i="11"/>
  <c r="C25" i="16"/>
  <c r="C24" i="16"/>
  <c r="D25" i="16"/>
  <c r="A29" i="15"/>
  <c r="B24" i="16"/>
  <c r="D24" i="16"/>
  <c r="F11" i="13"/>
  <c r="F19" i="14"/>
  <c r="G11" i="13"/>
  <c r="G19" i="14"/>
  <c r="H11" i="13"/>
  <c r="H19" i="14"/>
  <c r="E11" i="13"/>
  <c r="E19" i="14"/>
  <c r="D11" i="13"/>
  <c r="D19" i="14"/>
  <c r="G31" i="12"/>
  <c r="G34" i="12"/>
  <c r="H31" i="12"/>
  <c r="E34" i="12"/>
  <c r="D34" i="12"/>
  <c r="E31" i="12"/>
  <c r="F31" i="12"/>
  <c r="F34" i="12"/>
  <c r="H18" i="17"/>
  <c r="E13" i="13"/>
  <c r="F58" i="14"/>
  <c r="D13" i="13"/>
  <c r="E58" i="14"/>
  <c r="G15" i="11"/>
  <c r="F15" i="11"/>
  <c r="G18" i="11"/>
  <c r="G19" i="11"/>
  <c r="F18" i="11"/>
  <c r="F19" i="11"/>
  <c r="G37" i="12"/>
  <c r="E37" i="12"/>
  <c r="F37" i="12"/>
  <c r="E17" i="14"/>
  <c r="G17" i="14"/>
  <c r="D17" i="14"/>
  <c r="H17" i="14"/>
  <c r="F17" i="14"/>
  <c r="G12" i="14"/>
  <c r="G15" i="14"/>
  <c r="H54" i="14"/>
  <c r="F12" i="14"/>
  <c r="F15" i="14"/>
  <c r="G54" i="14"/>
  <c r="E51" i="14"/>
  <c r="I46" i="14"/>
  <c r="I19" i="14"/>
  <c r="J19" i="14"/>
  <c r="H51" i="14"/>
  <c r="H37" i="12"/>
  <c r="D31" i="12"/>
  <c r="D37" i="12"/>
  <c r="G51" i="14"/>
  <c r="F51" i="14"/>
  <c r="H9" i="14"/>
  <c r="E18" i="11"/>
  <c r="E19" i="11"/>
  <c r="D9" i="14"/>
  <c r="D12" i="14"/>
  <c r="D15" i="14"/>
  <c r="H13" i="13"/>
  <c r="I58" i="14"/>
  <c r="E9" i="14"/>
  <c r="E12" i="14"/>
  <c r="E15" i="14"/>
  <c r="G13" i="13"/>
  <c r="H58" i="14"/>
  <c r="H18" i="11"/>
  <c r="F13" i="13"/>
  <c r="G58" i="14"/>
  <c r="C27" i="16"/>
  <c r="D27" i="16"/>
  <c r="C26" i="16"/>
  <c r="D26" i="16"/>
  <c r="I10" i="13"/>
  <c r="G38" i="12"/>
  <c r="F38" i="12"/>
  <c r="E38" i="12"/>
  <c r="H38" i="12"/>
  <c r="D38" i="12"/>
  <c r="H56" i="14"/>
  <c r="G56" i="14"/>
  <c r="F54" i="14"/>
  <c r="H12" i="14"/>
  <c r="H15" i="14"/>
  <c r="J9" i="14"/>
  <c r="E54" i="14"/>
  <c r="D17" i="15"/>
  <c r="H19" i="11"/>
  <c r="I9" i="13"/>
  <c r="F48" i="12"/>
  <c r="H48" i="12"/>
  <c r="G48" i="12"/>
  <c r="E48" i="12"/>
  <c r="D48" i="12"/>
  <c r="F56" i="14"/>
  <c r="I54" i="14"/>
  <c r="C28" i="16"/>
  <c r="D28" i="16"/>
  <c r="J9" i="13"/>
  <c r="J10" i="13"/>
  <c r="F35" i="15"/>
  <c r="D18" i="14"/>
  <c r="D21" i="14"/>
  <c r="E59" i="14"/>
  <c r="E18" i="14"/>
  <c r="E21" i="14"/>
  <c r="F59" i="14"/>
  <c r="F61" i="14"/>
  <c r="G18" i="14"/>
  <c r="G21" i="14"/>
  <c r="H59" i="14"/>
  <c r="H61" i="14"/>
  <c r="H18" i="14"/>
  <c r="I59" i="14"/>
  <c r="F18" i="14"/>
  <c r="F21" i="14"/>
  <c r="G59" i="14"/>
  <c r="G61" i="14"/>
  <c r="I13" i="13"/>
  <c r="I56" i="14"/>
  <c r="C29" i="16"/>
  <c r="D29" i="16"/>
  <c r="I19" i="11"/>
  <c r="K9" i="14"/>
  <c r="K10" i="13"/>
  <c r="K9" i="13"/>
  <c r="I61" i="14"/>
  <c r="J18" i="14"/>
  <c r="H21" i="14"/>
  <c r="K59" i="14"/>
  <c r="J13" i="13"/>
  <c r="C30" i="16"/>
  <c r="D30" i="16"/>
  <c r="L9" i="14"/>
  <c r="J19" i="11"/>
  <c r="L9" i="13"/>
  <c r="L10" i="13"/>
  <c r="L59" i="14"/>
  <c r="K13" i="13"/>
  <c r="C31" i="16"/>
  <c r="D31" i="16"/>
  <c r="K19" i="11"/>
  <c r="M9" i="14"/>
  <c r="M10" i="13"/>
  <c r="M13" i="13"/>
  <c r="M9" i="13"/>
  <c r="I45" i="14"/>
  <c r="M59" i="14"/>
  <c r="L13" i="13"/>
  <c r="C32" i="16"/>
  <c r="D32" i="16"/>
  <c r="M19" i="11"/>
  <c r="N9" i="14"/>
  <c r="L19" i="11"/>
  <c r="C34" i="16"/>
  <c r="D34" i="16"/>
  <c r="C33" i="16"/>
  <c r="D33" i="16"/>
  <c r="O9" i="14"/>
  <c r="D35" i="16"/>
  <c r="L39" i="16"/>
  <c r="I17" i="14"/>
  <c r="J17" i="14"/>
  <c r="I12" i="14"/>
  <c r="J12" i="14"/>
  <c r="I15" i="14"/>
  <c r="J15" i="14"/>
  <c r="J21" i="14"/>
  <c r="K58" i="14"/>
  <c r="K61" i="14"/>
  <c r="L58" i="14"/>
  <c r="L61" i="14"/>
  <c r="M58" i="14"/>
  <c r="M61" i="14"/>
  <c r="G14" i="20"/>
  <c r="O29" i="14"/>
  <c r="P29" i="14"/>
  <c r="M46" i="30" l="1"/>
  <c r="M52" i="30" s="1"/>
  <c r="M53" i="30" s="1"/>
  <c r="M45" i="30"/>
  <c r="M47" i="30" s="1"/>
  <c r="G17" i="21"/>
  <c r="D18" i="21"/>
  <c r="I17" i="21"/>
  <c r="D16" i="21"/>
  <c r="H17" i="21"/>
  <c r="F14" i="21"/>
  <c r="E14" i="21" s="1"/>
  <c r="E17" i="21" s="1"/>
  <c r="F40" i="30"/>
  <c r="F43" i="30" s="1"/>
  <c r="F44" i="30" s="1"/>
  <c r="F46" i="30" s="1"/>
  <c r="F52" i="30" s="1"/>
  <c r="F53" i="30" s="1"/>
  <c r="F38" i="30"/>
  <c r="G38" i="30"/>
  <c r="D24" i="30"/>
  <c r="E24" i="30" s="1"/>
  <c r="H38" i="30"/>
  <c r="D39" i="30"/>
  <c r="E40" i="30"/>
  <c r="E43" i="30" s="1"/>
  <c r="E44" i="30" s="1"/>
  <c r="H40" i="30"/>
  <c r="H43" i="30" s="1"/>
  <c r="H44" i="30" s="1"/>
  <c r="H46" i="30" s="1"/>
  <c r="J40" i="30"/>
  <c r="J43" i="30" s="1"/>
  <c r="J44" i="30" s="1"/>
  <c r="C40" i="30"/>
  <c r="G40" i="30"/>
  <c r="D29" i="30"/>
  <c r="E29" i="30" s="1"/>
  <c r="K12" i="30"/>
  <c r="K13" i="30" s="1"/>
  <c r="K14" i="30" s="1"/>
  <c r="D27" i="30"/>
  <c r="E27" i="30" s="1"/>
  <c r="I38" i="30"/>
  <c r="I40" i="30"/>
  <c r="I43" i="30" s="1"/>
  <c r="I44" i="30" s="1"/>
  <c r="I46" i="30" s="1"/>
  <c r="D40" i="30"/>
  <c r="D43" i="30" s="1"/>
  <c r="D44" i="30" s="1"/>
  <c r="D46" i="30" s="1"/>
  <c r="D52" i="30" s="1"/>
  <c r="D53" i="30" s="1"/>
  <c r="D26" i="30"/>
  <c r="E26" i="30" s="1"/>
  <c r="L40" i="30"/>
  <c r="K40" i="30"/>
  <c r="H50" i="30" l="1"/>
  <c r="H51" i="30" s="1"/>
  <c r="I50" i="30"/>
  <c r="I51" i="30" s="1"/>
  <c r="G43" i="30"/>
  <c r="G44" i="30" s="1"/>
  <c r="G46" i="30" s="1"/>
  <c r="G52" i="30" s="1"/>
  <c r="G50" i="30"/>
  <c r="G51" i="30" s="1"/>
  <c r="J50" i="30"/>
  <c r="J51" i="30" s="1"/>
  <c r="J45" i="30"/>
  <c r="J46" i="30"/>
  <c r="J52" i="30" s="1"/>
  <c r="I18" i="21"/>
  <c r="H18" i="21"/>
  <c r="D19" i="21"/>
  <c r="G18" i="21"/>
  <c r="F18" i="21"/>
  <c r="E18" i="21"/>
  <c r="I52" i="30"/>
  <c r="H52" i="30"/>
  <c r="F17" i="21"/>
  <c r="E45" i="30"/>
  <c r="E47" i="30" s="1"/>
  <c r="E46" i="30"/>
  <c r="E52" i="30" s="1"/>
  <c r="E53" i="30" s="1"/>
  <c r="H24" i="21"/>
  <c r="J24" i="21" s="1"/>
  <c r="H25" i="21"/>
  <c r="J25" i="21" s="1"/>
  <c r="H26" i="21"/>
  <c r="J26" i="21" s="1"/>
  <c r="H23" i="21"/>
  <c r="J23" i="21" s="1"/>
  <c r="E16" i="21"/>
  <c r="D15" i="21"/>
  <c r="I16" i="21"/>
  <c r="G16" i="21"/>
  <c r="F16" i="21"/>
  <c r="H16" i="21"/>
  <c r="J53" i="30" l="1"/>
  <c r="G53" i="30"/>
  <c r="E19" i="21"/>
  <c r="I19" i="21"/>
  <c r="G19" i="21"/>
  <c r="H19" i="21"/>
  <c r="F19" i="21"/>
  <c r="I15" i="21"/>
  <c r="E15" i="21"/>
  <c r="H15" i="21"/>
  <c r="G15" i="21"/>
  <c r="F15" i="21"/>
  <c r="I53" i="30"/>
  <c r="H53" i="30"/>
  <c r="J47" i="30"/>
  <c r="K41" i="30"/>
  <c r="K43" i="30" l="1"/>
  <c r="K44" i="30" s="1"/>
  <c r="K50" i="30"/>
  <c r="K51" i="30" s="1"/>
  <c r="K45" i="30" l="1"/>
  <c r="K46" i="30"/>
  <c r="K52" i="30" s="1"/>
  <c r="K53" i="30" s="1"/>
  <c r="K47" i="30" l="1"/>
  <c r="L41" i="30"/>
  <c r="L51" i="30" l="1"/>
  <c r="L43" i="30"/>
  <c r="L44" i="30" s="1"/>
  <c r="L50" i="30"/>
  <c r="L46" i="30" l="1"/>
  <c r="L52" i="30" s="1"/>
  <c r="L53" i="30" s="1"/>
  <c r="L45" i="30"/>
  <c r="L47" i="30" s="1"/>
</calcChain>
</file>

<file path=xl/comments1.xml><?xml version="1.0" encoding="utf-8"?>
<comments xmlns="http://schemas.openxmlformats.org/spreadsheetml/2006/main">
  <authors>
    <author>Sun, Yi</author>
  </authors>
  <commentList>
    <comment ref="G17" authorId="0" shapeId="0">
      <text>
        <r>
          <rPr>
            <b/>
            <sz val="9"/>
            <color indexed="81"/>
            <rFont val="Tahoma"/>
            <family val="2"/>
          </rPr>
          <t>Sun, Yi:</t>
        </r>
        <r>
          <rPr>
            <sz val="9"/>
            <color indexed="81"/>
            <rFont val="Tahoma"/>
            <family val="2"/>
          </rPr>
          <t xml:space="preserve">
Bloomberg, 02.04.2017:
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>Sun, Yi:</t>
        </r>
        <r>
          <rPr>
            <sz val="9"/>
            <color indexed="81"/>
            <rFont val="Tahoma"/>
            <family val="2"/>
          </rPr>
          <t xml:space="preserve">
02.04.2017 (16:03):  http://www.tr4der.com/historical-prices/GENZ/5/from-01-01-2009-to-01-01-2011/  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Sun, Yi:</t>
        </r>
        <r>
          <rPr>
            <sz val="9"/>
            <color indexed="81"/>
            <rFont val="Tahoma"/>
            <family val="2"/>
          </rPr>
          <t xml:space="preserve">
According to Bloomberg</t>
        </r>
      </text>
    </comment>
  </commentList>
</comments>
</file>

<file path=xl/comments2.xml><?xml version="1.0" encoding="utf-8"?>
<comments xmlns="http://schemas.openxmlformats.org/spreadsheetml/2006/main">
  <authors>
    <author>Aswath Damodaran</author>
  </authors>
  <commentList>
    <comment ref="D40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By expensing R&amp;D rather than capitalizing it, the firm gets a tax benefit. This is the dollar value of that tax benefit.</t>
        </r>
      </text>
    </comment>
  </commentList>
</comments>
</file>

<file path=xl/sharedStrings.xml><?xml version="1.0" encoding="utf-8"?>
<sst xmlns="http://schemas.openxmlformats.org/spreadsheetml/2006/main" count="829" uniqueCount="581">
  <si>
    <t>Total equity</t>
  </si>
  <si>
    <t>Accounts payable</t>
  </si>
  <si>
    <t>Other current liabilities</t>
  </si>
  <si>
    <t>Liabilities related to assets held for sale or exchange</t>
  </si>
  <si>
    <t>Cost of Debt</t>
  </si>
  <si>
    <t>Output</t>
  </si>
  <si>
    <t>Operating lease expense in current year =</t>
  </si>
  <si>
    <t>Operating Lease Commitments (From footnote to financials)</t>
  </si>
  <si>
    <t>Year</t>
  </si>
  <si>
    <t>Commitment</t>
  </si>
  <si>
    <t>! Year 1 is next year, ….</t>
  </si>
  <si>
    <t>6 and beyond</t>
  </si>
  <si>
    <t>Pre-tax Cost of Debt =</t>
  </si>
  <si>
    <t>From the current financial statements, enter the following</t>
  </si>
  <si>
    <t>Reported Operating Income (EBIT) =</t>
  </si>
  <si>
    <t>! This is the EBIT reported in the current income statement</t>
  </si>
  <si>
    <t>Reported Debt =</t>
  </si>
  <si>
    <t>! This is the interest-bearing debt reported on the balance sheet</t>
  </si>
  <si>
    <t>Number of years embedded in yr 6 estimate =</t>
  </si>
  <si>
    <t>! I use the average lease expense over the first five years</t>
  </si>
  <si>
    <t>to estimate the number of years of expenses in yr 6</t>
  </si>
  <si>
    <t>Converting Operating Leases into debt</t>
  </si>
  <si>
    <t>Present Value</t>
  </si>
  <si>
    <t>! Commitment beyond year 6 converted into an annuity for ten years</t>
  </si>
  <si>
    <t>Debt Value of leases =</t>
  </si>
  <si>
    <t>Restated Financials</t>
  </si>
  <si>
    <t>Income Statement</t>
  </si>
  <si>
    <t>Actual</t>
  </si>
  <si>
    <t>Projections</t>
  </si>
  <si>
    <t>Sales</t>
  </si>
  <si>
    <t>Selling, general &amp; administrative</t>
  </si>
  <si>
    <t>EBITDA</t>
  </si>
  <si>
    <t>% margin</t>
  </si>
  <si>
    <t>Depreciation &amp; amortization</t>
  </si>
  <si>
    <t>EBIT</t>
  </si>
  <si>
    <t>Project EBS</t>
  </si>
  <si>
    <t>€m</t>
  </si>
  <si>
    <t>Cost of sales</t>
  </si>
  <si>
    <t>R&amp;D expenses</t>
  </si>
  <si>
    <t>Assets</t>
  </si>
  <si>
    <t>Cash &amp; cash equivalents</t>
  </si>
  <si>
    <t>Inventory</t>
  </si>
  <si>
    <t>Accounts receivable</t>
  </si>
  <si>
    <t>Other current assets</t>
  </si>
  <si>
    <t>Total current assets</t>
  </si>
  <si>
    <t>PP&amp;E</t>
  </si>
  <si>
    <t>Goodwill</t>
  </si>
  <si>
    <t>Total fixed assets</t>
  </si>
  <si>
    <t>Total assets</t>
  </si>
  <si>
    <t>Equity and Liabilities</t>
  </si>
  <si>
    <t>Total liabilities</t>
  </si>
  <si>
    <t>Total equity and liabilities</t>
  </si>
  <si>
    <t>check</t>
  </si>
  <si>
    <t>Other fixed assets</t>
  </si>
  <si>
    <t>Total current libailities</t>
  </si>
  <si>
    <t>Assets held for sale of exchange</t>
  </si>
  <si>
    <t>Other non-current liabilities</t>
  </si>
  <si>
    <t>Cash Flow Statement</t>
  </si>
  <si>
    <t>Capex</t>
  </si>
  <si>
    <t>Acquisitions of property, plant and equipment and intangible assets</t>
  </si>
  <si>
    <t>Acquisitions of investments in consolidated undertakings, net of cash acquired</t>
  </si>
  <si>
    <t>Net Capex</t>
  </si>
  <si>
    <t>Unlevered Free Cash Flow</t>
  </si>
  <si>
    <t>Adj.</t>
  </si>
  <si>
    <t>Year (t)</t>
  </si>
  <si>
    <t>EBIT*(1-Tax rate)</t>
  </si>
  <si>
    <t xml:space="preserve">Δ net Working Capital </t>
  </si>
  <si>
    <t>- Cash and Cash equivalents</t>
  </si>
  <si>
    <t xml:space="preserve"> -Total curent liabilities</t>
  </si>
  <si>
    <t xml:space="preserve">NET NON-CASH WORKING CAPITAL </t>
  </si>
  <si>
    <t>Operating Working Capital</t>
  </si>
  <si>
    <t>FCF</t>
  </si>
  <si>
    <t>Operating Lease Converter</t>
  </si>
  <si>
    <t>Inputs</t>
  </si>
  <si>
    <t>! If you do not have a cost of debt, use the ratings estimator</t>
  </si>
  <si>
    <t>Depreciation on Operating Lease Asset =</t>
  </si>
  <si>
    <t>! I use straight line depreciation</t>
  </si>
  <si>
    <t>Adjustment to Operating Earnings =</t>
  </si>
  <si>
    <t>! Operating lease expense - Depreciation</t>
    <phoneticPr fontId="0" type="noConversion"/>
  </si>
  <si>
    <t>Adjustment to Total Debt outstanding =</t>
  </si>
  <si>
    <t>R &amp; D Converter</t>
  </si>
  <si>
    <t>This spreadsheet converts R&amp;D expenses from operating to capital expenses. It makes the appropriate adjustments to operating income, net</t>
  </si>
  <si>
    <t>income, the book value of assets and the book value of equity.</t>
  </si>
  <si>
    <t>Over how many years do you want to amortize R&amp;D expenses</t>
  </si>
  <si>
    <t>! If in doubt, use the lookup table below</t>
  </si>
  <si>
    <t>Enter the current year's R&amp;D expense =</t>
  </si>
  <si>
    <t>The maximum allowed is ten years</t>
  </si>
  <si>
    <t>Enter R&amp; D expenses for past years: the number of years that you will need to enter will be determined by the amortization period</t>
  </si>
  <si>
    <t>Do not input numbers in the first column (Year). It will get automatically updated  based on the input above.</t>
  </si>
  <si>
    <t>R&amp; D Expenses</t>
  </si>
  <si>
    <t>! Year -1 is the year prior to the current year</t>
  </si>
  <si>
    <t>! Year -2 is the two years prior to the current year</t>
  </si>
  <si>
    <t>R&amp;D Expense</t>
  </si>
  <si>
    <t>Unamortized portion</t>
  </si>
  <si>
    <t>Amortization this year</t>
  </si>
  <si>
    <t>Current</t>
  </si>
  <si>
    <t>Value of Research Asset =</t>
  </si>
  <si>
    <t>Amortization of asset for current year =</t>
  </si>
  <si>
    <t>Adjustment to Operating Income =</t>
  </si>
  <si>
    <t>! A positive number indicates an increase in operating income (add to reported EBIT)</t>
  </si>
  <si>
    <t>Tax Effect of R&amp;D Expensing</t>
  </si>
  <si>
    <t>Look Up Table for Amortization Periods</t>
  </si>
  <si>
    <t>Industry Name</t>
  </si>
  <si>
    <t>Amortization Period</t>
  </si>
  <si>
    <t>Advertising</t>
  </si>
  <si>
    <t>Aerospace/Defense</t>
  </si>
  <si>
    <t>Non-technological Service</t>
  </si>
  <si>
    <t>2 years</t>
  </si>
  <si>
    <t>Air Transport</t>
  </si>
  <si>
    <t>Retail, Tech Service</t>
  </si>
  <si>
    <t>3 years</t>
  </si>
  <si>
    <t>Aluminum</t>
  </si>
  <si>
    <t>Light Manufacturing</t>
  </si>
  <si>
    <t>5 years</t>
  </si>
  <si>
    <t>Apparel</t>
  </si>
  <si>
    <t>Heavy  Manufacturing</t>
  </si>
  <si>
    <t>10 years</t>
  </si>
  <si>
    <t>Auto &amp; Truck</t>
  </si>
  <si>
    <t>Research, with Patenting</t>
  </si>
  <si>
    <t>Auto Parts (OEM)</t>
  </si>
  <si>
    <t>Long Gestation Period</t>
  </si>
  <si>
    <t>Auto Parts (Replacement)</t>
  </si>
  <si>
    <t>Bank</t>
  </si>
  <si>
    <t>Bank (Canadian)</t>
  </si>
  <si>
    <t>Bank (Foreign)</t>
  </si>
  <si>
    <t>Bank (Midwest)</t>
  </si>
  <si>
    <t>Beverage (Alcoholic)</t>
  </si>
  <si>
    <t>Beverage (Soft Drink)</t>
  </si>
  <si>
    <t>Building Materials</t>
  </si>
  <si>
    <t>Cable TV</t>
  </si>
  <si>
    <t>Canadian Energy</t>
  </si>
  <si>
    <t>Cement &amp; Aggregates</t>
  </si>
  <si>
    <t>Chemical (Basic)</t>
  </si>
  <si>
    <t>Chemical (Diversified)</t>
  </si>
  <si>
    <t>Chemical (Specialty)</t>
  </si>
  <si>
    <t>Coal/Alternate Energy</t>
  </si>
  <si>
    <t>Computer &amp; Peripherals</t>
  </si>
  <si>
    <t>Computer Software &amp; Svcs</t>
  </si>
  <si>
    <t>Copper</t>
  </si>
  <si>
    <t>Diversified Co.</t>
  </si>
  <si>
    <t>Drug</t>
  </si>
  <si>
    <t>Drugstore</t>
  </si>
  <si>
    <t>Educational Services</t>
  </si>
  <si>
    <t>Electric Util. (Central)</t>
  </si>
  <si>
    <t>Electric Utility (East)</t>
  </si>
  <si>
    <t>Electric Utility (West)</t>
  </si>
  <si>
    <t>Electrical Equipment</t>
  </si>
  <si>
    <t>Electronics</t>
  </si>
  <si>
    <t>Entertainment</t>
  </si>
  <si>
    <t>Environmental</t>
  </si>
  <si>
    <t>Financial Services</t>
  </si>
  <si>
    <t>Food Processing</t>
  </si>
  <si>
    <t>Food Wholesalers</t>
  </si>
  <si>
    <t>Foreign Electron/Entertn</t>
  </si>
  <si>
    <t>Foreign Telecom.</t>
  </si>
  <si>
    <t>Furn./Home Furnishings</t>
  </si>
  <si>
    <t>Gold/Silver Mining</t>
  </si>
  <si>
    <t>Grocery</t>
  </si>
  <si>
    <t>Healthcare Info Systems</t>
  </si>
  <si>
    <t>Home Appliance</t>
  </si>
  <si>
    <t>Homebuilding</t>
  </si>
  <si>
    <t>Hotel/Gaming</t>
  </si>
  <si>
    <t>Household Products</t>
  </si>
  <si>
    <t>Industrial Services</t>
  </si>
  <si>
    <t>Insurance (Diversified)</t>
  </si>
  <si>
    <t>Insurance (Life)</t>
  </si>
  <si>
    <t>Insurance (Prop/Casualty)</t>
  </si>
  <si>
    <t>Internet</t>
  </si>
  <si>
    <t>Investment Co. (Domestic)</t>
  </si>
  <si>
    <t>Investment Co. (Foreign)</t>
  </si>
  <si>
    <t>Investment Co. (Income)</t>
  </si>
  <si>
    <t>Machinery</t>
  </si>
  <si>
    <t>Manuf. Housing/Rec Veh</t>
  </si>
  <si>
    <t>Maritime</t>
  </si>
  <si>
    <t>Medical Services</t>
  </si>
  <si>
    <t>Medical Supplies</t>
  </si>
  <si>
    <t>Metal Fabricating</t>
  </si>
  <si>
    <t>Metals &amp; Mining (Div.)</t>
  </si>
  <si>
    <t>Natural Gas (Distrib.)</t>
  </si>
  <si>
    <t>Natural Gas (Diversified)</t>
  </si>
  <si>
    <t>Newspaper</t>
  </si>
  <si>
    <t>Office Equip &amp; Supplies</t>
  </si>
  <si>
    <t>Oilfield Services/Equip.</t>
  </si>
  <si>
    <t>Packaging &amp; Container</t>
  </si>
  <si>
    <t>Paper &amp; Forest Products</t>
  </si>
  <si>
    <t>Petroleum (Integrated)</t>
  </si>
  <si>
    <t>Petroleum (Producing)</t>
  </si>
  <si>
    <t>Precision Instrument</t>
  </si>
  <si>
    <t>Publishing</t>
  </si>
  <si>
    <t>R.E.I.T.</t>
  </si>
  <si>
    <t>Railroad</t>
  </si>
  <si>
    <t>Recreation</t>
  </si>
  <si>
    <t>Restaurant</t>
  </si>
  <si>
    <t>Retail (Special Lines)</t>
  </si>
  <si>
    <t>Retail Building Supply</t>
  </si>
  <si>
    <t>Retail Store</t>
  </si>
  <si>
    <t>Securities Brokerage</t>
  </si>
  <si>
    <t>Semiconductor</t>
  </si>
  <si>
    <t>Semiconductor Cap Equip</t>
  </si>
  <si>
    <t>Shoe</t>
  </si>
  <si>
    <t>Steel (General)</t>
  </si>
  <si>
    <t>Steel (Integrated)</t>
  </si>
  <si>
    <t>Telecom. Equipment</t>
  </si>
  <si>
    <t>Telecom. Services</t>
  </si>
  <si>
    <t>Textile</t>
  </si>
  <si>
    <t>Thrift</t>
  </si>
  <si>
    <t>Tire &amp; Rubber</t>
  </si>
  <si>
    <t>Tobacco</t>
  </si>
  <si>
    <t>Toiletries/Cosmetics</t>
  </si>
  <si>
    <t>Trucking/Transp. Leasing</t>
  </si>
  <si>
    <t>Utility (Foreign)</t>
  </si>
  <si>
    <t>Water Utility</t>
  </si>
  <si>
    <t>Tax rate</t>
  </si>
  <si>
    <t>Effective tax rate</t>
  </si>
  <si>
    <t>Marginal tax rate</t>
  </si>
  <si>
    <t>2010A</t>
  </si>
  <si>
    <t>R&amp;D</t>
  </si>
  <si>
    <t>Operating leases</t>
  </si>
  <si>
    <t>Depreciaton adjustments</t>
  </si>
  <si>
    <t>EBIT adjustments</t>
  </si>
  <si>
    <t>Capex adjustements</t>
  </si>
  <si>
    <t>EV</t>
  </si>
  <si>
    <t>R&amp;D tax effect</t>
  </si>
  <si>
    <t>Book value of equity</t>
  </si>
  <si>
    <t>Book value of debt</t>
  </si>
  <si>
    <t>Book value of capital</t>
  </si>
  <si>
    <t>R&amp;D adjustments</t>
  </si>
  <si>
    <t>Change in NCWC</t>
  </si>
  <si>
    <t>Income statement</t>
  </si>
  <si>
    <t>Sales growth</t>
  </si>
  <si>
    <t>COGS as % of sales</t>
  </si>
  <si>
    <t>SG&amp;A as % of sales</t>
  </si>
  <si>
    <t>Capex as % of sales</t>
  </si>
  <si>
    <t>NC-WC as % of sales</t>
  </si>
  <si>
    <t>D&amp;A growth rate</t>
  </si>
  <si>
    <t>NA</t>
  </si>
  <si>
    <t>Unleverd FCF</t>
  </si>
  <si>
    <t>PV of UFCF</t>
  </si>
  <si>
    <t>Assumptions</t>
  </si>
  <si>
    <t>M&amp;A</t>
  </si>
  <si>
    <t>Choice of the scenario</t>
  </si>
  <si>
    <t>Acquisition</t>
  </si>
  <si>
    <t>Increased prices</t>
  </si>
  <si>
    <t>Stable growth</t>
  </si>
  <si>
    <t xml:space="preserve">Δ NET NON-CASH WORKING CAPITAL </t>
  </si>
  <si>
    <t>+ Short-term debt and current portion of long-term debt</t>
  </si>
  <si>
    <t>Balance Sheet</t>
  </si>
  <si>
    <t>Projetction of R&amp;D depreciation growth rate</t>
  </si>
  <si>
    <t>Total</t>
  </si>
  <si>
    <t>Yearly growth rate of R&amp;D depreciation</t>
  </si>
  <si>
    <t>PPE as % of sales</t>
  </si>
  <si>
    <t>Acquisition as % of sales</t>
  </si>
  <si>
    <t>Source: http://france-inflation.com/inflation-depuis-1901.php</t>
  </si>
  <si>
    <t>EBIT Growth rate</t>
  </si>
  <si>
    <t>Expected Growth Rate</t>
  </si>
  <si>
    <t>TV</t>
  </si>
  <si>
    <t>R&amp;D as % of sales</t>
  </si>
  <si>
    <t>Depreciation &amp; amortization*</t>
  </si>
  <si>
    <t>*from Cash Flow Statement in AR</t>
  </si>
  <si>
    <t>$thousands</t>
  </si>
  <si>
    <t>Long-term contingent consideration obligations</t>
  </si>
  <si>
    <t>Current portion of long-term debt and capital lease obligations</t>
  </si>
  <si>
    <t>Long-term debt and capital lease obligations</t>
  </si>
  <si>
    <t>Total stockholders’ equity</t>
  </si>
  <si>
    <t>Cost of services sold</t>
  </si>
  <si>
    <t>Net service sales</t>
  </si>
  <si>
    <t>R&amp;D revenue</t>
  </si>
  <si>
    <t>R&amp;D revenue growth</t>
  </si>
  <si>
    <t>COSS as % of service sales</t>
  </si>
  <si>
    <t>Nominal</t>
  </si>
  <si>
    <t xml:space="preserve">Interest </t>
  </si>
  <si>
    <t xml:space="preserve">Weight </t>
  </si>
  <si>
    <t>2015 Notes</t>
  </si>
  <si>
    <t>2020 Notes</t>
  </si>
  <si>
    <t>Mortgage payable</t>
  </si>
  <si>
    <t>Capital lease obligations</t>
  </si>
  <si>
    <t xml:space="preserve"> </t>
  </si>
  <si>
    <t>Nominal book value of debt</t>
  </si>
  <si>
    <t>Market value of Operating leases</t>
  </si>
  <si>
    <t>Equity (market)</t>
  </si>
  <si>
    <t>Number of shares</t>
  </si>
  <si>
    <t xml:space="preserve">Share Price 31.12.2010 (market) </t>
  </si>
  <si>
    <t>Equity value</t>
  </si>
  <si>
    <t xml:space="preserve">Debt + Equity </t>
  </si>
  <si>
    <t>$</t>
  </si>
  <si>
    <t>List of debt instruments</t>
  </si>
  <si>
    <t>Number of patients</t>
  </si>
  <si>
    <t>Patiens pool worldwilde</t>
  </si>
  <si>
    <t>Product</t>
  </si>
  <si>
    <t>Cerezyme</t>
  </si>
  <si>
    <t>Fabrazyme</t>
  </si>
  <si>
    <t>Myozyme/Lumizyme</t>
  </si>
  <si>
    <t>Disease</t>
  </si>
  <si>
    <t>Gaucher</t>
  </si>
  <si>
    <t>Fabry</t>
  </si>
  <si>
    <t>Pompe</t>
  </si>
  <si>
    <t>Synvisc/Synvisc-One</t>
  </si>
  <si>
    <t>Osteoarthritis</t>
  </si>
  <si>
    <t>Seprafilm</t>
  </si>
  <si>
    <t>Adhesions</t>
  </si>
  <si>
    <t>Thymoglobulin</t>
  </si>
  <si>
    <t>Organ transplant rejections</t>
  </si>
  <si>
    <t>Clolar</t>
  </si>
  <si>
    <t>Lymphoblastic leukemia</t>
  </si>
  <si>
    <t>Mozobil</t>
  </si>
  <si>
    <t>Autologous transplantation</t>
  </si>
  <si>
    <t>Alentuzumab</t>
  </si>
  <si>
    <t>Multiple Sclerosis</t>
  </si>
  <si>
    <t>Service sales growth</t>
  </si>
  <si>
    <t>Product sales growth</t>
  </si>
  <si>
    <t>Genzyme will fix the production issues and growth will look like high growth period of 2007-2008 after 3 years</t>
  </si>
  <si>
    <t>Source: http://archive.boston.com/business/healthcare/articles/2009/06/17/genzyme_temporarily_halts_production_on_2_key_drugs/</t>
  </si>
  <si>
    <t>Average</t>
  </si>
  <si>
    <t>Average of the 3 years before plant issues</t>
  </si>
  <si>
    <t>Cost of equity =</t>
  </si>
  <si>
    <t>Tax Shields</t>
  </si>
  <si>
    <t>Cost of Financial distress</t>
  </si>
  <si>
    <t>Current portion of long-term debt and capital lease obligations</t>
    <phoneticPr fontId="4" type="noConversion"/>
  </si>
  <si>
    <t>Long-term debt and capital lease obligations</t>
    <phoneticPr fontId="4" type="noConversion"/>
  </si>
  <si>
    <t>Total debt</t>
  </si>
  <si>
    <t>Long-term debt obligations</t>
    <phoneticPr fontId="4" type="noConversion"/>
  </si>
  <si>
    <t>Debt to assets</t>
  </si>
  <si>
    <t>Capital lease obligations</t>
    <phoneticPr fontId="4" type="noConversion"/>
  </si>
  <si>
    <t>Operating leases</t>
    <phoneticPr fontId="4" type="noConversion"/>
  </si>
  <si>
    <t>Outstanding debt</t>
  </si>
  <si>
    <t>Corporate tax =</t>
  </si>
  <si>
    <t>Interest tax shield</t>
  </si>
  <si>
    <t>PV of ITS</t>
  </si>
  <si>
    <t xml:space="preserve">Limit : we cannot take into account the amount of asset retirement obligations or retirements benefits </t>
  </si>
  <si>
    <t>Cumulative Historic Default Rates (in percent)</t>
  </si>
  <si>
    <t>Moody’s</t>
  </si>
  <si>
    <t>S&amp;P</t>
  </si>
  <si>
    <t>Rating category</t>
  </si>
  <si>
    <t>Muni</t>
  </si>
  <si>
    <t>Corp</t>
  </si>
  <si>
    <t>Aaa/AAA</t>
  </si>
  <si>
    <t>Aa/AA</t>
  </si>
  <si>
    <t>A/A</t>
  </si>
  <si>
    <t>Baa/BBB</t>
  </si>
  <si>
    <t>Cumulative probability of distress over 10 years</t>
    <phoneticPr fontId="5" type="noConversion"/>
  </si>
  <si>
    <t>Ba/BB</t>
  </si>
  <si>
    <t>A-</t>
    <phoneticPr fontId="5" type="noConversion"/>
  </si>
  <si>
    <t>B/B</t>
  </si>
  <si>
    <t>Caa-C/CCC-C</t>
  </si>
  <si>
    <t>book value of capital</t>
    <phoneticPr fontId="5" type="noConversion"/>
  </si>
  <si>
    <t>(in k$)</t>
    <phoneticPr fontId="5" type="noConversion"/>
  </si>
  <si>
    <t>the cost of bankruptcy</t>
    <phoneticPr fontId="5" type="noConversion"/>
  </si>
  <si>
    <t>(result of Damodaran)</t>
    <phoneticPr fontId="5" type="noConversion"/>
  </si>
  <si>
    <t>Averages</t>
  </si>
  <si>
    <t>distress sale value</t>
    <phoneticPr fontId="5" type="noConversion"/>
  </si>
  <si>
    <t>Investment grade</t>
  </si>
  <si>
    <t>Non-investment grade</t>
  </si>
  <si>
    <t>All</t>
  </si>
  <si>
    <t>Source: U.S. Municipal Bond Fairness Act, 2008.</t>
  </si>
  <si>
    <t>http://monevator.com/bond-default-rating-probability/</t>
  </si>
  <si>
    <t>After-tax WACC =</t>
  </si>
  <si>
    <t>Source: Genzyme Annual Report 2010</t>
  </si>
  <si>
    <t>Capital Structure</t>
  </si>
  <si>
    <t>Source : Genzyme Annual Report 2006 to 2010</t>
  </si>
  <si>
    <t>After 2015</t>
  </si>
  <si>
    <t>Obligation payment schedule</t>
  </si>
  <si>
    <t>Cost of debt =</t>
  </si>
  <si>
    <t>Oustanding debt as of 31/12/2010</t>
  </si>
  <si>
    <t>Cumulative probability of distress over 10 years Damodaran</t>
  </si>
  <si>
    <t>Return on assets =</t>
    <phoneticPr fontId="50" type="noConversion"/>
  </si>
  <si>
    <t>rA</t>
  </si>
  <si>
    <t xml:space="preserve">gEBIT </t>
  </si>
  <si>
    <t>equity beta
(daily)</t>
    <phoneticPr fontId="50" type="noConversion"/>
  </si>
  <si>
    <t>Index</t>
    <phoneticPr fontId="50" type="noConversion"/>
  </si>
  <si>
    <t>Marginal tax rate(2010)</t>
    <phoneticPr fontId="50" type="noConversion"/>
  </si>
  <si>
    <t>E/V</t>
  </si>
  <si>
    <t>unlevered Beta</t>
    <phoneticPr fontId="50" type="noConversion"/>
  </si>
  <si>
    <t>D/V</t>
  </si>
  <si>
    <t>D/E</t>
  </si>
  <si>
    <t>Return on Asset</t>
  </si>
  <si>
    <t>Asset Beta</t>
  </si>
  <si>
    <t>pfizer</t>
    <phoneticPr fontId="53" type="noConversion"/>
  </si>
  <si>
    <t>SPX</t>
    <phoneticPr fontId="50" type="noConversion"/>
  </si>
  <si>
    <t>roche</t>
    <phoneticPr fontId="53" type="noConversion"/>
  </si>
  <si>
    <t>SMI</t>
    <phoneticPr fontId="50" type="noConversion"/>
  </si>
  <si>
    <t>Bayer</t>
    <phoneticPr fontId="53" type="noConversion"/>
  </si>
  <si>
    <t>DAX</t>
    <phoneticPr fontId="50" type="noConversion"/>
  </si>
  <si>
    <t>Merck</t>
    <phoneticPr fontId="53" type="noConversion"/>
  </si>
  <si>
    <t>gilead</t>
    <phoneticPr fontId="53" type="noConversion"/>
  </si>
  <si>
    <t>GSK</t>
    <phoneticPr fontId="53" type="noConversion"/>
  </si>
  <si>
    <t>UKX</t>
    <phoneticPr fontId="50" type="noConversion"/>
  </si>
  <si>
    <t>ELI LILLY &amp; CO</t>
    <phoneticPr fontId="53" type="noConversion"/>
  </si>
  <si>
    <t>astrazeneca</t>
    <phoneticPr fontId="53" type="noConversion"/>
  </si>
  <si>
    <t>amgen</t>
    <phoneticPr fontId="53" type="noConversion"/>
  </si>
  <si>
    <t>allergan</t>
    <phoneticPr fontId="53" type="noConversion"/>
  </si>
  <si>
    <t>Teva</t>
    <phoneticPr fontId="53" type="noConversion"/>
  </si>
  <si>
    <t>NOVO NORDISK</t>
    <phoneticPr fontId="53" type="noConversion"/>
  </si>
  <si>
    <t>KFX</t>
    <phoneticPr fontId="50" type="noConversion"/>
  </si>
  <si>
    <t>BRISTOL-MYERS</t>
    <phoneticPr fontId="53" type="noConversion"/>
  </si>
  <si>
    <t>takeda</t>
    <phoneticPr fontId="53" type="noConversion"/>
  </si>
  <si>
    <t>TPX</t>
    <phoneticPr fontId="50" type="noConversion"/>
  </si>
  <si>
    <t>astellas</t>
    <phoneticPr fontId="53" type="noConversion"/>
  </si>
  <si>
    <t>mylan</t>
    <phoneticPr fontId="53" type="noConversion"/>
  </si>
  <si>
    <t>MITSUBISHI TANABE</t>
    <phoneticPr fontId="50" type="noConversion"/>
  </si>
  <si>
    <t xml:space="preserve">EISAI </t>
    <phoneticPr fontId="50" type="noConversion"/>
  </si>
  <si>
    <t>CELGENE CORP</t>
    <phoneticPr fontId="50" type="noConversion"/>
  </si>
  <si>
    <t>THERMO FISHER</t>
    <phoneticPr fontId="50" type="noConversion"/>
  </si>
  <si>
    <t>BIOGEN</t>
    <phoneticPr fontId="50" type="noConversion"/>
  </si>
  <si>
    <t>SHIRE</t>
    <phoneticPr fontId="50" type="noConversion"/>
  </si>
  <si>
    <t>CHUGAI</t>
    <phoneticPr fontId="50" type="noConversion"/>
  </si>
  <si>
    <t>Average</t>
    <phoneticPr fontId="53" type="noConversion"/>
  </si>
  <si>
    <t>Tax Rate</t>
  </si>
  <si>
    <t>marginal tax rate for US in 2010</t>
    <phoneticPr fontId="50" type="noConversion"/>
  </si>
  <si>
    <t>Genzyme</t>
    <phoneticPr fontId="50" type="noConversion"/>
  </si>
  <si>
    <t>D=</t>
    <phoneticPr fontId="53" type="noConversion"/>
  </si>
  <si>
    <t>market premium</t>
    <phoneticPr fontId="50" type="noConversion"/>
  </si>
  <si>
    <t>(thousands of USD)</t>
    <phoneticPr fontId="50" type="noConversion"/>
  </si>
  <si>
    <t>E=</t>
    <phoneticPr fontId="53" type="noConversion"/>
  </si>
  <si>
    <t>V=</t>
    <phoneticPr fontId="53" type="noConversion"/>
  </si>
  <si>
    <t>risk free return</t>
  </si>
  <si>
    <t>D/V=</t>
    <phoneticPr fontId="53" type="noConversion"/>
  </si>
  <si>
    <t>E/V=</t>
    <phoneticPr fontId="53" type="noConversion"/>
  </si>
  <si>
    <t>return on asset</t>
  </si>
  <si>
    <t>Equity Beta</t>
  </si>
  <si>
    <t>Cost of Equity</t>
  </si>
  <si>
    <t>WACC</t>
    <phoneticPr fontId="50" type="noConversion"/>
  </si>
  <si>
    <t>Fama French Average Annual Mkt-RF from 1991-2010 (North American)</t>
    <phoneticPr fontId="50" type="noConversion"/>
  </si>
  <si>
    <t>Mkt-RF %</t>
    <phoneticPr fontId="50" type="noConversion"/>
  </si>
  <si>
    <t>Mkt-RF</t>
    <phoneticPr fontId="50" type="noConversion"/>
  </si>
  <si>
    <t>gEBIT = (Net Capital Expenditures + Change in WC)/(EBIT(1-t) * ROC)</t>
    <phoneticPr fontId="50" type="noConversion"/>
  </si>
  <si>
    <t>€m</t>
    <phoneticPr fontId="50" type="noConversion"/>
  </si>
  <si>
    <t xml:space="preserve">Market Cap </t>
  </si>
  <si>
    <t>EV/Sales</t>
  </si>
  <si>
    <t>EV/EBITDA</t>
  </si>
  <si>
    <t>EV/EBIT</t>
  </si>
  <si>
    <t>Amgen</t>
  </si>
  <si>
    <t>Minimum</t>
  </si>
  <si>
    <t>25th percentile</t>
  </si>
  <si>
    <t>Median</t>
  </si>
  <si>
    <t xml:space="preserve">75th percentile </t>
  </si>
  <si>
    <t>Maximum</t>
  </si>
  <si>
    <t>Celgene</t>
  </si>
  <si>
    <t>Biogen</t>
  </si>
  <si>
    <t>Baxter International</t>
  </si>
  <si>
    <t>Gilead</t>
  </si>
  <si>
    <t>Genzyme</t>
  </si>
  <si>
    <t>APV</t>
  </si>
  <si>
    <t>Statistics</t>
  </si>
  <si>
    <t>consistent</t>
  </si>
  <si>
    <t>Standard Deviation</t>
  </si>
  <si>
    <t>Check whether standard deviation formula is correct</t>
  </si>
  <si>
    <t>Min Point</t>
  </si>
  <si>
    <t>25th Point</t>
  </si>
  <si>
    <t>Median Point</t>
  </si>
  <si>
    <t>75th Point</t>
  </si>
  <si>
    <t>Maximum Point</t>
  </si>
  <si>
    <t>EV (X*Sales)</t>
  </si>
  <si>
    <t>EV (X*EBITDA)</t>
  </si>
  <si>
    <t>EV (X*EBIT)</t>
  </si>
  <si>
    <t>(thousand $)</t>
  </si>
  <si>
    <t xml:space="preserve">EBIT </t>
  </si>
  <si>
    <t>EV/sales</t>
  </si>
  <si>
    <t xml:space="preserve">Max </t>
  </si>
  <si>
    <t>Min</t>
  </si>
  <si>
    <t>Estimate the unlevered beta for the firm</t>
  </si>
  <si>
    <t>Levered Beta of Genzyme</t>
  </si>
  <si>
    <t>Marginal Tax rate</t>
  </si>
  <si>
    <t>Market value of equity</t>
  </si>
  <si>
    <t>Market value of debt</t>
  </si>
  <si>
    <t xml:space="preserve">Unlevered Beta </t>
  </si>
  <si>
    <t>Genzyme curent financials</t>
  </si>
  <si>
    <t>Ratings comparison at current debt ratio</t>
  </si>
  <si>
    <t>Current Interest coverage ratio =</t>
  </si>
  <si>
    <t>D&amp;A</t>
  </si>
  <si>
    <t>Rating based upon coverage =</t>
  </si>
  <si>
    <t>Interest rate based upon coverage =</t>
  </si>
  <si>
    <t>Interest Expenses</t>
  </si>
  <si>
    <t>Current rating for company =</t>
  </si>
  <si>
    <t>A3/A-</t>
  </si>
  <si>
    <t>Adjusted EBIT</t>
  </si>
  <si>
    <t>average of last 5 years</t>
  </si>
  <si>
    <t>Current interest rate on debt =</t>
  </si>
  <si>
    <t>Adjusted Interest Expenses</t>
  </si>
  <si>
    <t>Current Bankruptcy Probability =</t>
  </si>
  <si>
    <t>Market Value of the firm</t>
  </si>
  <si>
    <t>Cost of bankruptcy =</t>
  </si>
  <si>
    <t>Cost of equity</t>
  </si>
  <si>
    <t>Debt to Capital Ratio</t>
  </si>
  <si>
    <t>D/E Ratio</t>
  </si>
  <si>
    <t>Levered Beta</t>
  </si>
  <si>
    <t>If interest coverage ratio is</t>
  </si>
  <si>
    <t>greater than</t>
  </si>
  <si>
    <t>≤ to</t>
  </si>
  <si>
    <t>Rating is</t>
  </si>
  <si>
    <t>Spread is</t>
  </si>
  <si>
    <t>Bankruptcy Probability</t>
  </si>
  <si>
    <t>D2/D</t>
  </si>
  <si>
    <t>Cost of debt</t>
  </si>
  <si>
    <t>C2/C</t>
  </si>
  <si>
    <t>D/(D+E)</t>
  </si>
  <si>
    <t>Ca2/CC</t>
  </si>
  <si>
    <t>Caa/CCC</t>
  </si>
  <si>
    <t>$ Debt</t>
  </si>
  <si>
    <t>B3/B-</t>
  </si>
  <si>
    <t>Ba1/BB+</t>
  </si>
  <si>
    <t>Ba2/BB</t>
  </si>
  <si>
    <t>B1/B+</t>
  </si>
  <si>
    <t>Ajusted EBIT</t>
  </si>
  <si>
    <t>B2/B</t>
  </si>
  <si>
    <t>Interest</t>
  </si>
  <si>
    <t>Baa2/BBB</t>
  </si>
  <si>
    <t>Pre-tax Int. Cov</t>
  </si>
  <si>
    <t>infinite</t>
  </si>
  <si>
    <t>A2/A</t>
  </si>
  <si>
    <t>Likely Rating</t>
  </si>
  <si>
    <t>A1/A+</t>
  </si>
  <si>
    <t>Pre-tax cost of debt</t>
  </si>
  <si>
    <t>Aa2/AA</t>
  </si>
  <si>
    <t>Probability of Bankruptcy</t>
  </si>
  <si>
    <t>Tax Benefits</t>
  </si>
  <si>
    <t>Bankruptcy Cost</t>
  </si>
  <si>
    <t>Levered Firm Value</t>
  </si>
  <si>
    <t>Average before issue with plants</t>
  </si>
  <si>
    <t>Source: http://data.worldbank.org/indicator/NY.GDP.MKTP.KD.ZG</t>
  </si>
  <si>
    <t xml:space="preserve">$ million </t>
  </si>
  <si>
    <t xml:space="preserve">Amgen </t>
  </si>
  <si>
    <t>Celgen</t>
  </si>
  <si>
    <t>Baxter</t>
  </si>
  <si>
    <t>Moyenne</t>
  </si>
  <si>
    <t>75th percentile</t>
  </si>
  <si>
    <t>Acquisition as % of sales*</t>
  </si>
  <si>
    <t>*other intangible assets</t>
  </si>
  <si>
    <t>Revenues</t>
  </si>
  <si>
    <t>COGS</t>
  </si>
  <si>
    <t>SG&amp;A</t>
  </si>
  <si>
    <t>EBIDTA</t>
  </si>
  <si>
    <t>D&amp;A*</t>
  </si>
  <si>
    <t>*from Income Statement</t>
  </si>
  <si>
    <t>Value of Control estimate - Assumptions remain the same but costs are adjusted with the peer group</t>
  </si>
  <si>
    <t>Key target inputs</t>
  </si>
  <si>
    <t>EBITDA margin</t>
  </si>
  <si>
    <t>need time to liquidate invetories for example. So NC-WC decreases to reach the target value</t>
  </si>
  <si>
    <t>EBIDTA margin projected</t>
  </si>
  <si>
    <t>*adjusted with R&amp;D asset value from 2010 adj. To 2015E</t>
  </si>
  <si>
    <t>Yearly growth rate of value of R&amp;D asset</t>
  </si>
  <si>
    <t>Return of Capital Invested*</t>
  </si>
  <si>
    <t>Value of Research Asset</t>
  </si>
  <si>
    <t>No forecasting information. Should remain stable on average because very volatile</t>
  </si>
  <si>
    <t>Collapsed because of plant issues, we think revenues will come back to an average level of last five years in the next five years. Average = 22550, yearly growth rate = 45%</t>
  </si>
  <si>
    <t>Figure 3: Table of assumptions for Genzyme</t>
  </si>
  <si>
    <t xml:space="preserve">Operating assumptions </t>
  </si>
  <si>
    <t>(Average Credit rating for Genzyme in 2010)</t>
  </si>
  <si>
    <t>Figure 19: List of cost structure comparables minimum and maximum</t>
  </si>
  <si>
    <t>Unlevered Free Cash Flow Valuation</t>
  </si>
  <si>
    <t>Terminal Value (TV)</t>
  </si>
  <si>
    <t>Enterprise Value (EV)</t>
  </si>
  <si>
    <t>Equity Value</t>
  </si>
  <si>
    <t>Figure 9: Genzyme tax shield present value</t>
  </si>
  <si>
    <t>Expected bankruptcy costs=(unlevered firm value - distress sale value)*probability of distress</t>
  </si>
  <si>
    <t>$m</t>
  </si>
  <si>
    <t>Costs of financial distress</t>
  </si>
  <si>
    <t>Cumulative probability of distress over 10 years</t>
  </si>
  <si>
    <t>The cost of bankruptcy</t>
  </si>
  <si>
    <t>Distress sa</t>
  </si>
  <si>
    <t>$million</t>
  </si>
  <si>
    <t>Key DCF parameters</t>
  </si>
  <si>
    <t>Perpetuity Growth rate</t>
  </si>
  <si>
    <t>Return on assets</t>
  </si>
  <si>
    <t>Projection</t>
  </si>
  <si>
    <t>Figure 8: Genzyme APV valuation</t>
  </si>
  <si>
    <t>Figure 20: Value of Control target Inputs</t>
  </si>
  <si>
    <t>market premium</t>
    <phoneticPr fontId="2" type="noConversion"/>
  </si>
  <si>
    <t>For large non-financial service companies with market cap &gt; $ 5 billion</t>
    <phoneticPr fontId="50" type="noConversion"/>
  </si>
  <si>
    <t>After-tax cost of debt</t>
    <phoneticPr fontId="50" type="noConversion"/>
  </si>
  <si>
    <t>rA</t>
    <phoneticPr fontId="50" type="noConversion"/>
  </si>
  <si>
    <t>source: http://pages.stern.nyu.edu/~adamodar/New_Home_Page/datafile/ratings.htm</t>
    <phoneticPr fontId="50" type="noConversion"/>
  </si>
  <si>
    <t>Unlev. Firm Value</t>
    <phoneticPr fontId="50" type="noConversion"/>
  </si>
  <si>
    <t>adjusted marginal tax rate</t>
    <phoneticPr fontId="50" type="noConversion"/>
  </si>
  <si>
    <t>Sensitivity Analysis</t>
    <phoneticPr fontId="50" type="noConversion"/>
  </si>
  <si>
    <t>rA</t>
    <phoneticPr fontId="50" type="noConversion"/>
  </si>
  <si>
    <t xml:space="preserve">gEBIT </t>
    <phoneticPr fontId="50" type="noConversion"/>
  </si>
  <si>
    <t>EV adjusted</t>
  </si>
  <si>
    <t>Sales growth decrease of 0,5% p.a. over the priod</t>
  </si>
  <si>
    <t>Sales growth increase of 0,5% p.a. over the priod</t>
  </si>
  <si>
    <t>R&amp;D as % of sales decreases of 0,5% p.a. over the period</t>
  </si>
  <si>
    <t>R&amp;D as % of sales increases of 0,5% p.a. over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</si>
</sst>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\ _€_-;\-* #,##0.00\ _€_-;_-* &quot;-&quot;??\ _€_-;_-@_-"/>
    <numFmt numFmtId="164" formatCode="0.000%"/>
    <numFmt numFmtId="165" formatCode="&quot;$&quot;#,##0.00"/>
    <numFmt numFmtId="166" formatCode="_(&quot;$&quot;* #,##0.00_);_(&quot;$&quot;* \(#,##0.00\);_(&quot;$&quot;* &quot;-&quot;??_);_(@_)"/>
    <numFmt numFmtId="167" formatCode="0&quot;E&quot;"/>
    <numFmt numFmtId="168" formatCode="0&quot;A&quot;"/>
    <numFmt numFmtId="169" formatCode="#,##0.0_);\ \(#,##0.0\);\-"/>
    <numFmt numFmtId="170" formatCode="#,##0.0%;\ \(#,##0.0\)%;\-"/>
    <numFmt numFmtId="171" formatCode="#,##0.0"/>
    <numFmt numFmtId="172" formatCode="0&quot; adj.&quot;"/>
    <numFmt numFmtId="173" formatCode="&quot;$&quot;#,##0.00_);[Red]\(&quot;$&quot;#,##0.00\)"/>
    <numFmt numFmtId="174" formatCode="&quot;$&quot;#,##0_);[Red]\(&quot;$&quot;#,##0\)"/>
    <numFmt numFmtId="175" formatCode="_-* #,##0.00\ [$€-40C]_-;\-* #,##0.00\ [$€-40C]_-;_-* &quot;-&quot;??\ [$€-40C]_-;_-@_-"/>
    <numFmt numFmtId="176" formatCode="0.0%"/>
    <numFmt numFmtId="177" formatCode="#,##0.00_);\ \(#,##0.00\);\-"/>
    <numFmt numFmtId="178" formatCode="#,##0\ _€;\(#,##0\)\ _€;\-"/>
    <numFmt numFmtId="179" formatCode="_-* #,##0.00_-;\-* #,##0.00_-;_-* &quot;-&quot;??_-;_-@_-"/>
    <numFmt numFmtId="180" formatCode="0.0"/>
    <numFmt numFmtId="181" formatCode="#,##0.0000000_);\(#,##0.0000000\)"/>
    <numFmt numFmtId="182" formatCode="0.0000_);[Red]\(0.0000\)"/>
    <numFmt numFmtId="183" formatCode="0.00_);[Red]\(0.00\)"/>
    <numFmt numFmtId="184" formatCode="0.0000000"/>
    <numFmt numFmtId="185" formatCode="_(* #,##0.00_);_(* \(#,##0.00\);_(* &quot;-&quot;??_);_(@_)"/>
    <numFmt numFmtId="186" formatCode="0.0000%"/>
    <numFmt numFmtId="187" formatCode="#,##0.0000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</font>
    <font>
      <b/>
      <sz val="14"/>
      <name val="Times"/>
    </font>
    <font>
      <sz val="10"/>
      <name val="Times"/>
    </font>
    <font>
      <b/>
      <sz val="10"/>
      <name val="Times"/>
    </font>
    <font>
      <i/>
      <sz val="10"/>
      <name val="Times"/>
    </font>
    <font>
      <b/>
      <sz val="9"/>
      <color indexed="81"/>
      <name val="Geneva"/>
    </font>
    <font>
      <sz val="9"/>
      <color indexed="81"/>
      <name val="Geneva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4"/>
      <name val="Arial"/>
      <family val="2"/>
    </font>
    <font>
      <sz val="9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color indexed="8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Times"/>
    </font>
    <font>
      <sz val="9"/>
      <name val="Times"/>
    </font>
    <font>
      <b/>
      <sz val="9"/>
      <name val="Times"/>
    </font>
    <font>
      <b/>
      <i/>
      <sz val="9"/>
      <name val="Geneva"/>
    </font>
    <font>
      <b/>
      <sz val="10"/>
      <color theme="1"/>
      <name val="Arial"/>
      <family val="2"/>
    </font>
    <font>
      <i/>
      <sz val="9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  <charset val="134"/>
      <scheme val="minor"/>
    </font>
    <font>
      <b/>
      <sz val="11"/>
      <color rgb="FF000000"/>
      <name val="等线"/>
      <family val="3"/>
      <charset val="134"/>
    </font>
    <font>
      <sz val="12"/>
      <color rgb="FFFF0000"/>
      <name val="Calibri"/>
      <family val="2"/>
      <charset val="134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9"/>
      <color rgb="FF111111"/>
      <name val="Georgia"/>
      <family val="1"/>
    </font>
    <font>
      <b/>
      <sz val="8.8000000000000007"/>
      <color rgb="FF111111"/>
      <name val="Georgia"/>
      <family val="1"/>
    </font>
    <font>
      <sz val="8.8000000000000007"/>
      <color rgb="FF111111"/>
      <name val="Georgia"/>
      <family val="1"/>
    </font>
    <font>
      <sz val="9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0.59999389629810485"/>
      <name val="Calibri"/>
      <family val="2"/>
    </font>
    <font>
      <sz val="11"/>
      <color theme="8" tint="0.59999389629810485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b/>
      <i/>
      <sz val="10"/>
      <color theme="1"/>
      <name val="Arial"/>
      <family val="2"/>
    </font>
    <font>
      <i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D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ck">
        <color theme="4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 style="thin">
        <color auto="1"/>
      </left>
      <right/>
      <top style="thin">
        <color theme="4" tint="-0.24994659260841701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4" tint="-0.24994659260841701"/>
      </top>
      <bottom style="thin">
        <color indexed="64"/>
      </bottom>
      <diagonal/>
    </border>
    <border>
      <left/>
      <right/>
      <top style="thin">
        <color theme="4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24994659260841701"/>
      </top>
      <bottom style="thin">
        <color indexed="64"/>
      </bottom>
      <diagonal/>
    </border>
  </borders>
  <cellStyleXfs count="23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9" fontId="17" fillId="4" borderId="12"/>
    <xf numFmtId="169" fontId="24" fillId="6" borderId="22"/>
    <xf numFmtId="173" fontId="7" fillId="0" borderId="0" applyFont="0" applyFill="0" applyBorder="0" applyAlignment="0" applyProtection="0"/>
    <xf numFmtId="176" fontId="17" fillId="4" borderId="12"/>
    <xf numFmtId="43" fontId="2" fillId="0" borderId="0" applyFont="0" applyFill="0" applyBorder="0" applyAlignment="0" applyProtection="0"/>
    <xf numFmtId="0" fontId="42" fillId="0" borderId="0"/>
    <xf numFmtId="17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11" borderId="11"/>
    <xf numFmtId="4" fontId="15" fillId="11" borderId="33">
      <alignment horizontal="right"/>
    </xf>
  </cellStyleXfs>
  <cellXfs count="559">
    <xf numFmtId="0" fontId="0" fillId="0" borderId="0" xfId="0"/>
    <xf numFmtId="9" fontId="0" fillId="0" borderId="0" xfId="1" applyFont="1"/>
    <xf numFmtId="0" fontId="3" fillId="0" borderId="0" xfId="0" applyFont="1"/>
    <xf numFmtId="0" fontId="7" fillId="0" borderId="0" xfId="3"/>
    <xf numFmtId="0" fontId="8" fillId="0" borderId="0" xfId="3" applyFont="1"/>
    <xf numFmtId="0" fontId="9" fillId="0" borderId="0" xfId="3" applyFont="1"/>
    <xf numFmtId="0" fontId="10" fillId="0" borderId="0" xfId="3" applyFont="1"/>
    <xf numFmtId="0" fontId="11" fillId="0" borderId="0" xfId="3" applyFont="1"/>
    <xf numFmtId="0" fontId="9" fillId="0" borderId="3" xfId="3" applyFont="1" applyBorder="1" applyAlignment="1">
      <alignment horizontal="center"/>
    </xf>
    <xf numFmtId="0" fontId="9" fillId="3" borderId="3" xfId="3" applyFont="1" applyFill="1" applyBorder="1" applyAlignment="1">
      <alignment horizontal="center"/>
    </xf>
    <xf numFmtId="0" fontId="9" fillId="0" borderId="3" xfId="3" applyFont="1" applyBorder="1"/>
    <xf numFmtId="0" fontId="9" fillId="0" borderId="6" xfId="3" applyFont="1" applyBorder="1"/>
    <xf numFmtId="0" fontId="9" fillId="0" borderId="4" xfId="3" applyFont="1" applyBorder="1"/>
    <xf numFmtId="169" fontId="15" fillId="0" borderId="0" xfId="0" applyNumberFormat="1" applyFont="1" applyFill="1" applyBorder="1"/>
    <xf numFmtId="169" fontId="16" fillId="0" borderId="0" xfId="0" applyNumberFormat="1" applyFont="1" applyFill="1"/>
    <xf numFmtId="169" fontId="16" fillId="0" borderId="0" xfId="0" applyNumberFormat="1" applyFont="1" applyFill="1" applyBorder="1"/>
    <xf numFmtId="169" fontId="14" fillId="0" borderId="0" xfId="0" applyNumberFormat="1" applyFont="1" applyFill="1" applyBorder="1" applyAlignment="1">
      <alignment vertical="center"/>
    </xf>
    <xf numFmtId="169" fontId="14" fillId="0" borderId="9" xfId="0" applyNumberFormat="1" applyFont="1" applyFill="1" applyBorder="1" applyAlignment="1">
      <alignment vertical="center"/>
    </xf>
    <xf numFmtId="169" fontId="14" fillId="0" borderId="10" xfId="0" applyNumberFormat="1" applyFont="1" applyFill="1" applyBorder="1" applyAlignment="1">
      <alignment vertical="center"/>
    </xf>
    <xf numFmtId="169" fontId="6" fillId="0" borderId="10" xfId="0" applyNumberFormat="1" applyFont="1" applyFill="1" applyBorder="1" applyAlignment="1">
      <alignment vertical="center"/>
    </xf>
    <xf numFmtId="169" fontId="16" fillId="0" borderId="11" xfId="0" applyNumberFormat="1" applyFont="1" applyFill="1" applyBorder="1"/>
    <xf numFmtId="169" fontId="15" fillId="0" borderId="13" xfId="0" applyNumberFormat="1" applyFont="1" applyFill="1" applyBorder="1"/>
    <xf numFmtId="169" fontId="15" fillId="0" borderId="14" xfId="0" applyNumberFormat="1" applyFont="1" applyFill="1" applyBorder="1"/>
    <xf numFmtId="169" fontId="18" fillId="0" borderId="0" xfId="0" applyNumberFormat="1" applyFont="1" applyFill="1" applyBorder="1"/>
    <xf numFmtId="169" fontId="18" fillId="0" borderId="11" xfId="0" applyNumberFormat="1" applyFont="1" applyFill="1" applyBorder="1"/>
    <xf numFmtId="169" fontId="16" fillId="0" borderId="15" xfId="0" applyNumberFormat="1" applyFont="1" applyFill="1" applyBorder="1"/>
    <xf numFmtId="169" fontId="16" fillId="0" borderId="1" xfId="0" applyNumberFormat="1" applyFont="1" applyFill="1" applyBorder="1"/>
    <xf numFmtId="169" fontId="6" fillId="0" borderId="16" xfId="0" applyNumberFormat="1" applyFont="1" applyFill="1" applyBorder="1" applyAlignment="1">
      <alignment vertical="center"/>
    </xf>
    <xf numFmtId="169" fontId="16" fillId="0" borderId="17" xfId="0" applyNumberFormat="1" applyFont="1" applyFill="1" applyBorder="1"/>
    <xf numFmtId="0" fontId="19" fillId="5" borderId="0" xfId="0" applyFont="1" applyFill="1" applyBorder="1" applyAlignment="1">
      <alignment horizontal="left"/>
    </xf>
    <xf numFmtId="0" fontId="19" fillId="5" borderId="0" xfId="0" applyFont="1" applyFill="1" applyAlignment="1">
      <alignment horizontal="center" wrapText="1"/>
    </xf>
    <xf numFmtId="0" fontId="20" fillId="5" borderId="0" xfId="0" applyFont="1" applyFill="1" applyBorder="1" applyAlignment="1">
      <alignment horizontal="left"/>
    </xf>
    <xf numFmtId="0" fontId="20" fillId="5" borderId="0" xfId="0" applyFont="1" applyFill="1" applyAlignment="1">
      <alignment horizontal="center" wrapText="1"/>
    </xf>
    <xf numFmtId="0" fontId="19" fillId="5" borderId="7" xfId="0" applyFont="1" applyFill="1" applyBorder="1" applyAlignment="1">
      <alignment horizontal="centerContinuous" wrapText="1"/>
    </xf>
    <xf numFmtId="0" fontId="19" fillId="5" borderId="8" xfId="0" applyFont="1" applyFill="1" applyBorder="1" applyAlignment="1">
      <alignment horizontal="centerContinuous" wrapText="1"/>
    </xf>
    <xf numFmtId="167" fontId="21" fillId="5" borderId="0" xfId="0" applyNumberFormat="1" applyFont="1" applyFill="1" applyBorder="1" applyAlignment="1">
      <alignment horizontal="left"/>
    </xf>
    <xf numFmtId="167" fontId="21" fillId="5" borderId="0" xfId="0" applyNumberFormat="1" applyFont="1" applyFill="1"/>
    <xf numFmtId="168" fontId="21" fillId="5" borderId="0" xfId="0" applyNumberFormat="1" applyFont="1" applyFill="1"/>
    <xf numFmtId="169" fontId="0" fillId="0" borderId="0" xfId="0" applyNumberFormat="1"/>
    <xf numFmtId="170" fontId="0" fillId="0" borderId="0" xfId="0" applyNumberFormat="1"/>
    <xf numFmtId="169" fontId="15" fillId="0" borderId="19" xfId="0" applyNumberFormat="1" applyFont="1" applyFill="1" applyBorder="1"/>
    <xf numFmtId="170" fontId="18" fillId="0" borderId="0" xfId="1" applyNumberFormat="1" applyFont="1" applyFill="1" applyBorder="1"/>
    <xf numFmtId="170" fontId="18" fillId="0" borderId="17" xfId="1" applyNumberFormat="1" applyFont="1" applyFill="1" applyBorder="1"/>
    <xf numFmtId="170" fontId="18" fillId="0" borderId="1" xfId="1" applyNumberFormat="1" applyFont="1" applyFill="1" applyBorder="1"/>
    <xf numFmtId="170" fontId="18" fillId="0" borderId="18" xfId="1" applyNumberFormat="1" applyFont="1" applyFill="1" applyBorder="1"/>
    <xf numFmtId="169" fontId="22" fillId="0" borderId="14" xfId="0" applyNumberFormat="1" applyFont="1" applyFill="1" applyBorder="1"/>
    <xf numFmtId="170" fontId="23" fillId="0" borderId="0" xfId="1" applyNumberFormat="1" applyFont="1" applyFill="1" applyBorder="1"/>
    <xf numFmtId="169" fontId="6" fillId="0" borderId="0" xfId="0" applyNumberFormat="1" applyFont="1" applyFill="1" applyBorder="1"/>
    <xf numFmtId="0" fontId="0" fillId="0" borderId="0" xfId="0" applyFill="1"/>
    <xf numFmtId="169" fontId="15" fillId="0" borderId="11" xfId="0" applyNumberFormat="1" applyFont="1" applyFill="1" applyBorder="1"/>
    <xf numFmtId="169" fontId="15" fillId="0" borderId="20" xfId="0" applyNumberFormat="1" applyFont="1" applyFill="1" applyBorder="1"/>
    <xf numFmtId="169" fontId="15" fillId="0" borderId="21" xfId="0" applyNumberFormat="1" applyFont="1" applyFill="1" applyBorder="1"/>
    <xf numFmtId="169" fontId="24" fillId="0" borderId="0" xfId="0" applyNumberFormat="1" applyFont="1" applyFill="1" applyBorder="1"/>
    <xf numFmtId="169" fontId="24" fillId="0" borderId="22" xfId="7" applyFill="1"/>
    <xf numFmtId="169" fontId="24" fillId="7" borderId="22" xfId="7" applyFill="1"/>
    <xf numFmtId="169" fontId="25" fillId="0" borderId="12" xfId="6" applyFont="1" applyFill="1"/>
    <xf numFmtId="169" fontId="25" fillId="0" borderId="0" xfId="0" applyNumberFormat="1" applyFont="1" applyFill="1" applyBorder="1"/>
    <xf numFmtId="169" fontId="26" fillId="0" borderId="0" xfId="0" applyNumberFormat="1" applyFont="1" applyFill="1" applyBorder="1"/>
    <xf numFmtId="169" fontId="26" fillId="0" borderId="21" xfId="0" applyNumberFormat="1" applyFont="1" applyFill="1" applyBorder="1"/>
    <xf numFmtId="169" fontId="25" fillId="0" borderId="0" xfId="0" applyNumberFormat="1" applyFont="1" applyFill="1"/>
    <xf numFmtId="169" fontId="25" fillId="0" borderId="10" xfId="0" applyNumberFormat="1" applyFont="1" applyFill="1" applyBorder="1" applyAlignment="1">
      <alignment vertical="center"/>
    </xf>
    <xf numFmtId="169" fontId="22" fillId="0" borderId="0" xfId="0" applyNumberFormat="1" applyFont="1" applyFill="1" applyBorder="1"/>
    <xf numFmtId="169" fontId="22" fillId="0" borderId="21" xfId="0" applyNumberFormat="1" applyFont="1" applyFill="1" applyBorder="1"/>
    <xf numFmtId="169" fontId="6" fillId="0" borderId="0" xfId="0" applyNumberFormat="1" applyFont="1" applyFill="1"/>
    <xf numFmtId="169" fontId="6" fillId="0" borderId="12" xfId="6" applyFont="1" applyFill="1"/>
    <xf numFmtId="172" fontId="21" fillId="5" borderId="0" xfId="0" applyNumberFormat="1" applyFont="1" applyFill="1"/>
    <xf numFmtId="168" fontId="21" fillId="5" borderId="0" xfId="0" applyNumberFormat="1" applyFont="1" applyFill="1" applyAlignment="1">
      <alignment horizontal="right"/>
    </xf>
    <xf numFmtId="0" fontId="28" fillId="0" borderId="0" xfId="0" applyFont="1"/>
    <xf numFmtId="0" fontId="28" fillId="0" borderId="0" xfId="0" applyFont="1" applyFill="1"/>
    <xf numFmtId="0" fontId="21" fillId="5" borderId="13" xfId="0" applyFont="1" applyFill="1" applyBorder="1"/>
    <xf numFmtId="0" fontId="28" fillId="5" borderId="14" xfId="0" applyFont="1" applyFill="1" applyBorder="1"/>
    <xf numFmtId="3" fontId="6" fillId="0" borderId="0" xfId="0" applyNumberFormat="1" applyFont="1" applyFill="1" applyBorder="1"/>
    <xf numFmtId="3" fontId="27" fillId="0" borderId="0" xfId="0" applyNumberFormat="1" applyFont="1" applyFill="1" applyBorder="1"/>
    <xf numFmtId="0" fontId="6" fillId="0" borderId="0" xfId="0" applyFont="1" applyFill="1" applyBorder="1"/>
    <xf numFmtId="3" fontId="22" fillId="0" borderId="14" xfId="0" applyNumberFormat="1" applyFont="1" applyFill="1" applyBorder="1" applyAlignment="1">
      <alignment horizontal="right"/>
    </xf>
    <xf numFmtId="3" fontId="22" fillId="0" borderId="2" xfId="0" applyNumberFormat="1" applyFont="1" applyFill="1" applyBorder="1" applyAlignment="1">
      <alignment horizontal="right"/>
    </xf>
    <xf numFmtId="3" fontId="22" fillId="0" borderId="24" xfId="0" applyNumberFormat="1" applyFont="1" applyFill="1" applyBorder="1" applyAlignment="1">
      <alignment horizontal="right"/>
    </xf>
    <xf numFmtId="168" fontId="21" fillId="5" borderId="14" xfId="0" applyNumberFormat="1" applyFont="1" applyFill="1" applyBorder="1"/>
    <xf numFmtId="168" fontId="21" fillId="5" borderId="19" xfId="0" applyNumberFormat="1" applyFont="1" applyFill="1" applyBorder="1"/>
    <xf numFmtId="0" fontId="28" fillId="0" borderId="14" xfId="0" applyFont="1" applyBorder="1"/>
    <xf numFmtId="0" fontId="8" fillId="0" borderId="0" xfId="3" applyFont="1" applyAlignment="1">
      <alignment horizontal="centerContinuous"/>
    </xf>
    <xf numFmtId="0" fontId="30" fillId="0" borderId="0" xfId="3" applyFont="1"/>
    <xf numFmtId="10" fontId="9" fillId="3" borderId="4" xfId="3" applyNumberFormat="1" applyFont="1" applyFill="1" applyBorder="1" applyAlignment="1">
      <alignment horizontal="center"/>
    </xf>
    <xf numFmtId="173" fontId="9" fillId="3" borderId="3" xfId="8" applyFont="1" applyFill="1" applyBorder="1"/>
    <xf numFmtId="173" fontId="9" fillId="0" borderId="0" xfId="8" applyFont="1" applyBorder="1"/>
    <xf numFmtId="173" fontId="9" fillId="3" borderId="6" xfId="8" applyFont="1" applyFill="1" applyBorder="1"/>
    <xf numFmtId="0" fontId="9" fillId="3" borderId="4" xfId="3" applyFont="1" applyFill="1" applyBorder="1"/>
    <xf numFmtId="173" fontId="9" fillId="3" borderId="5" xfId="3" applyNumberFormat="1" applyFont="1" applyFill="1" applyBorder="1"/>
    <xf numFmtId="0" fontId="9" fillId="8" borderId="3" xfId="3" applyFont="1" applyFill="1" applyBorder="1" applyAlignment="1">
      <alignment horizontal="center"/>
    </xf>
    <xf numFmtId="2" fontId="31" fillId="0" borderId="3" xfId="3" applyNumberFormat="1" applyFont="1" applyBorder="1" applyAlignment="1">
      <alignment horizontal="center"/>
    </xf>
    <xf numFmtId="2" fontId="31" fillId="0" borderId="0" xfId="3" applyNumberFormat="1" applyFont="1"/>
    <xf numFmtId="2" fontId="9" fillId="0" borderId="0" xfId="3" applyNumberFormat="1" applyFont="1"/>
    <xf numFmtId="1" fontId="31" fillId="0" borderId="3" xfId="3" applyNumberFormat="1" applyFont="1" applyBorder="1" applyAlignment="1">
      <alignment horizontal="center"/>
    </xf>
    <xf numFmtId="2" fontId="31" fillId="8" borderId="3" xfId="3" applyNumberFormat="1" applyFont="1" applyFill="1" applyBorder="1" applyAlignment="1">
      <alignment horizontal="center"/>
    </xf>
    <xf numFmtId="2" fontId="32" fillId="0" borderId="0" xfId="3" applyNumberFormat="1" applyFont="1"/>
    <xf numFmtId="2" fontId="31" fillId="0" borderId="23" xfId="3" applyNumberFormat="1" applyFont="1" applyBorder="1" applyAlignment="1">
      <alignment horizontal="centerContinuous"/>
    </xf>
    <xf numFmtId="2" fontId="31" fillId="0" borderId="24" xfId="3" applyNumberFormat="1" applyFont="1" applyBorder="1" applyAlignment="1">
      <alignment horizontal="centerContinuous"/>
    </xf>
    <xf numFmtId="173" fontId="31" fillId="0" borderId="3" xfId="8" applyFont="1" applyBorder="1"/>
    <xf numFmtId="2" fontId="31" fillId="0" borderId="6" xfId="3" applyNumberFormat="1" applyFont="1" applyBorder="1" applyAlignment="1">
      <alignment horizontal="center"/>
    </xf>
    <xf numFmtId="173" fontId="31" fillId="0" borderId="6" xfId="8" applyFont="1" applyBorder="1"/>
    <xf numFmtId="165" fontId="9" fillId="0" borderId="4" xfId="3" applyNumberFormat="1" applyFont="1" applyBorder="1"/>
    <xf numFmtId="173" fontId="9" fillId="0" borderId="4" xfId="8" applyFont="1" applyBorder="1"/>
    <xf numFmtId="165" fontId="9" fillId="0" borderId="25" xfId="3" applyNumberFormat="1" applyFont="1" applyBorder="1"/>
    <xf numFmtId="174" fontId="9" fillId="0" borderId="3" xfId="8" applyNumberFormat="1" applyFont="1" applyBorder="1"/>
    <xf numFmtId="0" fontId="33" fillId="0" borderId="0" xfId="3" applyFont="1"/>
    <xf numFmtId="175" fontId="7" fillId="2" borderId="3" xfId="3" applyNumberFormat="1" applyFill="1" applyBorder="1" applyAlignment="1">
      <alignment horizontal="center"/>
    </xf>
    <xf numFmtId="175" fontId="9" fillId="3" borderId="3" xfId="3" applyNumberFormat="1" applyFont="1" applyFill="1" applyBorder="1"/>
    <xf numFmtId="175" fontId="9" fillId="3" borderId="6" xfId="3" applyNumberFormat="1" applyFont="1" applyFill="1" applyBorder="1"/>
    <xf numFmtId="175" fontId="9" fillId="3" borderId="4" xfId="3" applyNumberFormat="1" applyFont="1" applyFill="1" applyBorder="1"/>
    <xf numFmtId="175" fontId="9" fillId="3" borderId="5" xfId="3" applyNumberFormat="1" applyFont="1" applyFill="1" applyBorder="1"/>
    <xf numFmtId="175" fontId="9" fillId="8" borderId="3" xfId="8" applyNumberFormat="1" applyFont="1" applyFill="1" applyBorder="1"/>
    <xf numFmtId="0" fontId="6" fillId="0" borderId="11" xfId="0" applyFont="1" applyFill="1" applyBorder="1" applyAlignment="1">
      <alignment horizontal="left"/>
    </xf>
    <xf numFmtId="9" fontId="28" fillId="0" borderId="0" xfId="0" applyNumberFormat="1" applyFont="1" applyBorder="1"/>
    <xf numFmtId="9" fontId="28" fillId="0" borderId="17" xfId="0" applyNumberFormat="1" applyFont="1" applyBorder="1"/>
    <xf numFmtId="9" fontId="28" fillId="0" borderId="1" xfId="0" applyNumberFormat="1" applyFont="1" applyBorder="1"/>
    <xf numFmtId="9" fontId="28" fillId="0" borderId="18" xfId="0" applyNumberFormat="1" applyFont="1" applyBorder="1"/>
    <xf numFmtId="0" fontId="21" fillId="5" borderId="14" xfId="0" applyFont="1" applyFill="1" applyBorder="1"/>
    <xf numFmtId="0" fontId="28" fillId="0" borderId="0" xfId="0" applyFont="1" applyBorder="1"/>
    <xf numFmtId="0" fontId="28" fillId="0" borderId="1" xfId="0" applyFont="1" applyBorder="1"/>
    <xf numFmtId="169" fontId="6" fillId="0" borderId="0" xfId="6" applyNumberFormat="1" applyFont="1" applyFill="1" applyBorder="1"/>
    <xf numFmtId="0" fontId="28" fillId="0" borderId="17" xfId="0" applyFont="1" applyBorder="1"/>
    <xf numFmtId="0" fontId="28" fillId="0" borderId="2" xfId="0" applyFont="1" applyBorder="1"/>
    <xf numFmtId="9" fontId="29" fillId="0" borderId="2" xfId="1" applyFont="1" applyBorder="1"/>
    <xf numFmtId="0" fontId="6" fillId="0" borderId="15" xfId="0" applyFont="1" applyFill="1" applyBorder="1"/>
    <xf numFmtId="9" fontId="9" fillId="0" borderId="0" xfId="1" applyFont="1"/>
    <xf numFmtId="0" fontId="27" fillId="0" borderId="14" xfId="0" applyFont="1" applyFill="1" applyBorder="1"/>
    <xf numFmtId="9" fontId="31" fillId="0" borderId="0" xfId="1" applyFont="1"/>
    <xf numFmtId="10" fontId="31" fillId="0" borderId="0" xfId="1" applyNumberFormat="1" applyFont="1"/>
    <xf numFmtId="169" fontId="18" fillId="0" borderId="15" xfId="0" applyNumberFormat="1" applyFont="1" applyFill="1" applyBorder="1"/>
    <xf numFmtId="169" fontId="18" fillId="0" borderId="1" xfId="0" applyNumberFormat="1" applyFont="1" applyFill="1" applyBorder="1"/>
    <xf numFmtId="170" fontId="23" fillId="0" borderId="1" xfId="1" applyNumberFormat="1" applyFont="1" applyFill="1" applyBorder="1"/>
    <xf numFmtId="0" fontId="28" fillId="4" borderId="0" xfId="0" applyFont="1" applyFill="1"/>
    <xf numFmtId="169" fontId="6" fillId="4" borderId="10" xfId="0" applyNumberFormat="1" applyFont="1" applyFill="1" applyBorder="1" applyAlignment="1">
      <alignment vertical="center"/>
    </xf>
    <xf numFmtId="169" fontId="16" fillId="4" borderId="0" xfId="0" applyNumberFormat="1" applyFont="1" applyFill="1" applyBorder="1"/>
    <xf numFmtId="169" fontId="15" fillId="4" borderId="0" xfId="0" applyNumberFormat="1" applyFont="1" applyFill="1" applyBorder="1"/>
    <xf numFmtId="169" fontId="16" fillId="4" borderId="14" xfId="0" applyNumberFormat="1" applyFont="1" applyFill="1" applyBorder="1"/>
    <xf numFmtId="10" fontId="28" fillId="0" borderId="0" xfId="1" applyNumberFormat="1" applyFont="1"/>
    <xf numFmtId="177" fontId="16" fillId="0" borderId="0" xfId="0" applyNumberFormat="1" applyFont="1" applyFill="1" applyBorder="1"/>
    <xf numFmtId="0" fontId="27" fillId="0" borderId="0" xfId="0" applyFont="1" applyFill="1"/>
    <xf numFmtId="0" fontId="27" fillId="4" borderId="0" xfId="0" applyFont="1" applyFill="1"/>
    <xf numFmtId="9" fontId="27" fillId="0" borderId="0" xfId="1" applyFont="1" applyBorder="1"/>
    <xf numFmtId="0" fontId="27" fillId="0" borderId="0" xfId="0" applyFont="1"/>
    <xf numFmtId="171" fontId="27" fillId="0" borderId="0" xfId="0" applyNumberFormat="1" applyFont="1"/>
    <xf numFmtId="169" fontId="27" fillId="0" borderId="0" xfId="0" applyNumberFormat="1" applyFont="1"/>
    <xf numFmtId="0" fontId="34" fillId="0" borderId="14" xfId="0" applyFont="1" applyBorder="1"/>
    <xf numFmtId="0" fontId="27" fillId="0" borderId="14" xfId="0" applyFont="1" applyBorder="1"/>
    <xf numFmtId="171" fontId="34" fillId="0" borderId="14" xfId="0" applyNumberFormat="1" applyFont="1" applyBorder="1"/>
    <xf numFmtId="171" fontId="34" fillId="4" borderId="14" xfId="0" applyNumberFormat="1" applyFont="1" applyFill="1" applyBorder="1" applyAlignment="1">
      <alignment horizontal="right"/>
    </xf>
    <xf numFmtId="3" fontId="27" fillId="0" borderId="0" xfId="0" applyNumberFormat="1" applyFont="1"/>
    <xf numFmtId="2" fontId="27" fillId="4" borderId="14" xfId="0" applyNumberFormat="1" applyFont="1" applyFill="1" applyBorder="1"/>
    <xf numFmtId="0" fontId="34" fillId="0" borderId="0" xfId="0" applyFont="1"/>
    <xf numFmtId="168" fontId="21" fillId="5" borderId="0" xfId="0" applyNumberFormat="1" applyFont="1" applyFill="1" applyBorder="1"/>
    <xf numFmtId="167" fontId="21" fillId="5" borderId="14" xfId="0" applyNumberFormat="1" applyFont="1" applyFill="1" applyBorder="1"/>
    <xf numFmtId="167" fontId="21" fillId="5" borderId="19" xfId="0" applyNumberFormat="1" applyFont="1" applyFill="1" applyBorder="1"/>
    <xf numFmtId="0" fontId="6" fillId="0" borderId="11" xfId="0" applyFont="1" applyFill="1" applyBorder="1"/>
    <xf numFmtId="177" fontId="16" fillId="0" borderId="1" xfId="0" applyNumberFormat="1" applyFont="1" applyFill="1" applyBorder="1"/>
    <xf numFmtId="168" fontId="21" fillId="0" borderId="1" xfId="0" applyNumberFormat="1" applyFont="1" applyFill="1" applyBorder="1"/>
    <xf numFmtId="176" fontId="0" fillId="0" borderId="0" xfId="1" applyNumberFormat="1" applyFont="1"/>
    <xf numFmtId="9" fontId="28" fillId="0" borderId="0" xfId="0" applyNumberFormat="1" applyFont="1"/>
    <xf numFmtId="9" fontId="27" fillId="0" borderId="0" xfId="0" applyNumberFormat="1" applyFont="1"/>
    <xf numFmtId="0" fontId="19" fillId="5" borderId="0" xfId="0" applyFont="1" applyFill="1" applyAlignment="1">
      <alignment horizontal="center"/>
    </xf>
    <xf numFmtId="0" fontId="19" fillId="5" borderId="0" xfId="0" applyFont="1" applyFill="1" applyAlignment="1">
      <alignment horizontal="left"/>
    </xf>
    <xf numFmtId="0" fontId="34" fillId="0" borderId="13" xfId="0" applyFont="1" applyFill="1" applyBorder="1"/>
    <xf numFmtId="0" fontId="34" fillId="0" borderId="23" xfId="0" applyFont="1" applyFill="1" applyBorder="1"/>
    <xf numFmtId="0" fontId="27" fillId="0" borderId="11" xfId="0" applyFont="1" applyBorder="1"/>
    <xf numFmtId="0" fontId="27" fillId="0" borderId="15" xfId="0" applyFont="1" applyBorder="1"/>
    <xf numFmtId="0" fontId="6" fillId="0" borderId="11" xfId="0" quotePrefix="1" applyFont="1" applyFill="1" applyBorder="1" applyAlignment="1">
      <alignment horizontal="left"/>
    </xf>
    <xf numFmtId="169" fontId="6" fillId="0" borderId="26" xfId="6" applyNumberFormat="1" applyFont="1" applyFill="1" applyBorder="1"/>
    <xf numFmtId="168" fontId="21" fillId="5" borderId="13" xfId="0" applyNumberFormat="1" applyFont="1" applyFill="1" applyBorder="1"/>
    <xf numFmtId="168" fontId="21" fillId="5" borderId="11" xfId="0" applyNumberFormat="1" applyFont="1" applyFill="1" applyBorder="1"/>
    <xf numFmtId="168" fontId="21" fillId="5" borderId="17" xfId="0" applyNumberFormat="1" applyFont="1" applyFill="1" applyBorder="1"/>
    <xf numFmtId="2" fontId="6" fillId="0" borderId="11" xfId="3" applyNumberFormat="1" applyFont="1" applyBorder="1" applyAlignment="1">
      <alignment horizontal="center"/>
    </xf>
    <xf numFmtId="2" fontId="6" fillId="0" borderId="0" xfId="3" applyNumberFormat="1" applyFont="1" applyBorder="1"/>
    <xf numFmtId="2" fontId="6" fillId="0" borderId="0" xfId="3" applyNumberFormat="1" applyFont="1" applyBorder="1" applyAlignment="1">
      <alignment horizontal="center"/>
    </xf>
    <xf numFmtId="2" fontId="6" fillId="0" borderId="17" xfId="3" applyNumberFormat="1" applyFont="1" applyBorder="1"/>
    <xf numFmtId="1" fontId="6" fillId="0" borderId="11" xfId="3" applyNumberFormat="1" applyFont="1" applyBorder="1" applyAlignment="1">
      <alignment horizontal="center"/>
    </xf>
    <xf numFmtId="173" fontId="6" fillId="0" borderId="17" xfId="8" applyFont="1" applyBorder="1"/>
    <xf numFmtId="2" fontId="9" fillId="0" borderId="0" xfId="3" quotePrefix="1" applyNumberFormat="1" applyFont="1"/>
    <xf numFmtId="165" fontId="6" fillId="0" borderId="2" xfId="3" applyNumberFormat="1" applyFont="1" applyBorder="1"/>
    <xf numFmtId="173" fontId="6" fillId="0" borderId="24" xfId="8" applyFont="1" applyBorder="1"/>
    <xf numFmtId="2" fontId="22" fillId="0" borderId="23" xfId="3" applyNumberFormat="1" applyFont="1" applyBorder="1"/>
    <xf numFmtId="2" fontId="22" fillId="0" borderId="2" xfId="3" applyNumberFormat="1" applyFont="1" applyBorder="1"/>
    <xf numFmtId="10" fontId="22" fillId="0" borderId="24" xfId="1" applyNumberFormat="1" applyFont="1" applyBorder="1"/>
    <xf numFmtId="0" fontId="27" fillId="5" borderId="14" xfId="0" applyFont="1" applyFill="1" applyBorder="1"/>
    <xf numFmtId="0" fontId="27" fillId="0" borderId="1" xfId="0" applyFont="1" applyFill="1" applyBorder="1"/>
    <xf numFmtId="0" fontId="27" fillId="0" borderId="1" xfId="0" applyFont="1" applyBorder="1"/>
    <xf numFmtId="0" fontId="27" fillId="0" borderId="18" xfId="0" applyFont="1" applyBorder="1"/>
    <xf numFmtId="0" fontId="27" fillId="0" borderId="0" xfId="0" applyFont="1" applyBorder="1"/>
    <xf numFmtId="177" fontId="27" fillId="0" borderId="0" xfId="0" applyNumberFormat="1" applyFont="1" applyBorder="1"/>
    <xf numFmtId="177" fontId="27" fillId="0" borderId="17" xfId="0" applyNumberFormat="1" applyFont="1" applyBorder="1"/>
    <xf numFmtId="177" fontId="27" fillId="0" borderId="1" xfId="0" applyNumberFormat="1" applyFont="1" applyBorder="1"/>
    <xf numFmtId="177" fontId="27" fillId="0" borderId="18" xfId="0" applyNumberFormat="1" applyFont="1" applyBorder="1"/>
    <xf numFmtId="176" fontId="17" fillId="0" borderId="0" xfId="9" applyFill="1" applyBorder="1" applyAlignment="1">
      <alignment horizontal="right"/>
    </xf>
    <xf numFmtId="176" fontId="17" fillId="0" borderId="0" xfId="9" applyFill="1" applyBorder="1"/>
    <xf numFmtId="169" fontId="16" fillId="0" borderId="27" xfId="0" applyNumberFormat="1" applyFont="1" applyFill="1" applyBorder="1"/>
    <xf numFmtId="169" fontId="27" fillId="0" borderId="0" xfId="0" applyNumberFormat="1" applyFont="1" applyBorder="1"/>
    <xf numFmtId="169" fontId="27" fillId="0" borderId="17" xfId="0" applyNumberFormat="1" applyFont="1" applyBorder="1"/>
    <xf numFmtId="9" fontId="29" fillId="0" borderId="0" xfId="1" applyFont="1" applyBorder="1"/>
    <xf numFmtId="0" fontId="34" fillId="0" borderId="13" xfId="0" applyFont="1" applyBorder="1"/>
    <xf numFmtId="0" fontId="34" fillId="0" borderId="23" xfId="0" applyFont="1" applyBorder="1"/>
    <xf numFmtId="0" fontId="0" fillId="0" borderId="0" xfId="0" applyFont="1"/>
    <xf numFmtId="10" fontId="29" fillId="0" borderId="0" xfId="1" applyNumberFormat="1" applyFont="1" applyBorder="1"/>
    <xf numFmtId="10" fontId="29" fillId="0" borderId="2" xfId="1" applyNumberFormat="1" applyFont="1" applyBorder="1"/>
    <xf numFmtId="9" fontId="16" fillId="0" borderId="0" xfId="1" applyFont="1" applyFill="1" applyBorder="1"/>
    <xf numFmtId="9" fontId="27" fillId="0" borderId="0" xfId="1" applyFont="1"/>
    <xf numFmtId="169" fontId="16" fillId="9" borderId="0" xfId="0" applyNumberFormat="1" applyFont="1" applyFill="1" applyBorder="1"/>
    <xf numFmtId="176" fontId="27" fillId="0" borderId="0" xfId="9" applyFont="1" applyFill="1" applyBorder="1"/>
    <xf numFmtId="169" fontId="27" fillId="0" borderId="0" xfId="0" applyNumberFormat="1" applyFont="1" applyFill="1" applyBorder="1"/>
    <xf numFmtId="169" fontId="35" fillId="0" borderId="0" xfId="0" applyNumberFormat="1" applyFont="1" applyFill="1" applyBorder="1"/>
    <xf numFmtId="0" fontId="34" fillId="0" borderId="0" xfId="0" applyFont="1" applyFill="1"/>
    <xf numFmtId="0" fontId="27" fillId="0" borderId="0" xfId="0" applyFont="1" applyFill="1" applyAlignment="1">
      <alignment horizontal="right"/>
    </xf>
    <xf numFmtId="3" fontId="27" fillId="0" borderId="0" xfId="0" applyNumberFormat="1" applyFont="1" applyFill="1"/>
    <xf numFmtId="164" fontId="27" fillId="0" borderId="0" xfId="1" applyNumberFormat="1" applyFont="1" applyFill="1"/>
    <xf numFmtId="10" fontId="27" fillId="0" borderId="0" xfId="1" applyNumberFormat="1" applyFont="1" applyFill="1"/>
    <xf numFmtId="164" fontId="39" fillId="0" borderId="0" xfId="0" applyNumberFormat="1" applyFont="1" applyFill="1"/>
    <xf numFmtId="3" fontId="27" fillId="0" borderId="14" xfId="0" applyNumberFormat="1" applyFont="1" applyFill="1" applyBorder="1"/>
    <xf numFmtId="10" fontId="27" fillId="0" borderId="0" xfId="0" applyNumberFormat="1" applyFont="1" applyFill="1"/>
    <xf numFmtId="3" fontId="40" fillId="0" borderId="0" xfId="0" applyNumberFormat="1" applyFont="1" applyFill="1"/>
    <xf numFmtId="0" fontId="40" fillId="0" borderId="0" xfId="0" applyFont="1" applyFill="1"/>
    <xf numFmtId="0" fontId="34" fillId="0" borderId="28" xfId="0" applyFont="1" applyFill="1" applyBorder="1"/>
    <xf numFmtId="0" fontId="34" fillId="0" borderId="28" xfId="0" applyFont="1" applyFill="1" applyBorder="1" applyAlignment="1">
      <alignment horizontal="right"/>
    </xf>
    <xf numFmtId="3" fontId="34" fillId="0" borderId="28" xfId="0" applyNumberFormat="1" applyFont="1" applyFill="1" applyBorder="1"/>
    <xf numFmtId="169" fontId="15" fillId="2" borderId="0" xfId="0" applyNumberFormat="1" applyFont="1" applyFill="1" applyBorder="1"/>
    <xf numFmtId="43" fontId="27" fillId="0" borderId="0" xfId="10" applyFont="1"/>
    <xf numFmtId="43" fontId="27" fillId="0" borderId="0" xfId="0" applyNumberFormat="1" applyFont="1"/>
    <xf numFmtId="0" fontId="41" fillId="0" borderId="0" xfId="0" applyFont="1"/>
    <xf numFmtId="169" fontId="40" fillId="0" borderId="11" xfId="0" applyNumberFormat="1" applyFont="1" applyFill="1" applyBorder="1"/>
    <xf numFmtId="169" fontId="40" fillId="0" borderId="0" xfId="0" applyNumberFormat="1" applyFont="1" applyFill="1" applyBorder="1"/>
    <xf numFmtId="169" fontId="40" fillId="0" borderId="0" xfId="6" applyNumberFormat="1" applyFont="1" applyFill="1" applyBorder="1"/>
    <xf numFmtId="0" fontId="42" fillId="0" borderId="0" xfId="11"/>
    <xf numFmtId="178" fontId="43" fillId="0" borderId="0" xfId="11" applyNumberFormat="1" applyFont="1"/>
    <xf numFmtId="0" fontId="3" fillId="0" borderId="0" xfId="11" applyFont="1" applyFill="1" applyBorder="1"/>
    <xf numFmtId="2" fontId="42" fillId="0" borderId="0" xfId="11" applyNumberFormat="1"/>
    <xf numFmtId="179" fontId="38" fillId="0" borderId="0" xfId="12" applyFont="1" applyAlignment="1">
      <alignment vertical="center"/>
    </xf>
    <xf numFmtId="0" fontId="42" fillId="0" borderId="0" xfId="11" applyFill="1" applyBorder="1"/>
    <xf numFmtId="9" fontId="44" fillId="0" borderId="0" xfId="13" applyFont="1"/>
    <xf numFmtId="0" fontId="45" fillId="0" borderId="0" xfId="11" applyFont="1"/>
    <xf numFmtId="0" fontId="47" fillId="0" borderId="0" xfId="14" applyFont="1" applyAlignment="1">
      <alignment vertical="center" wrapText="1"/>
    </xf>
    <xf numFmtId="0" fontId="46" fillId="0" borderId="0" xfId="14">
      <alignment vertical="center"/>
    </xf>
    <xf numFmtId="0" fontId="48" fillId="11" borderId="29" xfId="14" applyFont="1" applyFill="1" applyBorder="1" applyAlignment="1">
      <alignment horizontal="center" vertical="center" wrapText="1"/>
    </xf>
    <xf numFmtId="0" fontId="48" fillId="11" borderId="29" xfId="14" applyFont="1" applyFill="1" applyBorder="1" applyAlignment="1">
      <alignment horizontal="left" vertical="center" wrapText="1"/>
    </xf>
    <xf numFmtId="0" fontId="49" fillId="12" borderId="0" xfId="14" applyFont="1" applyFill="1" applyAlignment="1">
      <alignment horizontal="left" vertical="center" wrapText="1"/>
    </xf>
    <xf numFmtId="0" fontId="49" fillId="12" borderId="0" xfId="14" applyFont="1" applyFill="1" applyAlignment="1">
      <alignment horizontal="center" vertical="center" wrapText="1"/>
    </xf>
    <xf numFmtId="0" fontId="49" fillId="11" borderId="0" xfId="14" applyFont="1" applyFill="1" applyAlignment="1">
      <alignment horizontal="left" vertical="center" wrapText="1"/>
    </xf>
    <xf numFmtId="0" fontId="49" fillId="11" borderId="0" xfId="14" applyFont="1" applyFill="1" applyAlignment="1">
      <alignment horizontal="center" vertical="center" wrapText="1"/>
    </xf>
    <xf numFmtId="0" fontId="49" fillId="10" borderId="0" xfId="14" applyFont="1" applyFill="1" applyAlignment="1">
      <alignment horizontal="center" vertical="center" wrapText="1"/>
    </xf>
    <xf numFmtId="0" fontId="28" fillId="0" borderId="0" xfId="14" applyFont="1" applyFill="1">
      <alignment vertical="center"/>
    </xf>
    <xf numFmtId="0" fontId="46" fillId="0" borderId="0" xfId="14" applyFill="1">
      <alignment vertical="center"/>
    </xf>
    <xf numFmtId="0" fontId="28" fillId="0" borderId="0" xfId="14" applyFont="1">
      <alignment vertical="center"/>
    </xf>
    <xf numFmtId="0" fontId="28" fillId="0" borderId="0" xfId="14" applyFont="1" applyAlignment="1">
      <alignment horizontal="center" vertical="center"/>
    </xf>
    <xf numFmtId="4" fontId="28" fillId="0" borderId="0" xfId="14" applyNumberFormat="1" applyFont="1">
      <alignment vertical="center"/>
    </xf>
    <xf numFmtId="9" fontId="28" fillId="0" borderId="0" xfId="15" applyFont="1">
      <alignment vertical="center"/>
    </xf>
    <xf numFmtId="0" fontId="48" fillId="11" borderId="0" xfId="14" applyFont="1" applyFill="1" applyAlignment="1">
      <alignment horizontal="left" vertical="center" wrapText="1"/>
    </xf>
    <xf numFmtId="0" fontId="49" fillId="12" borderId="29" xfId="14" applyFont="1" applyFill="1" applyBorder="1" applyAlignment="1">
      <alignment horizontal="left" vertical="center" wrapText="1"/>
    </xf>
    <xf numFmtId="0" fontId="49" fillId="12" borderId="29" xfId="14" applyFont="1" applyFill="1" applyBorder="1" applyAlignment="1">
      <alignment horizontal="center" vertical="center" wrapText="1"/>
    </xf>
    <xf numFmtId="164" fontId="44" fillId="0" borderId="0" xfId="13" applyNumberFormat="1" applyFont="1"/>
    <xf numFmtId="0" fontId="42" fillId="0" borderId="11" xfId="11" applyBorder="1"/>
    <xf numFmtId="0" fontId="42" fillId="0" borderId="0" xfId="11" applyBorder="1"/>
    <xf numFmtId="0" fontId="42" fillId="0" borderId="17" xfId="11" applyBorder="1"/>
    <xf numFmtId="2" fontId="27" fillId="0" borderId="11" xfId="11" applyNumberFormat="1" applyFont="1" applyBorder="1"/>
    <xf numFmtId="2" fontId="26" fillId="0" borderId="2" xfId="11" applyNumberFormat="1" applyFont="1" applyBorder="1"/>
    <xf numFmtId="0" fontId="26" fillId="0" borderId="2" xfId="11" applyFont="1" applyBorder="1"/>
    <xf numFmtId="2" fontId="22" fillId="0" borderId="23" xfId="11" applyNumberFormat="1" applyFont="1" applyBorder="1"/>
    <xf numFmtId="169" fontId="16" fillId="0" borderId="18" xfId="0" applyNumberFormat="1" applyFont="1" applyFill="1" applyBorder="1"/>
    <xf numFmtId="169" fontId="15" fillId="0" borderId="18" xfId="0" applyNumberFormat="1" applyFont="1" applyFill="1" applyBorder="1"/>
    <xf numFmtId="169" fontId="16" fillId="0" borderId="13" xfId="0" applyNumberFormat="1" applyFont="1" applyFill="1" applyBorder="1"/>
    <xf numFmtId="169" fontId="16" fillId="0" borderId="14" xfId="0" applyNumberFormat="1" applyFont="1" applyFill="1" applyBorder="1"/>
    <xf numFmtId="169" fontId="16" fillId="0" borderId="19" xfId="0" applyNumberFormat="1" applyFont="1" applyFill="1" applyBorder="1"/>
    <xf numFmtId="167" fontId="21" fillId="5" borderId="19" xfId="0" applyNumberFormat="1" applyFont="1" applyFill="1" applyBorder="1" applyAlignment="1">
      <alignment horizontal="right"/>
    </xf>
    <xf numFmtId="9" fontId="16" fillId="0" borderId="1" xfId="1" applyFont="1" applyFill="1" applyBorder="1"/>
    <xf numFmtId="9" fontId="16" fillId="0" borderId="18" xfId="1" applyFont="1" applyFill="1" applyBorder="1"/>
    <xf numFmtId="9" fontId="28" fillId="0" borderId="0" xfId="1" applyFont="1" applyFill="1" applyAlignment="1">
      <alignment vertical="center"/>
    </xf>
    <xf numFmtId="10" fontId="28" fillId="0" borderId="0" xfId="14" applyNumberFormat="1" applyFont="1" applyFill="1">
      <alignment vertical="center"/>
    </xf>
    <xf numFmtId="10" fontId="27" fillId="13" borderId="0" xfId="0" applyNumberFormat="1" applyFont="1" applyFill="1"/>
    <xf numFmtId="10" fontId="27" fillId="13" borderId="0" xfId="1" applyNumberFormat="1" applyFont="1" applyFill="1"/>
    <xf numFmtId="1" fontId="51" fillId="14" borderId="0" xfId="0" applyNumberFormat="1" applyFont="1" applyFill="1" applyAlignment="1">
      <alignment horizontal="center"/>
    </xf>
    <xf numFmtId="10" fontId="15" fillId="0" borderId="0" xfId="1" applyNumberFormat="1" applyFont="1" applyFill="1" applyBorder="1"/>
    <xf numFmtId="10" fontId="28" fillId="0" borderId="0" xfId="1" applyNumberFormat="1" applyFont="1" applyFill="1"/>
    <xf numFmtId="181" fontId="28" fillId="0" borderId="0" xfId="0" applyNumberFormat="1" applyFont="1" applyFill="1"/>
    <xf numFmtId="0" fontId="52" fillId="0" borderId="0" xfId="0" applyFont="1" applyFill="1" applyBorder="1" applyAlignment="1">
      <alignment horizontal="center"/>
    </xf>
    <xf numFmtId="1" fontId="51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8" fillId="2" borderId="0" xfId="0" applyFont="1" applyFill="1" applyAlignment="1">
      <alignment wrapText="1"/>
    </xf>
    <xf numFmtId="10" fontId="28" fillId="0" borderId="0" xfId="16" applyNumberFormat="1" applyFont="1" applyAlignment="1"/>
    <xf numFmtId="10" fontId="28" fillId="0" borderId="0" xfId="0" applyNumberFormat="1" applyFont="1"/>
    <xf numFmtId="2" fontId="28" fillId="0" borderId="0" xfId="0" applyNumberFormat="1" applyFont="1"/>
    <xf numFmtId="0" fontId="29" fillId="0" borderId="0" xfId="0" applyFont="1"/>
    <xf numFmtId="10" fontId="29" fillId="0" borderId="0" xfId="0" applyNumberFormat="1" applyFont="1"/>
    <xf numFmtId="10" fontId="0" fillId="0" borderId="0" xfId="0" applyNumberFormat="1"/>
    <xf numFmtId="10" fontId="28" fillId="0" borderId="0" xfId="0" applyNumberFormat="1" applyFont="1" applyFill="1"/>
    <xf numFmtId="0" fontId="28" fillId="2" borderId="0" xfId="0" applyFont="1" applyFill="1" applyBorder="1" applyAlignment="1">
      <alignment horizontal="right"/>
    </xf>
    <xf numFmtId="10" fontId="28" fillId="0" borderId="0" xfId="16" applyNumberFormat="1" applyFont="1" applyFill="1" applyAlignment="1"/>
    <xf numFmtId="182" fontId="28" fillId="0" borderId="0" xfId="0" applyNumberFormat="1" applyFont="1"/>
    <xf numFmtId="183" fontId="28" fillId="2" borderId="0" xfId="0" applyNumberFormat="1" applyFont="1" applyFill="1" applyBorder="1" applyAlignment="1">
      <alignment horizontal="right"/>
    </xf>
    <xf numFmtId="184" fontId="28" fillId="0" borderId="0" xfId="0" applyNumberFormat="1" applyFont="1"/>
    <xf numFmtId="0" fontId="28" fillId="2" borderId="0" xfId="0" applyFont="1" applyFill="1" applyAlignment="1">
      <alignment horizontal="right"/>
    </xf>
    <xf numFmtId="10" fontId="28" fillId="2" borderId="0" xfId="0" applyNumberFormat="1" applyFont="1" applyFill="1"/>
    <xf numFmtId="0" fontId="0" fillId="2" borderId="0" xfId="0" applyFill="1"/>
    <xf numFmtId="164" fontId="28" fillId="0" borderId="0" xfId="0" applyNumberFormat="1" applyFont="1"/>
    <xf numFmtId="0" fontId="28" fillId="0" borderId="0" xfId="0" applyFont="1" applyFill="1" applyAlignment="1">
      <alignment horizontal="right"/>
    </xf>
    <xf numFmtId="0" fontId="28" fillId="2" borderId="0" xfId="0" applyFont="1" applyFill="1"/>
    <xf numFmtId="10" fontId="28" fillId="13" borderId="0" xfId="0" applyNumberFormat="1" applyFont="1" applyFill="1"/>
    <xf numFmtId="10" fontId="29" fillId="2" borderId="0" xfId="0" applyNumberFormat="1" applyFont="1" applyFill="1"/>
    <xf numFmtId="0" fontId="0" fillId="0" borderId="0" xfId="0" applyAlignment="1">
      <alignment vertic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69" fontId="34" fillId="2" borderId="3" xfId="0" applyNumberFormat="1" applyFont="1" applyFill="1" applyBorder="1"/>
    <xf numFmtId="0" fontId="0" fillId="14" borderId="0" xfId="0" applyFill="1"/>
    <xf numFmtId="0" fontId="54" fillId="14" borderId="0" xfId="0" applyFont="1" applyFill="1"/>
    <xf numFmtId="0" fontId="15" fillId="16" borderId="23" xfId="21" applyNumberFormat="1" applyFont="1" applyFill="1" applyBorder="1" applyAlignment="1" applyProtection="1">
      <alignment horizontal="left" vertical="top" wrapText="1"/>
    </xf>
    <xf numFmtId="0" fontId="15" fillId="16" borderId="2" xfId="21" applyNumberFormat="1" applyFont="1" applyFill="1" applyBorder="1" applyAlignment="1" applyProtection="1">
      <alignment horizontal="left" vertical="top" wrapText="1"/>
    </xf>
    <xf numFmtId="0" fontId="15" fillId="16" borderId="24" xfId="21" applyNumberFormat="1" applyFont="1" applyFill="1" applyBorder="1" applyAlignment="1" applyProtection="1">
      <alignment horizontal="left" vertical="top" wrapText="1"/>
    </xf>
    <xf numFmtId="0" fontId="0" fillId="16" borderId="3" xfId="0" applyFill="1" applyBorder="1"/>
    <xf numFmtId="0" fontId="56" fillId="16" borderId="3" xfId="21" applyNumberFormat="1" applyFont="1" applyFill="1" applyBorder="1" applyAlignment="1" applyProtection="1">
      <alignment horizontal="right" vertical="top" wrapText="1"/>
    </xf>
    <xf numFmtId="0" fontId="0" fillId="14" borderId="14" xfId="0" applyFill="1" applyBorder="1"/>
    <xf numFmtId="0" fontId="15" fillId="14" borderId="0" xfId="21" applyNumberFormat="1" applyFont="1" applyFill="1" applyBorder="1" applyAlignment="1" applyProtection="1">
      <alignment horizontal="left" vertical="top" wrapText="1"/>
    </xf>
    <xf numFmtId="0" fontId="0" fillId="14" borderId="0" xfId="0" applyFill="1" applyBorder="1"/>
    <xf numFmtId="0" fontId="56" fillId="14" borderId="0" xfId="21" applyNumberFormat="1" applyFont="1" applyFill="1" applyBorder="1" applyAlignment="1" applyProtection="1">
      <alignment horizontal="right" vertical="top" wrapText="1"/>
    </xf>
    <xf numFmtId="0" fontId="0" fillId="14" borderId="13" xfId="0" applyFill="1" applyBorder="1"/>
    <xf numFmtId="4" fontId="16" fillId="14" borderId="14" xfId="22" applyNumberFormat="1" applyFont="1" applyFill="1" applyBorder="1" applyAlignment="1" applyProtection="1">
      <alignment horizontal="right"/>
    </xf>
    <xf numFmtId="4" fontId="16" fillId="14" borderId="19" xfId="22" applyNumberFormat="1" applyFont="1" applyFill="1" applyBorder="1" applyAlignment="1" applyProtection="1">
      <alignment horizontal="right"/>
    </xf>
    <xf numFmtId="4" fontId="16" fillId="14" borderId="13" xfId="22" applyNumberFormat="1" applyFont="1" applyFill="1" applyBorder="1" applyAlignment="1" applyProtection="1">
      <alignment horizontal="right"/>
    </xf>
    <xf numFmtId="0" fontId="0" fillId="14" borderId="11" xfId="0" applyFill="1" applyBorder="1"/>
    <xf numFmtId="4" fontId="16" fillId="14" borderId="0" xfId="22" applyNumberFormat="1" applyFont="1" applyFill="1" applyBorder="1" applyAlignment="1" applyProtection="1">
      <alignment horizontal="right"/>
    </xf>
    <xf numFmtId="4" fontId="22" fillId="21" borderId="17" xfId="22" applyNumberFormat="1" applyFont="1" applyFill="1" applyBorder="1" applyAlignment="1" applyProtection="1">
      <alignment horizontal="right"/>
    </xf>
    <xf numFmtId="0" fontId="0" fillId="21" borderId="0" xfId="0" applyFill="1"/>
    <xf numFmtId="4" fontId="16" fillId="14" borderId="11" xfId="22" applyNumberFormat="1" applyFont="1" applyFill="1" applyBorder="1" applyAlignment="1" applyProtection="1">
      <alignment horizontal="right"/>
    </xf>
    <xf numFmtId="4" fontId="22" fillId="21" borderId="0" xfId="22" applyNumberFormat="1" applyFont="1" applyFill="1" applyBorder="1" applyAlignment="1" applyProtection="1">
      <alignment horizontal="right"/>
    </xf>
    <xf numFmtId="4" fontId="16" fillId="14" borderId="17" xfId="22" applyNumberFormat="1" applyFont="1" applyFill="1" applyBorder="1" applyAlignment="1" applyProtection="1">
      <alignment horizontal="right"/>
    </xf>
    <xf numFmtId="3" fontId="0" fillId="14" borderId="0" xfId="0" applyNumberFormat="1" applyFill="1" applyBorder="1"/>
    <xf numFmtId="0" fontId="5" fillId="14" borderId="15" xfId="0" applyFont="1" applyFill="1" applyBorder="1"/>
    <xf numFmtId="4" fontId="15" fillId="14" borderId="15" xfId="22" applyNumberFormat="1" applyFont="1" applyFill="1" applyBorder="1" applyAlignment="1" applyProtection="1">
      <alignment horizontal="right"/>
    </xf>
    <xf numFmtId="0" fontId="5" fillId="14" borderId="1" xfId="0" applyFont="1" applyFill="1" applyBorder="1"/>
    <xf numFmtId="0" fontId="5" fillId="14" borderId="18" xfId="0" applyFont="1" applyFill="1" applyBorder="1"/>
    <xf numFmtId="0" fontId="5" fillId="16" borderId="23" xfId="0" applyFont="1" applyFill="1" applyBorder="1"/>
    <xf numFmtId="0" fontId="0" fillId="16" borderId="2" xfId="0" applyFill="1" applyBorder="1"/>
    <xf numFmtId="0" fontId="5" fillId="16" borderId="2" xfId="0" applyFont="1" applyFill="1" applyBorder="1"/>
    <xf numFmtId="0" fontId="5" fillId="16" borderId="24" xfId="0" applyFont="1" applyFill="1" applyBorder="1"/>
    <xf numFmtId="2" fontId="0" fillId="14" borderId="14" xfId="0" applyNumberFormat="1" applyFill="1" applyBorder="1"/>
    <xf numFmtId="2" fontId="0" fillId="14" borderId="19" xfId="0" applyNumberFormat="1" applyFill="1" applyBorder="1"/>
    <xf numFmtId="2" fontId="0" fillId="14" borderId="0" xfId="0" applyNumberFormat="1" applyFill="1" applyBorder="1"/>
    <xf numFmtId="2" fontId="0" fillId="14" borderId="17" xfId="0" applyNumberFormat="1" applyFill="1" applyBorder="1"/>
    <xf numFmtId="0" fontId="54" fillId="14" borderId="15" xfId="0" applyFont="1" applyFill="1" applyBorder="1"/>
    <xf numFmtId="0" fontId="54" fillId="14" borderId="1" xfId="0" applyFont="1" applyFill="1" applyBorder="1"/>
    <xf numFmtId="2" fontId="54" fillId="14" borderId="1" xfId="0" applyNumberFormat="1" applyFont="1" applyFill="1" applyBorder="1"/>
    <xf numFmtId="2" fontId="54" fillId="14" borderId="18" xfId="0" applyNumberFormat="1" applyFont="1" applyFill="1" applyBorder="1"/>
    <xf numFmtId="0" fontId="0" fillId="14" borderId="15" xfId="0" applyFill="1" applyBorder="1"/>
    <xf numFmtId="0" fontId="0" fillId="14" borderId="1" xfId="0" applyFill="1" applyBorder="1"/>
    <xf numFmtId="2" fontId="0" fillId="14" borderId="1" xfId="0" applyNumberFormat="1" applyFill="1" applyBorder="1"/>
    <xf numFmtId="2" fontId="0" fillId="14" borderId="18" xfId="0" applyNumberFormat="1" applyFill="1" applyBorder="1"/>
    <xf numFmtId="4" fontId="0" fillId="14" borderId="0" xfId="0" applyNumberFormat="1" applyFill="1" applyBorder="1"/>
    <xf numFmtId="4" fontId="0" fillId="14" borderId="14" xfId="0" applyNumberFormat="1" applyFill="1" applyBorder="1"/>
    <xf numFmtId="4" fontId="0" fillId="14" borderId="19" xfId="0" applyNumberFormat="1" applyFill="1" applyBorder="1"/>
    <xf numFmtId="4" fontId="0" fillId="14" borderId="17" xfId="0" applyNumberFormat="1" applyFill="1" applyBorder="1"/>
    <xf numFmtId="4" fontId="0" fillId="14" borderId="1" xfId="0" applyNumberFormat="1" applyFill="1" applyBorder="1"/>
    <xf numFmtId="4" fontId="0" fillId="14" borderId="18" xfId="0" applyNumberFormat="1" applyFill="1" applyBorder="1"/>
    <xf numFmtId="0" fontId="5" fillId="14" borderId="13" xfId="0" applyFont="1" applyFill="1" applyBorder="1"/>
    <xf numFmtId="0" fontId="5" fillId="14" borderId="14" xfId="0" applyFont="1" applyFill="1" applyBorder="1"/>
    <xf numFmtId="0" fontId="5" fillId="14" borderId="19" xfId="0" applyFont="1" applyFill="1" applyBorder="1"/>
    <xf numFmtId="3" fontId="57" fillId="14" borderId="14" xfId="0" applyNumberFormat="1" applyFont="1" applyFill="1" applyBorder="1"/>
    <xf numFmtId="0" fontId="5" fillId="14" borderId="11" xfId="0" applyFont="1" applyFill="1" applyBorder="1"/>
    <xf numFmtId="0" fontId="5" fillId="14" borderId="0" xfId="0" applyFont="1" applyFill="1" applyBorder="1"/>
    <xf numFmtId="0" fontId="5" fillId="14" borderId="17" xfId="0" applyFont="1" applyFill="1" applyBorder="1"/>
    <xf numFmtId="3" fontId="57" fillId="14" borderId="0" xfId="0" applyNumberFormat="1" applyFont="1" applyFill="1" applyBorder="1"/>
    <xf numFmtId="0" fontId="0" fillId="14" borderId="18" xfId="0" applyFill="1" applyBorder="1"/>
    <xf numFmtId="3" fontId="57" fillId="14" borderId="1" xfId="0" applyNumberFormat="1" applyFont="1" applyFill="1" applyBorder="1"/>
    <xf numFmtId="0" fontId="0" fillId="16" borderId="0" xfId="0" applyFill="1"/>
    <xf numFmtId="0" fontId="5" fillId="16" borderId="0" xfId="0" applyFont="1" applyFill="1"/>
    <xf numFmtId="0" fontId="5" fillId="16" borderId="0" xfId="0" applyFont="1" applyFill="1" applyBorder="1"/>
    <xf numFmtId="3" fontId="58" fillId="14" borderId="0" xfId="0" applyNumberFormat="1" applyFont="1" applyFill="1"/>
    <xf numFmtId="3" fontId="0" fillId="14" borderId="0" xfId="0" applyNumberFormat="1" applyFill="1"/>
    <xf numFmtId="3" fontId="57" fillId="14" borderId="0" xfId="0" applyNumberFormat="1" applyFont="1" applyFill="1"/>
    <xf numFmtId="0" fontId="58" fillId="14" borderId="0" xfId="0" applyFont="1" applyFill="1"/>
    <xf numFmtId="0" fontId="57" fillId="14" borderId="0" xfId="0" applyFont="1" applyFill="1"/>
    <xf numFmtId="0" fontId="59" fillId="14" borderId="0" xfId="0" applyFont="1" applyFill="1" applyBorder="1"/>
    <xf numFmtId="3" fontId="60" fillId="14" borderId="0" xfId="0" applyNumberFormat="1" applyFont="1" applyFill="1"/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45" fillId="0" borderId="0" xfId="0" applyFont="1"/>
    <xf numFmtId="1" fontId="0" fillId="0" borderId="0" xfId="0" applyNumberFormat="1"/>
    <xf numFmtId="9" fontId="0" fillId="0" borderId="0" xfId="0" applyNumberFormat="1"/>
    <xf numFmtId="0" fontId="10" fillId="0" borderId="0" xfId="0" applyFont="1"/>
    <xf numFmtId="0" fontId="7" fillId="0" borderId="0" xfId="0" applyFont="1"/>
    <xf numFmtId="0" fontId="11" fillId="0" borderId="3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9" fillId="0" borderId="3" xfId="0" applyFont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61" fillId="0" borderId="3" xfId="0" applyFont="1" applyBorder="1" applyAlignment="1">
      <alignment horizontal="center"/>
    </xf>
    <xf numFmtId="10" fontId="61" fillId="0" borderId="18" xfId="4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10" fontId="9" fillId="0" borderId="34" xfId="0" applyNumberFormat="1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43" fontId="40" fillId="0" borderId="0" xfId="0" applyNumberFormat="1" applyFont="1"/>
    <xf numFmtId="10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0" fontId="62" fillId="0" borderId="0" xfId="0" applyFont="1"/>
    <xf numFmtId="176" fontId="0" fillId="0" borderId="0" xfId="0" applyNumberFormat="1"/>
    <xf numFmtId="0" fontId="0" fillId="0" borderId="0" xfId="0" applyFont="1" applyFill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0" xfId="0" applyFill="1" applyBorder="1"/>
    <xf numFmtId="0" fontId="0" fillId="0" borderId="17" xfId="0" applyBorder="1"/>
    <xf numFmtId="0" fontId="0" fillId="0" borderId="33" xfId="0" applyFill="1" applyBorder="1"/>
    <xf numFmtId="0" fontId="0" fillId="0" borderId="13" xfId="0" applyBorder="1"/>
    <xf numFmtId="0" fontId="0" fillId="0" borderId="14" xfId="0" applyBorder="1"/>
    <xf numFmtId="0" fontId="0" fillId="0" borderId="14" xfId="0" applyFont="1" applyFill="1" applyBorder="1" applyAlignment="1">
      <alignment horizontal="center"/>
    </xf>
    <xf numFmtId="0" fontId="0" fillId="0" borderId="14" xfId="0" applyFill="1" applyBorder="1"/>
    <xf numFmtId="0" fontId="0" fillId="0" borderId="19" xfId="0" applyBorder="1"/>
    <xf numFmtId="0" fontId="0" fillId="0" borderId="6" xfId="0" applyFill="1" applyBorder="1"/>
    <xf numFmtId="9" fontId="0" fillId="0" borderId="11" xfId="1" applyFont="1" applyBorder="1"/>
    <xf numFmtId="9" fontId="0" fillId="0" borderId="0" xfId="1" applyFont="1" applyBorder="1"/>
    <xf numFmtId="9" fontId="0" fillId="0" borderId="0" xfId="1" applyFont="1" applyFill="1" applyBorder="1" applyAlignment="1">
      <alignment horizontal="right"/>
    </xf>
    <xf numFmtId="9" fontId="0" fillId="0" borderId="0" xfId="1" applyFont="1" applyFill="1" applyBorder="1"/>
    <xf numFmtId="9" fontId="0" fillId="0" borderId="17" xfId="1" applyFont="1" applyBorder="1"/>
    <xf numFmtId="9" fontId="0" fillId="0" borderId="11" xfId="0" applyNumberFormat="1" applyBorder="1"/>
    <xf numFmtId="9" fontId="0" fillId="0" borderId="0" xfId="0" applyNumberFormat="1" applyBorder="1"/>
    <xf numFmtId="176" fontId="17" fillId="0" borderId="33" xfId="9" applyFill="1" applyBorder="1"/>
    <xf numFmtId="176" fontId="17" fillId="0" borderId="33" xfId="9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14" xfId="0" applyFont="1" applyFill="1" applyBorder="1" applyAlignment="1">
      <alignment horizontal="right"/>
    </xf>
    <xf numFmtId="9" fontId="0" fillId="0" borderId="14" xfId="1" applyFont="1" applyBorder="1"/>
    <xf numFmtId="9" fontId="0" fillId="0" borderId="14" xfId="0" applyNumberFormat="1" applyBorder="1"/>
    <xf numFmtId="9" fontId="63" fillId="0" borderId="11" xfId="1" applyFont="1" applyBorder="1"/>
    <xf numFmtId="9" fontId="63" fillId="0" borderId="0" xfId="1" applyFont="1" applyBorder="1"/>
    <xf numFmtId="9" fontId="63" fillId="0" borderId="0" xfId="1" applyFont="1" applyFill="1" applyBorder="1" applyAlignment="1">
      <alignment horizontal="right"/>
    </xf>
    <xf numFmtId="9" fontId="63" fillId="0" borderId="0" xfId="1" applyFont="1" applyFill="1" applyBorder="1"/>
    <xf numFmtId="9" fontId="63" fillId="0" borderId="17" xfId="1" applyFont="1" applyBorder="1"/>
    <xf numFmtId="9" fontId="63" fillId="0" borderId="0" xfId="0" applyNumberFormat="1" applyFont="1" applyBorder="1"/>
    <xf numFmtId="9" fontId="63" fillId="0" borderId="23" xfId="0" applyNumberFormat="1" applyFont="1" applyBorder="1"/>
    <xf numFmtId="9" fontId="63" fillId="0" borderId="2" xfId="0" applyNumberFormat="1" applyFont="1" applyBorder="1"/>
    <xf numFmtId="9" fontId="63" fillId="0" borderId="2" xfId="0" applyNumberFormat="1" applyFont="1" applyBorder="1" applyAlignment="1">
      <alignment horizontal="right"/>
    </xf>
    <xf numFmtId="9" fontId="63" fillId="0" borderId="24" xfId="0" applyNumberFormat="1" applyFont="1" applyBorder="1"/>
    <xf numFmtId="9" fontId="0" fillId="0" borderId="2" xfId="0" applyNumberFormat="1" applyBorder="1"/>
    <xf numFmtId="9" fontId="0" fillId="0" borderId="2" xfId="1" applyFont="1" applyBorder="1"/>
    <xf numFmtId="176" fontId="17" fillId="0" borderId="3" xfId="9" applyFill="1" applyBorder="1" applyAlignment="1">
      <alignment horizontal="right"/>
    </xf>
    <xf numFmtId="9" fontId="0" fillId="0" borderId="17" xfId="0" applyNumberFormat="1" applyBorder="1"/>
    <xf numFmtId="0" fontId="0" fillId="0" borderId="6" xfId="0" applyBorder="1"/>
    <xf numFmtId="169" fontId="6" fillId="0" borderId="17" xfId="6" applyNumberFormat="1" applyFont="1" applyFill="1" applyBorder="1"/>
    <xf numFmtId="169" fontId="6" fillId="0" borderId="33" xfId="6" applyNumberFormat="1" applyFont="1" applyFill="1" applyBorder="1"/>
    <xf numFmtId="169" fontId="6" fillId="0" borderId="11" xfId="6" applyNumberFormat="1" applyFont="1" applyFill="1" applyBorder="1"/>
    <xf numFmtId="0" fontId="5" fillId="0" borderId="13" xfId="0" applyFont="1" applyBorder="1"/>
    <xf numFmtId="169" fontId="22" fillId="0" borderId="14" xfId="6" applyNumberFormat="1" applyFont="1" applyFill="1" applyBorder="1"/>
    <xf numFmtId="169" fontId="22" fillId="0" borderId="19" xfId="6" applyNumberFormat="1" applyFont="1" applyFill="1" applyBorder="1"/>
    <xf numFmtId="169" fontId="22" fillId="0" borderId="6" xfId="6" applyNumberFormat="1" applyFont="1" applyFill="1" applyBorder="1"/>
    <xf numFmtId="169" fontId="22" fillId="0" borderId="13" xfId="6" applyNumberFormat="1" applyFont="1" applyFill="1" applyBorder="1"/>
    <xf numFmtId="9" fontId="6" fillId="0" borderId="0" xfId="1" applyFont="1" applyFill="1" applyBorder="1"/>
    <xf numFmtId="9" fontId="6" fillId="0" borderId="17" xfId="1" applyFont="1" applyFill="1" applyBorder="1"/>
    <xf numFmtId="9" fontId="5" fillId="2" borderId="33" xfId="0" applyNumberFormat="1" applyFont="1" applyFill="1" applyBorder="1"/>
    <xf numFmtId="9" fontId="0" fillId="0" borderId="33" xfId="0" applyNumberFormat="1" applyBorder="1"/>
    <xf numFmtId="0" fontId="5" fillId="0" borderId="23" xfId="0" applyFont="1" applyBorder="1"/>
    <xf numFmtId="169" fontId="22" fillId="0" borderId="2" xfId="6" applyNumberFormat="1" applyFont="1" applyFill="1" applyBorder="1"/>
    <xf numFmtId="169" fontId="22" fillId="0" borderId="24" xfId="6" applyNumberFormat="1" applyFont="1" applyFill="1" applyBorder="1"/>
    <xf numFmtId="169" fontId="22" fillId="0" borderId="23" xfId="6" applyNumberFormat="1" applyFont="1" applyFill="1" applyBorder="1"/>
    <xf numFmtId="169" fontId="64" fillId="0" borderId="24" xfId="6" applyNumberFormat="1" applyFont="1" applyFill="1" applyBorder="1"/>
    <xf numFmtId="169" fontId="22" fillId="0" borderId="0" xfId="6" applyNumberFormat="1" applyFont="1" applyFill="1" applyBorder="1"/>
    <xf numFmtId="169" fontId="64" fillId="0" borderId="0" xfId="6" applyNumberFormat="1" applyFont="1" applyFill="1" applyBorder="1"/>
    <xf numFmtId="0" fontId="19" fillId="5" borderId="35" xfId="0" applyFont="1" applyFill="1" applyBorder="1" applyAlignment="1">
      <alignment horizontal="centerContinuous" wrapText="1"/>
    </xf>
    <xf numFmtId="0" fontId="19" fillId="5" borderId="36" xfId="0" applyFont="1" applyFill="1" applyBorder="1" applyAlignment="1">
      <alignment horizontal="centerContinuous" wrapText="1"/>
    </xf>
    <xf numFmtId="0" fontId="19" fillId="5" borderId="37" xfId="0" applyFont="1" applyFill="1" applyBorder="1" applyAlignment="1">
      <alignment horizontal="centerContinuous" wrapText="1"/>
    </xf>
    <xf numFmtId="9" fontId="0" fillId="0" borderId="19" xfId="0" applyNumberFormat="1" applyBorder="1"/>
    <xf numFmtId="9" fontId="0" fillId="0" borderId="24" xfId="0" applyNumberFormat="1" applyBorder="1"/>
    <xf numFmtId="0" fontId="19" fillId="5" borderId="38" xfId="0" applyFont="1" applyFill="1" applyBorder="1" applyAlignment="1">
      <alignment horizontal="centerContinuous" wrapText="1"/>
    </xf>
    <xf numFmtId="168" fontId="21" fillId="5" borderId="33" xfId="0" applyNumberFormat="1" applyFont="1" applyFill="1" applyBorder="1"/>
    <xf numFmtId="9" fontId="0" fillId="0" borderId="6" xfId="0" applyNumberFormat="1" applyBorder="1"/>
    <xf numFmtId="9" fontId="63" fillId="0" borderId="33" xfId="0" applyNumberFormat="1" applyFont="1" applyBorder="1"/>
    <xf numFmtId="9" fontId="63" fillId="0" borderId="3" xfId="0" applyNumberFormat="1" applyFont="1" applyBorder="1"/>
    <xf numFmtId="169" fontId="40" fillId="0" borderId="23" xfId="0" applyNumberFormat="1" applyFont="1" applyFill="1" applyBorder="1"/>
    <xf numFmtId="9" fontId="63" fillId="0" borderId="2" xfId="1" applyFont="1" applyBorder="1"/>
    <xf numFmtId="9" fontId="63" fillId="0" borderId="24" xfId="1" applyFont="1" applyBorder="1"/>
    <xf numFmtId="0" fontId="63" fillId="0" borderId="11" xfId="0" applyFont="1" applyBorder="1"/>
    <xf numFmtId="9" fontId="63" fillId="0" borderId="17" xfId="0" applyNumberFormat="1" applyFont="1" applyBorder="1"/>
    <xf numFmtId="0" fontId="0" fillId="0" borderId="15" xfId="0" applyFont="1" applyBorder="1"/>
    <xf numFmtId="9" fontId="6" fillId="0" borderId="1" xfId="1" applyFont="1" applyFill="1" applyBorder="1"/>
    <xf numFmtId="9" fontId="6" fillId="0" borderId="18" xfId="1" applyFont="1" applyFill="1" applyBorder="1"/>
    <xf numFmtId="169" fontId="22" fillId="0" borderId="3" xfId="6" applyNumberFormat="1" applyFont="1" applyFill="1" applyBorder="1"/>
    <xf numFmtId="169" fontId="17" fillId="0" borderId="17" xfId="6" applyNumberFormat="1" applyFont="1" applyFill="1" applyBorder="1"/>
    <xf numFmtId="169" fontId="64" fillId="0" borderId="19" xfId="6" applyNumberFormat="1" applyFont="1" applyFill="1" applyBorder="1"/>
    <xf numFmtId="9" fontId="17" fillId="0" borderId="17" xfId="1" applyFont="1" applyFill="1" applyBorder="1"/>
    <xf numFmtId="169" fontId="40" fillId="0" borderId="17" xfId="0" applyNumberFormat="1" applyFont="1" applyFill="1" applyBorder="1"/>
    <xf numFmtId="169" fontId="22" fillId="0" borderId="19" xfId="0" applyNumberFormat="1" applyFont="1" applyFill="1" applyBorder="1"/>
    <xf numFmtId="0" fontId="0" fillId="0" borderId="15" xfId="0" applyBorder="1"/>
    <xf numFmtId="0" fontId="0" fillId="0" borderId="0" xfId="0" applyFont="1" applyFill="1" applyAlignment="1">
      <alignment horizontal="left"/>
    </xf>
    <xf numFmtId="9" fontId="0" fillId="0" borderId="0" xfId="1" applyNumberFormat="1" applyFont="1"/>
    <xf numFmtId="171" fontId="34" fillId="0" borderId="0" xfId="0" applyNumberFormat="1" applyFont="1" applyBorder="1"/>
    <xf numFmtId="169" fontId="34" fillId="0" borderId="0" xfId="0" applyNumberFormat="1" applyFont="1" applyBorder="1"/>
    <xf numFmtId="0" fontId="3" fillId="0" borderId="0" xfId="0" applyFont="1" applyProtection="1"/>
    <xf numFmtId="171" fontId="27" fillId="0" borderId="0" xfId="0" applyNumberFormat="1" applyFont="1" applyBorder="1"/>
    <xf numFmtId="176" fontId="27" fillId="0" borderId="17" xfId="9" applyFont="1" applyFill="1" applyBorder="1"/>
    <xf numFmtId="169" fontId="27" fillId="0" borderId="17" xfId="0" applyNumberFormat="1" applyFont="1" applyFill="1" applyBorder="1"/>
    <xf numFmtId="169" fontId="16" fillId="0" borderId="39" xfId="0" applyNumberFormat="1" applyFont="1" applyFill="1" applyBorder="1"/>
    <xf numFmtId="169" fontId="16" fillId="0" borderId="40" xfId="0" applyNumberFormat="1" applyFont="1" applyFill="1" applyBorder="1"/>
    <xf numFmtId="176" fontId="17" fillId="0" borderId="40" xfId="9" applyFill="1" applyBorder="1"/>
    <xf numFmtId="176" fontId="27" fillId="0" borderId="40" xfId="9" applyFont="1" applyFill="1" applyBorder="1"/>
    <xf numFmtId="176" fontId="27" fillId="0" borderId="41" xfId="9" applyFont="1" applyFill="1" applyBorder="1"/>
    <xf numFmtId="0" fontId="21" fillId="5" borderId="13" xfId="0" applyFont="1" applyFill="1" applyBorder="1" applyAlignment="1">
      <alignment horizontal="centerContinuous" wrapText="1"/>
    </xf>
    <xf numFmtId="176" fontId="27" fillId="0" borderId="17" xfId="1" applyNumberFormat="1" applyFont="1" applyBorder="1"/>
    <xf numFmtId="10" fontId="27" fillId="0" borderId="17" xfId="1" applyNumberFormat="1" applyFont="1" applyBorder="1"/>
    <xf numFmtId="176" fontId="27" fillId="0" borderId="18" xfId="1" applyNumberFormat="1" applyFont="1" applyBorder="1"/>
    <xf numFmtId="176" fontId="17" fillId="0" borderId="34" xfId="9" applyFill="1" applyBorder="1" applyAlignment="1">
      <alignment horizontal="right"/>
    </xf>
    <xf numFmtId="171" fontId="0" fillId="0" borderId="11" xfId="0" applyNumberFormat="1" applyBorder="1"/>
    <xf numFmtId="0" fontId="0" fillId="0" borderId="1" xfId="0" applyBorder="1"/>
    <xf numFmtId="0" fontId="0" fillId="0" borderId="18" xfId="0" applyBorder="1"/>
    <xf numFmtId="167" fontId="65" fillId="0" borderId="0" xfId="0" applyNumberFormat="1" applyFont="1" applyFill="1" applyBorder="1"/>
    <xf numFmtId="0" fontId="34" fillId="0" borderId="0" xfId="0" applyFont="1" applyBorder="1"/>
    <xf numFmtId="0" fontId="27" fillId="0" borderId="2" xfId="0" applyFont="1" applyBorder="1"/>
    <xf numFmtId="171" fontId="34" fillId="0" borderId="2" xfId="0" applyNumberFormat="1" applyFont="1" applyBorder="1"/>
    <xf numFmtId="0" fontId="41" fillId="0" borderId="0" xfId="0" applyFont="1" applyBorder="1"/>
    <xf numFmtId="2" fontId="66" fillId="0" borderId="0" xfId="11" applyNumberFormat="1" applyFont="1"/>
    <xf numFmtId="0" fontId="1" fillId="0" borderId="0" xfId="14" applyFont="1">
      <alignment vertical="center"/>
    </xf>
    <xf numFmtId="0" fontId="34" fillId="0" borderId="2" xfId="0" applyFont="1" applyBorder="1"/>
    <xf numFmtId="169" fontId="15" fillId="0" borderId="2" xfId="0" applyNumberFormat="1" applyFont="1" applyFill="1" applyBorder="1"/>
    <xf numFmtId="10" fontId="34" fillId="0" borderId="0" xfId="0" applyNumberFormat="1" applyFont="1"/>
    <xf numFmtId="169" fontId="14" fillId="0" borderId="23" xfId="0" applyNumberFormat="1" applyFont="1" applyFill="1" applyBorder="1" applyAlignment="1">
      <alignment vertical="center"/>
    </xf>
    <xf numFmtId="169" fontId="14" fillId="0" borderId="2" xfId="0" applyNumberFormat="1" applyFont="1" applyFill="1" applyBorder="1" applyAlignment="1">
      <alignment vertical="center"/>
    </xf>
    <xf numFmtId="169" fontId="6" fillId="0" borderId="2" xfId="0" applyNumberFormat="1" applyFont="1" applyFill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169" fontId="6" fillId="0" borderId="24" xfId="0" applyNumberFormat="1" applyFont="1" applyFill="1" applyBorder="1" applyAlignment="1">
      <alignment vertical="center"/>
    </xf>
    <xf numFmtId="169" fontId="22" fillId="4" borderId="0" xfId="0" applyNumberFormat="1" applyFont="1" applyFill="1" applyBorder="1" applyAlignment="1">
      <alignment vertical="center"/>
    </xf>
    <xf numFmtId="0" fontId="34" fillId="0" borderId="14" xfId="0" applyFont="1" applyFill="1" applyBorder="1"/>
    <xf numFmtId="2" fontId="34" fillId="0" borderId="14" xfId="0" applyNumberFormat="1" applyFont="1" applyFill="1" applyBorder="1"/>
    <xf numFmtId="9" fontId="41" fillId="0" borderId="2" xfId="0" applyNumberFormat="1" applyFont="1" applyBorder="1" applyAlignment="1">
      <alignment horizontal="center"/>
    </xf>
    <xf numFmtId="9" fontId="41" fillId="0" borderId="1" xfId="0" applyNumberFormat="1" applyFont="1" applyBorder="1" applyAlignment="1">
      <alignment horizontal="center"/>
    </xf>
    <xf numFmtId="169" fontId="14" fillId="5" borderId="11" xfId="0" applyNumberFormat="1" applyFont="1" applyFill="1" applyBorder="1" applyAlignment="1">
      <alignment vertical="center"/>
    </xf>
    <xf numFmtId="169" fontId="14" fillId="5" borderId="0" xfId="0" applyNumberFormat="1" applyFont="1" applyFill="1" applyBorder="1" applyAlignment="1">
      <alignment vertical="center"/>
    </xf>
    <xf numFmtId="176" fontId="34" fillId="21" borderId="0" xfId="9" applyFont="1" applyFill="1" applyBorder="1"/>
    <xf numFmtId="176" fontId="34" fillId="21" borderId="17" xfId="9" applyFont="1" applyFill="1" applyBorder="1"/>
    <xf numFmtId="0" fontId="9" fillId="0" borderId="0" xfId="0" applyFont="1" applyBorder="1" applyAlignment="1">
      <alignment horizontal="center"/>
    </xf>
    <xf numFmtId="0" fontId="61" fillId="0" borderId="0" xfId="0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186" fontId="0" fillId="0" borderId="0" xfId="1" applyNumberFormat="1" applyFont="1"/>
    <xf numFmtId="187" fontId="0" fillId="0" borderId="0" xfId="0" applyNumberFormat="1"/>
    <xf numFmtId="169" fontId="34" fillId="4" borderId="0" xfId="0" applyNumberFormat="1" applyFont="1" applyFill="1"/>
    <xf numFmtId="169" fontId="34" fillId="16" borderId="0" xfId="0" applyNumberFormat="1" applyFont="1" applyFill="1"/>
    <xf numFmtId="180" fontId="27" fillId="0" borderId="0" xfId="0" applyNumberFormat="1" applyFont="1"/>
    <xf numFmtId="0" fontId="21" fillId="15" borderId="0" xfId="0" applyFont="1" applyFill="1" applyAlignment="1">
      <alignment horizontal="left"/>
    </xf>
    <xf numFmtId="0" fontId="21" fillId="15" borderId="0" xfId="0" applyFont="1" applyFill="1" applyAlignment="1">
      <alignment horizontal="center"/>
    </xf>
    <xf numFmtId="0" fontId="21" fillId="15" borderId="0" xfId="0" applyFont="1" applyFill="1" applyBorder="1" applyAlignment="1">
      <alignment horizontal="center"/>
    </xf>
    <xf numFmtId="10" fontId="27" fillId="14" borderId="31" xfId="0" applyNumberFormat="1" applyFont="1" applyFill="1" applyBorder="1" applyAlignment="1">
      <alignment horizontal="center"/>
    </xf>
    <xf numFmtId="10" fontId="34" fillId="14" borderId="31" xfId="0" applyNumberFormat="1" applyFont="1" applyFill="1" applyBorder="1" applyAlignment="1">
      <alignment horizontal="center"/>
    </xf>
    <xf numFmtId="10" fontId="27" fillId="14" borderId="32" xfId="0" applyNumberFormat="1" applyFont="1" applyFill="1" applyBorder="1" applyAlignment="1">
      <alignment horizontal="center"/>
    </xf>
    <xf numFmtId="10" fontId="34" fillId="14" borderId="32" xfId="0" applyNumberFormat="1" applyFont="1" applyFill="1" applyBorder="1" applyAlignment="1">
      <alignment horizontal="center"/>
    </xf>
    <xf numFmtId="168" fontId="21" fillId="5" borderId="0" xfId="0" applyNumberFormat="1" applyFont="1" applyFill="1" applyBorder="1" applyAlignment="1">
      <alignment horizontal="center"/>
    </xf>
    <xf numFmtId="2" fontId="6" fillId="0" borderId="23" xfId="3" applyNumberFormat="1" applyFont="1" applyBorder="1" applyAlignment="1">
      <alignment horizontal="left"/>
    </xf>
    <xf numFmtId="2" fontId="6" fillId="0" borderId="2" xfId="3" applyNumberFormat="1" applyFont="1" applyBorder="1" applyAlignment="1">
      <alignment horizontal="left"/>
    </xf>
    <xf numFmtId="0" fontId="48" fillId="11" borderId="29" xfId="14" applyFont="1" applyFill="1" applyBorder="1" applyAlignment="1">
      <alignment horizontal="center" vertical="center" wrapText="1"/>
    </xf>
    <xf numFmtId="0" fontId="49" fillId="0" borderId="30" xfId="14" applyFont="1" applyBorder="1" applyAlignment="1">
      <alignment horizontal="center" vertical="center" wrapText="1"/>
    </xf>
    <xf numFmtId="0" fontId="55" fillId="16" borderId="13" xfId="0" applyFont="1" applyFill="1" applyBorder="1" applyAlignment="1">
      <alignment horizontal="center" vertical="center"/>
    </xf>
    <xf numFmtId="0" fontId="55" fillId="16" borderId="14" xfId="0" applyFont="1" applyFill="1" applyBorder="1" applyAlignment="1">
      <alignment horizontal="center" vertical="center"/>
    </xf>
    <xf numFmtId="0" fontId="55" fillId="16" borderId="19" xfId="0" applyFont="1" applyFill="1" applyBorder="1" applyAlignment="1">
      <alignment horizontal="center" vertical="center"/>
    </xf>
    <xf numFmtId="0" fontId="55" fillId="16" borderId="15" xfId="0" applyFont="1" applyFill="1" applyBorder="1" applyAlignment="1">
      <alignment horizontal="center" vertical="center"/>
    </xf>
    <xf numFmtId="0" fontId="55" fillId="16" borderId="1" xfId="0" applyFont="1" applyFill="1" applyBorder="1" applyAlignment="1">
      <alignment horizontal="center" vertical="center"/>
    </xf>
    <xf numFmtId="0" fontId="55" fillId="16" borderId="18" xfId="0" applyFont="1" applyFill="1" applyBorder="1" applyAlignment="1">
      <alignment horizontal="center" vertical="center"/>
    </xf>
  </cellXfs>
  <cellStyles count="23">
    <cellStyle name="Check" xfId="7"/>
    <cellStyle name="Comma 2" xfId="17"/>
    <cellStyle name="fa_data_bold_2_grouped" xfId="22"/>
    <cellStyle name="fa_row_header_bold" xfId="21"/>
    <cellStyle name="Input - comma" xfId="6"/>
    <cellStyle name="Input - percentage" xfId="9"/>
    <cellStyle name="Milliers" xfId="10" builtinId="3"/>
    <cellStyle name="Milliers 2" xfId="12"/>
    <cellStyle name="Monétaire 2" xfId="5"/>
    <cellStyle name="Monétaire 4" xfId="8"/>
    <cellStyle name="Normal" xfId="0" builtinId="0"/>
    <cellStyle name="Normal 2" xfId="3"/>
    <cellStyle name="Normal 3" xfId="11"/>
    <cellStyle name="Normal 4" xfId="14"/>
    <cellStyle name="Percent 2" xfId="18"/>
    <cellStyle name="Percent 3" xfId="19"/>
    <cellStyle name="Pourcentage" xfId="1" builtinId="5"/>
    <cellStyle name="Pourcentage 2" xfId="4"/>
    <cellStyle name="Pourcentage 3" xfId="13"/>
    <cellStyle name="Pourcentage 4" xfId="15"/>
    <cellStyle name="常规 3" xfId="2"/>
    <cellStyle name="常规 4" xfId="20"/>
    <cellStyle name="百分比 2" xfId="16"/>
  </cellStyles>
  <dxfs count="4">
    <dxf>
      <font>
        <color rgb="FF006100"/>
      </font>
      <fill>
        <patternFill>
          <bgColor rgb="FFC6EFCE"/>
        </patternFill>
      </fill>
    </dxf>
    <dxf>
      <border>
        <left/>
        <right/>
        <top/>
        <bottom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SG&amp;A</a:t>
            </a:r>
            <a:r>
              <a:rPr lang="fr-FR" baseline="0"/>
              <a:t> Regression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862073490813649"/>
                  <c:y val="0.13966427624538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6084864391950998E-3"/>
                  <c:y val="0.186144607177652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Assumption!$D$16:$F$16</c:f>
              <c:numCache>
                <c:formatCode>0.0%</c:formatCode>
                <c:ptCount val="3"/>
                <c:pt idx="0">
                  <c:v>0.34993310611693734</c:v>
                </c:pt>
                <c:pt idx="1">
                  <c:v>0.34333725299889117</c:v>
                </c:pt>
                <c:pt idx="2">
                  <c:v>0.29027414532865803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2-46E7-8A51-4AC07F180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35232"/>
        <c:axId val="43937152"/>
      </c:scatterChart>
      <c:valAx>
        <c:axId val="4393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37152"/>
        <c:crosses val="autoZero"/>
        <c:crossBetween val="midCat"/>
      </c:valAx>
      <c:valAx>
        <c:axId val="439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3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COGS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Assumption!$D$14:$F$14</c:f>
              <c:numCache>
                <c:formatCode>0.0%</c:formatCode>
                <c:ptCount val="3"/>
                <c:pt idx="0">
                  <c:v>0.18576793242661499</c:v>
                </c:pt>
                <c:pt idx="1">
                  <c:v>0.20692595071169984</c:v>
                </c:pt>
                <c:pt idx="2">
                  <c:v>0.20443992956390314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8-4C04-95CD-D4BE0086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2576"/>
        <c:axId val="143354496"/>
      </c:scatterChart>
      <c:valAx>
        <c:axId val="1433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54496"/>
        <c:crosses val="autoZero"/>
        <c:crossBetween val="midCat"/>
      </c:valAx>
      <c:valAx>
        <c:axId val="1433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Capex</a:t>
            </a:r>
            <a:r>
              <a:rPr lang="fr-FR" baseline="0"/>
              <a:t> as % of sales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612204724409449E-2"/>
                  <c:y val="-4.8763487897346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(Assumption!$D$28:$F$28,Assumption!$H$28)</c:f>
              <c:numCache>
                <c:formatCode>0.0%</c:formatCode>
                <c:ptCount val="4"/>
                <c:pt idx="0">
                  <c:v>0.31260829345617475</c:v>
                </c:pt>
                <c:pt idx="1">
                  <c:v>0.21844317362190402</c:v>
                </c:pt>
                <c:pt idx="2">
                  <c:v>0.15201162185697237</c:v>
                </c:pt>
                <c:pt idx="3">
                  <c:v>0.16352849851685461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C-4278-8D7C-24EEB9BC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55744"/>
        <c:axId val="190121856"/>
      </c:scatterChart>
      <c:valAx>
        <c:axId val="18945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121856"/>
        <c:crosses val="autoZero"/>
        <c:crossBetween val="midCat"/>
      </c:valAx>
      <c:valAx>
        <c:axId val="1901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45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PPE as % of</a:t>
            </a:r>
            <a:r>
              <a:rPr lang="fr-FR" baseline="0"/>
              <a:t> sales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940069991251096E-3"/>
                  <c:y val="0.276911271507728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Assumption!$D$26:$H$26</c:f>
              <c:numCache>
                <c:formatCode>0.0%</c:formatCode>
                <c:ptCount val="5"/>
                <c:pt idx="0">
                  <c:v>0.11556208351501294</c:v>
                </c:pt>
                <c:pt idx="1">
                  <c:v>0.11940384836736193</c:v>
                </c:pt>
                <c:pt idx="2">
                  <c:v>0.14791233804970033</c:v>
                </c:pt>
                <c:pt idx="3">
                  <c:v>0.16923047807374131</c:v>
                </c:pt>
                <c:pt idx="4">
                  <c:v>0.16352849851685461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5-42AC-9BD1-E169E0A2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70208"/>
        <c:axId val="191071744"/>
      </c:scatterChart>
      <c:valAx>
        <c:axId val="19107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71744"/>
        <c:crosses val="autoZero"/>
        <c:crossBetween val="midCat"/>
      </c:valAx>
      <c:valAx>
        <c:axId val="1910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7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Cost</a:t>
            </a:r>
            <a:r>
              <a:rPr lang="fr-FR" baseline="0"/>
              <a:t> structure of comparable companies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695042430041061E-2"/>
          <c:y val="0.14079241858696773"/>
          <c:w val="0.9147620340560878"/>
          <c:h val="0.684314526060061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'Value of Control Inputs'!$H$17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3243314370430115E-2"/>
                  <c:y val="-3.87460495611089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6D-475F-B37A-591817409A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'Value of Control Inputs'!$G$18:$G$23</c:f>
              <c:strCache>
                <c:ptCount val="6"/>
                <c:pt idx="0">
                  <c:v>COGS as % of sales</c:v>
                </c:pt>
                <c:pt idx="1">
                  <c:v>SG&amp;A as % of sales</c:v>
                </c:pt>
                <c:pt idx="2">
                  <c:v>R&amp;D as % of sales</c:v>
                </c:pt>
                <c:pt idx="3">
                  <c:v>NC-WC as % of sales</c:v>
                </c:pt>
                <c:pt idx="4">
                  <c:v>PPE as % of sales</c:v>
                </c:pt>
                <c:pt idx="5">
                  <c:v>% margin</c:v>
                </c:pt>
              </c:strCache>
            </c:strRef>
          </c:cat>
          <c:val>
            <c:numRef>
              <c:f>'Value of Control Inputs'!$H$18:$H$23</c:f>
              <c:numCache>
                <c:formatCode>0%</c:formatCode>
                <c:ptCount val="6"/>
                <c:pt idx="0">
                  <c:v>8.4540142784448449E-2</c:v>
                </c:pt>
                <c:pt idx="1">
                  <c:v>0.12811060429565929</c:v>
                </c:pt>
                <c:pt idx="2">
                  <c:v>6.7478553921568624E-2</c:v>
                </c:pt>
                <c:pt idx="3">
                  <c:v>-8.9978197584220709E-2</c:v>
                </c:pt>
                <c:pt idx="4">
                  <c:v>8.8212095976813398E-2</c:v>
                </c:pt>
                <c:pt idx="5">
                  <c:v>0.21124387254901961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1-42AE-80AB-302377B7E766}"/>
            </c:ext>
          </c:extLst>
        </c:ser>
        <c:ser>
          <c:idx val="1"/>
          <c:order val="1"/>
          <c:tx>
            <c:strRef>
              <c:f>'Value of Control Inputs'!$L$17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'Value of Control Inputs'!$G$18:$G$23</c:f>
              <c:strCache>
                <c:ptCount val="6"/>
                <c:pt idx="0">
                  <c:v>COGS as % of sales</c:v>
                </c:pt>
                <c:pt idx="1">
                  <c:v>SG&amp;A as % of sales</c:v>
                </c:pt>
                <c:pt idx="2">
                  <c:v>R&amp;D as % of sales</c:v>
                </c:pt>
                <c:pt idx="3">
                  <c:v>NC-WC as % of sales</c:v>
                </c:pt>
                <c:pt idx="4">
                  <c:v>PPE as % of sales</c:v>
                </c:pt>
                <c:pt idx="5">
                  <c:v>% margin</c:v>
                </c:pt>
              </c:strCache>
            </c:strRef>
          </c:cat>
          <c:val>
            <c:numRef>
              <c:f>'Value of Control Inputs'!$L$18:$L$23</c:f>
              <c:numCache>
                <c:formatCode>0%</c:formatCode>
                <c:ptCount val="6"/>
                <c:pt idx="0">
                  <c:v>0.49862132352941174</c:v>
                </c:pt>
                <c:pt idx="1">
                  <c:v>0.26459841891981667</c:v>
                </c:pt>
                <c:pt idx="2">
                  <c:v>0.3112449993035914</c:v>
                </c:pt>
                <c:pt idx="3">
                  <c:v>7.2875838703248527E-2</c:v>
                </c:pt>
                <c:pt idx="4">
                  <c:v>0.40287990196078433</c:v>
                </c:pt>
                <c:pt idx="5">
                  <c:v>0.5205721926882716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1-42AE-80AB-302377B7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71060632"/>
        <c:axId val="571057680"/>
      </c:barChart>
      <c:valAx>
        <c:axId val="5710576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060632"/>
        <c:crosses val="autoZero"/>
        <c:crossBetween val="between"/>
      </c:valAx>
      <c:catAx>
        <c:axId val="57106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05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9264599023053"/>
          <c:y val="0.9182686752267295"/>
          <c:w val="0.20614708019538955"/>
          <c:h val="8.1731324773270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 Value of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370259719243441"/>
                  <c:y val="-6.4654138303911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'Free Cash Flow'!$E$51:$I$51</c:f>
              <c:numCache>
                <c:formatCode>#\ ##0.0</c:formatCode>
                <c:ptCount val="5"/>
                <c:pt idx="0">
                  <c:v>5786740</c:v>
                </c:pt>
                <c:pt idx="1">
                  <c:v>7423310</c:v>
                </c:pt>
                <c:pt idx="2">
                  <c:v>7437900</c:v>
                </c:pt>
                <c:pt idx="3">
                  <c:v>7808252</c:v>
                </c:pt>
                <c:pt idx="4">
                  <c:v>8693513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C7-45D9-A931-1AE71BA4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51264"/>
        <c:axId val="205453184"/>
      </c:scatterChart>
      <c:valAx>
        <c:axId val="2054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453184"/>
        <c:crosses val="autoZero"/>
        <c:crossBetween val="midCat"/>
      </c:valAx>
      <c:valAx>
        <c:axId val="2054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45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Valuation Sensitivities on 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('Sensitivity Analysis'!$J$23,'Sensitivity Analysis'!$J$25)</c:f>
              <c:numCache>
                <c:formatCode>0.0</c:formatCode>
                <c:ptCount val="2"/>
                <c:pt idx="0">
                  <c:v>-359.00890673057438</c:v>
                </c:pt>
                <c:pt idx="1">
                  <c:v>-336.6635271104733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7-4DB0-A0FD-45A5F1CB1F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('Sensitivity Analysis'!$J$24,'Sensitivity Analysis'!$J$26)</c:f>
              <c:numCache>
                <c:formatCode>0.0</c:formatCode>
                <c:ptCount val="2"/>
                <c:pt idx="0">
                  <c:v>364.55582924092778</c:v>
                </c:pt>
                <c:pt idx="1">
                  <c:v>336.65279249182822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7-4DB0-A0FD-45A5F1CB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46205496"/>
        <c:axId val="646208776"/>
      </c:barChart>
      <c:catAx>
        <c:axId val="646205496"/>
        <c:scaling>
          <c:orientation val="minMax"/>
        </c:scaling>
        <c:delete val="1"/>
        <c:axPos val="l"/>
        <c:majorTickMark val="none"/>
        <c:minorTickMark val="none"/>
        <c:tickLblPos val="nextTo"/>
        <c:crossAx val="646208776"/>
        <c:crosses val="autoZero"/>
        <c:auto val="1"/>
        <c:lblAlgn val="ctr"/>
        <c:lblOffset val="100"/>
        <c:noMultiLvlLbl val="0"/>
      </c:catAx>
      <c:valAx>
        <c:axId val="6462087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620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Multiples!$B$6:$B$10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Multiples!$D$6:$D$10</c:f>
              <c:numCache>
                <c:formatCode>#,##0.00</c:formatCode>
                <c:ptCount val="5"/>
                <c:pt idx="0">
                  <c:v>3.13</c:v>
                </c:pt>
                <c:pt idx="1">
                  <c:v>7.3</c:v>
                </c:pt>
                <c:pt idx="2">
                  <c:v>3.27</c:v>
                </c:pt>
                <c:pt idx="3">
                  <c:v>2.44</c:v>
                </c:pt>
                <c:pt idx="4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B-4D9F-B416-A7D6E227D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215192"/>
        <c:axId val="437215848"/>
      </c:barChart>
      <c:catAx>
        <c:axId val="43721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15848"/>
        <c:crosses val="autoZero"/>
        <c:auto val="1"/>
        <c:lblAlgn val="ctr"/>
        <c:lblOffset val="100"/>
        <c:noMultiLvlLbl val="0"/>
      </c:catAx>
      <c:valAx>
        <c:axId val="43721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1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Multiples!$B$6:$B$10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Multiples!$E$6:$E$10</c:f>
              <c:numCache>
                <c:formatCode>#,##0.00</c:formatCode>
                <c:ptCount val="5"/>
                <c:pt idx="0">
                  <c:v>7.18</c:v>
                </c:pt>
                <c:pt idx="1">
                  <c:v>21.2</c:v>
                </c:pt>
                <c:pt idx="2">
                  <c:v>9.6300000000000008</c:v>
                </c:pt>
                <c:pt idx="3">
                  <c:v>11.11</c:v>
                </c:pt>
                <c:pt idx="4">
                  <c:v>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376-B9EF-B9F8841C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094384"/>
        <c:axId val="535088808"/>
      </c:barChart>
      <c:catAx>
        <c:axId val="5350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088808"/>
        <c:crosses val="autoZero"/>
        <c:auto val="1"/>
        <c:lblAlgn val="ctr"/>
        <c:lblOffset val="100"/>
        <c:noMultiLvlLbl val="0"/>
      </c:catAx>
      <c:valAx>
        <c:axId val="5350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0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Multiples!$B$6:$B$10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Multiples!$F$6:$F$10</c:f>
              <c:numCache>
                <c:formatCode>#,##0.00</c:formatCode>
                <c:ptCount val="5"/>
                <c:pt idx="0">
                  <c:v>8.5</c:v>
                </c:pt>
                <c:pt idx="1">
                  <c:v>26.75</c:v>
                </c:pt>
                <c:pt idx="2">
                  <c:v>12.36</c:v>
                </c:pt>
                <c:pt idx="3">
                  <c:v>14.67</c:v>
                </c:pt>
                <c:pt idx="4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3-426F-A900-2F784C03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61240"/>
        <c:axId val="535365504"/>
      </c:barChart>
      <c:catAx>
        <c:axId val="53536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65504"/>
        <c:crosses val="autoZero"/>
        <c:auto val="1"/>
        <c:lblAlgn val="ctr"/>
        <c:lblOffset val="100"/>
        <c:noMultiLvlLbl val="0"/>
      </c:catAx>
      <c:valAx>
        <c:axId val="5353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6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Multiples!$I$7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Multiples!$I$8:$I$11</c:f>
              <c:numCache>
                <c:formatCode>#,##0</c:formatCode>
                <c:ptCount val="4"/>
                <c:pt idx="0">
                  <c:v>9759865.7999999989</c:v>
                </c:pt>
                <c:pt idx="1">
                  <c:v>3273814.34</c:v>
                </c:pt>
                <c:pt idx="2">
                  <c:v>-335580</c:v>
                </c:pt>
                <c:pt idx="3">
                  <c:v>15253539.249087363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C-45ED-BE24-3950869BAB64}"/>
            </c:ext>
          </c:extLst>
        </c:ser>
        <c:ser>
          <c:idx val="1"/>
          <c:order val="1"/>
          <c:tx>
            <c:strRef>
              <c:f>Multiples!$J$7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Multiples!$J$8:$J$11</c:f>
              <c:numCache>
                <c:formatCode>#,##0</c:formatCode>
                <c:ptCount val="4"/>
                <c:pt idx="0">
                  <c:v>2759962.0500000007</c:v>
                </c:pt>
                <c:pt idx="1">
                  <c:v>706742.65000000037</c:v>
                </c:pt>
                <c:pt idx="2">
                  <c:v>-32768.400000000023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C-45ED-BE24-3950869BAB64}"/>
            </c:ext>
          </c:extLst>
        </c:ser>
        <c:ser>
          <c:idx val="2"/>
          <c:order val="2"/>
          <c:tx>
            <c:strRef>
              <c:f>Multiples!$K$7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Multiples!$K$8:$K$11</c:f>
              <c:numCache>
                <c:formatCode>#,##0</c:formatCode>
                <c:ptCount val="4"/>
                <c:pt idx="0">
                  <c:v>559992.30000000075</c:v>
                </c:pt>
                <c:pt idx="1">
                  <c:v>410366.70000000019</c:v>
                </c:pt>
                <c:pt idx="2">
                  <c:v>-119624.39999999997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CC-45ED-BE24-3950869BAB64}"/>
            </c:ext>
          </c:extLst>
        </c:ser>
        <c:ser>
          <c:idx val="3"/>
          <c:order val="3"/>
          <c:tx>
            <c:strRef>
              <c:f>Multiples!$L$7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Multiples!$L$8:$L$11</c:f>
              <c:numCache>
                <c:formatCode>#,##0</c:formatCode>
                <c:ptCount val="4"/>
                <c:pt idx="0">
                  <c:v>12959821.799999999</c:v>
                </c:pt>
                <c:pt idx="1">
                  <c:v>2975158.5750000002</c:v>
                </c:pt>
                <c:pt idx="2">
                  <c:v>-329658.00000000006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CC-45ED-BE24-3950869BAB64}"/>
            </c:ext>
          </c:extLst>
        </c:ser>
        <c:ser>
          <c:idx val="4"/>
          <c:order val="4"/>
          <c:tx>
            <c:strRef>
              <c:f>Multiples!$M$7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Multiples!$M$8:$M$11</c:f>
              <c:numCache>
                <c:formatCode>#,##0</c:formatCode>
                <c:ptCount val="4"/>
                <c:pt idx="0">
                  <c:v>3159956.5500000007</c:v>
                </c:pt>
                <c:pt idx="1">
                  <c:v>2300333.334999999</c:v>
                </c:pt>
                <c:pt idx="2">
                  <c:v>-238459.19999999995</c:v>
                </c:pt>
                <c:pt idx="3">
                  <c:v>20060393.373204231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C-45ED-BE24-3950869B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252736"/>
        <c:axId val="589253392"/>
      </c:barChart>
      <c:catAx>
        <c:axId val="58925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253392"/>
        <c:crosses val="autoZero"/>
        <c:auto val="1"/>
        <c:lblAlgn val="ctr"/>
        <c:lblOffset val="100"/>
        <c:noMultiLvlLbl val="0"/>
      </c:catAx>
      <c:valAx>
        <c:axId val="5892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2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39</xdr:row>
          <xdr:rowOff>104775</xdr:rowOff>
        </xdr:from>
        <xdr:to>
          <xdr:col>5</xdr:col>
          <xdr:colOff>533400</xdr:colOff>
          <xdr:row>41</xdr:row>
          <xdr:rowOff>133350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1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387350</xdr:colOff>
      <xdr:row>4</xdr:row>
      <xdr:rowOff>79374</xdr:rowOff>
    </xdr:from>
    <xdr:to>
      <xdr:col>41</xdr:col>
      <xdr:colOff>387350</xdr:colOff>
      <xdr:row>21</xdr:row>
      <xdr:rowOff>98424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306916</xdr:colOff>
      <xdr:row>4</xdr:row>
      <xdr:rowOff>78318</xdr:rowOff>
    </xdr:from>
    <xdr:to>
      <xdr:col>35</xdr:col>
      <xdr:colOff>306916</xdr:colOff>
      <xdr:row>21</xdr:row>
      <xdr:rowOff>91018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476250</xdr:colOff>
      <xdr:row>4</xdr:row>
      <xdr:rowOff>78317</xdr:rowOff>
    </xdr:from>
    <xdr:to>
      <xdr:col>47</xdr:col>
      <xdr:colOff>476250</xdr:colOff>
      <xdr:row>21</xdr:row>
      <xdr:rowOff>91017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751417</xdr:colOff>
      <xdr:row>16</xdr:row>
      <xdr:rowOff>25400</xdr:rowOff>
    </xdr:from>
    <xdr:to>
      <xdr:col>26</xdr:col>
      <xdr:colOff>751417</xdr:colOff>
      <xdr:row>30</xdr:row>
      <xdr:rowOff>101600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7124</xdr:colOff>
      <xdr:row>27</xdr:row>
      <xdr:rowOff>22412</xdr:rowOff>
    </xdr:from>
    <xdr:to>
      <xdr:col>21</xdr:col>
      <xdr:colOff>750794</xdr:colOff>
      <xdr:row>39</xdr:row>
      <xdr:rowOff>168089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481853</xdr:colOff>
      <xdr:row>48</xdr:row>
      <xdr:rowOff>17930</xdr:rowOff>
    </xdr:from>
    <xdr:to>
      <xdr:col>25</xdr:col>
      <xdr:colOff>437029</xdr:colOff>
      <xdr:row>67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27</xdr:row>
      <xdr:rowOff>0</xdr:rowOff>
    </xdr:from>
    <xdr:to>
      <xdr:col>8</xdr:col>
      <xdr:colOff>152400</xdr:colOff>
      <xdr:row>41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54</xdr:row>
      <xdr:rowOff>75025</xdr:rowOff>
    </xdr:from>
    <xdr:to>
      <xdr:col>5</xdr:col>
      <xdr:colOff>1051560</xdr:colOff>
      <xdr:row>69</xdr:row>
      <xdr:rowOff>75026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69</xdr:row>
      <xdr:rowOff>120746</xdr:rowOff>
    </xdr:from>
    <xdr:to>
      <xdr:col>5</xdr:col>
      <xdr:colOff>1051560</xdr:colOff>
      <xdr:row>84</xdr:row>
      <xdr:rowOff>120745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85</xdr:row>
      <xdr:rowOff>69069</xdr:rowOff>
    </xdr:from>
    <xdr:to>
      <xdr:col>5</xdr:col>
      <xdr:colOff>1051560</xdr:colOff>
      <xdr:row>100</xdr:row>
      <xdr:rowOff>69069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11</xdr:row>
      <xdr:rowOff>175592</xdr:rowOff>
    </xdr:from>
    <xdr:to>
      <xdr:col>13</xdr:col>
      <xdr:colOff>26505</xdr:colOff>
      <xdr:row>24</xdr:row>
      <xdr:rowOff>162340</xdr:rowOff>
    </xdr:to>
    <xdr:graphicFrame macro="">
      <xdr:nvGraphicFramePr>
        <xdr:cNvPr id="9" name="Diagramm 13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EVA\terminal-multi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wnloads\170401-EBS-Operating-Model-Lecture-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tor\My%20Documents\M&amp;A%20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wnloads\GENZYME_Valuation_Model-new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cuments\EBS\M&amp;A\Valuation%20Models\Old\GENZYME_Valuation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Acc-Dil"/>
      <sheetName val="Contrib"/>
      <sheetName val="PPR"/>
      <sheetName val="S&amp;U"/>
      <sheetName val="GAAP"/>
      <sheetName val="PF BS"/>
      <sheetName val="PF P&amp;L"/>
      <sheetName val="Buyer P&amp;L"/>
      <sheetName val="Target P&amp;L"/>
      <sheetName val="DCF"/>
    </sheetNames>
    <sheetDataSet>
      <sheetData sheetId="0">
        <row r="7">
          <cell r="T7">
            <v>3</v>
          </cell>
        </row>
        <row r="8">
          <cell r="H8" t="str">
            <v>BuyerCo</v>
          </cell>
          <cell r="L8" t="str">
            <v>TargetCo</v>
          </cell>
          <cell r="T8">
            <v>0.4</v>
          </cell>
        </row>
        <row r="11">
          <cell r="J11">
            <v>31.75</v>
          </cell>
          <cell r="N11">
            <v>12.81</v>
          </cell>
          <cell r="T11">
            <v>1</v>
          </cell>
        </row>
        <row r="12">
          <cell r="T12">
            <v>0</v>
          </cell>
        </row>
        <row r="13">
          <cell r="T13">
            <v>0</v>
          </cell>
        </row>
        <row r="16">
          <cell r="T16">
            <v>0.06</v>
          </cell>
        </row>
        <row r="20">
          <cell r="T20">
            <v>0.02</v>
          </cell>
        </row>
        <row r="21">
          <cell r="T21">
            <v>100</v>
          </cell>
        </row>
        <row r="24">
          <cell r="T24">
            <v>30</v>
          </cell>
        </row>
        <row r="28">
          <cell r="T28">
            <v>1</v>
          </cell>
        </row>
        <row r="32">
          <cell r="H32">
            <v>39355</v>
          </cell>
        </row>
        <row r="39">
          <cell r="T39">
            <v>0.13768115942028988</v>
          </cell>
        </row>
        <row r="40">
          <cell r="T40" t="str">
            <v>FY</v>
          </cell>
        </row>
        <row r="41">
          <cell r="T41" t="str">
            <v>Cash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ssumptions"/>
      <sheetName val="Income Statement"/>
      <sheetName val="Balance Sheet"/>
      <sheetName val="Cash Flow Statement"/>
      <sheetName val="LBO Control"/>
      <sheetName val="LBO Model"/>
      <sheetName val="DCF Model"/>
    </sheetNames>
    <sheetDataSet>
      <sheetData sheetId="0">
        <row r="5">
          <cell r="D5" t="str">
            <v>Project EBS</v>
          </cell>
        </row>
        <row r="9">
          <cell r="D9" t="str">
            <v>€m</v>
          </cell>
        </row>
        <row r="11">
          <cell r="D11">
            <v>2017</v>
          </cell>
        </row>
        <row r="13">
          <cell r="D13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rger --&gt;&gt;"/>
      <sheetName val="Contribution"/>
      <sheetName val="Acc-Dil"/>
      <sheetName val="PPR"/>
      <sheetName val="S&amp;U"/>
      <sheetName val="GAAP"/>
      <sheetName val="Pro Forma --&gt;&gt;"/>
      <sheetName val="BS"/>
      <sheetName val="IS"/>
      <sheetName val="Inputs --&gt;&gt;"/>
      <sheetName val="Acquirer"/>
      <sheetName val="Target"/>
      <sheetName val="Valuation --&gt;&gt;"/>
      <sheetName val="LBO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4">
          <cell r="AF34">
            <v>2.7799999999999998E-2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 &gt;&gt;&gt;&gt;"/>
      <sheetName val="Cost of Equity"/>
      <sheetName val="WACC"/>
      <sheetName val="FINANCIALS &gt;&gt;&gt;&gt;"/>
      <sheetName val="Assumption"/>
      <sheetName val="Value of Control Inputs"/>
      <sheetName val="Balance Sheet"/>
      <sheetName val="Income Statement"/>
      <sheetName val="Cash Flow Statement"/>
      <sheetName val="ADJUSTMENTS &gt;&gt;&gt;&gt;"/>
      <sheetName val="Operating lease converter"/>
      <sheetName val="R&amp;D converter"/>
      <sheetName val="VALUATION &gt;&gt;&gt;&gt;"/>
      <sheetName val="Free Cash Flow"/>
      <sheetName val="Tax Shield"/>
      <sheetName val="Costs of Financial Distress"/>
      <sheetName val="Sensitivity Analysis"/>
      <sheetName val="Opti K structure"/>
      <sheetName val="Multiples"/>
    </sheetNames>
    <sheetDataSet>
      <sheetData sheetId="0"/>
      <sheetData sheetId="1">
        <row r="35">
          <cell r="B35">
            <v>0.57378461970725458</v>
          </cell>
        </row>
      </sheetData>
      <sheetData sheetId="2">
        <row r="28">
          <cell r="D28">
            <v>0.10112406015821113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3">
          <cell r="N63">
            <v>4.3279999999999999E-2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"/>
      <sheetName val="Assumption"/>
      <sheetName val="Balance Sheet"/>
      <sheetName val="Income Statement"/>
      <sheetName val="Cash Flow Statement"/>
      <sheetName val="Operating lease converter"/>
      <sheetName val="R&amp;D converter"/>
      <sheetName val="Free Cash Flow"/>
      <sheetName val="Tax Shield"/>
      <sheetName val="Costs of Financial Distress"/>
      <sheetName val="Opti K structure"/>
    </sheetNames>
    <sheetDataSet>
      <sheetData sheetId="0">
        <row r="15">
          <cell r="G15">
            <v>1439386.1732042332</v>
          </cell>
        </row>
        <row r="19">
          <cell r="G19">
            <v>18621007.199999999</v>
          </cell>
        </row>
        <row r="21">
          <cell r="G21">
            <v>20060393.373204231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9">
          <cell r="J9">
            <v>455963</v>
          </cell>
        </row>
        <row r="11">
          <cell r="J11">
            <v>-495443</v>
          </cell>
        </row>
        <row r="16">
          <cell r="D16">
            <v>275761.2</v>
          </cell>
          <cell r="E16">
            <v>373874.39999999997</v>
          </cell>
          <cell r="F16">
            <v>258321.59999999998</v>
          </cell>
          <cell r="G16">
            <v>223395.6</v>
          </cell>
          <cell r="H16">
            <v>-23688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"/>
  <sheetViews>
    <sheetView workbookViewId="0">
      <selection activeCell="B4" sqref="B4"/>
    </sheetView>
  </sheetViews>
  <sheetFormatPr baseColWidth="10" defaultRowHeight="15"/>
  <cols>
    <col min="1" max="16384" width="11.42578125" style="30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A1:J55"/>
  <sheetViews>
    <sheetView zoomScale="70" zoomScaleNormal="70" workbookViewId="0">
      <selection activeCell="B21" sqref="B21"/>
    </sheetView>
  </sheetViews>
  <sheetFormatPr baseColWidth="10" defaultColWidth="9.140625" defaultRowHeight="15"/>
  <cols>
    <col min="1" max="1" width="21.42578125" customWidth="1"/>
    <col min="2" max="2" width="12.7109375" bestFit="1" customWidth="1"/>
    <col min="3" max="5" width="12.42578125" customWidth="1"/>
    <col min="7" max="10" width="21" customWidth="1"/>
    <col min="11" max="11" width="24" customWidth="1"/>
  </cols>
  <sheetData>
    <row r="1" spans="1:10" ht="29.25">
      <c r="A1" s="67"/>
      <c r="B1" s="285" t="s">
        <v>367</v>
      </c>
      <c r="C1" s="68" t="s">
        <v>368</v>
      </c>
      <c r="D1" s="68" t="s">
        <v>369</v>
      </c>
      <c r="E1" s="68" t="s">
        <v>370</v>
      </c>
      <c r="F1" s="67" t="s">
        <v>371</v>
      </c>
      <c r="G1" s="67" t="s">
        <v>372</v>
      </c>
      <c r="H1" s="67" t="s">
        <v>373</v>
      </c>
      <c r="I1" s="67" t="s">
        <v>374</v>
      </c>
      <c r="J1" s="67" t="s">
        <v>375</v>
      </c>
    </row>
    <row r="2" spans="1:10">
      <c r="A2" s="68" t="s">
        <v>376</v>
      </c>
      <c r="B2" s="67">
        <v>0.70799999999999996</v>
      </c>
      <c r="C2" s="67" t="s">
        <v>377</v>
      </c>
      <c r="D2" s="286">
        <v>0.4</v>
      </c>
      <c r="E2" s="287">
        <v>0.82399999999999995</v>
      </c>
      <c r="F2" s="67">
        <f t="shared" ref="F2:F24" si="0">B2*E2</f>
        <v>0.58339199999999991</v>
      </c>
      <c r="G2" s="287">
        <f>1-E2</f>
        <v>0.17600000000000005</v>
      </c>
      <c r="H2" s="287">
        <f>G2/E2</f>
        <v>0.21359223300970881</v>
      </c>
      <c r="I2" s="287">
        <f>$B$30+F2*$B$29</f>
        <v>0.10661959462004915</v>
      </c>
      <c r="J2" s="288">
        <f>B2/(1+H2*(1-D2))</f>
        <v>0.62757314974182443</v>
      </c>
    </row>
    <row r="3" spans="1:10">
      <c r="A3" s="68" t="s">
        <v>378</v>
      </c>
      <c r="B3" s="67">
        <v>0.68100000000000005</v>
      </c>
      <c r="C3" s="67" t="s">
        <v>379</v>
      </c>
      <c r="D3" s="286">
        <v>0.1875</v>
      </c>
      <c r="E3" s="287">
        <v>0.79800000000000004</v>
      </c>
      <c r="F3" s="67">
        <f t="shared" si="0"/>
        <v>0.54343800000000009</v>
      </c>
      <c r="G3" s="287">
        <f t="shared" ref="G3:G24" si="1">1-E3</f>
        <v>0.20199999999999996</v>
      </c>
      <c r="H3" s="287">
        <f t="shared" ref="H3:H24" si="2">G3/E3</f>
        <v>0.25313283208020043</v>
      </c>
      <c r="I3" s="287">
        <f t="shared" ref="I3:I24" si="3">$B$30+F3*$B$29</f>
        <v>9.9399906820049178E-2</v>
      </c>
      <c r="J3" s="288">
        <f t="shared" ref="J3:J24" si="4">B3/(1+H3*(1-D3))</f>
        <v>0.56483097310640518</v>
      </c>
    </row>
    <row r="4" spans="1:10">
      <c r="A4" s="68" t="s">
        <v>380</v>
      </c>
      <c r="B4" s="67">
        <v>0.70599999999999996</v>
      </c>
      <c r="C4" s="67" t="s">
        <v>381</v>
      </c>
      <c r="D4" s="286">
        <v>0.29409999999999997</v>
      </c>
      <c r="E4" s="287">
        <v>0.80200000000000005</v>
      </c>
      <c r="F4" s="67">
        <f t="shared" si="0"/>
        <v>0.56621200000000005</v>
      </c>
      <c r="G4" s="287">
        <f t="shared" si="1"/>
        <v>0.19799999999999995</v>
      </c>
      <c r="H4" s="287">
        <f t="shared" si="2"/>
        <v>0.24688279301745628</v>
      </c>
      <c r="I4" s="287">
        <f t="shared" si="3"/>
        <v>0.10351516862004917</v>
      </c>
      <c r="J4" s="288">
        <f t="shared" si="4"/>
        <v>0.6012222540535983</v>
      </c>
    </row>
    <row r="5" spans="1:10">
      <c r="A5" s="68" t="s">
        <v>382</v>
      </c>
      <c r="B5" s="67">
        <v>0.71499999999999997</v>
      </c>
      <c r="C5" s="67" t="s">
        <v>377</v>
      </c>
      <c r="D5" s="286">
        <v>0.4</v>
      </c>
      <c r="E5" s="287">
        <v>0.86099999999999999</v>
      </c>
      <c r="F5" s="67">
        <f t="shared" si="0"/>
        <v>0.61561499999999991</v>
      </c>
      <c r="G5" s="287">
        <f t="shared" si="1"/>
        <v>0.13900000000000001</v>
      </c>
      <c r="H5" s="287">
        <f t="shared" si="2"/>
        <v>0.16144018583042974</v>
      </c>
      <c r="I5" s="287">
        <f t="shared" si="3"/>
        <v>0.11244229072004915</v>
      </c>
      <c r="J5" s="288">
        <f t="shared" si="4"/>
        <v>0.65185832274459976</v>
      </c>
    </row>
    <row r="6" spans="1:10">
      <c r="A6" s="68" t="s">
        <v>383</v>
      </c>
      <c r="B6" s="67">
        <v>0.40100000000000002</v>
      </c>
      <c r="C6" s="67" t="s">
        <v>377</v>
      </c>
      <c r="D6" s="286">
        <v>0.4</v>
      </c>
      <c r="E6" s="287">
        <v>0.91100000000000003</v>
      </c>
      <c r="F6" s="67">
        <f t="shared" si="0"/>
        <v>0.36531100000000005</v>
      </c>
      <c r="G6" s="287">
        <f t="shared" si="1"/>
        <v>8.8999999999999968E-2</v>
      </c>
      <c r="H6" s="287">
        <f t="shared" si="2"/>
        <v>9.7694840834248037E-2</v>
      </c>
      <c r="I6" s="287">
        <f t="shared" si="3"/>
        <v>6.7212357920049176E-2</v>
      </c>
      <c r="J6" s="288">
        <f t="shared" si="4"/>
        <v>0.37879614267938616</v>
      </c>
    </row>
    <row r="7" spans="1:10">
      <c r="A7" s="68" t="s">
        <v>384</v>
      </c>
      <c r="B7" s="67">
        <v>0.46400000000000002</v>
      </c>
      <c r="C7" s="67" t="s">
        <v>385</v>
      </c>
      <c r="D7" s="286">
        <v>0.28000000000000003</v>
      </c>
      <c r="E7" s="287">
        <v>0.81</v>
      </c>
      <c r="F7" s="67">
        <f t="shared" si="0"/>
        <v>0.37584000000000006</v>
      </c>
      <c r="G7" s="287">
        <f t="shared" si="1"/>
        <v>0.18999999999999995</v>
      </c>
      <c r="H7" s="287">
        <f t="shared" si="2"/>
        <v>0.23456790123456783</v>
      </c>
      <c r="I7" s="287">
        <f t="shared" si="3"/>
        <v>6.9114948220049183E-2</v>
      </c>
      <c r="J7" s="288">
        <f t="shared" si="4"/>
        <v>0.39695817490494301</v>
      </c>
    </row>
    <row r="8" spans="1:10">
      <c r="A8" s="68" t="s">
        <v>386</v>
      </c>
      <c r="B8" s="67">
        <v>0.78600000000000003</v>
      </c>
      <c r="C8" s="67" t="s">
        <v>377</v>
      </c>
      <c r="D8" s="286">
        <v>0.4</v>
      </c>
      <c r="E8" s="287">
        <v>0.85399999999999998</v>
      </c>
      <c r="F8" s="67">
        <f t="shared" si="0"/>
        <v>0.67124400000000006</v>
      </c>
      <c r="G8" s="287">
        <f t="shared" si="1"/>
        <v>0.14600000000000002</v>
      </c>
      <c r="H8" s="287">
        <f t="shared" si="2"/>
        <v>0.17096018735363</v>
      </c>
      <c r="I8" s="287">
        <f t="shared" si="3"/>
        <v>0.12249445102004917</v>
      </c>
      <c r="J8" s="288">
        <f t="shared" si="4"/>
        <v>0.71287595581988106</v>
      </c>
    </row>
    <row r="9" spans="1:10">
      <c r="A9" s="68" t="s">
        <v>387</v>
      </c>
      <c r="B9" s="67">
        <v>0.378</v>
      </c>
      <c r="C9" s="67" t="s">
        <v>385</v>
      </c>
      <c r="D9" s="286">
        <v>0.28000000000000003</v>
      </c>
      <c r="E9" s="287">
        <v>0.874</v>
      </c>
      <c r="F9" s="67">
        <f t="shared" si="0"/>
        <v>0.330372</v>
      </c>
      <c r="G9" s="287">
        <f t="shared" si="1"/>
        <v>0.126</v>
      </c>
      <c r="H9" s="287">
        <f t="shared" si="2"/>
        <v>0.14416475972540047</v>
      </c>
      <c r="I9" s="287">
        <f t="shared" si="3"/>
        <v>6.0898880620049167E-2</v>
      </c>
      <c r="J9" s="288">
        <f t="shared" si="4"/>
        <v>0.34245376896923457</v>
      </c>
    </row>
    <row r="10" spans="1:10">
      <c r="A10" s="68" t="s">
        <v>388</v>
      </c>
      <c r="B10" s="67">
        <v>0.46800000000000003</v>
      </c>
      <c r="C10" s="67" t="s">
        <v>377</v>
      </c>
      <c r="D10" s="286">
        <v>0.4</v>
      </c>
      <c r="E10" s="287">
        <v>0.79300000000000004</v>
      </c>
      <c r="F10" s="67">
        <f t="shared" si="0"/>
        <v>0.37112400000000006</v>
      </c>
      <c r="G10" s="287">
        <f t="shared" si="1"/>
        <v>0.20699999999999996</v>
      </c>
      <c r="H10" s="287">
        <f t="shared" si="2"/>
        <v>0.26103404791929374</v>
      </c>
      <c r="I10" s="287">
        <f t="shared" si="3"/>
        <v>6.8262767020049173E-2</v>
      </c>
      <c r="J10" s="288">
        <f t="shared" si="4"/>
        <v>0.40462712603576106</v>
      </c>
    </row>
    <row r="11" spans="1:10">
      <c r="A11" s="68" t="s">
        <v>389</v>
      </c>
      <c r="B11" s="67">
        <v>0.47</v>
      </c>
      <c r="C11" s="67" t="s">
        <v>377</v>
      </c>
      <c r="D11" s="286">
        <v>0.4</v>
      </c>
      <c r="E11" s="287">
        <v>0.86499999999999999</v>
      </c>
      <c r="F11" s="67">
        <f t="shared" si="0"/>
        <v>0.40654999999999997</v>
      </c>
      <c r="G11" s="287">
        <f t="shared" si="1"/>
        <v>0.13500000000000001</v>
      </c>
      <c r="H11" s="287">
        <f t="shared" si="2"/>
        <v>0.15606936416184972</v>
      </c>
      <c r="I11" s="287">
        <f t="shared" si="3"/>
        <v>7.4664245220049164E-2</v>
      </c>
      <c r="J11" s="288">
        <f t="shared" si="4"/>
        <v>0.42975687103594079</v>
      </c>
    </row>
    <row r="12" spans="1:10">
      <c r="A12" s="68" t="s">
        <v>390</v>
      </c>
      <c r="B12" s="67">
        <v>0.20499999999999999</v>
      </c>
      <c r="C12" s="67" t="s">
        <v>377</v>
      </c>
      <c r="D12" s="286">
        <v>0.4</v>
      </c>
      <c r="E12" s="287">
        <v>0.89700000000000002</v>
      </c>
      <c r="F12" s="67">
        <f t="shared" si="0"/>
        <v>0.18388499999999999</v>
      </c>
      <c r="G12" s="287">
        <f t="shared" si="1"/>
        <v>0.10299999999999998</v>
      </c>
      <c r="H12" s="287">
        <f t="shared" si="2"/>
        <v>0.11482720178372349</v>
      </c>
      <c r="I12" s="287">
        <f t="shared" si="3"/>
        <v>3.4428679720049163E-2</v>
      </c>
      <c r="J12" s="288">
        <f t="shared" si="4"/>
        <v>0.19178660826032543</v>
      </c>
    </row>
    <row r="13" spans="1:10">
      <c r="A13" s="68" t="s">
        <v>391</v>
      </c>
      <c r="B13" s="67">
        <v>0.33</v>
      </c>
      <c r="C13" s="67" t="s">
        <v>392</v>
      </c>
      <c r="D13" s="286">
        <v>0.25</v>
      </c>
      <c r="E13" s="287">
        <v>0.997</v>
      </c>
      <c r="F13" s="67">
        <f t="shared" si="0"/>
        <v>0.32901000000000002</v>
      </c>
      <c r="G13" s="287">
        <f t="shared" si="1"/>
        <v>3.0000000000000027E-3</v>
      </c>
      <c r="H13" s="287">
        <f t="shared" si="2"/>
        <v>3.009027081243734E-3</v>
      </c>
      <c r="I13" s="287">
        <f t="shared" si="3"/>
        <v>6.065276722004917E-2</v>
      </c>
      <c r="J13" s="288">
        <f t="shared" si="4"/>
        <v>0.32925694270703026</v>
      </c>
    </row>
    <row r="14" spans="1:10">
      <c r="A14" s="68" t="s">
        <v>393</v>
      </c>
      <c r="B14" s="67">
        <v>0.624</v>
      </c>
      <c r="C14" s="67" t="s">
        <v>377</v>
      </c>
      <c r="D14" s="286">
        <v>0.4</v>
      </c>
      <c r="E14" s="287">
        <v>0.90500000000000003</v>
      </c>
      <c r="F14" s="67">
        <f t="shared" si="0"/>
        <v>0.56472</v>
      </c>
      <c r="G14" s="287">
        <f t="shared" si="1"/>
        <v>9.4999999999999973E-2</v>
      </c>
      <c r="H14" s="287">
        <f t="shared" si="2"/>
        <v>0.1049723756906077</v>
      </c>
      <c r="I14" s="287">
        <f t="shared" si="3"/>
        <v>0.10324556422004917</v>
      </c>
      <c r="J14" s="288">
        <f t="shared" si="4"/>
        <v>0.58702702702702703</v>
      </c>
    </row>
    <row r="15" spans="1:10">
      <c r="A15" s="68" t="s">
        <v>394</v>
      </c>
      <c r="B15" s="67">
        <v>0.57299999999999995</v>
      </c>
      <c r="C15" s="67" t="s">
        <v>395</v>
      </c>
      <c r="D15" s="286">
        <v>0.40689999999999998</v>
      </c>
      <c r="E15" s="287">
        <v>0.99399999999999999</v>
      </c>
      <c r="F15" s="67">
        <f t="shared" si="0"/>
        <v>0.5695619999999999</v>
      </c>
      <c r="G15" s="287">
        <f t="shared" si="1"/>
        <v>6.0000000000000053E-3</v>
      </c>
      <c r="H15" s="287">
        <f t="shared" si="2"/>
        <v>6.0362173038229433E-3</v>
      </c>
      <c r="I15" s="287">
        <f t="shared" si="3"/>
        <v>0.10412051362004915</v>
      </c>
      <c r="J15" s="288">
        <f t="shared" si="4"/>
        <v>0.57095593181192561</v>
      </c>
    </row>
    <row r="16" spans="1:10">
      <c r="A16" s="68" t="s">
        <v>396</v>
      </c>
      <c r="B16" s="67">
        <v>0.61899999999999999</v>
      </c>
      <c r="C16" s="67" t="s">
        <v>395</v>
      </c>
      <c r="D16" s="286">
        <v>0.40689999999999998</v>
      </c>
      <c r="E16" s="287">
        <v>0.999</v>
      </c>
      <c r="F16" s="67">
        <f t="shared" si="0"/>
        <v>0.61838099999999996</v>
      </c>
      <c r="G16" s="287">
        <f t="shared" si="1"/>
        <v>1.0000000000000009E-3</v>
      </c>
      <c r="H16" s="287">
        <f t="shared" si="2"/>
        <v>1.0010010010010019E-3</v>
      </c>
      <c r="I16" s="287">
        <f t="shared" si="3"/>
        <v>0.11294210692004916</v>
      </c>
      <c r="J16" s="288">
        <f t="shared" si="4"/>
        <v>0.61863272165444116</v>
      </c>
    </row>
    <row r="17" spans="1:10">
      <c r="A17" s="68" t="s">
        <v>397</v>
      </c>
      <c r="B17" s="67">
        <v>0.71299999999999997</v>
      </c>
      <c r="C17" s="67" t="s">
        <v>377</v>
      </c>
      <c r="D17" s="286">
        <v>0.4</v>
      </c>
      <c r="E17" s="287">
        <v>0.69499999999999995</v>
      </c>
      <c r="F17" s="67">
        <f t="shared" si="0"/>
        <v>0.49553499999999995</v>
      </c>
      <c r="G17" s="287">
        <f t="shared" si="1"/>
        <v>0.30500000000000005</v>
      </c>
      <c r="H17" s="287">
        <f t="shared" si="2"/>
        <v>0.43884892086330946</v>
      </c>
      <c r="I17" s="287">
        <f t="shared" si="3"/>
        <v>9.0743834720049155E-2</v>
      </c>
      <c r="J17" s="288">
        <f t="shared" si="4"/>
        <v>0.56439066059225507</v>
      </c>
    </row>
    <row r="18" spans="1:10">
      <c r="A18" s="68" t="s">
        <v>398</v>
      </c>
      <c r="B18" s="67">
        <v>0.47399999999999998</v>
      </c>
      <c r="C18" s="67" t="s">
        <v>395</v>
      </c>
      <c r="D18" s="286">
        <v>0.40689999999999998</v>
      </c>
      <c r="E18" s="287">
        <v>0.184</v>
      </c>
      <c r="F18" s="67">
        <f t="shared" si="0"/>
        <v>8.7215999999999988E-2</v>
      </c>
      <c r="G18" s="287">
        <f t="shared" si="1"/>
        <v>0.81600000000000006</v>
      </c>
      <c r="H18" s="287">
        <f t="shared" si="2"/>
        <v>4.4347826086956523</v>
      </c>
      <c r="I18" s="287">
        <f t="shared" si="3"/>
        <v>1.6960591420049163E-2</v>
      </c>
      <c r="J18" s="288">
        <f t="shared" si="4"/>
        <v>0.1305688163054127</v>
      </c>
    </row>
    <row r="19" spans="1:10">
      <c r="A19" s="68" t="s">
        <v>399</v>
      </c>
      <c r="B19" s="67">
        <v>0.63400000000000001</v>
      </c>
      <c r="C19" s="67" t="s">
        <v>395</v>
      </c>
      <c r="D19" s="286">
        <v>0.40689999999999998</v>
      </c>
      <c r="E19" s="287">
        <v>0.69599999999999995</v>
      </c>
      <c r="F19" s="67">
        <f t="shared" si="0"/>
        <v>0.44126399999999999</v>
      </c>
      <c r="G19" s="287">
        <f t="shared" si="1"/>
        <v>0.30400000000000005</v>
      </c>
      <c r="H19" s="287">
        <f t="shared" si="2"/>
        <v>0.43678160919540238</v>
      </c>
      <c r="I19" s="287">
        <f t="shared" si="3"/>
        <v>8.0937065020049159E-2</v>
      </c>
      <c r="J19" s="288">
        <f t="shared" si="4"/>
        <v>0.50355219841917587</v>
      </c>
    </row>
    <row r="20" spans="1:10">
      <c r="A20" s="68" t="s">
        <v>400</v>
      </c>
      <c r="B20" s="67">
        <v>0.626</v>
      </c>
      <c r="C20" s="67" t="s">
        <v>377</v>
      </c>
      <c r="D20" s="286">
        <v>0.4</v>
      </c>
      <c r="E20" s="287">
        <v>0.95699999999999996</v>
      </c>
      <c r="F20" s="67">
        <f t="shared" si="0"/>
        <v>0.599082</v>
      </c>
      <c r="G20" s="287">
        <f t="shared" si="1"/>
        <v>4.3000000000000038E-2</v>
      </c>
      <c r="H20" s="287">
        <f t="shared" si="2"/>
        <v>4.493207941483808E-2</v>
      </c>
      <c r="I20" s="287">
        <f t="shared" si="3"/>
        <v>0.10945477762004917</v>
      </c>
      <c r="J20" s="288">
        <f t="shared" si="4"/>
        <v>0.60956654456654458</v>
      </c>
    </row>
    <row r="21" spans="1:10">
      <c r="A21" s="68" t="s">
        <v>401</v>
      </c>
      <c r="B21" s="67">
        <v>0.83</v>
      </c>
      <c r="C21" s="67" t="s">
        <v>377</v>
      </c>
      <c r="D21" s="286">
        <v>0.4</v>
      </c>
      <c r="E21" s="287">
        <v>0.91</v>
      </c>
      <c r="F21" s="67">
        <f t="shared" si="0"/>
        <v>0.75529999999999997</v>
      </c>
      <c r="G21" s="287">
        <f t="shared" si="1"/>
        <v>8.9999999999999969E-2</v>
      </c>
      <c r="H21" s="287">
        <f t="shared" si="2"/>
        <v>9.8901098901098869E-2</v>
      </c>
      <c r="I21" s="287">
        <f t="shared" si="3"/>
        <v>0.13768337022004917</v>
      </c>
      <c r="J21" s="288">
        <f t="shared" si="4"/>
        <v>0.78350622406639003</v>
      </c>
    </row>
    <row r="22" spans="1:10">
      <c r="A22" s="68" t="s">
        <v>402</v>
      </c>
      <c r="B22" s="67">
        <v>0.69799999999999995</v>
      </c>
      <c r="C22" s="67" t="s">
        <v>377</v>
      </c>
      <c r="D22" s="286">
        <v>0.4</v>
      </c>
      <c r="E22" s="287">
        <v>0.93100000000000005</v>
      </c>
      <c r="F22" s="67">
        <f t="shared" si="0"/>
        <v>0.64983800000000003</v>
      </c>
      <c r="G22" s="287">
        <f t="shared" si="1"/>
        <v>6.899999999999995E-2</v>
      </c>
      <c r="H22" s="287">
        <f t="shared" si="2"/>
        <v>7.4113856068743225E-2</v>
      </c>
      <c r="I22" s="287">
        <f t="shared" si="3"/>
        <v>0.11862638682004917</v>
      </c>
      <c r="J22" s="288">
        <f t="shared" si="4"/>
        <v>0.66828259975318793</v>
      </c>
    </row>
    <row r="23" spans="1:10">
      <c r="A23" s="68" t="s">
        <v>403</v>
      </c>
      <c r="B23" s="67">
        <v>0.84699999999999998</v>
      </c>
      <c r="C23" s="67" t="s">
        <v>385</v>
      </c>
      <c r="D23" s="286">
        <v>0.28000000000000003</v>
      </c>
      <c r="E23" s="287">
        <v>0.92400000000000004</v>
      </c>
      <c r="F23" s="67">
        <f t="shared" si="0"/>
        <v>0.78262799999999999</v>
      </c>
      <c r="G23" s="287">
        <f t="shared" si="1"/>
        <v>7.5999999999999956E-2</v>
      </c>
      <c r="H23" s="287">
        <f t="shared" si="2"/>
        <v>8.22510822510822E-2</v>
      </c>
      <c r="I23" s="287">
        <f t="shared" si="3"/>
        <v>0.14262153982004916</v>
      </c>
      <c r="J23" s="288">
        <f t="shared" si="4"/>
        <v>0.79964443354585579</v>
      </c>
    </row>
    <row r="24" spans="1:10">
      <c r="A24" s="68" t="s">
        <v>404</v>
      </c>
      <c r="B24" s="67">
        <v>0.78200000000000003</v>
      </c>
      <c r="C24" s="67" t="s">
        <v>395</v>
      </c>
      <c r="D24" s="286">
        <v>0.40689999999999998</v>
      </c>
      <c r="E24" s="287">
        <v>1</v>
      </c>
      <c r="F24" s="67">
        <f t="shared" si="0"/>
        <v>0.78200000000000003</v>
      </c>
      <c r="G24" s="287">
        <f t="shared" si="1"/>
        <v>0</v>
      </c>
      <c r="H24" s="287">
        <f t="shared" si="2"/>
        <v>0</v>
      </c>
      <c r="I24" s="287">
        <f t="shared" si="3"/>
        <v>0.14250806022004917</v>
      </c>
      <c r="J24" s="288">
        <f t="shared" si="4"/>
        <v>0.78200000000000003</v>
      </c>
    </row>
    <row r="25" spans="1:10">
      <c r="A25" s="289" t="s">
        <v>405</v>
      </c>
      <c r="B25" s="289"/>
      <c r="C25" s="289"/>
      <c r="D25" s="289"/>
      <c r="E25" s="290">
        <f t="shared" ref="E25:I25" si="5">AVERAGE(E2:E24)</f>
        <v>0.84699999999999986</v>
      </c>
      <c r="F25" s="290">
        <f t="shared" si="5"/>
        <v>0.50815300000000008</v>
      </c>
      <c r="G25" s="290">
        <f t="shared" si="5"/>
        <v>0.15300000000000002</v>
      </c>
      <c r="H25" s="290">
        <f t="shared" si="5"/>
        <v>0.33826070536597003</v>
      </c>
      <c r="I25" s="290">
        <f t="shared" si="5"/>
        <v>9.3023907320049184E-2</v>
      </c>
      <c r="J25" s="288">
        <f>AVERAGE(J2:J24)</f>
        <v>0.53261406294787572</v>
      </c>
    </row>
    <row r="26" spans="1:10">
      <c r="J26" s="291"/>
    </row>
    <row r="28" spans="1:10">
      <c r="A28" s="67" t="s">
        <v>406</v>
      </c>
      <c r="B28" s="292">
        <v>0.4</v>
      </c>
      <c r="C28" s="287" t="s">
        <v>407</v>
      </c>
      <c r="D28" s="287"/>
      <c r="F28" t="s">
        <v>408</v>
      </c>
      <c r="G28" s="293" t="s">
        <v>409</v>
      </c>
      <c r="H28" s="293">
        <v>1439386</v>
      </c>
      <c r="I28" s="293"/>
      <c r="J28" s="293"/>
    </row>
    <row r="29" spans="1:10">
      <c r="A29" s="67" t="s">
        <v>410</v>
      </c>
      <c r="B29" s="294">
        <f>I55</f>
        <v>0.1807</v>
      </c>
      <c r="C29" s="295" t="s">
        <v>421</v>
      </c>
      <c r="D29" s="295"/>
      <c r="F29" t="s">
        <v>411</v>
      </c>
      <c r="G29" s="293" t="s">
        <v>412</v>
      </c>
      <c r="H29" s="293">
        <v>18621007</v>
      </c>
      <c r="I29" s="293" t="s">
        <v>413</v>
      </c>
      <c r="J29" s="296">
        <f>H29+H28</f>
        <v>20060393</v>
      </c>
    </row>
    <row r="30" spans="1:10">
      <c r="A30" s="67" t="s">
        <v>414</v>
      </c>
      <c r="B30" s="297">
        <v>1.2006602200491656E-3</v>
      </c>
      <c r="E30" s="67"/>
      <c r="G30" s="298" t="s">
        <v>415</v>
      </c>
      <c r="H30" s="299">
        <f>H28/J29</f>
        <v>7.175263216428511E-2</v>
      </c>
      <c r="I30" s="300"/>
      <c r="J30" s="300"/>
    </row>
    <row r="31" spans="1:10">
      <c r="G31" s="298" t="s">
        <v>416</v>
      </c>
      <c r="H31" s="299">
        <f>1-H30</f>
        <v>0.92824736783571493</v>
      </c>
      <c r="I31" s="300"/>
      <c r="J31" s="300"/>
    </row>
    <row r="32" spans="1:10">
      <c r="A32" s="67"/>
      <c r="B32" s="67"/>
      <c r="C32" s="67"/>
      <c r="D32" s="67"/>
      <c r="E32" s="67"/>
      <c r="G32" s="300"/>
      <c r="H32" s="300"/>
      <c r="I32" s="300"/>
      <c r="J32" s="300"/>
    </row>
    <row r="33" spans="1:10">
      <c r="A33" s="67" t="s">
        <v>417</v>
      </c>
      <c r="B33" s="301">
        <f>$B$30+F25*$B$29</f>
        <v>9.3023907320049184E-2</v>
      </c>
      <c r="C33" s="67"/>
      <c r="D33" s="67"/>
      <c r="E33" s="67"/>
    </row>
    <row r="34" spans="1:10">
      <c r="A34" s="67" t="s">
        <v>375</v>
      </c>
      <c r="B34" s="288">
        <f>J25</f>
        <v>0.53261406294787572</v>
      </c>
      <c r="C34" s="288"/>
      <c r="D34" s="288"/>
      <c r="E34" s="288"/>
      <c r="F34" s="48"/>
      <c r="G34" s="302"/>
      <c r="H34" s="48"/>
      <c r="I34" s="48"/>
      <c r="J34" s="48"/>
    </row>
    <row r="35" spans="1:10">
      <c r="A35" s="67" t="s">
        <v>418</v>
      </c>
      <c r="B35" s="303">
        <f>B34/H31</f>
        <v>0.57378461970725458</v>
      </c>
      <c r="C35" s="67"/>
      <c r="D35" s="67"/>
      <c r="E35" s="67"/>
      <c r="F35" s="48"/>
      <c r="G35" s="306"/>
      <c r="H35" s="306" t="s">
        <v>422</v>
      </c>
      <c r="I35" s="306" t="s">
        <v>423</v>
      </c>
      <c r="J35" s="48"/>
    </row>
    <row r="36" spans="1:10">
      <c r="A36" s="67"/>
      <c r="B36" s="67"/>
      <c r="C36" s="67"/>
      <c r="D36" s="67"/>
      <c r="E36" s="67"/>
      <c r="F36" s="48"/>
      <c r="G36" s="306">
        <v>1991</v>
      </c>
      <c r="H36" s="306">
        <v>27.07</v>
      </c>
      <c r="I36" s="48">
        <f>H36/100</f>
        <v>0.2707</v>
      </c>
      <c r="J36" s="48"/>
    </row>
    <row r="37" spans="1:10">
      <c r="A37" s="67" t="s">
        <v>419</v>
      </c>
      <c r="B37" s="304">
        <f>$B$30+$B$29*$B$35</f>
        <v>0.10488354100115006</v>
      </c>
      <c r="C37" s="287"/>
      <c r="D37" s="287"/>
      <c r="E37" s="287"/>
      <c r="F37" s="292"/>
      <c r="G37" s="306">
        <v>1992</v>
      </c>
      <c r="H37" s="306">
        <v>5.13</v>
      </c>
      <c r="I37" s="48">
        <f t="shared" ref="I37:I55" si="6">H37/100</f>
        <v>5.1299999999999998E-2</v>
      </c>
      <c r="J37" s="48"/>
    </row>
    <row r="38" spans="1:10">
      <c r="A38" s="67" t="s">
        <v>4</v>
      </c>
      <c r="B38" s="301">
        <v>5.228E-2</v>
      </c>
      <c r="C38" s="301"/>
      <c r="D38" s="301"/>
      <c r="E38" s="287"/>
      <c r="F38" s="48"/>
      <c r="G38" s="306">
        <v>1993</v>
      </c>
      <c r="H38" s="306">
        <v>8.83</v>
      </c>
      <c r="I38" s="48">
        <f t="shared" si="6"/>
        <v>8.8300000000000003E-2</v>
      </c>
      <c r="J38" s="48"/>
    </row>
    <row r="39" spans="1:10">
      <c r="A39" s="67"/>
      <c r="B39" s="67"/>
      <c r="C39" s="67"/>
      <c r="D39" s="67"/>
      <c r="E39" s="67"/>
      <c r="G39" s="306">
        <v>1994</v>
      </c>
      <c r="H39" s="306">
        <v>-3.92</v>
      </c>
      <c r="I39" s="48">
        <f t="shared" si="6"/>
        <v>-3.9199999999999999E-2</v>
      </c>
    </row>
    <row r="40" spans="1:10">
      <c r="A40" s="67"/>
      <c r="B40" s="67"/>
      <c r="C40" s="67"/>
      <c r="D40" s="67"/>
      <c r="E40" s="67"/>
      <c r="G40" s="306">
        <v>1995</v>
      </c>
      <c r="H40" s="306">
        <v>30.08</v>
      </c>
      <c r="I40" s="48">
        <f t="shared" si="6"/>
        <v>0.30079999999999996</v>
      </c>
    </row>
    <row r="41" spans="1:10">
      <c r="A41" s="67"/>
      <c r="B41" s="67"/>
      <c r="C41" s="67"/>
      <c r="D41" s="67"/>
      <c r="E41" s="67"/>
      <c r="G41" s="306">
        <v>1996</v>
      </c>
      <c r="H41" s="306">
        <v>17.059999999999999</v>
      </c>
      <c r="I41" s="48">
        <f t="shared" si="6"/>
        <v>0.17059999999999997</v>
      </c>
    </row>
    <row r="42" spans="1:10">
      <c r="A42" s="67"/>
      <c r="B42" s="67"/>
      <c r="C42" s="67"/>
      <c r="D42" s="67"/>
      <c r="E42" s="67"/>
      <c r="G42" s="306">
        <v>1997</v>
      </c>
      <c r="H42" s="306">
        <v>25.51</v>
      </c>
      <c r="I42" s="48">
        <f t="shared" si="6"/>
        <v>0.25509999999999999</v>
      </c>
    </row>
    <row r="43" spans="1:10">
      <c r="A43" s="289" t="s">
        <v>420</v>
      </c>
      <c r="B43" s="305">
        <f>B37*H31+B38*H30*(1-B28)</f>
        <v>9.9608607429336138E-2</v>
      </c>
      <c r="C43" s="290"/>
      <c r="D43" s="290"/>
      <c r="E43" s="290"/>
      <c r="G43" s="306">
        <v>1998</v>
      </c>
      <c r="H43" s="306">
        <v>18.11</v>
      </c>
      <c r="I43" s="48">
        <f t="shared" si="6"/>
        <v>0.18109999999999998</v>
      </c>
    </row>
    <row r="44" spans="1:10">
      <c r="G44" s="306">
        <v>1999</v>
      </c>
      <c r="H44" s="306">
        <v>18.59</v>
      </c>
      <c r="I44" s="48">
        <f t="shared" si="6"/>
        <v>0.18590000000000001</v>
      </c>
    </row>
    <row r="45" spans="1:10">
      <c r="G45" s="306">
        <v>2000</v>
      </c>
      <c r="H45" s="306">
        <v>-13.73</v>
      </c>
      <c r="I45" s="48">
        <f t="shared" si="6"/>
        <v>-0.13730000000000001</v>
      </c>
    </row>
    <row r="46" spans="1:10">
      <c r="G46" s="306">
        <v>2001</v>
      </c>
      <c r="H46" s="306">
        <v>-14.83</v>
      </c>
      <c r="I46" s="48">
        <f t="shared" si="6"/>
        <v>-0.14829999999999999</v>
      </c>
    </row>
    <row r="47" spans="1:10">
      <c r="G47" s="306">
        <v>2002</v>
      </c>
      <c r="H47" s="306">
        <v>-22.69</v>
      </c>
      <c r="I47" s="48">
        <f t="shared" si="6"/>
        <v>-0.22690000000000002</v>
      </c>
    </row>
    <row r="48" spans="1:10">
      <c r="G48" s="306">
        <v>2003</v>
      </c>
      <c r="H48" s="306">
        <v>31.57</v>
      </c>
      <c r="I48" s="48">
        <f t="shared" si="6"/>
        <v>0.31569999999999998</v>
      </c>
    </row>
    <row r="49" spans="7:9">
      <c r="G49" s="306">
        <v>2004</v>
      </c>
      <c r="H49" s="306">
        <v>11.75</v>
      </c>
      <c r="I49" s="48">
        <f t="shared" si="6"/>
        <v>0.11749999999999999</v>
      </c>
    </row>
    <row r="50" spans="7:9">
      <c r="G50" s="306">
        <v>2005</v>
      </c>
      <c r="H50" s="306">
        <v>4.9400000000000004</v>
      </c>
      <c r="I50" s="48">
        <f t="shared" si="6"/>
        <v>4.9400000000000006E-2</v>
      </c>
    </row>
    <row r="51" spans="7:9">
      <c r="G51" s="306">
        <v>2006</v>
      </c>
      <c r="H51" s="306">
        <v>10.63</v>
      </c>
      <c r="I51" s="48">
        <f t="shared" si="6"/>
        <v>0.10630000000000001</v>
      </c>
    </row>
    <row r="52" spans="7:9">
      <c r="G52" s="306">
        <v>2007</v>
      </c>
      <c r="H52" s="306">
        <v>3.28</v>
      </c>
      <c r="I52" s="48">
        <f t="shared" si="6"/>
        <v>3.2799999999999996E-2</v>
      </c>
    </row>
    <row r="53" spans="7:9">
      <c r="G53" s="306">
        <v>2008</v>
      </c>
      <c r="H53" s="306">
        <v>-39.479999999999997</v>
      </c>
      <c r="I53" s="48">
        <f t="shared" si="6"/>
        <v>-0.39479999999999998</v>
      </c>
    </row>
    <row r="54" spans="7:9">
      <c r="G54" s="306">
        <v>2009</v>
      </c>
      <c r="H54" s="306">
        <v>31.7</v>
      </c>
      <c r="I54" s="48">
        <f t="shared" si="6"/>
        <v>0.317</v>
      </c>
    </row>
    <row r="55" spans="7:9">
      <c r="G55" s="306">
        <v>2010</v>
      </c>
      <c r="H55" s="306">
        <v>18.07</v>
      </c>
      <c r="I55" s="48">
        <f t="shared" si="6"/>
        <v>0.1807</v>
      </c>
    </row>
  </sheetData>
  <phoneticPr fontId="50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7649" r:id="rId3">
          <objectPr defaultSize="0" autoPict="0" r:id="rId4">
            <anchor moveWithCells="1" sizeWithCells="1">
              <from>
                <xdr:col>0</xdr:col>
                <xdr:colOff>38100</xdr:colOff>
                <xdr:row>39</xdr:row>
                <xdr:rowOff>104775</xdr:rowOff>
              </from>
              <to>
                <xdr:col>5</xdr:col>
                <xdr:colOff>533400</xdr:colOff>
                <xdr:row>41</xdr:row>
                <xdr:rowOff>133350</xdr:rowOff>
              </to>
            </anchor>
          </objectPr>
        </oleObject>
      </mc:Choice>
      <mc:Fallback>
        <oleObject progId="Equation.3" shapeId="276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B2:H45"/>
  <sheetViews>
    <sheetView topLeftCell="A25" workbookViewId="0">
      <selection activeCell="B36" sqref="B36"/>
    </sheetView>
  </sheetViews>
  <sheetFormatPr baseColWidth="10" defaultColWidth="11.42578125" defaultRowHeight="12.75"/>
  <cols>
    <col min="1" max="1" width="11.42578125" style="141"/>
    <col min="2" max="2" width="28.85546875" style="141" bestFit="1" customWidth="1"/>
    <col min="3" max="3" width="23.5703125" style="141" bestFit="1" customWidth="1"/>
    <col min="4" max="4" width="16.7109375" style="141" bestFit="1" customWidth="1"/>
    <col min="5" max="5" width="20.42578125" style="141" bestFit="1" customWidth="1"/>
    <col min="6" max="8" width="11.42578125" style="141"/>
    <col min="9" max="9" width="18.5703125" style="141" bestFit="1" customWidth="1"/>
    <col min="10" max="10" width="23.5703125" style="141" bestFit="1" customWidth="1"/>
    <col min="11" max="11" width="16.7109375" style="141" bestFit="1" customWidth="1"/>
    <col min="12" max="12" width="20.42578125" style="141" bestFit="1" customWidth="1"/>
    <col min="13" max="16384" width="11.42578125" style="141"/>
  </cols>
  <sheetData>
    <row r="2" spans="2:8">
      <c r="B2" s="141" t="s">
        <v>214</v>
      </c>
      <c r="D2" s="159">
        <v>0.4</v>
      </c>
    </row>
    <row r="4" spans="2:8">
      <c r="B4" s="209" t="s">
        <v>285</v>
      </c>
      <c r="C4" s="209"/>
      <c r="D4" s="209"/>
      <c r="E4" s="209"/>
      <c r="F4" s="138"/>
      <c r="G4" s="138"/>
    </row>
    <row r="5" spans="2:8">
      <c r="B5" s="138"/>
      <c r="C5" s="210" t="s">
        <v>269</v>
      </c>
      <c r="D5" s="210" t="s">
        <v>270</v>
      </c>
      <c r="E5" s="210" t="s">
        <v>271</v>
      </c>
      <c r="F5" s="138"/>
      <c r="G5" s="210" t="s">
        <v>4</v>
      </c>
    </row>
    <row r="6" spans="2:8">
      <c r="B6" s="138" t="s">
        <v>272</v>
      </c>
      <c r="C6" s="211">
        <v>500000</v>
      </c>
      <c r="D6" s="212">
        <v>3.6249999999999998E-2</v>
      </c>
      <c r="E6" s="213">
        <f>C6/$C$10</f>
        <v>0.43391477913737742</v>
      </c>
      <c r="F6" s="138"/>
      <c r="G6" s="214">
        <f>D6*E6+D7*E7+D8*E8+D9*E9</f>
        <v>5.2275596632821317E-2</v>
      </c>
    </row>
    <row r="7" spans="2:8">
      <c r="B7" s="138" t="s">
        <v>273</v>
      </c>
      <c r="C7" s="211">
        <v>500000</v>
      </c>
      <c r="D7" s="212">
        <v>0.05</v>
      </c>
      <c r="E7" s="213">
        <f>C7/$C$10</f>
        <v>0.43391477913737742</v>
      </c>
      <c r="F7" s="138"/>
      <c r="G7" s="138"/>
    </row>
    <row r="8" spans="2:8">
      <c r="B8" s="138" t="s">
        <v>274</v>
      </c>
      <c r="C8" s="211">
        <v>18100</v>
      </c>
      <c r="D8" s="212">
        <v>5.57E-2</v>
      </c>
      <c r="E8" s="213">
        <f>C8/$C$10</f>
        <v>1.5707715004773061E-2</v>
      </c>
      <c r="F8" s="138"/>
      <c r="G8" s="138"/>
    </row>
    <row r="9" spans="2:8">
      <c r="B9" s="138" t="s">
        <v>275</v>
      </c>
      <c r="C9" s="211">
        <v>134200</v>
      </c>
      <c r="D9" s="212">
        <v>0.12</v>
      </c>
      <c r="E9" s="213">
        <f>C9/$C$10</f>
        <v>0.1164627267204721</v>
      </c>
      <c r="F9" s="138"/>
      <c r="G9" s="138"/>
    </row>
    <row r="10" spans="2:8">
      <c r="B10" s="138"/>
      <c r="C10" s="215">
        <f>SUM(C6:C9)</f>
        <v>1152300</v>
      </c>
      <c r="D10" s="138"/>
      <c r="E10" s="216"/>
      <c r="F10" s="138"/>
      <c r="G10" s="138"/>
    </row>
    <row r="11" spans="2:8">
      <c r="B11" s="138"/>
      <c r="C11" s="138"/>
      <c r="D11" s="138"/>
      <c r="E11" s="138"/>
      <c r="F11" s="138"/>
      <c r="G11" s="138"/>
    </row>
    <row r="12" spans="2:8">
      <c r="B12" s="138" t="s">
        <v>276</v>
      </c>
      <c r="C12" s="138"/>
      <c r="D12" s="138"/>
      <c r="E12" s="138"/>
      <c r="F12" s="138"/>
      <c r="G12" s="138"/>
    </row>
    <row r="13" spans="2:8">
      <c r="B13" s="138" t="s">
        <v>277</v>
      </c>
      <c r="C13" s="211"/>
      <c r="D13" s="138"/>
      <c r="E13" s="138"/>
      <c r="F13" s="138"/>
      <c r="G13" s="211">
        <f>C10</f>
        <v>1152300</v>
      </c>
    </row>
    <row r="14" spans="2:8">
      <c r="B14" s="138" t="s">
        <v>278</v>
      </c>
      <c r="C14" s="211"/>
      <c r="D14" s="138"/>
      <c r="E14" s="138"/>
      <c r="F14" s="138"/>
      <c r="G14" s="211">
        <f>'Operating lease converter'!C30</f>
        <v>287086.17320423323</v>
      </c>
    </row>
    <row r="15" spans="2:8">
      <c r="B15" s="125"/>
      <c r="C15" s="125"/>
      <c r="D15" s="125"/>
      <c r="E15" s="125"/>
      <c r="F15" s="125"/>
      <c r="G15" s="215">
        <f>SUM(G13:G14)</f>
        <v>1439386.1732042332</v>
      </c>
      <c r="H15" s="204">
        <f>G15/G21</f>
        <v>7.1752639463536161E-2</v>
      </c>
    </row>
    <row r="16" spans="2:8">
      <c r="B16" s="138" t="s">
        <v>279</v>
      </c>
      <c r="C16" s="138"/>
      <c r="D16" s="138"/>
      <c r="E16" s="138"/>
      <c r="F16" s="138"/>
      <c r="G16" s="138"/>
    </row>
    <row r="17" spans="2:7">
      <c r="B17" s="138" t="s">
        <v>280</v>
      </c>
      <c r="C17" s="138"/>
      <c r="D17" s="138"/>
      <c r="E17" s="138"/>
      <c r="F17" s="138"/>
      <c r="G17" s="217">
        <v>261531</v>
      </c>
    </row>
    <row r="18" spans="2:7">
      <c r="B18" s="138" t="s">
        <v>281</v>
      </c>
      <c r="C18" s="138"/>
      <c r="D18" s="138"/>
      <c r="E18" s="138"/>
      <c r="F18" s="138"/>
      <c r="G18" s="218">
        <v>71.2</v>
      </c>
    </row>
    <row r="19" spans="2:7">
      <c r="B19" s="125" t="s">
        <v>282</v>
      </c>
      <c r="C19" s="125"/>
      <c r="D19" s="125"/>
      <c r="E19" s="125"/>
      <c r="F19" s="125"/>
      <c r="G19" s="215">
        <f>G18*G17</f>
        <v>18621007.199999999</v>
      </c>
    </row>
    <row r="20" spans="2:7" ht="13.5" thickBot="1">
      <c r="B20" s="138"/>
      <c r="C20" s="138"/>
      <c r="D20" s="138"/>
      <c r="E20" s="138"/>
      <c r="F20" s="138"/>
      <c r="G20" s="138"/>
    </row>
    <row r="21" spans="2:7" ht="13.5" thickTop="1">
      <c r="B21" s="219" t="s">
        <v>283</v>
      </c>
      <c r="C21" s="219"/>
      <c r="D21" s="219"/>
      <c r="E21" s="219"/>
      <c r="F21" s="220" t="s">
        <v>284</v>
      </c>
      <c r="G21" s="221">
        <f>G19+G14+G13</f>
        <v>20060393.373204231</v>
      </c>
    </row>
    <row r="24" spans="2:7">
      <c r="B24" s="141" t="s">
        <v>314</v>
      </c>
      <c r="D24" s="273">
        <v>0.10489999999999999</v>
      </c>
    </row>
    <row r="26" spans="2:7">
      <c r="B26" s="141" t="s">
        <v>355</v>
      </c>
      <c r="D26" s="274">
        <f>G15/G21*G6*(1-D2)+G19/G21*D24</f>
        <v>9.9623695343036708E-2</v>
      </c>
    </row>
    <row r="28" spans="2:7">
      <c r="B28" s="141" t="s">
        <v>364</v>
      </c>
      <c r="D28" s="274">
        <f>G15/G21*G6+G19/G21*D24</f>
        <v>0.10112406015821113</v>
      </c>
    </row>
    <row r="33" spans="2:7">
      <c r="B33" s="141" t="s">
        <v>288</v>
      </c>
      <c r="C33" s="141" t="s">
        <v>292</v>
      </c>
      <c r="D33" s="141" t="s">
        <v>286</v>
      </c>
      <c r="E33" s="141" t="s">
        <v>287</v>
      </c>
    </row>
    <row r="34" spans="2:7">
      <c r="B34" s="141" t="s">
        <v>289</v>
      </c>
      <c r="C34" s="141" t="s">
        <v>293</v>
      </c>
      <c r="D34" s="223">
        <v>4700</v>
      </c>
      <c r="E34" s="223">
        <v>10000</v>
      </c>
      <c r="F34" s="204">
        <f>D34/E34</f>
        <v>0.47</v>
      </c>
    </row>
    <row r="35" spans="2:7">
      <c r="B35" s="141" t="s">
        <v>290</v>
      </c>
      <c r="C35" s="141" t="s">
        <v>294</v>
      </c>
      <c r="D35" s="398">
        <f>8000-D34</f>
        <v>3300</v>
      </c>
      <c r="E35" s="223">
        <v>7500</v>
      </c>
      <c r="F35" s="204">
        <f t="shared" ref="F35:F36" si="0">D35/E35</f>
        <v>0.44</v>
      </c>
    </row>
    <row r="36" spans="2:7">
      <c r="B36" s="141" t="s">
        <v>291</v>
      </c>
      <c r="C36" s="141" t="s">
        <v>295</v>
      </c>
      <c r="D36" s="223">
        <v>1400</v>
      </c>
      <c r="E36" s="223">
        <v>10000</v>
      </c>
      <c r="F36" s="204">
        <f t="shared" si="0"/>
        <v>0.14000000000000001</v>
      </c>
    </row>
    <row r="37" spans="2:7">
      <c r="B37" s="141" t="s">
        <v>296</v>
      </c>
      <c r="C37" s="141" t="s">
        <v>297</v>
      </c>
      <c r="D37" s="398">
        <f>E37*$G$37</f>
        <v>503999.99999999988</v>
      </c>
      <c r="E37" s="223">
        <f>0.16*9000000</f>
        <v>1440000</v>
      </c>
      <c r="G37" s="159">
        <f>AVERAGE(F34:F36)</f>
        <v>0.34999999999999992</v>
      </c>
    </row>
    <row r="38" spans="2:7">
      <c r="B38" s="141" t="s">
        <v>298</v>
      </c>
      <c r="C38" s="141" t="s">
        <v>299</v>
      </c>
      <c r="D38" s="398">
        <f t="shared" ref="D38:D42" si="1">E38*$G$37</f>
        <v>1189999.9999999998</v>
      </c>
      <c r="E38" s="223">
        <v>3400000</v>
      </c>
    </row>
    <row r="39" spans="2:7">
      <c r="B39" s="141" t="s">
        <v>300</v>
      </c>
      <c r="C39" s="141" t="s">
        <v>301</v>
      </c>
      <c r="D39" s="398">
        <f t="shared" si="1"/>
        <v>22749.999999999996</v>
      </c>
      <c r="E39" s="223">
        <v>65000</v>
      </c>
    </row>
    <row r="40" spans="2:7">
      <c r="B40" s="141" t="s">
        <v>302</v>
      </c>
      <c r="C40" s="141" t="s">
        <v>303</v>
      </c>
      <c r="D40" s="398">
        <f t="shared" si="1"/>
        <v>244.99999999999994</v>
      </c>
      <c r="E40" s="223">
        <v>700</v>
      </c>
    </row>
    <row r="41" spans="2:7">
      <c r="B41" s="141" t="s">
        <v>304</v>
      </c>
      <c r="C41" s="141" t="s">
        <v>305</v>
      </c>
      <c r="D41" s="398">
        <f t="shared" si="1"/>
        <v>12249.999999999998</v>
      </c>
      <c r="E41" s="223">
        <v>35000</v>
      </c>
    </row>
    <row r="42" spans="2:7">
      <c r="B42" s="141" t="s">
        <v>306</v>
      </c>
      <c r="C42" s="141" t="s">
        <v>307</v>
      </c>
      <c r="D42" s="398">
        <f t="shared" si="1"/>
        <v>734999.99999999988</v>
      </c>
      <c r="E42" s="223">
        <v>2100000</v>
      </c>
    </row>
    <row r="43" spans="2:7">
      <c r="D43" s="398">
        <f>SUM(D34:D42)</f>
        <v>2473644.9999999995</v>
      </c>
      <c r="E43" s="224">
        <f>SUM(E34:E42)</f>
        <v>7068200</v>
      </c>
      <c r="F43" s="204">
        <f>D43/E43</f>
        <v>0.34996816728445707</v>
      </c>
    </row>
    <row r="45" spans="2:7">
      <c r="B45" s="225" t="s">
        <v>311</v>
      </c>
    </row>
  </sheetData>
  <phoneticPr fontId="5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"/>
  <sheetViews>
    <sheetView workbookViewId="0">
      <selection activeCell="G22" sqref="G22"/>
    </sheetView>
  </sheetViews>
  <sheetFormatPr baseColWidth="10" defaultRowHeight="15"/>
  <cols>
    <col min="1" max="16384" width="11.42578125" style="309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C68"/>
  <sheetViews>
    <sheetView showGridLines="0" topLeftCell="A4" zoomScale="90" zoomScaleNormal="90" workbookViewId="0">
      <selection activeCell="I9" sqref="I9:M9"/>
    </sheetView>
  </sheetViews>
  <sheetFormatPr baseColWidth="10" defaultColWidth="10.7109375" defaultRowHeight="15"/>
  <cols>
    <col min="3" max="3" width="13.85546875" customWidth="1"/>
  </cols>
  <sheetData>
    <row r="1" spans="1:29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S1" t="s">
        <v>241</v>
      </c>
    </row>
    <row r="2" spans="1:29">
      <c r="A2" s="30"/>
      <c r="B2" s="30"/>
      <c r="C2" s="30"/>
      <c r="D2" s="30"/>
      <c r="E2" s="161" t="s">
        <v>240</v>
      </c>
      <c r="F2" s="30"/>
      <c r="G2" s="30"/>
      <c r="H2" s="160" t="s">
        <v>241</v>
      </c>
      <c r="I2" s="30"/>
      <c r="J2" s="30"/>
      <c r="K2" s="30"/>
      <c r="L2" s="30"/>
      <c r="M2" s="30"/>
      <c r="S2" t="s">
        <v>242</v>
      </c>
    </row>
    <row r="3" spans="1:29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S3" t="s">
        <v>243</v>
      </c>
    </row>
    <row r="4" spans="1:29">
      <c r="A4" s="29" t="s">
        <v>239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29" ht="18">
      <c r="A5" s="31" t="s">
        <v>238</v>
      </c>
      <c r="B5" s="32"/>
      <c r="C5" s="32"/>
      <c r="D5" s="33" t="s">
        <v>27</v>
      </c>
      <c r="E5" s="33"/>
      <c r="F5" s="33" t="s">
        <v>28</v>
      </c>
      <c r="G5" s="33"/>
      <c r="H5" s="33"/>
      <c r="I5" s="34"/>
      <c r="J5" s="34"/>
      <c r="K5" s="34"/>
      <c r="L5" s="34"/>
      <c r="M5" s="34"/>
    </row>
    <row r="6" spans="1:29">
      <c r="A6" s="35" t="s">
        <v>36</v>
      </c>
      <c r="B6" s="36"/>
      <c r="C6" s="36"/>
      <c r="D6" s="37">
        <v>2006</v>
      </c>
      <c r="E6" s="37">
        <v>2007</v>
      </c>
      <c r="F6" s="37">
        <v>2008</v>
      </c>
      <c r="G6" s="37">
        <v>2009</v>
      </c>
      <c r="H6" s="37">
        <v>2010</v>
      </c>
      <c r="I6" s="36">
        <v>2011</v>
      </c>
      <c r="J6" s="36">
        <v>2012</v>
      </c>
      <c r="K6" s="36">
        <v>2013</v>
      </c>
      <c r="L6" s="36">
        <v>2014</v>
      </c>
      <c r="M6" s="36">
        <v>2015</v>
      </c>
    </row>
    <row r="8" spans="1:29" ht="16.5" thickBot="1">
      <c r="B8" s="17" t="s">
        <v>545</v>
      </c>
      <c r="C8" s="18"/>
      <c r="D8" s="19"/>
      <c r="E8" s="19"/>
      <c r="F8" s="19"/>
      <c r="G8" s="19"/>
      <c r="H8" s="19"/>
      <c r="I8" s="19"/>
      <c r="J8" s="19"/>
      <c r="K8" s="19"/>
      <c r="L8" s="19"/>
      <c r="M8" s="27"/>
    </row>
    <row r="9" spans="1:29" ht="15.75">
      <c r="B9" s="529"/>
      <c r="C9" s="530"/>
      <c r="D9" s="37">
        <v>2006</v>
      </c>
      <c r="E9" s="37">
        <v>2007</v>
      </c>
      <c r="F9" s="37">
        <v>2008</v>
      </c>
      <c r="G9" s="37">
        <v>2009</v>
      </c>
      <c r="H9" s="37">
        <v>2010</v>
      </c>
      <c r="I9" s="36">
        <v>2011</v>
      </c>
      <c r="J9" s="36">
        <v>2012</v>
      </c>
      <c r="K9" s="36">
        <v>2013</v>
      </c>
      <c r="L9" s="36">
        <v>2014</v>
      </c>
      <c r="M9" s="36">
        <v>2015</v>
      </c>
    </row>
    <row r="10" spans="1:29">
      <c r="B10" s="49" t="s">
        <v>228</v>
      </c>
      <c r="C10" s="13"/>
      <c r="D10" s="15"/>
      <c r="E10" s="15"/>
      <c r="F10" s="15"/>
      <c r="G10" s="15"/>
      <c r="H10" s="15"/>
      <c r="I10" s="15"/>
      <c r="J10" s="15"/>
      <c r="K10" s="15"/>
      <c r="L10" s="15"/>
      <c r="M10" s="28"/>
    </row>
    <row r="11" spans="1:29">
      <c r="B11" s="20" t="s">
        <v>309</v>
      </c>
      <c r="C11" s="15"/>
      <c r="D11" s="192" t="s">
        <v>235</v>
      </c>
      <c r="E11" s="193">
        <f>'Income Statement'!E7/'Income Statement'!D7-1</f>
        <v>0.19753661500674125</v>
      </c>
      <c r="F11" s="193">
        <f>'Income Statement'!F7/'Income Statement'!E7-1</f>
        <v>0.16837286835649956</v>
      </c>
      <c r="G11" s="193">
        <f>'Income Statement'!G7/'Income Statement'!F7-1</f>
        <v>-3.214005832710809E-2</v>
      </c>
      <c r="H11" s="193">
        <f>'Income Statement'!H7/'Income Statement'!G7-1</f>
        <v>2.2970086153167868E-2</v>
      </c>
      <c r="I11" s="531">
        <v>0.1</v>
      </c>
      <c r="J11" s="531">
        <v>0.15</v>
      </c>
      <c r="K11" s="531">
        <v>0.2</v>
      </c>
      <c r="L11" s="531">
        <v>0.25</v>
      </c>
      <c r="M11" s="532">
        <v>0.3</v>
      </c>
      <c r="O11" t="s">
        <v>310</v>
      </c>
    </row>
    <row r="12" spans="1:29">
      <c r="B12" s="20" t="s">
        <v>308</v>
      </c>
      <c r="C12" s="15"/>
      <c r="D12" s="192" t="s">
        <v>235</v>
      </c>
      <c r="E12" s="193">
        <f>'Income Statement'!E8/'Income Statement'!D8-1</f>
        <v>0.15670038778099937</v>
      </c>
      <c r="F12" s="193">
        <f>'Income Statement'!F8/'Income Statement'!E8-1</f>
        <v>-0.86084467679559706</v>
      </c>
      <c r="G12" s="193">
        <f>'Income Statement'!G8/'Income Statement'!F8-1</f>
        <v>3.0984364677383747E-2</v>
      </c>
      <c r="H12" s="193">
        <f>'Income Statement'!H8/'Income Statement'!G8-1</f>
        <v>-3.2552278018668446E-2</v>
      </c>
      <c r="I12" s="206">
        <v>0</v>
      </c>
      <c r="J12" s="206">
        <v>0</v>
      </c>
      <c r="K12" s="206">
        <v>0</v>
      </c>
      <c r="L12" s="206">
        <v>0</v>
      </c>
      <c r="M12" s="494">
        <v>0</v>
      </c>
      <c r="O12" t="s">
        <v>542</v>
      </c>
    </row>
    <row r="13" spans="1:29">
      <c r="B13" s="20" t="s">
        <v>267</v>
      </c>
      <c r="C13" s="15"/>
      <c r="D13" s="192" t="s">
        <v>235</v>
      </c>
      <c r="E13" s="193">
        <f>'Income Statement'!E9/'Income Statement'!D9-1</f>
        <v>0.6822029051812879</v>
      </c>
      <c r="F13" s="193">
        <f>'Income Statement'!F9/'Income Statement'!E9-1</f>
        <v>0.42923678395376519</v>
      </c>
      <c r="G13" s="193">
        <f>'Income Statement'!G9/'Income Statement'!F9-1</f>
        <v>-0.51613900715967742</v>
      </c>
      <c r="H13" s="193">
        <f>'Income Statement'!H9/'Income Statement'!G9-1</f>
        <v>-0.82941696981614399</v>
      </c>
      <c r="I13" s="206">
        <f>$AC$14</f>
        <v>0.45400699449033777</v>
      </c>
      <c r="J13" s="206">
        <f>$AC$14</f>
        <v>0.45400699449033777</v>
      </c>
      <c r="K13" s="206">
        <f>$AC$14</f>
        <v>0.45400699449033777</v>
      </c>
      <c r="L13" s="206">
        <f>$AC$14</f>
        <v>0.45400699449033777</v>
      </c>
      <c r="M13" s="494">
        <f>$AC$14</f>
        <v>0.45400699449033777</v>
      </c>
      <c r="O13" t="s">
        <v>543</v>
      </c>
    </row>
    <row r="14" spans="1:29">
      <c r="B14" s="20" t="s">
        <v>230</v>
      </c>
      <c r="C14" s="15"/>
      <c r="D14" s="193">
        <f>-'Income Statement'!D10/'Income Statement'!D7</f>
        <v>0.18576793242661499</v>
      </c>
      <c r="E14" s="193">
        <f>-'Income Statement'!E10/'Income Statement'!E7</f>
        <v>0.20692595071169984</v>
      </c>
      <c r="F14" s="193">
        <f>-'Income Statement'!F10/'Income Statement'!F7</f>
        <v>0.20443992956390314</v>
      </c>
      <c r="G14" s="193">
        <f>-'Income Statement'!G10/'Income Statement'!G7</f>
        <v>0.26602984198219548</v>
      </c>
      <c r="H14" s="193">
        <f>-'Income Statement'!H10/'Income Statement'!H7</f>
        <v>0.28842621586046807</v>
      </c>
      <c r="I14" s="206">
        <f>AVERAGE($D$14:$F$14)</f>
        <v>0.19904460423407266</v>
      </c>
      <c r="J14" s="206">
        <f t="shared" ref="J14:M14" si="0">AVERAGE($D$14:$F$14)</f>
        <v>0.19904460423407266</v>
      </c>
      <c r="K14" s="206">
        <f t="shared" si="0"/>
        <v>0.19904460423407266</v>
      </c>
      <c r="L14" s="206">
        <f t="shared" si="0"/>
        <v>0.19904460423407266</v>
      </c>
      <c r="M14" s="494">
        <f t="shared" si="0"/>
        <v>0.19904460423407266</v>
      </c>
      <c r="O14" t="s">
        <v>517</v>
      </c>
      <c r="AB14">
        <f>AVERAGE('Income Statement'!D9:H9)</f>
        <v>22550.799999999999</v>
      </c>
      <c r="AC14" s="1">
        <f>(AB14/'Income Statement'!H9)^(1/5)-1</f>
        <v>0.45400699449033777</v>
      </c>
    </row>
    <row r="15" spans="1:29">
      <c r="B15" s="20" t="s">
        <v>268</v>
      </c>
      <c r="C15" s="15"/>
      <c r="D15" s="193">
        <f>-'Income Statement'!D11/'Income Statement'!D8</f>
        <v>0.70638172679517086</v>
      </c>
      <c r="E15" s="193">
        <f>-'Income Statement'!E11/'Income Statement'!E8</f>
        <v>0.64912388225271656</v>
      </c>
      <c r="F15" s="193">
        <f>-'Income Statement'!F11/'Income Statement'!F8</f>
        <v>0.64263378110548341</v>
      </c>
      <c r="G15" s="193">
        <f>-'Income Statement'!G11/'Income Statement'!G8</f>
        <v>0.64369780208044092</v>
      </c>
      <c r="H15" s="193">
        <f>-'Income Statement'!H11/'Income Statement'!H8</f>
        <v>0.83569204954407961</v>
      </c>
      <c r="I15" s="206">
        <f>AVERAGE($D$15:$H$15)</f>
        <v>0.69550584835557827</v>
      </c>
      <c r="J15" s="206">
        <f>AVERAGE($D$15:$H$15)</f>
        <v>0.69550584835557827</v>
      </c>
      <c r="K15" s="206">
        <f>AVERAGE($D$15:$H$15)</f>
        <v>0.69550584835557827</v>
      </c>
      <c r="L15" s="206">
        <f>AVERAGE($D$15:$H$15)</f>
        <v>0.69550584835557827</v>
      </c>
      <c r="M15" s="494">
        <f>AVERAGE($D$15:$H$15)</f>
        <v>0.69550584835557827</v>
      </c>
      <c r="O15" t="s">
        <v>312</v>
      </c>
    </row>
    <row r="16" spans="1:29">
      <c r="B16" s="20" t="s">
        <v>231</v>
      </c>
      <c r="C16" s="15"/>
      <c r="D16" s="193">
        <f>-'Income Statement'!D12/'Income Statement'!D7</f>
        <v>0.34993310611693734</v>
      </c>
      <c r="E16" s="193">
        <f>-'Income Statement'!E12/'Income Statement'!E7</f>
        <v>0.34333725299889117</v>
      </c>
      <c r="F16" s="193">
        <f>-'Income Statement'!F12/'Income Statement'!F7</f>
        <v>0.29027414532865803</v>
      </c>
      <c r="G16" s="193">
        <f>-'Income Statement'!G12/'Income Statement'!G7</f>
        <v>0.31824985825275842</v>
      </c>
      <c r="H16" s="193">
        <f>-'Income Statement'!H12/'Income Statement'!H7</f>
        <v>0.38848559167688557</v>
      </c>
      <c r="I16" s="206">
        <f>AVERAGE($D$16:$F$16)</f>
        <v>0.32784816814816214</v>
      </c>
      <c r="J16" s="206">
        <f t="shared" ref="J16:M16" si="1">AVERAGE($D$16:$F$16)</f>
        <v>0.32784816814816214</v>
      </c>
      <c r="K16" s="206">
        <f t="shared" si="1"/>
        <v>0.32784816814816214</v>
      </c>
      <c r="L16" s="206">
        <f t="shared" si="1"/>
        <v>0.32784816814816214</v>
      </c>
      <c r="M16" s="494">
        <f t="shared" si="1"/>
        <v>0.32784816814816214</v>
      </c>
      <c r="O16" t="s">
        <v>517</v>
      </c>
    </row>
    <row r="17" spans="2:15">
      <c r="B17" s="20" t="s">
        <v>256</v>
      </c>
      <c r="C17" s="15"/>
      <c r="D17" s="192">
        <f>-'Income Statement'!D13/'Income Statement'!D7</f>
        <v>0.22509834941984319</v>
      </c>
      <c r="E17" s="192">
        <f>-'Income Statement'!E13/'Income Statement'!E7</f>
        <v>0.21334076392411544</v>
      </c>
      <c r="F17" s="192">
        <f>-'Income Statement'!F13/'Income Statement'!F7</f>
        <v>0.32040082436174094</v>
      </c>
      <c r="G17" s="192">
        <f>-'Income Statement'!G13/'Income Statement'!G7</f>
        <v>0.21325460106303398</v>
      </c>
      <c r="H17" s="192">
        <f>-'Income Statement'!H13/'Income Statement'!H7</f>
        <v>0.21182391257879796</v>
      </c>
      <c r="I17" s="206">
        <f>AVERAGE($D$17:$H$17)</f>
        <v>0.23678369026950633</v>
      </c>
      <c r="J17" s="206">
        <f>AVERAGE($D$17:$H$17)</f>
        <v>0.23678369026950633</v>
      </c>
      <c r="K17" s="206">
        <f>AVERAGE($D$17:$H$17)</f>
        <v>0.23678369026950633</v>
      </c>
      <c r="L17" s="206">
        <f>AVERAGE($D$17:$H$17)</f>
        <v>0.23678369026950633</v>
      </c>
      <c r="M17" s="494">
        <f>AVERAGE($D$17:$H$17)</f>
        <v>0.23678369026950633</v>
      </c>
      <c r="O17" t="s">
        <v>312</v>
      </c>
    </row>
    <row r="18" spans="2:15">
      <c r="B18" s="20" t="s">
        <v>213</v>
      </c>
      <c r="C18" s="15"/>
      <c r="D18" s="193">
        <f>'Free Cash Flow'!D14</f>
        <v>0.4</v>
      </c>
      <c r="E18" s="193">
        <f>'Free Cash Flow'!E14</f>
        <v>0.4</v>
      </c>
      <c r="F18" s="193">
        <f>'Free Cash Flow'!F14</f>
        <v>0.4</v>
      </c>
      <c r="G18" s="193">
        <f>'Free Cash Flow'!G14</f>
        <v>0.4</v>
      </c>
      <c r="H18" s="193">
        <f>'Free Cash Flow'!H14</f>
        <v>0.4</v>
      </c>
      <c r="I18" s="206">
        <v>0.4</v>
      </c>
      <c r="J18" s="206">
        <v>0.4</v>
      </c>
      <c r="K18" s="206">
        <v>0.4</v>
      </c>
      <c r="L18" s="206">
        <v>0.4</v>
      </c>
      <c r="M18" s="494">
        <v>0.4</v>
      </c>
    </row>
    <row r="19" spans="2:15">
      <c r="B19" s="20"/>
      <c r="C19" s="15"/>
      <c r="D19" s="203"/>
      <c r="E19" s="203"/>
      <c r="F19" s="203"/>
      <c r="G19" s="203"/>
      <c r="H19" s="203"/>
      <c r="I19" s="207"/>
      <c r="J19" s="207"/>
      <c r="K19" s="207"/>
      <c r="L19" s="207"/>
      <c r="M19" s="495"/>
    </row>
    <row r="20" spans="2:15">
      <c r="B20" s="49" t="s">
        <v>246</v>
      </c>
      <c r="C20" s="13"/>
      <c r="D20" s="15"/>
      <c r="E20" s="15"/>
      <c r="F20" s="15"/>
      <c r="G20" s="15"/>
      <c r="H20" s="15"/>
      <c r="I20" s="207"/>
      <c r="J20" s="207"/>
      <c r="K20" s="207"/>
      <c r="L20" s="207"/>
      <c r="M20" s="495"/>
    </row>
    <row r="21" spans="2:15">
      <c r="B21" s="20" t="s">
        <v>233</v>
      </c>
      <c r="C21" s="13"/>
      <c r="D21" s="193">
        <f>'Balance Sheet'!D46/'Income Statement'!D7</f>
        <v>0.2951151014629379</v>
      </c>
      <c r="E21" s="193">
        <f>'Balance Sheet'!E46/'Income Statement'!E7</f>
        <v>0.27081090804557145</v>
      </c>
      <c r="F21" s="193">
        <f>'Balance Sheet'!F46/'Income Statement'!F7</f>
        <v>0.25676204846862877</v>
      </c>
      <c r="G21" s="193">
        <f>'Balance Sheet'!G46/'Income Statement'!G7</f>
        <v>0.25282874299032077</v>
      </c>
      <c r="H21" s="193">
        <f>'Balance Sheet'!H46/'Income Statement'!H7</f>
        <v>0.26786993321158165</v>
      </c>
      <c r="I21" s="206">
        <f>AVERAGE($D$21:$H$21)</f>
        <v>0.26867734683580813</v>
      </c>
      <c r="J21" s="206">
        <f>AVERAGE($D$21:$H$21)</f>
        <v>0.26867734683580813</v>
      </c>
      <c r="K21" s="206">
        <f>AVERAGE($D$21:$H$21)</f>
        <v>0.26867734683580813</v>
      </c>
      <c r="L21" s="206">
        <f>AVERAGE($D$21:$H$21)</f>
        <v>0.26867734683580813</v>
      </c>
      <c r="M21" s="494">
        <f>AVERAGE($D$21:$H$21)</f>
        <v>0.26867734683580813</v>
      </c>
      <c r="O21" t="s">
        <v>312</v>
      </c>
    </row>
    <row r="22" spans="2:15">
      <c r="B22" s="20"/>
      <c r="C22" s="13"/>
      <c r="D22" s="193"/>
      <c r="E22" s="193"/>
      <c r="F22" s="193"/>
      <c r="G22" s="193"/>
      <c r="H22" s="193"/>
      <c r="I22" s="206"/>
      <c r="J22" s="206"/>
      <c r="K22" s="206"/>
      <c r="L22" s="206"/>
      <c r="M22" s="494"/>
    </row>
    <row r="23" spans="2:15">
      <c r="B23" s="49" t="s">
        <v>57</v>
      </c>
      <c r="C23" s="13"/>
      <c r="D23" s="193"/>
      <c r="E23" s="193"/>
      <c r="F23" s="193"/>
      <c r="G23" s="193"/>
      <c r="H23" s="193"/>
      <c r="I23" s="206"/>
      <c r="J23" s="206"/>
      <c r="K23" s="206"/>
      <c r="L23" s="206"/>
      <c r="M23" s="494"/>
    </row>
    <row r="24" spans="2:15">
      <c r="B24" s="20" t="s">
        <v>234</v>
      </c>
      <c r="C24" s="15"/>
      <c r="D24" s="192" t="s">
        <v>235</v>
      </c>
      <c r="E24" s="193">
        <f>'Cash Flow Statement'!E7/'Cash Flow Statement'!D7-1</f>
        <v>2.0540814571395005E-2</v>
      </c>
      <c r="F24" s="193">
        <f>'Cash Flow Statement'!F7/'Cash Flow Statement'!E7-1</f>
        <v>0.10783096192740294</v>
      </c>
      <c r="G24" s="193">
        <f>'Cash Flow Statement'!G7/'Cash Flow Statement'!F7-1</f>
        <v>0.21806205026370296</v>
      </c>
      <c r="H24" s="193">
        <f>'Cash Flow Statement'!H7/'Cash Flow Statement'!G7-1</f>
        <v>8.5631206668361326E-2</v>
      </c>
      <c r="I24" s="206">
        <f>AVERAGE($E$24:$H$24)</f>
        <v>0.10801625835771556</v>
      </c>
      <c r="J24" s="206">
        <f>AVERAGE($E$24:$H$24)</f>
        <v>0.10801625835771556</v>
      </c>
      <c r="K24" s="206">
        <f>AVERAGE($E$24:$H$24)</f>
        <v>0.10801625835771556</v>
      </c>
      <c r="L24" s="206">
        <f>AVERAGE($E$24:$H$24)</f>
        <v>0.10801625835771556</v>
      </c>
      <c r="M24" s="494">
        <f>AVERAGE($E$24:$H$24)</f>
        <v>0.10801625835771556</v>
      </c>
      <c r="O24" t="s">
        <v>312</v>
      </c>
    </row>
    <row r="25" spans="2:15">
      <c r="B25" s="20"/>
      <c r="C25" s="15"/>
      <c r="D25" s="192"/>
      <c r="E25" s="193"/>
      <c r="F25" s="193"/>
      <c r="G25" s="193"/>
      <c r="H25" s="193"/>
      <c r="I25" s="206"/>
      <c r="J25" s="206"/>
      <c r="K25" s="206"/>
      <c r="L25" s="206"/>
      <c r="M25" s="494"/>
    </row>
    <row r="26" spans="2:15">
      <c r="B26" s="20" t="s">
        <v>250</v>
      </c>
      <c r="C26" s="15"/>
      <c r="D26" s="192">
        <f>-'Cash Flow Statement'!D9/'Income Statement'!D7</f>
        <v>0.11556208351501294</v>
      </c>
      <c r="E26" s="192">
        <f>-'Cash Flow Statement'!E9/'Income Statement'!E7</f>
        <v>0.11940384836736193</v>
      </c>
      <c r="F26" s="192">
        <f>-'Cash Flow Statement'!F9/'Income Statement'!F7</f>
        <v>0.14791233804970033</v>
      </c>
      <c r="G26" s="192">
        <f>-'Cash Flow Statement'!G9/'Income Statement'!G7</f>
        <v>0.16923047807374131</v>
      </c>
      <c r="H26" s="192">
        <f>-'Cash Flow Statement'!H9/'Income Statement'!H7</f>
        <v>0.16352849851685461</v>
      </c>
      <c r="I26" s="531">
        <f>AVERAGE($D$26:$F$26)</f>
        <v>0.12762608997735839</v>
      </c>
      <c r="J26" s="206">
        <f>AVERAGE($D$26:$F$26)</f>
        <v>0.12762608997735839</v>
      </c>
      <c r="K26" s="206">
        <f>AVERAGE($D$26:$F$26)</f>
        <v>0.12762608997735839</v>
      </c>
      <c r="L26" s="206">
        <f>AVERAGE($D$26:$F$26)</f>
        <v>0.12762608997735839</v>
      </c>
      <c r="M26" s="494">
        <f>AVERAGE($D$26:$F$26)</f>
        <v>0.12762608997735839</v>
      </c>
      <c r="O26" t="s">
        <v>313</v>
      </c>
    </row>
    <row r="27" spans="2:15">
      <c r="B27" s="20" t="s">
        <v>251</v>
      </c>
      <c r="C27" s="15"/>
      <c r="D27" s="192">
        <f>-'Cash Flow Statement'!D10/'Income Statement'!D7</f>
        <v>0.19704620994116179</v>
      </c>
      <c r="E27" s="192">
        <f>-'Cash Flow Statement'!E10/'Income Statement'!E7</f>
        <v>9.9039325254542079E-2</v>
      </c>
      <c r="F27" s="192">
        <f>-'Cash Flow Statement'!F10/'Income Statement'!F7</f>
        <v>4.0992838072720266E-3</v>
      </c>
      <c r="G27" s="192">
        <f>-'Cash Flow Statement'!G10/'Income Statement'!G7</f>
        <v>1.3128978609145631E-2</v>
      </c>
      <c r="H27" s="192">
        <f>-'Cash Flow Statement'!H10/'Income Statement'!H7</f>
        <v>0</v>
      </c>
      <c r="I27" s="206">
        <f>AVERAGE($D$27:$H$27)</f>
        <v>6.2662759522424311E-2</v>
      </c>
      <c r="J27" s="206">
        <f>AVERAGE($D$27:$H$27)</f>
        <v>6.2662759522424311E-2</v>
      </c>
      <c r="K27" s="206">
        <f>AVERAGE($D$27:$H$27)</f>
        <v>6.2662759522424311E-2</v>
      </c>
      <c r="L27" s="206">
        <f>AVERAGE($D$27:$H$27)</f>
        <v>6.2662759522424311E-2</v>
      </c>
      <c r="M27" s="494">
        <f>AVERAGE($D$27:$H$27)</f>
        <v>6.2662759522424311E-2</v>
      </c>
      <c r="O27" t="s">
        <v>312</v>
      </c>
    </row>
    <row r="28" spans="2:15">
      <c r="B28" s="496" t="s">
        <v>232</v>
      </c>
      <c r="C28" s="497"/>
      <c r="D28" s="498">
        <f>SUM(D26,D27)</f>
        <v>0.31260829345617475</v>
      </c>
      <c r="E28" s="498">
        <f t="shared" ref="E28:H28" si="2">SUM(E26,E27)</f>
        <v>0.21844317362190402</v>
      </c>
      <c r="F28" s="498">
        <f t="shared" si="2"/>
        <v>0.15201162185697237</v>
      </c>
      <c r="G28" s="498">
        <f t="shared" si="2"/>
        <v>0.18235945668288694</v>
      </c>
      <c r="H28" s="498">
        <f t="shared" si="2"/>
        <v>0.16352849851685461</v>
      </c>
      <c r="I28" s="499">
        <f>SUM(I26:I27)</f>
        <v>0.1902888494997827</v>
      </c>
      <c r="J28" s="499">
        <f>SUM(J26:J27)</f>
        <v>0.1902888494997827</v>
      </c>
      <c r="K28" s="499">
        <f>SUM(K26:K27)</f>
        <v>0.1902888494997827</v>
      </c>
      <c r="L28" s="499">
        <f>SUM(L26:L27)</f>
        <v>0.1902888494997827</v>
      </c>
      <c r="M28" s="500">
        <f>SUM(M26:M27)</f>
        <v>0.1902888494997827</v>
      </c>
    </row>
    <row r="29" spans="2:15">
      <c r="B29" s="52" t="s">
        <v>544</v>
      </c>
      <c r="C29" s="15"/>
      <c r="D29" s="193"/>
      <c r="E29" s="193"/>
      <c r="F29" s="193"/>
      <c r="G29" s="193"/>
      <c r="H29" s="193"/>
      <c r="I29" s="206"/>
      <c r="J29" s="206"/>
      <c r="K29" s="206"/>
      <c r="L29" s="206"/>
      <c r="M29" s="206"/>
    </row>
    <row r="31" spans="2:15" ht="16.5" thickBot="1">
      <c r="B31" s="17" t="s">
        <v>533</v>
      </c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2:15">
      <c r="B32" s="20"/>
    </row>
    <row r="33" spans="2:17">
      <c r="B33" s="49" t="s">
        <v>228</v>
      </c>
    </row>
    <row r="34" spans="2:17">
      <c r="B34" s="20" t="s">
        <v>229</v>
      </c>
      <c r="D34" s="192" t="s">
        <v>235</v>
      </c>
      <c r="E34" s="193">
        <v>0.19753661500674125</v>
      </c>
      <c r="F34" s="193">
        <v>0.16837286835649956</v>
      </c>
      <c r="G34" s="193">
        <v>-3.214005832710809E-2</v>
      </c>
      <c r="H34" s="193">
        <v>2.2970086153167868E-2</v>
      </c>
      <c r="I34" s="206">
        <v>0.1</v>
      </c>
      <c r="J34" s="206">
        <v>0.15</v>
      </c>
      <c r="K34" s="206">
        <v>0.2</v>
      </c>
      <c r="L34" s="206">
        <v>0.25</v>
      </c>
      <c r="M34" s="206">
        <v>0.3</v>
      </c>
    </row>
    <row r="35" spans="2:17">
      <c r="B35" s="20" t="s">
        <v>308</v>
      </c>
      <c r="D35" s="192" t="s">
        <v>235</v>
      </c>
      <c r="E35" s="193">
        <v>0.15670038778099937</v>
      </c>
      <c r="F35" s="193">
        <v>-0.86084467679559706</v>
      </c>
      <c r="G35" s="193">
        <v>3.0984364677383747E-2</v>
      </c>
      <c r="H35" s="193">
        <v>-3.2552278018668446E-2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</row>
    <row r="36" spans="2:17">
      <c r="B36" s="20" t="s">
        <v>267</v>
      </c>
      <c r="D36" s="192" t="s">
        <v>235</v>
      </c>
      <c r="E36" s="193">
        <v>0.6822029051812879</v>
      </c>
      <c r="F36" s="193">
        <v>0.42923678395376519</v>
      </c>
      <c r="G36" s="193">
        <v>-0.51613900715967742</v>
      </c>
      <c r="H36" s="193">
        <v>-0.82941696981614399</v>
      </c>
      <c r="I36" s="206">
        <v>0.45400699449033777</v>
      </c>
      <c r="J36" s="206">
        <v>0.45400699449033777</v>
      </c>
      <c r="K36" s="206">
        <v>0.45400699449033777</v>
      </c>
      <c r="L36" s="206">
        <v>0.45400699449033777</v>
      </c>
      <c r="M36" s="206">
        <v>0.45400699449033777</v>
      </c>
    </row>
    <row r="37" spans="2:17">
      <c r="B37" s="20" t="s">
        <v>230</v>
      </c>
      <c r="D37" s="193">
        <v>0.18576793242661499</v>
      </c>
      <c r="E37" s="193">
        <v>0.20692595071169984</v>
      </c>
      <c r="F37" s="193">
        <v>0.20443992956390314</v>
      </c>
      <c r="G37" s="193">
        <v>0.26602984198219548</v>
      </c>
      <c r="H37" s="193">
        <v>0.28842621586046807</v>
      </c>
      <c r="I37" s="206">
        <f>'Value of Control Inputs'!J18</f>
        <v>0.19135029849420998</v>
      </c>
      <c r="J37" s="206">
        <f>$I$37</f>
        <v>0.19135029849420998</v>
      </c>
      <c r="K37" s="206">
        <f t="shared" ref="K37:M37" si="3">$I$37</f>
        <v>0.19135029849420998</v>
      </c>
      <c r="L37" s="206">
        <f t="shared" si="3"/>
        <v>0.19135029849420998</v>
      </c>
      <c r="M37" s="206">
        <f t="shared" si="3"/>
        <v>0.19135029849420998</v>
      </c>
    </row>
    <row r="38" spans="2:17">
      <c r="B38" s="20" t="s">
        <v>268</v>
      </c>
      <c r="D38" s="193">
        <v>0.70638172679517086</v>
      </c>
      <c r="E38" s="193">
        <v>0.64912388225271656</v>
      </c>
      <c r="F38" s="193">
        <v>0.64263378110548341</v>
      </c>
      <c r="G38" s="193">
        <v>0.64369780208044092</v>
      </c>
      <c r="H38" s="193">
        <v>0.83569204954407961</v>
      </c>
      <c r="I38" s="206">
        <v>0</v>
      </c>
      <c r="J38" s="206">
        <f>$I$38</f>
        <v>0</v>
      </c>
      <c r="K38" s="206">
        <f t="shared" ref="K38:M38" si="4">$I$38</f>
        <v>0</v>
      </c>
      <c r="L38" s="206">
        <f t="shared" si="4"/>
        <v>0</v>
      </c>
      <c r="M38" s="206">
        <f t="shared" si="4"/>
        <v>0</v>
      </c>
      <c r="P38" s="403"/>
    </row>
    <row r="39" spans="2:17">
      <c r="B39" s="20" t="s">
        <v>231</v>
      </c>
      <c r="D39" s="193">
        <v>0.34993310611693734</v>
      </c>
      <c r="E39" s="193">
        <v>0.34333725299889117</v>
      </c>
      <c r="F39" s="193">
        <v>0.29027414532865803</v>
      </c>
      <c r="G39" s="193">
        <v>0.31824985825275842</v>
      </c>
      <c r="H39" s="193">
        <v>0.38848559167688557</v>
      </c>
      <c r="I39" s="206">
        <f>'Value of Control Inputs'!J19</f>
        <v>0.24242311375403539</v>
      </c>
      <c r="J39" s="206">
        <f>$I$39</f>
        <v>0.24242311375403539</v>
      </c>
      <c r="K39" s="206">
        <f t="shared" ref="K39:M39" si="5">$I$39</f>
        <v>0.24242311375403539</v>
      </c>
      <c r="L39" s="206">
        <f t="shared" si="5"/>
        <v>0.24242311375403539</v>
      </c>
      <c r="M39" s="206">
        <f t="shared" si="5"/>
        <v>0.24242311375403539</v>
      </c>
    </row>
    <row r="40" spans="2:17">
      <c r="B40" s="20" t="s">
        <v>256</v>
      </c>
      <c r="D40" s="192">
        <v>0.22509834941984319</v>
      </c>
      <c r="E40" s="192">
        <v>0.21334076392411544</v>
      </c>
      <c r="F40" s="192">
        <v>0.32040082436174094</v>
      </c>
      <c r="G40" s="192">
        <v>0.21325460106303398</v>
      </c>
      <c r="H40" s="192">
        <v>0.21182391257879796</v>
      </c>
      <c r="I40" s="206">
        <f>'Value of Control Inputs'!J20</f>
        <v>0.15417477481346584</v>
      </c>
      <c r="J40" s="206">
        <f>$I$40</f>
        <v>0.15417477481346584</v>
      </c>
      <c r="K40" s="206">
        <f t="shared" ref="K40:M40" si="6">$I$40</f>
        <v>0.15417477481346584</v>
      </c>
      <c r="L40" s="206">
        <f t="shared" si="6"/>
        <v>0.15417477481346584</v>
      </c>
      <c r="M40" s="206">
        <f t="shared" si="6"/>
        <v>0.15417477481346584</v>
      </c>
    </row>
    <row r="41" spans="2:17">
      <c r="B41" s="20" t="s">
        <v>213</v>
      </c>
      <c r="D41" s="193">
        <v>0.4</v>
      </c>
      <c r="E41" s="193">
        <v>0.4</v>
      </c>
      <c r="F41" s="193">
        <v>0.4</v>
      </c>
      <c r="G41" s="193">
        <v>0.4</v>
      </c>
      <c r="H41" s="193">
        <v>0.4</v>
      </c>
      <c r="I41" s="206">
        <v>0.4</v>
      </c>
      <c r="J41" s="206">
        <v>0.4</v>
      </c>
      <c r="K41" s="206">
        <v>0.4</v>
      </c>
      <c r="L41" s="206">
        <v>0.4</v>
      </c>
      <c r="M41" s="206">
        <v>0.4</v>
      </c>
      <c r="P41" s="157"/>
      <c r="Q41" s="1"/>
    </row>
    <row r="42" spans="2:17">
      <c r="B42" s="20"/>
      <c r="D42" s="15"/>
      <c r="E42" s="15"/>
      <c r="F42" s="15"/>
      <c r="G42" s="15"/>
      <c r="H42" s="15"/>
      <c r="I42" s="207"/>
      <c r="J42" s="207"/>
      <c r="K42" s="207"/>
      <c r="L42" s="207"/>
      <c r="M42" s="207"/>
    </row>
    <row r="43" spans="2:17">
      <c r="B43" s="49" t="s">
        <v>246</v>
      </c>
      <c r="D43" s="15"/>
      <c r="E43" s="15"/>
      <c r="F43" s="15"/>
      <c r="G43" s="15"/>
      <c r="H43" s="15"/>
      <c r="I43" s="207"/>
      <c r="J43" s="207"/>
      <c r="K43" s="207"/>
      <c r="L43" s="207"/>
      <c r="M43" s="207"/>
    </row>
    <row r="44" spans="2:17">
      <c r="B44" s="20" t="s">
        <v>233</v>
      </c>
      <c r="D44" s="193">
        <v>0.2951151014629379</v>
      </c>
      <c r="E44" s="193">
        <v>0.27081090804557145</v>
      </c>
      <c r="F44" s="193">
        <v>0.25676204846862877</v>
      </c>
      <c r="G44" s="193">
        <v>0.25282874299032077</v>
      </c>
      <c r="H44" s="193">
        <v>0.26786993321158165</v>
      </c>
      <c r="I44" s="206">
        <f>'Value of Control Inputs'!$J$10</f>
        <v>3.4286305147058854E-2</v>
      </c>
      <c r="J44" s="206">
        <f>'Value of Control Inputs'!$J$10</f>
        <v>3.4286305147058854E-2</v>
      </c>
      <c r="K44" s="206">
        <f>'Value of Control Inputs'!$J$10</f>
        <v>3.4286305147058854E-2</v>
      </c>
      <c r="L44" s="206">
        <f>'Value of Control Inputs'!$J$10</f>
        <v>3.4286305147058854E-2</v>
      </c>
      <c r="M44" s="206">
        <f>'Value of Control Inputs'!$J$10</f>
        <v>3.4286305147058854E-2</v>
      </c>
    </row>
    <row r="45" spans="2:17">
      <c r="B45" s="20"/>
      <c r="D45" s="193"/>
      <c r="E45" s="193"/>
      <c r="F45" s="193"/>
      <c r="G45" s="193"/>
      <c r="H45" s="193"/>
      <c r="I45" s="206"/>
      <c r="J45" s="206"/>
      <c r="K45" s="206"/>
      <c r="L45" s="206"/>
      <c r="M45" s="206"/>
      <c r="O45" t="s">
        <v>536</v>
      </c>
    </row>
    <row r="46" spans="2:17">
      <c r="B46" s="49" t="s">
        <v>57</v>
      </c>
      <c r="D46" s="193"/>
      <c r="E46" s="193"/>
      <c r="F46" s="193"/>
      <c r="G46" s="193"/>
      <c r="H46" s="193"/>
      <c r="I46" s="206"/>
      <c r="J46" s="206"/>
      <c r="K46" s="206"/>
      <c r="L46" s="206"/>
      <c r="M46" s="206"/>
    </row>
    <row r="47" spans="2:17">
      <c r="B47" s="20" t="s">
        <v>234</v>
      </c>
      <c r="D47" s="192" t="s">
        <v>235</v>
      </c>
      <c r="E47" s="193">
        <v>2.0540814571395005E-2</v>
      </c>
      <c r="F47" s="193">
        <v>0.10783096192740294</v>
      </c>
      <c r="G47" s="193">
        <v>0.21806205026370296</v>
      </c>
      <c r="H47" s="193">
        <v>8.5631206668361326E-2</v>
      </c>
      <c r="I47" s="206">
        <v>0.14199999999999999</v>
      </c>
      <c r="J47" s="206">
        <v>0.14199999999999999</v>
      </c>
      <c r="K47" s="206">
        <v>0.14199999999999999</v>
      </c>
      <c r="L47" s="206">
        <v>0.14199999999999999</v>
      </c>
      <c r="M47" s="206">
        <v>0.14199999999999999</v>
      </c>
    </row>
    <row r="48" spans="2:17">
      <c r="B48" s="20"/>
      <c r="D48" s="192"/>
      <c r="E48" s="193"/>
      <c r="F48" s="193"/>
      <c r="G48" s="193"/>
      <c r="H48" s="193"/>
      <c r="I48" s="206"/>
      <c r="J48" s="206"/>
      <c r="K48" s="206"/>
      <c r="L48" s="206"/>
      <c r="M48" s="206"/>
    </row>
    <row r="49" spans="2:16">
      <c r="B49" s="20" t="s">
        <v>250</v>
      </c>
      <c r="D49" s="192">
        <v>0.11556208351501294</v>
      </c>
      <c r="E49" s="193">
        <v>0.11940384836736193</v>
      </c>
      <c r="F49" s="193">
        <v>0.14791233804970033</v>
      </c>
      <c r="G49" s="193">
        <v>0.16923047807374131</v>
      </c>
      <c r="H49" s="193">
        <v>0.16352849851685461</v>
      </c>
      <c r="I49" s="206">
        <f>'Value of Control Inputs'!$B$57</f>
        <v>0.25373779102066796</v>
      </c>
      <c r="J49" s="206">
        <f>'Value of Control Inputs'!$B$57</f>
        <v>0.25373779102066796</v>
      </c>
      <c r="K49" s="206">
        <f>'Value of Control Inputs'!$B$57</f>
        <v>0.25373779102066796</v>
      </c>
      <c r="L49" s="206">
        <f>'Value of Control Inputs'!$B$57</f>
        <v>0.25373779102066796</v>
      </c>
      <c r="M49" s="206">
        <f>'Value of Control Inputs'!$B$57</f>
        <v>0.25373779102066796</v>
      </c>
      <c r="P49">
        <f>(25-1.3)/4</f>
        <v>5.9249999999999998</v>
      </c>
    </row>
    <row r="50" spans="2:16">
      <c r="B50" s="20" t="s">
        <v>251</v>
      </c>
      <c r="D50" s="192">
        <v>0.19704620994116179</v>
      </c>
      <c r="E50" s="193">
        <v>9.9039325254542079E-2</v>
      </c>
      <c r="F50" s="193">
        <v>4.0992838072720266E-3</v>
      </c>
      <c r="G50" s="193">
        <v>1.3128978609145631E-2</v>
      </c>
      <c r="H50" s="193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</row>
    <row r="51" spans="2:16">
      <c r="B51" s="194" t="s">
        <v>232</v>
      </c>
      <c r="D51" s="192">
        <v>0.31260829345617475</v>
      </c>
      <c r="E51" s="193">
        <v>0.21844317362190402</v>
      </c>
      <c r="F51" s="193">
        <v>0.15201162185697237</v>
      </c>
      <c r="G51" s="193">
        <v>0.18235945668288694</v>
      </c>
      <c r="H51" s="193">
        <v>0.16352849851685461</v>
      </c>
      <c r="I51" s="206">
        <f>SUM(I49:I50)</f>
        <v>0.25373779102066796</v>
      </c>
      <c r="J51" s="206">
        <f t="shared" ref="J51:M51" si="7">SUM(J49:J50)</f>
        <v>0.25373779102066796</v>
      </c>
      <c r="K51" s="206">
        <f t="shared" si="7"/>
        <v>0.25373779102066796</v>
      </c>
      <c r="L51" s="206">
        <f t="shared" si="7"/>
        <v>0.25373779102066796</v>
      </c>
      <c r="M51" s="206">
        <f t="shared" si="7"/>
        <v>0.25373779102066796</v>
      </c>
    </row>
    <row r="52" spans="2:16"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63" spans="2:16">
      <c r="J63" s="1"/>
    </row>
    <row r="68" spans="10:10">
      <c r="J68" s="1"/>
    </row>
  </sheetData>
  <phoneticPr fontId="50" type="noConversion"/>
  <dataValidations count="1">
    <dataValidation type="list" allowBlank="1" showInputMessage="1" showErrorMessage="1" sqref="H2">
      <formula1>$S$1:$S$3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V59"/>
  <sheetViews>
    <sheetView showGridLines="0" topLeftCell="A21" zoomScale="85" zoomScaleNormal="85" workbookViewId="0">
      <selection activeCell="A52" sqref="A52:C59"/>
    </sheetView>
  </sheetViews>
  <sheetFormatPr baseColWidth="10" defaultRowHeight="15"/>
  <cols>
    <col min="1" max="1" width="24.7109375" customWidth="1"/>
    <col min="2" max="2" width="9.42578125" bestFit="1" customWidth="1"/>
    <col min="3" max="3" width="11.28515625" customWidth="1"/>
    <col min="4" max="4" width="9.42578125" style="404" bestFit="1" customWidth="1"/>
    <col min="5" max="5" width="8.42578125" style="48" bestFit="1" customWidth="1"/>
    <col min="6" max="6" width="10.140625" bestFit="1" customWidth="1"/>
    <col min="7" max="7" width="24.28515625" bestFit="1" customWidth="1"/>
    <col min="8" max="8" width="15.85546875" bestFit="1" customWidth="1"/>
    <col min="9" max="9" width="16.42578125" bestFit="1" customWidth="1"/>
    <col min="10" max="10" width="15.85546875" customWidth="1"/>
    <col min="11" max="11" width="16.42578125" bestFit="1" customWidth="1"/>
    <col min="12" max="12" width="11.28515625" bestFit="1" customWidth="1"/>
    <col min="13" max="13" width="10.5703125" bestFit="1" customWidth="1"/>
  </cols>
  <sheetData>
    <row r="1" spans="1:13">
      <c r="A1" s="2" t="s">
        <v>519</v>
      </c>
    </row>
    <row r="2" spans="1:13">
      <c r="B2" s="463" t="s">
        <v>520</v>
      </c>
      <c r="C2" s="464" t="s">
        <v>521</v>
      </c>
      <c r="D2" s="464" t="s">
        <v>437</v>
      </c>
      <c r="E2" s="464" t="s">
        <v>522</v>
      </c>
      <c r="F2" s="465" t="s">
        <v>439</v>
      </c>
      <c r="G2" s="468" t="s">
        <v>312</v>
      </c>
      <c r="H2" s="464" t="s">
        <v>431</v>
      </c>
      <c r="I2" s="464" t="s">
        <v>432</v>
      </c>
      <c r="J2" s="464" t="s">
        <v>433</v>
      </c>
      <c r="K2" s="464" t="s">
        <v>524</v>
      </c>
      <c r="L2" s="465" t="s">
        <v>435</v>
      </c>
      <c r="M2" s="468" t="s">
        <v>440</v>
      </c>
    </row>
    <row r="3" spans="1:13">
      <c r="A3" s="37">
        <v>2010</v>
      </c>
      <c r="B3" s="169"/>
      <c r="C3" s="151"/>
      <c r="D3" s="151"/>
      <c r="E3" s="151"/>
      <c r="F3" s="170"/>
      <c r="G3" s="469"/>
      <c r="H3" s="151"/>
      <c r="I3" s="151"/>
      <c r="J3" s="151"/>
      <c r="K3" s="151"/>
      <c r="L3" s="170"/>
      <c r="M3" s="469"/>
    </row>
    <row r="4" spans="1:13">
      <c r="A4" s="21" t="s">
        <v>228</v>
      </c>
      <c r="B4" s="410"/>
      <c r="C4" s="411"/>
      <c r="D4" s="412"/>
      <c r="E4" s="413"/>
      <c r="F4" s="414"/>
      <c r="G4" s="443"/>
      <c r="H4" s="411"/>
      <c r="I4" s="411"/>
      <c r="J4" s="411"/>
      <c r="K4" s="411"/>
      <c r="L4" s="414"/>
      <c r="M4" s="415"/>
    </row>
    <row r="5" spans="1:13">
      <c r="A5" s="20" t="s">
        <v>230</v>
      </c>
      <c r="B5" s="416">
        <v>0.14747890785889856</v>
      </c>
      <c r="C5" s="417">
        <v>8.4540142784448449E-2</v>
      </c>
      <c r="D5" s="418" t="s">
        <v>235</v>
      </c>
      <c r="E5" s="419">
        <v>0.49862132352941174</v>
      </c>
      <c r="F5" s="420">
        <v>0.23522168912952141</v>
      </c>
      <c r="G5" s="454">
        <f>AVERAGE(B5:F5)</f>
        <v>0.24146551582557002</v>
      </c>
      <c r="H5" s="422">
        <f>MIN(B5:F5)</f>
        <v>8.4540142784448449E-2</v>
      </c>
      <c r="I5" s="417">
        <f>_xlfn.QUARTILE.INC(B5:F5,1)</f>
        <v>0.13174421659028601</v>
      </c>
      <c r="J5" s="422">
        <f>MEDIAN(B5:F5)</f>
        <v>0.19135029849420998</v>
      </c>
      <c r="K5" s="422">
        <f>_xlfn.QUARTILE.INC(B5:F5,3)</f>
        <v>0.30107159772949399</v>
      </c>
      <c r="L5" s="442">
        <f>MAX(B5:F5)</f>
        <v>0.49862132352941174</v>
      </c>
      <c r="M5" s="423">
        <v>0.28842621586046807</v>
      </c>
    </row>
    <row r="6" spans="1:13">
      <c r="A6" s="20" t="s">
        <v>231</v>
      </c>
      <c r="B6" s="416">
        <v>0.26459841891981667</v>
      </c>
      <c r="C6" s="417">
        <v>0.26218997750807077</v>
      </c>
      <c r="D6" s="418" t="s">
        <v>235</v>
      </c>
      <c r="E6" s="417">
        <v>0.22265625</v>
      </c>
      <c r="F6" s="420">
        <v>0.12811060429565929</v>
      </c>
      <c r="G6" s="454">
        <f t="shared" ref="G6:G15" si="0">AVERAGE(B6:F6)</f>
        <v>0.21938881268088667</v>
      </c>
      <c r="H6" s="422">
        <f>MIN(B6:F6)</f>
        <v>0.12811060429565929</v>
      </c>
      <c r="I6" s="417">
        <f>_xlfn.QUARTILE.INC(B6:F6,1)</f>
        <v>0.19901983857391481</v>
      </c>
      <c r="J6" s="422">
        <f>MEDIAN(B6:F6)</f>
        <v>0.24242311375403539</v>
      </c>
      <c r="K6" s="422">
        <f>_xlfn.QUARTILE.INC(B6:F6,3)</f>
        <v>0.26279208786100727</v>
      </c>
      <c r="L6" s="442">
        <f>MAX(B6:F6)</f>
        <v>0.26459841891981667</v>
      </c>
      <c r="M6" s="423">
        <v>0.38848559167688557</v>
      </c>
    </row>
    <row r="7" spans="1:13">
      <c r="A7" s="20" t="s">
        <v>256</v>
      </c>
      <c r="B7" s="416">
        <v>0.19225403574038397</v>
      </c>
      <c r="C7" s="417">
        <v>0.3112449993035914</v>
      </c>
      <c r="D7" s="418" t="s">
        <v>235</v>
      </c>
      <c r="E7" s="417">
        <v>6.7478553921568624E-2</v>
      </c>
      <c r="F7" s="420">
        <v>0.11609551388654771</v>
      </c>
      <c r="G7" s="454">
        <f t="shared" si="0"/>
        <v>0.17176827571302294</v>
      </c>
      <c r="H7" s="422">
        <f>MIN(B7:F7)</f>
        <v>6.7478553921568624E-2</v>
      </c>
      <c r="I7" s="417">
        <f>_xlfn.QUARTILE.INC(B7:F7,1)</f>
        <v>0.10394127389530294</v>
      </c>
      <c r="J7" s="422">
        <f>MEDIAN(B7:F7)</f>
        <v>0.15417477481346584</v>
      </c>
      <c r="K7" s="422">
        <f>_xlfn.QUARTILE.INC(B7:F7,3)</f>
        <v>0.22200177663118581</v>
      </c>
      <c r="L7" s="442">
        <f>MAX(B7:F7)</f>
        <v>0.3112449993035914</v>
      </c>
      <c r="M7" s="424">
        <v>0.21182391257879796</v>
      </c>
    </row>
    <row r="8" spans="1:13">
      <c r="A8" s="20"/>
      <c r="B8" s="405"/>
      <c r="C8" s="406"/>
      <c r="D8" s="425"/>
      <c r="E8" s="407"/>
      <c r="F8" s="408"/>
      <c r="G8" s="455"/>
      <c r="H8" s="406"/>
      <c r="I8" s="417"/>
      <c r="J8" s="422"/>
      <c r="K8" s="422"/>
      <c r="L8" s="442"/>
      <c r="M8" s="409"/>
    </row>
    <row r="9" spans="1:13">
      <c r="A9" s="21" t="s">
        <v>246</v>
      </c>
      <c r="B9" s="410"/>
      <c r="C9" s="411"/>
      <c r="D9" s="426"/>
      <c r="E9" s="413"/>
      <c r="F9" s="414"/>
      <c r="G9" s="470"/>
      <c r="H9" s="411"/>
      <c r="I9" s="427"/>
      <c r="J9" s="428"/>
      <c r="K9" s="428"/>
      <c r="L9" s="466"/>
      <c r="M9" s="415"/>
    </row>
    <row r="10" spans="1:13">
      <c r="A10" s="20" t="s">
        <v>233</v>
      </c>
      <c r="B10" s="416">
        <v>7.2875838703248527E-2</v>
      </c>
      <c r="C10" s="417">
        <v>-8.9978197584220709E-2</v>
      </c>
      <c r="D10" s="418" t="s">
        <v>235</v>
      </c>
      <c r="E10" s="419">
        <v>1.7463235294117647E-2</v>
      </c>
      <c r="F10" s="420">
        <v>5.1109375000000061E-2</v>
      </c>
      <c r="G10" s="454">
        <f t="shared" si="0"/>
        <v>1.2867562853286382E-2</v>
      </c>
      <c r="H10" s="422">
        <f>MIN(B10:F10)</f>
        <v>-8.9978197584220709E-2</v>
      </c>
      <c r="I10" s="417">
        <f>_xlfn.QUARTILE.INC(B10:F10,1)</f>
        <v>-9.3971229254669469E-3</v>
      </c>
      <c r="J10" s="422">
        <f>MEDIAN(B10:F10)</f>
        <v>3.4286305147058854E-2</v>
      </c>
      <c r="K10" s="422">
        <f>_xlfn.QUARTILE.INC(B10:F10,3)</f>
        <v>5.6550990925812179E-2</v>
      </c>
      <c r="L10" s="442">
        <f>MAX(B10:F10)</f>
        <v>7.2875838703248527E-2</v>
      </c>
      <c r="M10" s="423">
        <v>0.26786993321158165</v>
      </c>
    </row>
    <row r="11" spans="1:13">
      <c r="A11" s="20"/>
      <c r="B11" s="405"/>
      <c r="C11" s="406"/>
      <c r="D11" s="425"/>
      <c r="E11" s="407"/>
      <c r="F11" s="408"/>
      <c r="G11" s="455"/>
      <c r="H11" s="406"/>
      <c r="I11" s="417"/>
      <c r="J11" s="422"/>
      <c r="K11" s="422"/>
      <c r="L11" s="442"/>
      <c r="M11" s="409"/>
    </row>
    <row r="12" spans="1:13">
      <c r="A12" s="21" t="s">
        <v>57</v>
      </c>
      <c r="B12" s="410"/>
      <c r="C12" s="411"/>
      <c r="D12" s="426"/>
      <c r="E12" s="413"/>
      <c r="F12" s="414"/>
      <c r="G12" s="470"/>
      <c r="H12" s="411"/>
      <c r="I12" s="427"/>
      <c r="J12" s="428"/>
      <c r="K12" s="428"/>
      <c r="L12" s="466"/>
      <c r="M12" s="415"/>
    </row>
    <row r="13" spans="1:13">
      <c r="A13" s="20" t="s">
        <v>250</v>
      </c>
      <c r="B13" s="416">
        <v>0.36683717531389093</v>
      </c>
      <c r="C13" s="417">
        <v>0.14063840672744499</v>
      </c>
      <c r="D13" s="418" t="s">
        <v>235</v>
      </c>
      <c r="E13" s="419">
        <v>0.40287990196078433</v>
      </c>
      <c r="F13" s="420">
        <v>8.8212095976813398E-2</v>
      </c>
      <c r="G13" s="454">
        <f t="shared" si="0"/>
        <v>0.24964189499473338</v>
      </c>
      <c r="H13" s="422">
        <f>MIN(B13:F13)</f>
        <v>8.8212095976813398E-2</v>
      </c>
      <c r="I13" s="417">
        <f>_xlfn.QUARTILE.INC(B13:F13,1)</f>
        <v>0.1275318290397871</v>
      </c>
      <c r="J13" s="422">
        <f>MEDIAN(B13:F13)</f>
        <v>0.25373779102066796</v>
      </c>
      <c r="K13" s="417">
        <f>_xlfn.QUARTILE.INC(B13:F13,3)</f>
        <v>0.37584785697561429</v>
      </c>
      <c r="L13" s="442">
        <f>MAX(B13:F13)</f>
        <v>0.40287990196078433</v>
      </c>
      <c r="M13" s="424">
        <v>0.16352849851685461</v>
      </c>
    </row>
    <row r="14" spans="1:13">
      <c r="A14" s="226" t="s">
        <v>525</v>
      </c>
      <c r="B14" s="429">
        <v>0.11777227130804491</v>
      </c>
      <c r="C14" s="430">
        <v>0.8959532454709308</v>
      </c>
      <c r="D14" s="431" t="s">
        <v>235</v>
      </c>
      <c r="E14" s="432">
        <v>3.8296568627450983E-2</v>
      </c>
      <c r="F14" s="433">
        <v>0</v>
      </c>
      <c r="G14" s="471">
        <f t="shared" si="0"/>
        <v>0.26300552135160665</v>
      </c>
      <c r="H14" s="422">
        <f>MIN(B14:F14)</f>
        <v>0</v>
      </c>
      <c r="I14" s="417">
        <f>_xlfn.QUARTILE.INC(B14:F14,1)</f>
        <v>2.8722426470588237E-2</v>
      </c>
      <c r="J14" s="434">
        <f>MEDIAN(B14:F14)</f>
        <v>7.8034419967747945E-2</v>
      </c>
      <c r="K14" s="417">
        <f>_xlfn.QUARTILE.INC(B14:F14,3)</f>
        <v>0.31231751484876635</v>
      </c>
      <c r="L14" s="442">
        <f>MAX(B14:F14)</f>
        <v>0.8959532454709308</v>
      </c>
      <c r="M14" s="424">
        <v>0</v>
      </c>
    </row>
    <row r="15" spans="1:13">
      <c r="A15" s="265" t="s">
        <v>232</v>
      </c>
      <c r="B15" s="435">
        <f>SUM(B13:B14)</f>
        <v>0.48460944662193584</v>
      </c>
      <c r="C15" s="436">
        <f t="shared" ref="C15:F15" si="1">SUM(C13:C14)</f>
        <v>1.0365916521983758</v>
      </c>
      <c r="D15" s="437" t="s">
        <v>235</v>
      </c>
      <c r="E15" s="436">
        <f t="shared" si="1"/>
        <v>0.44117647058823528</v>
      </c>
      <c r="F15" s="438">
        <f t="shared" si="1"/>
        <v>8.8212095976813398E-2</v>
      </c>
      <c r="G15" s="472">
        <f t="shared" si="0"/>
        <v>0.51264741634634003</v>
      </c>
      <c r="H15" s="439">
        <f>MIN(B15:F15)</f>
        <v>8.8212095976813398E-2</v>
      </c>
      <c r="I15" s="440">
        <f>_xlfn.QUARTILE.INC(B15:F15,1)</f>
        <v>0.3529353769353798</v>
      </c>
      <c r="J15" s="436">
        <f>MEDIAN(B15:F15)</f>
        <v>0.46289295860508556</v>
      </c>
      <c r="K15" s="440">
        <f>_xlfn.QUARTILE.INC(B15:F15,3)</f>
        <v>0.62260499801604585</v>
      </c>
      <c r="L15" s="467">
        <f>MAX(B15:F15)</f>
        <v>1.0365916521983758</v>
      </c>
      <c r="M15" s="441">
        <f>SUM(M13:M14)</f>
        <v>0.16352849851685461</v>
      </c>
    </row>
    <row r="17" spans="1:22">
      <c r="A17" s="15" t="s">
        <v>526</v>
      </c>
      <c r="G17" s="168">
        <v>2010</v>
      </c>
      <c r="H17" s="77" t="s">
        <v>431</v>
      </c>
      <c r="I17" s="77" t="s">
        <v>432</v>
      </c>
      <c r="J17" s="77" t="s">
        <v>433</v>
      </c>
      <c r="K17" s="77" t="s">
        <v>524</v>
      </c>
      <c r="L17" s="77" t="s">
        <v>435</v>
      </c>
      <c r="M17" s="468" t="s">
        <v>440</v>
      </c>
    </row>
    <row r="18" spans="1:22">
      <c r="G18" s="20" t="s">
        <v>230</v>
      </c>
      <c r="H18" s="417">
        <v>8.4540142784448449E-2</v>
      </c>
      <c r="I18" s="417">
        <v>0.13174421659028601</v>
      </c>
      <c r="J18" s="417">
        <v>0.19135029849420998</v>
      </c>
      <c r="K18" s="417">
        <v>0.30107159772949399</v>
      </c>
      <c r="L18" s="417">
        <v>0.49862132352941174</v>
      </c>
      <c r="M18" s="423">
        <v>0.28842621586046807</v>
      </c>
    </row>
    <row r="19" spans="1:22">
      <c r="G19" s="20" t="s">
        <v>231</v>
      </c>
      <c r="H19" s="417">
        <v>0.12811060429565929</v>
      </c>
      <c r="I19" s="417">
        <v>0.19901983857391481</v>
      </c>
      <c r="J19" s="417">
        <v>0.24242311375403539</v>
      </c>
      <c r="K19" s="417">
        <v>0.26279208786100727</v>
      </c>
      <c r="L19" s="417">
        <v>0.26459841891981667</v>
      </c>
      <c r="M19" s="423">
        <v>0.38848559167688557</v>
      </c>
    </row>
    <row r="20" spans="1:22">
      <c r="G20" s="20" t="s">
        <v>256</v>
      </c>
      <c r="H20" s="417">
        <v>6.7478553921568624E-2</v>
      </c>
      <c r="I20" s="417">
        <v>0.10394127389530294</v>
      </c>
      <c r="J20" s="417">
        <v>0.15417477481346584</v>
      </c>
      <c r="K20" s="417">
        <v>0.22200177663118581</v>
      </c>
      <c r="L20" s="417">
        <v>0.3112449993035914</v>
      </c>
      <c r="M20" s="424">
        <v>0.21182391257879796</v>
      </c>
    </row>
    <row r="21" spans="1:22">
      <c r="G21" s="20" t="s">
        <v>233</v>
      </c>
      <c r="H21" s="417">
        <v>-8.9978197584220709E-2</v>
      </c>
      <c r="I21" s="417">
        <v>-9.3971229254669469E-3</v>
      </c>
      <c r="J21" s="417">
        <v>3.4286305147058854E-2</v>
      </c>
      <c r="K21" s="417">
        <v>5.6550990925812179E-2</v>
      </c>
      <c r="L21" s="417">
        <v>7.2875838703248527E-2</v>
      </c>
      <c r="M21" s="423">
        <v>0.26786993321158165</v>
      </c>
    </row>
    <row r="22" spans="1:22">
      <c r="G22" s="20" t="s">
        <v>250</v>
      </c>
      <c r="H22" s="417">
        <v>8.8212095976813398E-2</v>
      </c>
      <c r="I22" s="417">
        <v>0.1275318290397871</v>
      </c>
      <c r="J22" s="417">
        <v>0.25373779102066796</v>
      </c>
      <c r="K22" s="417">
        <v>0.37584785697561429</v>
      </c>
      <c r="L22" s="417">
        <v>0.40287990196078433</v>
      </c>
      <c r="M22" s="424">
        <v>0.16352849851685461</v>
      </c>
    </row>
    <row r="23" spans="1:22">
      <c r="G23" s="405" t="s">
        <v>32</v>
      </c>
      <c r="H23" s="417">
        <v>0.21124387254901961</v>
      </c>
      <c r="I23" s="417">
        <v>0.30932962844017192</v>
      </c>
      <c r="J23" s="422">
        <v>0.36884675894239505</v>
      </c>
      <c r="K23" s="417">
        <v>0.42689452628274349</v>
      </c>
      <c r="L23" s="442">
        <v>0.5205721926882716</v>
      </c>
      <c r="M23" s="424">
        <v>0.11</v>
      </c>
    </row>
    <row r="24" spans="1:22">
      <c r="G24" s="226" t="s">
        <v>525</v>
      </c>
      <c r="H24" s="430">
        <v>0</v>
      </c>
      <c r="I24" s="430">
        <v>2.8722426470588237E-2</v>
      </c>
      <c r="J24" s="430">
        <v>7.8034419967747945E-2</v>
      </c>
      <c r="K24" s="430">
        <v>0.31231751484876635</v>
      </c>
      <c r="L24" s="430">
        <v>0.8959532454709308</v>
      </c>
      <c r="M24" s="424">
        <v>0</v>
      </c>
    </row>
    <row r="25" spans="1:22">
      <c r="G25" s="473" t="s">
        <v>232</v>
      </c>
      <c r="H25" s="474">
        <v>8.8212095976813398E-2</v>
      </c>
      <c r="I25" s="474">
        <v>0.3529353769353798</v>
      </c>
      <c r="J25" s="474">
        <v>0.46289295860508556</v>
      </c>
      <c r="K25" s="474">
        <v>0.62260499801604585</v>
      </c>
      <c r="L25" s="475">
        <v>1.0365916521983758</v>
      </c>
      <c r="M25" s="441">
        <f>SUM(M22:M24)</f>
        <v>0.27352849851685462</v>
      </c>
    </row>
    <row r="27" spans="1:22">
      <c r="G27" s="168">
        <v>2010</v>
      </c>
      <c r="H27" s="77" t="s">
        <v>431</v>
      </c>
      <c r="I27" s="77" t="s">
        <v>432</v>
      </c>
      <c r="J27" s="77" t="s">
        <v>433</v>
      </c>
      <c r="K27" s="77" t="s">
        <v>524</v>
      </c>
      <c r="L27" s="78" t="s">
        <v>435</v>
      </c>
    </row>
    <row r="28" spans="1:22">
      <c r="G28" s="20" t="s">
        <v>230</v>
      </c>
      <c r="H28" s="417">
        <f>H5</f>
        <v>8.4540142784448449E-2</v>
      </c>
      <c r="I28" s="417">
        <f t="shared" ref="I28:L30" si="2">I5-H5</f>
        <v>4.7204073805837563E-2</v>
      </c>
      <c r="J28" s="417">
        <f t="shared" si="2"/>
        <v>5.9606081903923969E-2</v>
      </c>
      <c r="K28" s="417">
        <f t="shared" si="2"/>
        <v>0.10972129923528401</v>
      </c>
      <c r="L28" s="420">
        <f t="shared" si="2"/>
        <v>0.19754972579991775</v>
      </c>
      <c r="N28" s="410"/>
      <c r="O28" s="411"/>
      <c r="P28" s="411"/>
      <c r="Q28" s="411"/>
      <c r="R28" s="411"/>
      <c r="S28" s="411"/>
      <c r="T28" s="411"/>
      <c r="U28" s="411"/>
      <c r="V28" s="414"/>
    </row>
    <row r="29" spans="1:22">
      <c r="G29" s="20" t="s">
        <v>231</v>
      </c>
      <c r="H29" s="417">
        <f>H6</f>
        <v>0.12811060429565929</v>
      </c>
      <c r="I29" s="417">
        <f t="shared" si="2"/>
        <v>7.0909234278255517E-2</v>
      </c>
      <c r="J29" s="417">
        <f t="shared" si="2"/>
        <v>4.3403275180120576E-2</v>
      </c>
      <c r="K29" s="417">
        <f t="shared" si="2"/>
        <v>2.0368974106971888E-2</v>
      </c>
      <c r="L29" s="420">
        <f t="shared" si="2"/>
        <v>1.8063310588093962E-3</v>
      </c>
      <c r="N29" s="405"/>
      <c r="O29" s="406"/>
      <c r="P29" s="406"/>
      <c r="Q29" s="406"/>
      <c r="R29" s="406"/>
      <c r="S29" s="406"/>
      <c r="T29" s="406"/>
      <c r="U29" s="406"/>
      <c r="V29" s="408"/>
    </row>
    <row r="30" spans="1:22">
      <c r="G30" s="20" t="s">
        <v>256</v>
      </c>
      <c r="H30" s="417">
        <f>H7</f>
        <v>6.7478553921568624E-2</v>
      </c>
      <c r="I30" s="417">
        <f t="shared" si="2"/>
        <v>3.646271997373432E-2</v>
      </c>
      <c r="J30" s="417">
        <f t="shared" si="2"/>
        <v>5.0233500918162893E-2</v>
      </c>
      <c r="K30" s="417">
        <f t="shared" si="2"/>
        <v>6.7827001817719973E-2</v>
      </c>
      <c r="L30" s="420">
        <f t="shared" si="2"/>
        <v>8.9243222672405587E-2</v>
      </c>
      <c r="N30" s="405"/>
      <c r="O30" s="406"/>
      <c r="P30" s="406"/>
      <c r="Q30" s="406"/>
      <c r="R30" s="406"/>
      <c r="S30" s="406"/>
      <c r="T30" s="406"/>
      <c r="U30" s="406"/>
      <c r="V30" s="408"/>
    </row>
    <row r="31" spans="1:22">
      <c r="G31" s="20" t="s">
        <v>233</v>
      </c>
      <c r="H31" s="417">
        <f>H10</f>
        <v>-8.9978197584220709E-2</v>
      </c>
      <c r="I31" s="417">
        <f>I10-H10</f>
        <v>8.0581074658753762E-2</v>
      </c>
      <c r="J31" s="417">
        <f>J10-I10</f>
        <v>4.3683428072525801E-2</v>
      </c>
      <c r="K31" s="417">
        <f>K10-J10</f>
        <v>2.2264685778753325E-2</v>
      </c>
      <c r="L31" s="420">
        <f>L10-K10</f>
        <v>1.6324847777436348E-2</v>
      </c>
      <c r="N31" s="405"/>
      <c r="O31" s="406"/>
      <c r="P31" s="406"/>
      <c r="Q31" s="406"/>
      <c r="R31" s="406"/>
      <c r="S31" s="406"/>
      <c r="T31" s="406"/>
      <c r="U31" s="406"/>
      <c r="V31" s="408"/>
    </row>
    <row r="32" spans="1:22">
      <c r="G32" s="20" t="s">
        <v>250</v>
      </c>
      <c r="H32" s="417">
        <f>H13</f>
        <v>8.8212095976813398E-2</v>
      </c>
      <c r="I32" s="417">
        <f t="shared" ref="I32:L34" si="3">I13-H13</f>
        <v>3.9319733062973705E-2</v>
      </c>
      <c r="J32" s="417">
        <f t="shared" si="3"/>
        <v>0.12620596198088085</v>
      </c>
      <c r="K32" s="417">
        <f t="shared" si="3"/>
        <v>0.12211006595494633</v>
      </c>
      <c r="L32" s="420">
        <f t="shared" si="3"/>
        <v>2.7032044985170034E-2</v>
      </c>
      <c r="N32" s="405"/>
      <c r="O32" s="406"/>
      <c r="P32" s="406"/>
      <c r="Q32" s="406"/>
      <c r="R32" s="406"/>
      <c r="S32" s="406"/>
      <c r="T32" s="406"/>
      <c r="U32" s="406"/>
      <c r="V32" s="408"/>
    </row>
    <row r="33" spans="1:22">
      <c r="G33" s="476" t="s">
        <v>525</v>
      </c>
      <c r="H33" s="430">
        <f>H14</f>
        <v>0</v>
      </c>
      <c r="I33" s="430">
        <f t="shared" si="3"/>
        <v>2.8722426470588237E-2</v>
      </c>
      <c r="J33" s="434">
        <f t="shared" si="3"/>
        <v>4.9311993497159708E-2</v>
      </c>
      <c r="K33" s="430">
        <f t="shared" si="3"/>
        <v>0.23428309488101839</v>
      </c>
      <c r="L33" s="477">
        <f t="shared" si="3"/>
        <v>0.58363573062216445</v>
      </c>
      <c r="N33" s="405"/>
      <c r="O33" s="406"/>
      <c r="P33" s="406"/>
      <c r="Q33" s="406"/>
      <c r="R33" s="406"/>
      <c r="S33" s="406"/>
      <c r="T33" s="406"/>
      <c r="U33" s="406"/>
      <c r="V33" s="408"/>
    </row>
    <row r="34" spans="1:22">
      <c r="G34" s="473" t="s">
        <v>232</v>
      </c>
      <c r="H34" s="474">
        <f>H15</f>
        <v>8.8212095976813398E-2</v>
      </c>
      <c r="I34" s="474">
        <f t="shared" si="3"/>
        <v>0.2647232809585664</v>
      </c>
      <c r="J34" s="474">
        <f t="shared" si="3"/>
        <v>0.10995758166970576</v>
      </c>
      <c r="K34" s="474">
        <f t="shared" si="3"/>
        <v>0.15971203941096029</v>
      </c>
      <c r="L34" s="475">
        <f t="shared" si="3"/>
        <v>0.41398665418232994</v>
      </c>
      <c r="N34" s="405"/>
      <c r="O34" s="406"/>
      <c r="P34" s="406"/>
      <c r="Q34" s="406"/>
      <c r="R34" s="406"/>
      <c r="S34" s="406"/>
      <c r="T34" s="406"/>
      <c r="U34" s="406"/>
      <c r="V34" s="408"/>
    </row>
    <row r="35" spans="1:22">
      <c r="N35" s="405"/>
      <c r="O35" s="406"/>
      <c r="P35" s="406"/>
      <c r="Q35" s="406"/>
      <c r="R35" s="406"/>
      <c r="S35" s="406"/>
      <c r="T35" s="406"/>
      <c r="U35" s="406"/>
      <c r="V35" s="408"/>
    </row>
    <row r="36" spans="1:22">
      <c r="N36" s="405"/>
      <c r="O36" s="406"/>
      <c r="P36" s="406"/>
      <c r="Q36" s="406"/>
      <c r="R36" s="406"/>
      <c r="S36" s="406"/>
      <c r="T36" s="406"/>
      <c r="U36" s="406"/>
      <c r="V36" s="408"/>
    </row>
    <row r="37" spans="1:22">
      <c r="N37" s="405"/>
      <c r="O37" s="406"/>
      <c r="P37" s="406"/>
      <c r="Q37" s="406"/>
      <c r="R37" s="406"/>
      <c r="S37" s="406"/>
      <c r="T37" s="406"/>
      <c r="U37" s="406"/>
      <c r="V37" s="408"/>
    </row>
    <row r="38" spans="1:22" ht="30">
      <c r="A38" s="168">
        <v>2010</v>
      </c>
      <c r="B38" s="464" t="s">
        <v>520</v>
      </c>
      <c r="C38" s="464" t="s">
        <v>521</v>
      </c>
      <c r="D38" s="464" t="s">
        <v>522</v>
      </c>
      <c r="E38" s="465" t="s">
        <v>439</v>
      </c>
      <c r="F38" s="468" t="s">
        <v>523</v>
      </c>
      <c r="G38" s="463" t="s">
        <v>431</v>
      </c>
      <c r="H38" s="464" t="s">
        <v>432</v>
      </c>
      <c r="I38" s="464" t="s">
        <v>433</v>
      </c>
      <c r="J38" s="464" t="s">
        <v>524</v>
      </c>
      <c r="K38" s="465" t="s">
        <v>435</v>
      </c>
      <c r="L38" s="464" t="s">
        <v>440</v>
      </c>
      <c r="N38" s="405"/>
      <c r="O38" s="406"/>
      <c r="P38" s="406"/>
      <c r="Q38" s="406"/>
      <c r="R38" s="406"/>
      <c r="S38" s="406"/>
      <c r="T38" s="406"/>
      <c r="U38" s="406"/>
      <c r="V38" s="408"/>
    </row>
    <row r="39" spans="1:22">
      <c r="A39" s="405" t="s">
        <v>527</v>
      </c>
      <c r="B39" s="119">
        <v>15053</v>
      </c>
      <c r="C39" s="119">
        <v>3625.7449999999999</v>
      </c>
      <c r="D39" s="119">
        <v>13056</v>
      </c>
      <c r="E39" s="444">
        <v>7949.42</v>
      </c>
      <c r="F39" s="445">
        <f t="shared" ref="F39:F43" si="4">AVERAGE(B39:E39)</f>
        <v>9921.0412500000002</v>
      </c>
      <c r="G39" s="446">
        <f t="shared" ref="G39:G43" si="5">MIN(B39:E39)</f>
        <v>3625.7449999999999</v>
      </c>
      <c r="H39" s="119">
        <f t="shared" ref="H39:H43" si="6">_xlfn.QUARTILE.INC(B39:E39,1)</f>
        <v>6868.5012500000003</v>
      </c>
      <c r="I39" s="119">
        <f t="shared" ref="I39:I43" si="7">MEDIAN(B39:E39)</f>
        <v>10502.71</v>
      </c>
      <c r="J39" s="119">
        <f t="shared" ref="J39:J43" si="8">_xlfn.QUARTILE.INC(B39:E39,3)</f>
        <v>13555.25</v>
      </c>
      <c r="K39" s="444">
        <f t="shared" ref="K39:K43" si="9">MAX(B39:E39)</f>
        <v>15053</v>
      </c>
      <c r="L39" s="482">
        <v>4048.7080000000001</v>
      </c>
      <c r="N39" s="506"/>
      <c r="O39" s="406"/>
      <c r="P39" s="406"/>
      <c r="Q39" s="406"/>
      <c r="R39" s="406"/>
      <c r="S39" s="406"/>
      <c r="T39" s="406"/>
      <c r="U39" s="406"/>
      <c r="V39" s="408"/>
    </row>
    <row r="40" spans="1:22">
      <c r="A40" s="405" t="s">
        <v>528</v>
      </c>
      <c r="B40" s="119">
        <v>2220</v>
      </c>
      <c r="C40" s="119">
        <v>306.52100000000002</v>
      </c>
      <c r="D40" s="119">
        <v>6510</v>
      </c>
      <c r="E40" s="444">
        <v>1869.876</v>
      </c>
      <c r="F40" s="445">
        <f t="shared" si="4"/>
        <v>2726.5992500000002</v>
      </c>
      <c r="G40" s="446">
        <f t="shared" si="5"/>
        <v>306.52100000000002</v>
      </c>
      <c r="H40" s="119">
        <f t="shared" si="6"/>
        <v>1479.0372500000001</v>
      </c>
      <c r="I40" s="119">
        <f t="shared" si="7"/>
        <v>2044.9380000000001</v>
      </c>
      <c r="J40" s="119">
        <f t="shared" si="8"/>
        <v>3292.5</v>
      </c>
      <c r="K40" s="444">
        <f t="shared" si="9"/>
        <v>6510</v>
      </c>
      <c r="L40" s="482">
        <v>1185.1905463895694</v>
      </c>
      <c r="N40" s="487"/>
      <c r="O40" s="507"/>
      <c r="P40" s="507"/>
      <c r="Q40" s="507"/>
      <c r="R40" s="507"/>
      <c r="S40" s="507"/>
      <c r="T40" s="507"/>
      <c r="U40" s="507"/>
      <c r="V40" s="508"/>
    </row>
    <row r="41" spans="1:22">
      <c r="A41" s="405" t="s">
        <v>529</v>
      </c>
      <c r="B41" s="119">
        <v>3983</v>
      </c>
      <c r="C41" s="119">
        <v>950.63400000000001</v>
      </c>
      <c r="D41" s="119">
        <v>2907</v>
      </c>
      <c r="E41" s="444">
        <v>1018.405</v>
      </c>
      <c r="F41" s="445">
        <f t="shared" si="4"/>
        <v>2214.7597500000002</v>
      </c>
      <c r="G41" s="446">
        <f t="shared" si="5"/>
        <v>950.63400000000001</v>
      </c>
      <c r="H41" s="119">
        <f t="shared" si="6"/>
        <v>1001.46225</v>
      </c>
      <c r="I41" s="119">
        <f t="shared" si="7"/>
        <v>1962.7024999999999</v>
      </c>
      <c r="J41" s="119">
        <f t="shared" si="8"/>
        <v>3176</v>
      </c>
      <c r="K41" s="444">
        <f t="shared" si="9"/>
        <v>3983</v>
      </c>
      <c r="L41" s="482">
        <v>1553.921</v>
      </c>
      <c r="N41" s="187" t="s">
        <v>547</v>
      </c>
      <c r="O41" s="406"/>
      <c r="P41" s="406"/>
      <c r="Q41" s="406"/>
      <c r="R41" s="406"/>
      <c r="S41" s="406"/>
      <c r="T41" s="406"/>
      <c r="U41" s="406"/>
      <c r="V41" s="406"/>
    </row>
    <row r="42" spans="1:22">
      <c r="A42" s="405" t="s">
        <v>216</v>
      </c>
      <c r="B42" s="119">
        <v>2894</v>
      </c>
      <c r="C42" s="119">
        <v>1128.4949999999999</v>
      </c>
      <c r="D42" s="119">
        <v>881</v>
      </c>
      <c r="E42" s="444">
        <v>922.89200000000005</v>
      </c>
      <c r="F42" s="445">
        <f t="shared" si="4"/>
        <v>1456.5967499999999</v>
      </c>
      <c r="G42" s="446">
        <f t="shared" si="5"/>
        <v>881</v>
      </c>
      <c r="H42" s="119">
        <f t="shared" si="6"/>
        <v>912.4190000000001</v>
      </c>
      <c r="I42" s="119">
        <f t="shared" si="7"/>
        <v>1025.6934999999999</v>
      </c>
      <c r="J42" s="119">
        <f t="shared" si="8"/>
        <v>1569.8712499999999</v>
      </c>
      <c r="K42" s="444">
        <f t="shared" si="9"/>
        <v>2894</v>
      </c>
      <c r="L42" s="482">
        <v>847.28399999999999</v>
      </c>
    </row>
    <row r="43" spans="1:22">
      <c r="A43" s="447" t="s">
        <v>530</v>
      </c>
      <c r="B43" s="448">
        <f>B39-B40-B41-B42</f>
        <v>5956</v>
      </c>
      <c r="C43" s="448">
        <f t="shared" ref="C43:E43" si="10">C39-C40-C41-C42</f>
        <v>1240.0949999999998</v>
      </c>
      <c r="D43" s="448">
        <f t="shared" si="10"/>
        <v>2758</v>
      </c>
      <c r="E43" s="449">
        <f t="shared" si="10"/>
        <v>4138.2470000000003</v>
      </c>
      <c r="F43" s="450">
        <f t="shared" si="4"/>
        <v>3523.0855000000001</v>
      </c>
      <c r="G43" s="451">
        <f t="shared" si="5"/>
        <v>1240.0949999999998</v>
      </c>
      <c r="H43" s="448">
        <f t="shared" si="6"/>
        <v>2378.5237499999998</v>
      </c>
      <c r="I43" s="448">
        <f t="shared" si="7"/>
        <v>3448.1235000000001</v>
      </c>
      <c r="J43" s="448">
        <f t="shared" si="8"/>
        <v>4592.6852500000005</v>
      </c>
      <c r="K43" s="449">
        <f t="shared" si="9"/>
        <v>5956</v>
      </c>
      <c r="L43" s="483">
        <v>455.96300000000002</v>
      </c>
    </row>
    <row r="44" spans="1:22">
      <c r="A44" s="405" t="s">
        <v>32</v>
      </c>
      <c r="B44" s="452">
        <f>B43/B39</f>
        <v>0.39566863748090081</v>
      </c>
      <c r="C44" s="452">
        <f t="shared" ref="C44:E44" si="11">C43/C39</f>
        <v>0.34202488040388934</v>
      </c>
      <c r="D44" s="452">
        <f t="shared" si="11"/>
        <v>0.21124387254901961</v>
      </c>
      <c r="E44" s="453">
        <f t="shared" si="11"/>
        <v>0.5205721926882716</v>
      </c>
      <c r="F44" s="454">
        <f>AVERAGE(B44:E44)</f>
        <v>0.36737739578052031</v>
      </c>
      <c r="G44" s="421">
        <f>MIN(B44:E44)</f>
        <v>0.21124387254901961</v>
      </c>
      <c r="H44" s="417">
        <f>_xlfn.QUARTILE.INC(B44:E44,1)</f>
        <v>0.30932962844017192</v>
      </c>
      <c r="I44" s="422">
        <f>MEDIAN(B44:E44)</f>
        <v>0.36884675894239505</v>
      </c>
      <c r="J44" s="417">
        <f>_xlfn.QUARTILE.INC(B44:E44,3)</f>
        <v>0.42689452628274349</v>
      </c>
      <c r="K44" s="442">
        <f>MAX(B44:E44)</f>
        <v>0.5205721926882716</v>
      </c>
      <c r="L44" s="484">
        <v>0.11261938376390691</v>
      </c>
    </row>
    <row r="45" spans="1:22">
      <c r="A45" s="405"/>
      <c r="B45" s="119"/>
      <c r="C45" s="119"/>
      <c r="D45" s="119"/>
      <c r="E45" s="444"/>
      <c r="F45" s="455"/>
      <c r="G45" s="421"/>
      <c r="H45" s="417"/>
      <c r="I45" s="422"/>
      <c r="J45" s="417"/>
      <c r="K45" s="442"/>
      <c r="L45" s="482"/>
    </row>
    <row r="46" spans="1:22">
      <c r="A46" s="405" t="s">
        <v>531</v>
      </c>
      <c r="B46" s="119">
        <v>294</v>
      </c>
      <c r="C46" s="119">
        <v>203.23099999999999</v>
      </c>
      <c r="D46" s="119">
        <v>-431</v>
      </c>
      <c r="E46" s="444">
        <v>0</v>
      </c>
      <c r="F46" s="445">
        <f t="shared" ref="F46:F47" si="12">AVERAGE(B46:E46)</f>
        <v>16.557749999999999</v>
      </c>
      <c r="G46" s="446">
        <f t="shared" ref="G46:G47" si="13">MIN(B46:E46)</f>
        <v>-431</v>
      </c>
      <c r="H46" s="119">
        <f t="shared" ref="H46:H47" si="14">_xlfn.QUARTILE.INC(B46:E46,1)</f>
        <v>-107.75</v>
      </c>
      <c r="I46" s="119">
        <f t="shared" ref="I46:I47" si="15">MEDIAN(B46:E46)</f>
        <v>101.6155</v>
      </c>
      <c r="J46" s="119">
        <f t="shared" ref="J46:J47" si="16">_xlfn.QUARTILE.INC(B46:E46,3)</f>
        <v>225.92325</v>
      </c>
      <c r="K46" s="444">
        <f t="shared" ref="K46:K47" si="17">MAX(B46:E46)</f>
        <v>294</v>
      </c>
      <c r="L46" s="482">
        <v>495.44299999999998</v>
      </c>
    </row>
    <row r="47" spans="1:22">
      <c r="A47" s="456" t="s">
        <v>34</v>
      </c>
      <c r="B47" s="457">
        <f>B43-B46</f>
        <v>5662</v>
      </c>
      <c r="C47" s="457">
        <f t="shared" ref="C47:E47" si="18">C43-C46</f>
        <v>1036.8639999999998</v>
      </c>
      <c r="D47" s="457">
        <f t="shared" si="18"/>
        <v>3189</v>
      </c>
      <c r="E47" s="458">
        <f t="shared" si="18"/>
        <v>4138.2470000000003</v>
      </c>
      <c r="F47" s="481">
        <f t="shared" si="12"/>
        <v>3506.5277500000002</v>
      </c>
      <c r="G47" s="459">
        <f t="shared" si="13"/>
        <v>1036.8639999999998</v>
      </c>
      <c r="H47" s="457">
        <f t="shared" si="14"/>
        <v>2650.9660000000003</v>
      </c>
      <c r="I47" s="457">
        <f t="shared" si="15"/>
        <v>3663.6235000000001</v>
      </c>
      <c r="J47" s="457">
        <f t="shared" si="16"/>
        <v>4519.1852500000005</v>
      </c>
      <c r="K47" s="458">
        <f t="shared" si="17"/>
        <v>5662</v>
      </c>
      <c r="L47" s="460">
        <v>-39.479999999999997</v>
      </c>
    </row>
    <row r="48" spans="1:22">
      <c r="A48" s="478" t="s">
        <v>32</v>
      </c>
      <c r="B48" s="479">
        <f>B47/B39</f>
        <v>0.37613764698066832</v>
      </c>
      <c r="C48" s="479">
        <f t="shared" ref="C48:E48" si="19">C47/C39</f>
        <v>0.28597267596038878</v>
      </c>
      <c r="D48" s="479">
        <f t="shared" si="19"/>
        <v>0.24425551470588236</v>
      </c>
      <c r="E48" s="480">
        <f t="shared" si="19"/>
        <v>0.5205721926882716</v>
      </c>
      <c r="F48" s="461"/>
      <c r="G48" s="461"/>
      <c r="H48" s="461"/>
      <c r="I48" s="461"/>
      <c r="J48" s="461"/>
      <c r="K48" s="461"/>
      <c r="L48" s="462"/>
    </row>
    <row r="49" spans="1:11">
      <c r="B49" s="119"/>
      <c r="C49" s="119"/>
      <c r="D49" s="119"/>
      <c r="E49" s="119"/>
    </row>
    <row r="50" spans="1:11">
      <c r="A50" s="2" t="s">
        <v>532</v>
      </c>
      <c r="B50" s="119"/>
      <c r="C50" s="119"/>
      <c r="D50" s="119"/>
      <c r="E50" s="119"/>
    </row>
    <row r="52" spans="1:11">
      <c r="A52" s="501" t="s">
        <v>534</v>
      </c>
      <c r="B52" s="78">
        <v>2010</v>
      </c>
      <c r="C52" s="468" t="s">
        <v>440</v>
      </c>
    </row>
    <row r="53" spans="1:11">
      <c r="A53" s="20" t="s">
        <v>230</v>
      </c>
      <c r="B53" s="502">
        <v>0.19135029849420998</v>
      </c>
      <c r="C53" s="423">
        <v>0.28842621586046807</v>
      </c>
    </row>
    <row r="54" spans="1:11">
      <c r="A54" s="20" t="s">
        <v>231</v>
      </c>
      <c r="B54" s="502">
        <v>0.24242311375403539</v>
      </c>
      <c r="C54" s="423">
        <v>0.38848559167688557</v>
      </c>
    </row>
    <row r="55" spans="1:11">
      <c r="A55" s="20" t="s">
        <v>256</v>
      </c>
      <c r="B55" s="502">
        <v>0.15417477481346584</v>
      </c>
      <c r="C55" s="424">
        <v>0.21182391257879796</v>
      </c>
    </row>
    <row r="56" spans="1:11">
      <c r="A56" s="20" t="s">
        <v>233</v>
      </c>
      <c r="B56" s="503">
        <v>3.4286305147058854E-2</v>
      </c>
      <c r="C56" s="423">
        <v>0.26786993321158165</v>
      </c>
    </row>
    <row r="57" spans="1:11">
      <c r="A57" s="20" t="s">
        <v>250</v>
      </c>
      <c r="B57" s="502">
        <v>0.25373779102066796</v>
      </c>
      <c r="C57" s="424">
        <v>0.16352849851685461</v>
      </c>
      <c r="G57" s="36">
        <v>2011</v>
      </c>
      <c r="H57" s="36">
        <v>2012</v>
      </c>
      <c r="I57" s="36">
        <v>2013</v>
      </c>
      <c r="J57" s="36">
        <v>2014</v>
      </c>
      <c r="K57" s="36">
        <v>2015</v>
      </c>
    </row>
    <row r="58" spans="1:11">
      <c r="A58" s="25" t="s">
        <v>535</v>
      </c>
      <c r="B58" s="504">
        <v>0.36884675894239505</v>
      </c>
      <c r="C58" s="505">
        <v>0.11</v>
      </c>
      <c r="D58" s="488" t="s">
        <v>537</v>
      </c>
      <c r="G58" s="489" t="str">
        <f>IF(Assumption!$H$2=Assumption!$S$2,'Income Statement'!I15,"N/A")</f>
        <v>N/A</v>
      </c>
      <c r="H58" s="1" t="str">
        <f>IF(Assumption!$H$2=Assumption!$S$2,'Income Statement'!J15,"N/A")</f>
        <v>N/A</v>
      </c>
      <c r="I58" s="1" t="str">
        <f>IF(Assumption!$H$2=Assumption!$S$2,'Income Statement'!K15,"N/A")</f>
        <v>N/A</v>
      </c>
      <c r="J58" s="1" t="str">
        <f>IF(Assumption!$H$2=Assumption!$S$2,'Income Statement'!L15,"N/A")</f>
        <v>N/A</v>
      </c>
      <c r="K58" s="1" t="str">
        <f>IF(Assumption!$H$2=Assumption!$S$2,'Income Statement'!M15,"N/A")</f>
        <v>N/A</v>
      </c>
    </row>
    <row r="59" spans="1:11">
      <c r="A59" s="52" t="s">
        <v>565</v>
      </c>
      <c r="B59" s="157"/>
      <c r="G59" s="54" t="str">
        <f>IF(AND(0.35&lt;G58,G58&lt;0.43),"ok!","N/A")</f>
        <v>N/A</v>
      </c>
      <c r="H59" s="54" t="str">
        <f t="shared" ref="H59:K59" si="20">IF(AND(0.35&lt;H58,H58&lt;0.43),"ok!","N/A")</f>
        <v>N/A</v>
      </c>
      <c r="I59" s="54" t="str">
        <f t="shared" si="20"/>
        <v>N/A</v>
      </c>
      <c r="J59" s="54" t="str">
        <f t="shared" si="20"/>
        <v>N/A</v>
      </c>
      <c r="K59" s="54" t="str">
        <f t="shared" si="20"/>
        <v>N/A</v>
      </c>
    </row>
  </sheetData>
  <conditionalFormatting sqref="G59:K59">
    <cfRule type="cellIs" dxfId="3" priority="1" stopIfTrue="1" operator="notEqual">
      <formula>"ok!"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48"/>
  <sheetViews>
    <sheetView topLeftCell="A28" zoomScale="90" zoomScaleNormal="90" workbookViewId="0">
      <selection activeCell="F38" sqref="F38"/>
    </sheetView>
  </sheetViews>
  <sheetFormatPr baseColWidth="10" defaultColWidth="11.42578125" defaultRowHeight="15"/>
  <cols>
    <col min="1" max="1" width="9.140625" style="48" customWidth="1"/>
    <col min="2" max="2" width="54.42578125" style="48" customWidth="1"/>
    <col min="3" max="3" width="11.42578125" style="48"/>
    <col min="4" max="8" width="13" style="48" customWidth="1"/>
    <col min="9" max="16384" width="11.42578125" style="48"/>
  </cols>
  <sheetData>
    <row r="1" spans="1:13" customFormat="1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customFormat="1" ht="18">
      <c r="A2" s="31" t="s">
        <v>246</v>
      </c>
      <c r="B2" s="32"/>
      <c r="C2" s="32"/>
      <c r="D2" s="33" t="s">
        <v>27</v>
      </c>
      <c r="E2" s="33"/>
      <c r="F2" s="33" t="s">
        <v>28</v>
      </c>
      <c r="G2" s="33"/>
      <c r="H2" s="33"/>
      <c r="I2" s="34"/>
      <c r="J2" s="34"/>
      <c r="K2" s="34"/>
      <c r="L2" s="34"/>
      <c r="M2" s="34"/>
    </row>
    <row r="3" spans="1:13" customFormat="1">
      <c r="A3" s="35" t="s">
        <v>259</v>
      </c>
      <c r="B3" s="36"/>
      <c r="C3" s="36"/>
      <c r="D3" s="37">
        <v>2006</v>
      </c>
      <c r="E3" s="37">
        <v>2007</v>
      </c>
      <c r="F3" s="37">
        <v>2008</v>
      </c>
      <c r="G3" s="37">
        <v>2009</v>
      </c>
      <c r="H3" s="37">
        <v>2010</v>
      </c>
      <c r="I3" s="36">
        <v>2011</v>
      </c>
      <c r="J3" s="36">
        <v>2012</v>
      </c>
      <c r="K3" s="36">
        <v>2013</v>
      </c>
      <c r="L3" s="36">
        <v>2014</v>
      </c>
      <c r="M3" s="36">
        <v>2015</v>
      </c>
    </row>
    <row r="4" spans="1:13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16.5" thickBot="1">
      <c r="A5" s="16"/>
      <c r="B5" s="17" t="s">
        <v>39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>
      <c r="A6" s="13"/>
      <c r="B6" s="20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>
      <c r="A7" s="13"/>
      <c r="B7" s="20" t="s">
        <v>40</v>
      </c>
      <c r="C7" s="15"/>
      <c r="D7" s="55">
        <v>492170</v>
      </c>
      <c r="E7" s="55">
        <v>867012</v>
      </c>
      <c r="F7" s="56">
        <v>572106</v>
      </c>
      <c r="G7" s="56">
        <v>742246</v>
      </c>
      <c r="H7" s="47">
        <v>1331112</v>
      </c>
      <c r="I7" s="15"/>
      <c r="J7" s="15"/>
      <c r="K7" s="15"/>
      <c r="L7" s="15"/>
      <c r="M7" s="15"/>
    </row>
    <row r="8" spans="1:13">
      <c r="A8" s="13"/>
      <c r="B8" s="20" t="s">
        <v>41</v>
      </c>
      <c r="C8" s="15"/>
      <c r="D8" s="55">
        <v>374644</v>
      </c>
      <c r="E8" s="55">
        <v>439115</v>
      </c>
      <c r="F8" s="56">
        <v>453437</v>
      </c>
      <c r="G8" s="56">
        <v>608022</v>
      </c>
      <c r="H8" s="47">
        <v>586940</v>
      </c>
      <c r="I8" s="15"/>
      <c r="J8" s="15"/>
      <c r="K8" s="15"/>
      <c r="L8" s="15"/>
      <c r="M8" s="15"/>
    </row>
    <row r="9" spans="1:13">
      <c r="A9" s="13"/>
      <c r="B9" s="20" t="s">
        <v>42</v>
      </c>
      <c r="C9" s="15"/>
      <c r="D9" s="55">
        <v>746746</v>
      </c>
      <c r="E9" s="55">
        <v>904101</v>
      </c>
      <c r="F9" s="56">
        <v>1036940</v>
      </c>
      <c r="G9" s="56">
        <v>899731</v>
      </c>
      <c r="H9" s="47">
        <v>1089688</v>
      </c>
      <c r="I9" s="15"/>
      <c r="J9" s="15"/>
      <c r="K9" s="15"/>
      <c r="L9" s="15"/>
      <c r="M9" s="15"/>
    </row>
    <row r="10" spans="1:13">
      <c r="A10" s="13"/>
      <c r="B10" s="20" t="s">
        <v>43</v>
      </c>
      <c r="C10" s="15"/>
      <c r="D10" s="55">
        <v>375941</v>
      </c>
      <c r="E10" s="55">
        <v>398969</v>
      </c>
      <c r="F10" s="55">
        <v>453652</v>
      </c>
      <c r="G10" s="56">
        <v>552804</v>
      </c>
      <c r="H10" s="47">
        <v>693218</v>
      </c>
      <c r="I10" s="15"/>
      <c r="J10" s="15"/>
      <c r="K10" s="15"/>
      <c r="L10" s="15"/>
      <c r="M10" s="15"/>
    </row>
    <row r="11" spans="1:13">
      <c r="A11" s="13"/>
      <c r="B11" s="49" t="s">
        <v>44</v>
      </c>
      <c r="C11" s="13"/>
      <c r="D11" s="57">
        <f>SUM(D7:D10)</f>
        <v>1989501</v>
      </c>
      <c r="E11" s="57">
        <f>SUM(E7:E10)</f>
        <v>2609197</v>
      </c>
      <c r="F11" s="57">
        <f>SUM(F7:F10)</f>
        <v>2516135</v>
      </c>
      <c r="G11" s="57">
        <f>SUM(G7:G10)</f>
        <v>2802803</v>
      </c>
      <c r="H11" s="61">
        <f>SUM(H7:H10)</f>
        <v>3700958</v>
      </c>
      <c r="I11" s="13"/>
      <c r="J11" s="13"/>
      <c r="K11" s="13"/>
      <c r="L11" s="13"/>
      <c r="M11" s="13"/>
    </row>
    <row r="12" spans="1:13">
      <c r="A12" s="13"/>
      <c r="B12" s="20"/>
      <c r="C12" s="15"/>
      <c r="D12" s="56"/>
      <c r="E12" s="56"/>
      <c r="F12" s="56"/>
      <c r="G12" s="56"/>
      <c r="H12" s="47"/>
      <c r="I12" s="15"/>
      <c r="J12" s="15"/>
      <c r="K12" s="15"/>
      <c r="L12" s="15"/>
      <c r="M12" s="15"/>
    </row>
    <row r="13" spans="1:13">
      <c r="A13" s="13"/>
      <c r="B13" s="20" t="s">
        <v>45</v>
      </c>
      <c r="C13" s="15"/>
      <c r="D13" s="55">
        <v>1610593</v>
      </c>
      <c r="E13" s="55">
        <v>1968402</v>
      </c>
      <c r="F13" s="56">
        <v>2306567</v>
      </c>
      <c r="G13" s="56">
        <v>2809349</v>
      </c>
      <c r="H13" s="47">
        <v>2925584</v>
      </c>
      <c r="I13" s="15"/>
      <c r="J13" s="15"/>
      <c r="K13" s="15"/>
      <c r="L13" s="15"/>
      <c r="M13" s="15"/>
    </row>
    <row r="14" spans="1:13">
      <c r="A14" s="13"/>
      <c r="B14" s="20" t="s">
        <v>46</v>
      </c>
      <c r="C14" s="15"/>
      <c r="D14" s="55">
        <v>1298781</v>
      </c>
      <c r="E14" s="55">
        <v>1403828</v>
      </c>
      <c r="F14" s="56">
        <v>1401074</v>
      </c>
      <c r="G14" s="56">
        <v>1403363</v>
      </c>
      <c r="H14" s="47">
        <v>1360978</v>
      </c>
      <c r="I14" s="15"/>
      <c r="J14" s="15"/>
      <c r="K14" s="15"/>
      <c r="L14" s="15"/>
      <c r="M14" s="15"/>
    </row>
    <row r="15" spans="1:13">
      <c r="A15" s="13"/>
      <c r="B15" s="20" t="s">
        <v>53</v>
      </c>
      <c r="C15" s="15"/>
      <c r="D15" s="55">
        <v>2292313</v>
      </c>
      <c r="E15" s="55">
        <v>2320314</v>
      </c>
      <c r="F15" s="55">
        <v>2447500</v>
      </c>
      <c r="G15" s="56">
        <v>3045209</v>
      </c>
      <c r="H15" s="47">
        <v>2926334</v>
      </c>
      <c r="I15" s="15"/>
      <c r="J15" s="15"/>
      <c r="K15" s="15"/>
      <c r="L15" s="15"/>
      <c r="M15" s="15"/>
    </row>
    <row r="16" spans="1:13">
      <c r="A16" s="13"/>
      <c r="B16" s="49" t="s">
        <v>47</v>
      </c>
      <c r="C16" s="13"/>
      <c r="D16" s="57">
        <f>SUM(D13:D15)</f>
        <v>5201687</v>
      </c>
      <c r="E16" s="57">
        <f>SUM(E13:E15)</f>
        <v>5692544</v>
      </c>
      <c r="F16" s="57">
        <f>SUM(F13:F15)</f>
        <v>6155141</v>
      </c>
      <c r="G16" s="57">
        <f>SUM(G13:G15)</f>
        <v>7257921</v>
      </c>
      <c r="H16" s="61">
        <f>SUM(H13:H15)</f>
        <v>7212896</v>
      </c>
      <c r="I16" s="13"/>
      <c r="J16" s="13"/>
      <c r="K16" s="13"/>
      <c r="L16" s="13"/>
      <c r="M16" s="13"/>
    </row>
    <row r="17" spans="1:13">
      <c r="A17" s="13"/>
      <c r="B17" s="49"/>
      <c r="C17" s="13"/>
      <c r="D17" s="57"/>
      <c r="E17" s="57"/>
      <c r="F17" s="57"/>
      <c r="G17" s="57"/>
      <c r="H17" s="61"/>
      <c r="I17" s="13"/>
      <c r="J17" s="13"/>
      <c r="K17" s="13"/>
      <c r="L17" s="13"/>
      <c r="M17" s="13"/>
    </row>
    <row r="18" spans="1:13" ht="15.75" thickBot="1">
      <c r="A18" s="15"/>
      <c r="B18" s="20" t="s">
        <v>55</v>
      </c>
      <c r="C18" s="15"/>
      <c r="D18" s="56">
        <v>0</v>
      </c>
      <c r="E18" s="56">
        <v>0</v>
      </c>
      <c r="F18" s="56">
        <v>0</v>
      </c>
      <c r="G18" s="56">
        <v>0</v>
      </c>
      <c r="H18" s="47">
        <v>0</v>
      </c>
      <c r="I18" s="15"/>
      <c r="J18" s="15"/>
      <c r="K18" s="15"/>
      <c r="L18" s="15"/>
      <c r="M18" s="15"/>
    </row>
    <row r="19" spans="1:13">
      <c r="A19" s="13"/>
      <c r="B19" s="50" t="s">
        <v>48</v>
      </c>
      <c r="C19" s="51"/>
      <c r="D19" s="58">
        <f>D11+D16+D18</f>
        <v>7191188</v>
      </c>
      <c r="E19" s="58">
        <f>E11+E16+E18</f>
        <v>8301741</v>
      </c>
      <c r="F19" s="58">
        <f>F11+F16+F18</f>
        <v>8671276</v>
      </c>
      <c r="G19" s="58">
        <f>G11+G16+G18</f>
        <v>10060724</v>
      </c>
      <c r="H19" s="62">
        <f>H11+H16+H18</f>
        <v>10913854</v>
      </c>
      <c r="I19" s="51"/>
      <c r="J19" s="51"/>
      <c r="K19" s="51"/>
      <c r="L19" s="51"/>
      <c r="M19" s="51"/>
    </row>
    <row r="20" spans="1:13">
      <c r="A20" s="13"/>
      <c r="B20" s="14"/>
      <c r="C20" s="14"/>
      <c r="D20" s="59"/>
      <c r="E20" s="59"/>
      <c r="F20" s="59"/>
      <c r="G20" s="59"/>
      <c r="H20" s="63"/>
      <c r="I20" s="14"/>
      <c r="J20" s="14"/>
      <c r="K20" s="14"/>
      <c r="L20" s="14"/>
      <c r="M20" s="14"/>
    </row>
    <row r="21" spans="1:13" ht="16.5" thickBot="1">
      <c r="A21" s="16"/>
      <c r="B21" s="17" t="s">
        <v>49</v>
      </c>
      <c r="C21" s="18"/>
      <c r="D21" s="60"/>
      <c r="E21" s="60"/>
      <c r="F21" s="60"/>
      <c r="G21" s="60"/>
      <c r="H21" s="19"/>
      <c r="I21" s="19"/>
      <c r="J21" s="19"/>
      <c r="K21" s="19"/>
      <c r="L21" s="19"/>
      <c r="M21" s="19"/>
    </row>
    <row r="22" spans="1:13">
      <c r="A22" s="13"/>
      <c r="B22" s="20"/>
      <c r="C22" s="15"/>
      <c r="D22" s="56"/>
      <c r="E22" s="56"/>
      <c r="F22" s="56"/>
      <c r="G22" s="56"/>
      <c r="H22" s="47"/>
      <c r="I22" s="15"/>
      <c r="J22" s="15"/>
      <c r="K22" s="15"/>
      <c r="L22" s="15"/>
      <c r="M22" s="15"/>
    </row>
    <row r="23" spans="1:13">
      <c r="A23" s="13"/>
      <c r="B23" s="20" t="s">
        <v>1</v>
      </c>
      <c r="C23" s="15"/>
      <c r="D23" s="55">
        <v>98063</v>
      </c>
      <c r="E23" s="55">
        <v>128380</v>
      </c>
      <c r="F23" s="56">
        <v>127869</v>
      </c>
      <c r="G23" s="56">
        <v>189629</v>
      </c>
      <c r="H23" s="47">
        <v>132327</v>
      </c>
      <c r="I23" s="15"/>
      <c r="J23" s="15"/>
      <c r="K23" s="15"/>
      <c r="L23" s="15"/>
      <c r="M23" s="15"/>
    </row>
    <row r="24" spans="1:13">
      <c r="A24" s="13"/>
      <c r="B24" s="20" t="s">
        <v>261</v>
      </c>
      <c r="C24" s="15"/>
      <c r="D24" s="55">
        <v>6226</v>
      </c>
      <c r="E24" s="55">
        <v>696625</v>
      </c>
      <c r="F24" s="56">
        <v>7566</v>
      </c>
      <c r="G24" s="56">
        <v>8166</v>
      </c>
      <c r="H24" s="47">
        <v>7584</v>
      </c>
      <c r="I24" s="15"/>
      <c r="J24" s="15"/>
      <c r="K24" s="15"/>
      <c r="L24" s="15"/>
      <c r="M24" s="15"/>
    </row>
    <row r="25" spans="1:13">
      <c r="A25" s="13"/>
      <c r="B25" s="20" t="s">
        <v>2</v>
      </c>
      <c r="C25" s="15"/>
      <c r="D25" s="55">
        <v>547150</v>
      </c>
      <c r="E25" s="55">
        <v>677401</v>
      </c>
      <c r="F25" s="55">
        <v>778848</v>
      </c>
      <c r="G25" s="56">
        <v>882335</v>
      </c>
      <c r="H25" s="47">
        <v>1166054</v>
      </c>
      <c r="I25" s="15"/>
      <c r="J25" s="15"/>
      <c r="K25" s="15"/>
      <c r="L25" s="15"/>
      <c r="M25" s="15"/>
    </row>
    <row r="26" spans="1:13">
      <c r="A26" s="13"/>
      <c r="B26" s="49" t="s">
        <v>54</v>
      </c>
      <c r="C26" s="15"/>
      <c r="D26" s="55">
        <f>SUM(D23:D25)</f>
        <v>651439</v>
      </c>
      <c r="E26" s="55">
        <f>SUM(E23:E25)</f>
        <v>1502406</v>
      </c>
      <c r="F26" s="55">
        <f>SUM(F23:F25)</f>
        <v>914283</v>
      </c>
      <c r="G26" s="55">
        <f>SUM(G23:G25)</f>
        <v>1080130</v>
      </c>
      <c r="H26" s="64">
        <f>SUM(H23:H25)</f>
        <v>1305965</v>
      </c>
      <c r="I26" s="15"/>
      <c r="J26" s="15"/>
      <c r="K26" s="15"/>
      <c r="L26" s="15"/>
      <c r="M26" s="15"/>
    </row>
    <row r="27" spans="1:13">
      <c r="A27" s="13"/>
      <c r="B27" s="20"/>
      <c r="C27" s="15"/>
      <c r="D27" s="55"/>
      <c r="E27" s="55"/>
      <c r="F27" s="56"/>
      <c r="G27" s="56"/>
      <c r="H27" s="47"/>
      <c r="I27" s="15"/>
      <c r="J27" s="15"/>
      <c r="K27" s="15"/>
      <c r="L27" s="15"/>
      <c r="M27" s="15"/>
    </row>
    <row r="28" spans="1:13">
      <c r="A28" s="13"/>
      <c r="B28" s="20" t="s">
        <v>262</v>
      </c>
      <c r="C28" s="15"/>
      <c r="D28" s="55">
        <v>119803</v>
      </c>
      <c r="E28" s="55">
        <v>113748</v>
      </c>
      <c r="F28" s="55">
        <v>124341</v>
      </c>
      <c r="G28" s="55">
        <v>116434</v>
      </c>
      <c r="H28" s="64">
        <v>1098956</v>
      </c>
      <c r="I28" s="15"/>
      <c r="J28" s="15"/>
      <c r="K28" s="15"/>
      <c r="L28" s="15"/>
      <c r="M28" s="15"/>
    </row>
    <row r="29" spans="1:13">
      <c r="A29" s="13"/>
      <c r="B29" s="20" t="s">
        <v>260</v>
      </c>
      <c r="C29" s="15"/>
      <c r="D29" s="55">
        <v>0</v>
      </c>
      <c r="E29" s="55">
        <v>0</v>
      </c>
      <c r="F29" s="55">
        <v>0</v>
      </c>
      <c r="G29" s="55">
        <v>853871</v>
      </c>
      <c r="H29" s="64">
        <v>803253</v>
      </c>
      <c r="I29" s="15"/>
      <c r="J29" s="15"/>
      <c r="K29" s="15"/>
      <c r="L29" s="15"/>
      <c r="M29" s="15"/>
    </row>
    <row r="30" spans="1:13">
      <c r="A30" s="13"/>
      <c r="B30" s="20" t="s">
        <v>56</v>
      </c>
      <c r="C30" s="15"/>
      <c r="D30" s="55">
        <v>759235</v>
      </c>
      <c r="E30" s="55">
        <v>72650</v>
      </c>
      <c r="F30" s="55">
        <v>326659</v>
      </c>
      <c r="G30" s="55">
        <v>326637</v>
      </c>
      <c r="H30" s="64">
        <v>118707</v>
      </c>
      <c r="I30" s="15"/>
      <c r="J30" s="15"/>
      <c r="K30" s="15"/>
      <c r="L30" s="15"/>
      <c r="M30" s="15"/>
    </row>
    <row r="31" spans="1:13">
      <c r="A31" s="13"/>
      <c r="B31" s="49" t="s">
        <v>50</v>
      </c>
      <c r="C31" s="13"/>
      <c r="D31" s="55">
        <f>D26+SUM(D28:D30)</f>
        <v>1530477</v>
      </c>
      <c r="E31" s="55">
        <f>E26+SUM(E28:E30)</f>
        <v>1688804</v>
      </c>
      <c r="F31" s="55">
        <f>F26+SUM(F28:F30)</f>
        <v>1365283</v>
      </c>
      <c r="G31" s="55">
        <f>G26+SUM(G28:G30)</f>
        <v>2377072</v>
      </c>
      <c r="H31" s="64">
        <f>H26+SUM(H28:H30)</f>
        <v>3326881</v>
      </c>
      <c r="I31" s="13"/>
      <c r="J31" s="13"/>
      <c r="K31" s="13"/>
      <c r="L31" s="13"/>
      <c r="M31" s="13"/>
    </row>
    <row r="32" spans="1:13">
      <c r="A32" s="13"/>
      <c r="B32" s="20"/>
      <c r="C32" s="15"/>
      <c r="D32" s="56"/>
      <c r="E32" s="56"/>
      <c r="F32" s="56"/>
      <c r="G32" s="56"/>
      <c r="H32" s="47"/>
      <c r="I32" s="15"/>
      <c r="J32" s="15"/>
      <c r="K32" s="15"/>
      <c r="L32" s="15"/>
      <c r="M32" s="15"/>
    </row>
    <row r="33" spans="1:13">
      <c r="A33" s="13"/>
      <c r="B33" s="20" t="s">
        <v>263</v>
      </c>
      <c r="C33" s="15"/>
      <c r="D33" s="55">
        <v>5660711</v>
      </c>
      <c r="E33" s="55">
        <v>6612937</v>
      </c>
      <c r="F33" s="56">
        <v>7305993</v>
      </c>
      <c r="G33" s="56">
        <v>7683652</v>
      </c>
      <c r="H33" s="47">
        <v>7586973</v>
      </c>
      <c r="I33" s="15"/>
      <c r="J33" s="15"/>
      <c r="K33" s="15"/>
      <c r="L33" s="15"/>
      <c r="M33" s="15"/>
    </row>
    <row r="34" spans="1:13">
      <c r="A34" s="13"/>
      <c r="B34" s="49" t="s">
        <v>0</v>
      </c>
      <c r="C34" s="13"/>
      <c r="D34" s="57">
        <f>SUM(D33:D33)</f>
        <v>5660711</v>
      </c>
      <c r="E34" s="57">
        <f>SUM(E33:E33)</f>
        <v>6612937</v>
      </c>
      <c r="F34" s="57">
        <f>SUM(F33:F33)</f>
        <v>7305993</v>
      </c>
      <c r="G34" s="57">
        <f>SUM(G33:G33)</f>
        <v>7683652</v>
      </c>
      <c r="H34" s="61">
        <f>SUM(H33:H33)</f>
        <v>7586973</v>
      </c>
      <c r="I34" s="13"/>
      <c r="J34" s="13"/>
      <c r="K34" s="13"/>
      <c r="L34" s="13"/>
      <c r="M34" s="13"/>
    </row>
    <row r="35" spans="1:13">
      <c r="A35" s="13"/>
      <c r="B35" s="49"/>
      <c r="C35" s="13"/>
      <c r="D35" s="57"/>
      <c r="E35" s="57"/>
      <c r="F35" s="57"/>
      <c r="G35" s="57"/>
      <c r="H35" s="61"/>
      <c r="I35" s="13"/>
      <c r="J35" s="13"/>
      <c r="K35" s="13"/>
      <c r="L35" s="13"/>
      <c r="M35" s="13"/>
    </row>
    <row r="36" spans="1:13" ht="15.75" thickBot="1">
      <c r="A36" s="15"/>
      <c r="B36" s="20" t="s">
        <v>3</v>
      </c>
      <c r="C36" s="15"/>
      <c r="D36" s="56">
        <v>0</v>
      </c>
      <c r="E36" s="56">
        <v>0</v>
      </c>
      <c r="F36" s="56">
        <v>0</v>
      </c>
      <c r="G36" s="56">
        <v>0</v>
      </c>
      <c r="H36" s="47">
        <v>0</v>
      </c>
      <c r="I36" s="15"/>
      <c r="J36" s="15"/>
      <c r="K36" s="15"/>
      <c r="L36" s="15"/>
      <c r="M36" s="15"/>
    </row>
    <row r="37" spans="1:13">
      <c r="A37" s="13"/>
      <c r="B37" s="50" t="s">
        <v>51</v>
      </c>
      <c r="C37" s="51"/>
      <c r="D37" s="58">
        <f>D31+D34+D36</f>
        <v>7191188</v>
      </c>
      <c r="E37" s="58">
        <f>E31+E34+E36</f>
        <v>8301741</v>
      </c>
      <c r="F37" s="58">
        <f>F31+F34+F36</f>
        <v>8671276</v>
      </c>
      <c r="G37" s="58">
        <f>G31+G34+G36</f>
        <v>10060724</v>
      </c>
      <c r="H37" s="62">
        <f>H31+H34+H36</f>
        <v>10913854</v>
      </c>
      <c r="I37" s="51"/>
      <c r="J37" s="51"/>
      <c r="K37" s="51"/>
      <c r="L37" s="51"/>
      <c r="M37" s="51"/>
    </row>
    <row r="38" spans="1:13">
      <c r="A38" s="52"/>
      <c r="B38" s="52" t="s">
        <v>52</v>
      </c>
      <c r="C38" s="52"/>
      <c r="D38" s="54" t="str">
        <f>IF(ROUND(D37-D19,1)=0,"ok!",D37-D19)</f>
        <v>ok!</v>
      </c>
      <c r="E38" s="54" t="str">
        <f>IF(ROUND(E37-E19,1)=0,"ok!",E37-E19)</f>
        <v>ok!</v>
      </c>
      <c r="F38" s="54" t="str">
        <f>IF(ROUND(F37-F19,1)=0,"ok!",F37-F19)</f>
        <v>ok!</v>
      </c>
      <c r="G38" s="54" t="str">
        <f>IF(ROUND(G37-G19,1)=0,"ok!",G37-G19)</f>
        <v>ok!</v>
      </c>
      <c r="H38" s="54" t="str">
        <f>IF(ROUND(H37-H19,1)=0,"ok!",H37-H19)</f>
        <v>ok!</v>
      </c>
      <c r="I38" s="53"/>
      <c r="J38" s="53"/>
      <c r="K38" s="53"/>
      <c r="L38" s="53"/>
      <c r="M38" s="53"/>
    </row>
    <row r="39" spans="1:1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1" spans="1:13">
      <c r="B41" s="69" t="s">
        <v>70</v>
      </c>
      <c r="C41" s="77">
        <v>2005</v>
      </c>
      <c r="D41" s="77">
        <v>2006</v>
      </c>
      <c r="E41" s="77">
        <v>2007</v>
      </c>
      <c r="F41" s="77">
        <v>2008</v>
      </c>
      <c r="G41" s="77">
        <v>2009</v>
      </c>
      <c r="H41" s="77">
        <v>2010</v>
      </c>
      <c r="I41" s="152">
        <v>2011</v>
      </c>
      <c r="J41" s="152">
        <v>2012</v>
      </c>
      <c r="K41" s="152">
        <v>2013</v>
      </c>
      <c r="L41" s="152">
        <v>2014</v>
      </c>
      <c r="M41" s="153">
        <v>2015</v>
      </c>
    </row>
    <row r="42" spans="1:13">
      <c r="B42" s="111" t="s">
        <v>44</v>
      </c>
      <c r="C42" s="71">
        <v>1664999</v>
      </c>
      <c r="D42" s="71">
        <f>D11</f>
        <v>1989501</v>
      </c>
      <c r="E42" s="71">
        <f>E11</f>
        <v>2609197</v>
      </c>
      <c r="F42" s="71">
        <f>F11</f>
        <v>2516135</v>
      </c>
      <c r="G42" s="71">
        <f>G11</f>
        <v>2802803</v>
      </c>
      <c r="H42" s="71">
        <f>H11</f>
        <v>3700958</v>
      </c>
      <c r="I42" s="117"/>
      <c r="J42" s="117"/>
      <c r="K42" s="117"/>
      <c r="L42" s="117"/>
      <c r="M42" s="120"/>
    </row>
    <row r="43" spans="1:13">
      <c r="B43" s="111" t="s">
        <v>67</v>
      </c>
      <c r="C43" s="72">
        <v>291960</v>
      </c>
      <c r="D43" s="72">
        <f>D7</f>
        <v>492170</v>
      </c>
      <c r="E43" s="72">
        <f>E7</f>
        <v>867012</v>
      </c>
      <c r="F43" s="72">
        <f>F7</f>
        <v>572106</v>
      </c>
      <c r="G43" s="72">
        <f>G7</f>
        <v>742246</v>
      </c>
      <c r="H43" s="72">
        <f>H7</f>
        <v>1331112</v>
      </c>
      <c r="I43" s="117"/>
      <c r="J43" s="117"/>
      <c r="K43" s="117"/>
      <c r="L43" s="117"/>
      <c r="M43" s="120"/>
    </row>
    <row r="44" spans="1:13">
      <c r="B44" s="111" t="s">
        <v>68</v>
      </c>
      <c r="C44" s="71">
        <v>550023</v>
      </c>
      <c r="D44" s="71">
        <f>D26</f>
        <v>651439</v>
      </c>
      <c r="E44" s="71">
        <f>E26</f>
        <v>1502406</v>
      </c>
      <c r="F44" s="71">
        <f>F26</f>
        <v>914283</v>
      </c>
      <c r="G44" s="71">
        <f>G26</f>
        <v>1080130</v>
      </c>
      <c r="H44" s="71">
        <f>H26</f>
        <v>1305965</v>
      </c>
      <c r="I44" s="117"/>
      <c r="J44" s="117"/>
      <c r="K44" s="117"/>
      <c r="L44" s="117"/>
      <c r="M44" s="120"/>
    </row>
    <row r="45" spans="1:13">
      <c r="B45" s="166" t="s">
        <v>245</v>
      </c>
      <c r="C45" s="71">
        <v>4461</v>
      </c>
      <c r="D45" s="71">
        <f>D24</f>
        <v>6226</v>
      </c>
      <c r="E45" s="71">
        <f>E24</f>
        <v>696625</v>
      </c>
      <c r="F45" s="71">
        <f>F24</f>
        <v>7566</v>
      </c>
      <c r="G45" s="71">
        <f>G24</f>
        <v>8166</v>
      </c>
      <c r="H45" s="71">
        <f>H24</f>
        <v>7584</v>
      </c>
      <c r="I45" s="117"/>
      <c r="J45" s="117"/>
      <c r="K45" s="117"/>
      <c r="L45" s="117"/>
      <c r="M45" s="120"/>
    </row>
    <row r="46" spans="1:13">
      <c r="B46" s="162" t="s">
        <v>69</v>
      </c>
      <c r="C46" s="74">
        <f t="shared" ref="C46:H46" si="0">C42-C43-C44+C45</f>
        <v>827477</v>
      </c>
      <c r="D46" s="74">
        <f t="shared" si="0"/>
        <v>852118</v>
      </c>
      <c r="E46" s="74">
        <f t="shared" si="0"/>
        <v>936404</v>
      </c>
      <c r="F46" s="74">
        <f t="shared" si="0"/>
        <v>1037312</v>
      </c>
      <c r="G46" s="74">
        <f t="shared" si="0"/>
        <v>988593</v>
      </c>
      <c r="H46" s="74">
        <f t="shared" si="0"/>
        <v>1071465</v>
      </c>
      <c r="I46" s="74">
        <f>IF(Assumption!$H$2=Assumption!$S$1,Assumption!I21*'Income Statement'!I7,IF(Assumption!$H$2=Assumption!$S$2,'Income Statement'!I7*Assumption!I44,Assumption!#REF!*'Income Statement'!I7))</f>
        <v>1182164.0710980722</v>
      </c>
      <c r="J46" s="74">
        <f>IF(Assumption!$H$2=Assumption!$S$1,Assumption!J21*'Income Statement'!J7,IF(Assumption!$H$2=Assumption!$S$2,'Income Statement'!J7*Assumption!J44,Assumption!#REF!*'Income Statement'!J7))</f>
        <v>1359488.6817627831</v>
      </c>
      <c r="K46" s="74">
        <f>IF(Assumption!$H$2=Assumption!$S$1,Assumption!K21*'Income Statement'!K7,IF(Assumption!$H$2=Assumption!$S$2,'Income Statement'!K7*Assumption!K44,Assumption!#REF!*'Income Statement'!K7))</f>
        <v>1631386.4181153395</v>
      </c>
      <c r="L46" s="74">
        <f>IF(Assumption!$H$2=Assumption!$S$1,Assumption!L21*'Income Statement'!L7,IF(Assumption!$H$2=Assumption!$S$2,'Income Statement'!L7*Assumption!L44,Assumption!#REF!*'Income Statement'!L7))</f>
        <v>2039233.0226441743</v>
      </c>
      <c r="M46" s="74">
        <f>IF(Assumption!$H$2=Assumption!$S$1,Assumption!M21*'Income Statement'!M7,IF(Assumption!$H$2=Assumption!$S$2,'Income Statement'!M7*Assumption!M44,Assumption!#REF!*'Income Statement'!M7))</f>
        <v>2651002.9294374269</v>
      </c>
    </row>
    <row r="47" spans="1:13">
      <c r="B47" s="154"/>
      <c r="C47" s="73"/>
      <c r="D47" s="73"/>
      <c r="E47" s="73"/>
      <c r="F47" s="73"/>
      <c r="G47" s="73"/>
      <c r="H47" s="73"/>
      <c r="I47" s="117"/>
      <c r="J47" s="117"/>
      <c r="K47" s="117"/>
      <c r="L47" s="117"/>
      <c r="M47" s="120"/>
    </row>
    <row r="48" spans="1:13">
      <c r="B48" s="163" t="s">
        <v>244</v>
      </c>
      <c r="C48" s="75"/>
      <c r="D48" s="75">
        <f>D46-C46</f>
        <v>24641</v>
      </c>
      <c r="E48" s="75">
        <f t="shared" ref="E48:M48" si="1">E46-D46</f>
        <v>84286</v>
      </c>
      <c r="F48" s="75">
        <f t="shared" si="1"/>
        <v>100908</v>
      </c>
      <c r="G48" s="75">
        <f t="shared" si="1"/>
        <v>-48719</v>
      </c>
      <c r="H48" s="75">
        <f>H46-G46</f>
        <v>82872</v>
      </c>
      <c r="I48" s="75">
        <f>I46-H46</f>
        <v>110699.07109807222</v>
      </c>
      <c r="J48" s="75">
        <f t="shared" si="1"/>
        <v>177324.61066471087</v>
      </c>
      <c r="K48" s="75">
        <f t="shared" si="1"/>
        <v>271897.73635255639</v>
      </c>
      <c r="L48" s="75">
        <f t="shared" si="1"/>
        <v>407846.60452883481</v>
      </c>
      <c r="M48" s="76">
        <f t="shared" si="1"/>
        <v>611769.90679325256</v>
      </c>
    </row>
  </sheetData>
  <phoneticPr fontId="50" type="noConversion"/>
  <conditionalFormatting sqref="D38:M38">
    <cfRule type="cellIs" dxfId="2" priority="1" stopIfTrue="1" operator="notEqual">
      <formula>"ok!"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24"/>
  <sheetViews>
    <sheetView workbookViewId="0">
      <selection activeCell="H8" sqref="H8:M8"/>
    </sheetView>
  </sheetViews>
  <sheetFormatPr baseColWidth="10" defaultColWidth="10.7109375" defaultRowHeight="15"/>
  <cols>
    <col min="3" max="3" width="17" customWidth="1"/>
    <col min="4" max="8" width="12.42578125" bestFit="1" customWidth="1"/>
    <col min="9" max="13" width="12.28515625" customWidth="1"/>
  </cols>
  <sheetData>
    <row r="1" spans="1:14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4" ht="18">
      <c r="A2" s="31" t="s">
        <v>26</v>
      </c>
      <c r="B2" s="32"/>
      <c r="C2" s="32"/>
      <c r="D2" s="33" t="s">
        <v>27</v>
      </c>
      <c r="E2" s="33"/>
      <c r="F2" s="33" t="s">
        <v>28</v>
      </c>
      <c r="G2" s="33"/>
      <c r="H2" s="33"/>
      <c r="I2" s="34"/>
      <c r="J2" s="34"/>
      <c r="K2" s="34"/>
      <c r="L2" s="34"/>
      <c r="M2" s="34"/>
    </row>
    <row r="3" spans="1:14">
      <c r="A3" s="35" t="s">
        <v>259</v>
      </c>
      <c r="B3" s="36"/>
      <c r="C3" s="36"/>
      <c r="D3" s="37">
        <v>2006</v>
      </c>
      <c r="E3" s="37">
        <v>2007</v>
      </c>
      <c r="F3" s="37">
        <v>2008</v>
      </c>
      <c r="G3" s="37">
        <v>2009</v>
      </c>
      <c r="H3" s="37">
        <v>2010</v>
      </c>
      <c r="I3" s="36">
        <v>2011</v>
      </c>
      <c r="J3" s="36">
        <v>2012</v>
      </c>
      <c r="K3" s="36">
        <v>2013</v>
      </c>
      <c r="L3" s="36">
        <v>2014</v>
      </c>
      <c r="M3" s="36">
        <v>2015</v>
      </c>
    </row>
    <row r="4" spans="1:14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ht="16.5" thickBot="1">
      <c r="A5" s="16"/>
      <c r="B5" s="17" t="s">
        <v>26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27"/>
    </row>
    <row r="6" spans="1:14">
      <c r="A6" s="13"/>
      <c r="B6" s="20"/>
      <c r="C6" s="15"/>
      <c r="D6" s="15"/>
      <c r="E6" s="15"/>
      <c r="F6" s="15"/>
      <c r="G6" s="15"/>
      <c r="H6" s="15"/>
      <c r="I6" s="15"/>
      <c r="J6" s="15"/>
      <c r="K6" s="15"/>
      <c r="L6" s="15"/>
      <c r="M6" s="28"/>
    </row>
    <row r="7" spans="1:14">
      <c r="A7" s="13"/>
      <c r="B7" s="20" t="s">
        <v>29</v>
      </c>
      <c r="C7" s="15"/>
      <c r="D7" s="119">
        <v>2887409</v>
      </c>
      <c r="E7" s="119">
        <v>3457778</v>
      </c>
      <c r="F7" s="15">
        <v>4039974</v>
      </c>
      <c r="G7" s="15">
        <v>3910129</v>
      </c>
      <c r="H7" s="15">
        <v>3999945</v>
      </c>
      <c r="I7" s="15">
        <f>IF(Assumption!$H$2=Assumption!$S$1,H7*(1+Assumption!I11),IF(Assumption!$H$2=Assumption!$S$2,'Income Statement'!H7*(1+Assumption!I34),'Income Statement'!H7*(1+Assumption!#REF!)))</f>
        <v>4399939.5</v>
      </c>
      <c r="J7" s="15">
        <f>IF(Assumption!$H$2=Assumption!$S$1,I7*(1+Assumption!J11),IF(Assumption!$H$2=Assumption!$S$2,'Income Statement'!I7*(1+Assumption!J34),'Income Statement'!I7*(1+Assumption!#REF!)))</f>
        <v>5059930.4249999998</v>
      </c>
      <c r="K7" s="15">
        <f>IF(Assumption!$H$2=Assumption!$S$1,J7*(1+Assumption!K11),IF(Assumption!$H$2=Assumption!$S$2,'Income Statement'!J7*(1+Assumption!K34),'Income Statement'!J7*(1+Assumption!#REF!)))</f>
        <v>6071916.5099999998</v>
      </c>
      <c r="L7" s="15">
        <f>IF(Assumption!$H$2=Assumption!$S$1,K7*(1+Assumption!L11),IF(Assumption!$H$2=Assumption!$S$2,'Income Statement'!K7*(1+Assumption!L34),'Income Statement'!K7*(1+Assumption!#REF!)))</f>
        <v>7589895.6374999993</v>
      </c>
      <c r="M7" s="28">
        <f>IF(Assumption!$H$2=Assumption!$S$1,L7*(1+Assumption!M11),IF(Assumption!$H$2=Assumption!$S$2,'Income Statement'!L7*(1+Assumption!M34),'Income Statement'!L7*(1+Assumption!#REF!)))</f>
        <v>9866864.3287499994</v>
      </c>
      <c r="N7" s="38"/>
    </row>
    <row r="8" spans="1:14">
      <c r="A8" s="13"/>
      <c r="B8" s="226" t="s">
        <v>265</v>
      </c>
      <c r="C8" s="227"/>
      <c r="D8" s="228">
        <v>282118</v>
      </c>
      <c r="E8" s="228">
        <v>326326</v>
      </c>
      <c r="F8" s="227">
        <v>45410</v>
      </c>
      <c r="G8" s="227">
        <v>46817</v>
      </c>
      <c r="H8" s="227">
        <v>45293</v>
      </c>
      <c r="I8" s="227">
        <f>IF(Assumption!$H$2=Assumption!$S$1,H8*(1+Assumption!I12),IF(Assumption!$H$2=Assumption!$S$2,'Income Statement'!H8*(1+Assumption!I35),'Income Statement'!H8*(1+Assumption!#REF!)))</f>
        <v>45293</v>
      </c>
      <c r="J8" s="227">
        <f>IF(Assumption!$H$2=Assumption!$S$1,I8*(1+Assumption!J12),IF(Assumption!$H$2=Assumption!$S$2,'Income Statement'!I8*(1+Assumption!J35),'Income Statement'!I8*(1+Assumption!#REF!)))</f>
        <v>45293</v>
      </c>
      <c r="K8" s="227">
        <f>IF(Assumption!$H$2=Assumption!$S$1,J8*(1+Assumption!K12),IF(Assumption!$H$2=Assumption!$S$2,'Income Statement'!J8*(1+Assumption!K35),'Income Statement'!J8*(1+Assumption!#REF!)))</f>
        <v>45293</v>
      </c>
      <c r="L8" s="227">
        <f>IF(Assumption!$H$2=Assumption!$S$1,K8*(1+Assumption!L12),IF(Assumption!$H$2=Assumption!$S$2,'Income Statement'!K8*(1+Assumption!L35),'Income Statement'!K8*(1+Assumption!#REF!)))</f>
        <v>45293</v>
      </c>
      <c r="M8" s="485">
        <f>IF(Assumption!$H$2=Assumption!$S$1,L8*(1+Assumption!M12),IF(Assumption!$H$2=Assumption!$S$2,'Income Statement'!L8*(1+Assumption!M35),'Income Statement'!L8*(1+Assumption!#REF!)))</f>
        <v>45293</v>
      </c>
      <c r="N8" s="38"/>
    </row>
    <row r="9" spans="1:14">
      <c r="A9" s="13"/>
      <c r="B9" s="226" t="s">
        <v>266</v>
      </c>
      <c r="C9" s="227"/>
      <c r="D9" s="228">
        <v>17486</v>
      </c>
      <c r="E9" s="228">
        <v>29415</v>
      </c>
      <c r="F9" s="227">
        <v>42041</v>
      </c>
      <c r="G9" s="227">
        <v>20342</v>
      </c>
      <c r="H9" s="227">
        <v>3470</v>
      </c>
      <c r="I9" s="227">
        <f>IF(Assumption!$H$2=Assumption!$S$1,H9*(1+Assumption!I13),IF(Assumption!$H$2=Assumption!$S$2,'Income Statement'!H9*(1+Assumption!I36),'Income Statement'!H9*(1+Assumption!I54)))</f>
        <v>5045.4042708814723</v>
      </c>
      <c r="J9" s="227">
        <f>IF(Assumption!$H$2=Assumption!$S$1,I9*(1+Assumption!J13),IF(Assumption!$H$2=Assumption!$S$2,'Income Statement'!I9*(1+Assumption!J36),'Income Statement'!I9*(1+Assumption!J54)))</f>
        <v>7336.0530998930835</v>
      </c>
      <c r="K9" s="227">
        <f>IF(Assumption!$H$2=Assumption!$S$1,J9*(1+Assumption!K13),IF(Assumption!$H$2=Assumption!$S$2,'Income Statement'!J9*(1+Assumption!K36),'Income Statement'!J9*(1+Assumption!K54)))</f>
        <v>10666.672519197067</v>
      </c>
      <c r="L9" s="227">
        <f>IF(Assumption!$H$2=Assumption!$S$1,K9*(1+Assumption!L13),IF(Assumption!$H$2=Assumption!$S$2,'Income Statement'!K9*(1+Assumption!L36),'Income Statement'!K9*(1+Assumption!L54)))</f>
        <v>15509.416450850407</v>
      </c>
      <c r="M9" s="485">
        <f>IF(Assumption!$H$2=Assumption!$S$1,L9*(1+Assumption!M13),IF(Assumption!$H$2=Assumption!$S$2,'Income Statement'!L9*(1+Assumption!M36),'Income Statement'!L9*(1+Assumption!M54)))</f>
        <v>22550.800000000003</v>
      </c>
      <c r="N9" s="38"/>
    </row>
    <row r="10" spans="1:14">
      <c r="A10" s="13"/>
      <c r="B10" s="20" t="s">
        <v>37</v>
      </c>
      <c r="C10" s="15"/>
      <c r="D10" s="119">
        <f>-536388</f>
        <v>-536388</v>
      </c>
      <c r="E10" s="119">
        <v>-715504</v>
      </c>
      <c r="F10" s="15">
        <v>-825932</v>
      </c>
      <c r="G10" s="15">
        <v>-1040211</v>
      </c>
      <c r="H10" s="15">
        <v>-1153689</v>
      </c>
      <c r="I10" s="15">
        <f>IF(Assumption!$H$2=Assumption!$S$1,-I$7*Assumption!I14,IF(Assumption!$H$2=Assumption!$S$2,-'Income Statement'!I$7*Assumption!I37,-'Income Statement'!I$7*Assumption!#REF!))</f>
        <v>-875784.2164313636</v>
      </c>
      <c r="J10" s="15">
        <f>IF(Assumption!$H$2=Assumption!$S$1,-J$7*Assumption!J14,IF(Assumption!$H$2=Assumption!$S$2,-'Income Statement'!J$7*Assumption!J37,-'Income Statement'!J$7*Assumption!#REF!))</f>
        <v>-1007151.8488960681</v>
      </c>
      <c r="K10" s="15">
        <f>IF(Assumption!$H$2=Assumption!$S$1,-K$7*Assumption!K14,IF(Assumption!$H$2=Assumption!$S$2,-'Income Statement'!K$7*Assumption!K37,-'Income Statement'!K$7*Assumption!#REF!))</f>
        <v>-1208582.2186752816</v>
      </c>
      <c r="L10" s="15">
        <f>IF(Assumption!$H$2=Assumption!$S$1,-L$7*Assumption!L14,IF(Assumption!$H$2=Assumption!$S$2,-'Income Statement'!L$7*Assumption!L37,-'Income Statement'!L$7*Assumption!#REF!))</f>
        <v>-1510727.7733441021</v>
      </c>
      <c r="M10" s="28">
        <f>IF(Assumption!$H$2=Assumption!$S$1,-M$7*Assumption!M14,IF(Assumption!$H$2=Assumption!$S$2,-'Income Statement'!M$7*Assumption!M37,-'Income Statement'!M$7*Assumption!#REF!))</f>
        <v>-1963946.1053473328</v>
      </c>
      <c r="N10" s="15"/>
    </row>
    <row r="11" spans="1:14">
      <c r="A11" s="13"/>
      <c r="B11" s="20" t="s">
        <v>264</v>
      </c>
      <c r="C11" s="15"/>
      <c r="D11" s="119">
        <v>-199283</v>
      </c>
      <c r="E11" s="119">
        <v>-211826</v>
      </c>
      <c r="F11" s="15">
        <v>-29182</v>
      </c>
      <c r="G11" s="15">
        <v>-30136</v>
      </c>
      <c r="H11" s="15">
        <v>-37851</v>
      </c>
      <c r="I11" s="15">
        <f>IF(Assumption!$H$2=Assumption!$S$1,-I$8*Assumption!I15,IF(Assumption!$H$2=Assumption!$S$2,-'Income Statement'!I$8*Assumption!I38,-'Income Statement'!I$8*Assumption!#REF!))</f>
        <v>-31501.546389569208</v>
      </c>
      <c r="J11" s="15">
        <f>IF(Assumption!$H$2=Assumption!$S$1,-J$8*Assumption!J15,IF(Assumption!$H$2=Assumption!$S$2,-'Income Statement'!J$8*Assumption!J38,-'Income Statement'!J$8*Assumption!#REF!))</f>
        <v>-31501.546389569208</v>
      </c>
      <c r="K11" s="15">
        <f>IF(Assumption!$H$2=Assumption!$S$1,-K$8*Assumption!K15,IF(Assumption!$H$2=Assumption!$S$2,-'Income Statement'!K$8*Assumption!K38,-'Income Statement'!K$8*Assumption!#REF!))</f>
        <v>-31501.546389569208</v>
      </c>
      <c r="L11" s="15">
        <f>IF(Assumption!$H$2=Assumption!$S$1,-L$8*Assumption!L15,IF(Assumption!$H$2=Assumption!$S$2,-'Income Statement'!L$8*Assumption!L38,-'Income Statement'!L$8*Assumption!#REF!))</f>
        <v>-31501.546389569208</v>
      </c>
      <c r="M11" s="28">
        <f>IF(Assumption!$H$2=Assumption!$S$1,-M$8*Assumption!M15,IF(Assumption!$H$2=Assumption!$S$2,-'Income Statement'!M$8*Assumption!M38,-'Income Statement'!M$8*Assumption!#REF!))</f>
        <v>-31501.546389569208</v>
      </c>
      <c r="N11" s="15"/>
    </row>
    <row r="12" spans="1:14">
      <c r="A12" s="13"/>
      <c r="B12" s="20" t="s">
        <v>30</v>
      </c>
      <c r="C12" s="15"/>
      <c r="D12" s="119">
        <v>-1010400</v>
      </c>
      <c r="E12" s="119">
        <v>-1187184</v>
      </c>
      <c r="F12" s="15">
        <v>-1172700</v>
      </c>
      <c r="G12" s="15">
        <v>-1244398</v>
      </c>
      <c r="H12" s="15">
        <v>-1553921</v>
      </c>
      <c r="I12" s="15">
        <f>IF(Assumption!$H$2=Assumption!$S$1,-I$7*Assumption!I16,IF(Assumption!$H$2=Assumption!$S$2,-'Income Statement'!I$7*Assumption!I39,-'Income Statement'!I$7*Assumption!#REF!))</f>
        <v>-1442512.1050377404</v>
      </c>
      <c r="J12" s="15">
        <f>IF(Assumption!$H$2=Assumption!$S$1,-J$7*Assumption!J16,IF(Assumption!$H$2=Assumption!$S$2,-'Income Statement'!J$7*Assumption!J39,-'Income Statement'!J$7*Assumption!#REF!))</f>
        <v>-1658888.9207934015</v>
      </c>
      <c r="K12" s="15">
        <f>IF(Assumption!$H$2=Assumption!$S$1,-K$7*Assumption!K16,IF(Assumption!$H$2=Assumption!$S$2,-'Income Statement'!K$7*Assumption!K39,-'Income Statement'!K$7*Assumption!#REF!))</f>
        <v>-1990666.7049520817</v>
      </c>
      <c r="L12" s="15">
        <f>IF(Assumption!$H$2=Assumption!$S$1,-L$7*Assumption!L16,IF(Assumption!$H$2=Assumption!$S$2,-'Income Statement'!L$7*Assumption!L39,-'Income Statement'!L$7*Assumption!#REF!))</f>
        <v>-2488333.3811901021</v>
      </c>
      <c r="M12" s="28">
        <f>IF(Assumption!$H$2=Assumption!$S$1,-M$7*Assumption!M16,IF(Assumption!$H$2=Assumption!$S$2,-'Income Statement'!M$7*Assumption!M39,-'Income Statement'!M$7*Assumption!#REF!))</f>
        <v>-3234833.3955471329</v>
      </c>
      <c r="N12" s="15"/>
    </row>
    <row r="13" spans="1:14">
      <c r="A13" s="13"/>
      <c r="B13" s="20" t="s">
        <v>38</v>
      </c>
      <c r="C13" s="15"/>
      <c r="D13" s="119">
        <v>-649951</v>
      </c>
      <c r="E13" s="119">
        <v>-737685</v>
      </c>
      <c r="F13" s="15">
        <v>-1294411</v>
      </c>
      <c r="G13" s="15">
        <v>-833853</v>
      </c>
      <c r="H13" s="15">
        <v>-847284</v>
      </c>
      <c r="I13" s="15">
        <f>IF(Assumption!$H$2=Assumption!$S$1,-I7*Assumption!I17,IF(Assumption!$H$2=Assumption!$S$2,-I7*Assumption!I40,-'Income Statement'!I7*Assumption!#REF!))</f>
        <v>-1041833.9117725665</v>
      </c>
      <c r="J13" s="15">
        <f>IF(Assumption!$H$2=Assumption!$S$1,-J7*Assumption!J17,IF(Assumption!$H$2=Assumption!$S$2,-J7*Assumption!J40,-'Income Statement'!J7*Assumption!#REF!))</f>
        <v>-1198108.9985384515</v>
      </c>
      <c r="K13" s="15">
        <f>IF(Assumption!$H$2=Assumption!$S$1,-K7*Assumption!K17,IF(Assumption!$H$2=Assumption!$S$2,-K7*Assumption!K40,-'Income Statement'!K7*Assumption!#REF!))</f>
        <v>-1437730.7982461418</v>
      </c>
      <c r="L13" s="15">
        <f>IF(Assumption!$H$2=Assumption!$S$1,-L7*Assumption!L17,IF(Assumption!$H$2=Assumption!$S$2,-L7*Assumption!L40,-'Income Statement'!L7*Assumption!#REF!))</f>
        <v>-1797163.4978076771</v>
      </c>
      <c r="M13" s="28">
        <f>IF(Assumption!$H$2=Assumption!$S$1,-M7*Assumption!M17,IF(Assumption!$H$2=Assumption!$S$2,-M7*Assumption!M40,-'Income Statement'!M7*Assumption!#REF!))</f>
        <v>-2336312.5471499804</v>
      </c>
      <c r="N13" s="38"/>
    </row>
    <row r="14" spans="1:14">
      <c r="A14" s="13"/>
      <c r="B14" s="21" t="s">
        <v>31</v>
      </c>
      <c r="C14" s="22"/>
      <c r="D14" s="45">
        <f>SUM(D7:D13)</f>
        <v>790991</v>
      </c>
      <c r="E14" s="45">
        <f t="shared" ref="E14:L14" si="0">SUM(E7:E13)</f>
        <v>961320</v>
      </c>
      <c r="F14" s="45">
        <f t="shared" si="0"/>
        <v>805200</v>
      </c>
      <c r="G14" s="45">
        <f t="shared" si="0"/>
        <v>828690</v>
      </c>
      <c r="H14" s="45">
        <f t="shared" si="0"/>
        <v>455963</v>
      </c>
      <c r="I14" s="45">
        <f t="shared" si="0"/>
        <v>1058646.1246396424</v>
      </c>
      <c r="J14" s="45">
        <f t="shared" si="0"/>
        <v>1216908.1634824027</v>
      </c>
      <c r="K14" s="45">
        <f t="shared" si="0"/>
        <v>1459394.9142561217</v>
      </c>
      <c r="L14" s="45">
        <f t="shared" si="0"/>
        <v>1822971.8552193989</v>
      </c>
      <c r="M14" s="486">
        <f>SUM(M7:M13)</f>
        <v>2368114.5343159847</v>
      </c>
      <c r="N14" s="38"/>
    </row>
    <row r="15" spans="1:14">
      <c r="A15" s="23"/>
      <c r="B15" s="24" t="s">
        <v>32</v>
      </c>
      <c r="C15" s="23"/>
      <c r="D15" s="46">
        <f>D14/D7</f>
        <v>0.27394491047163738</v>
      </c>
      <c r="E15" s="46">
        <f t="shared" ref="E15:M15" si="1">E14/E7</f>
        <v>0.27801669164417148</v>
      </c>
      <c r="F15" s="41">
        <f t="shared" si="1"/>
        <v>0.19930821336969001</v>
      </c>
      <c r="G15" s="41">
        <f t="shared" si="1"/>
        <v>0.21193418426860086</v>
      </c>
      <c r="H15" s="41">
        <f t="shared" si="1"/>
        <v>0.11399231739436418</v>
      </c>
      <c r="I15" s="41">
        <f t="shared" si="1"/>
        <v>0.24060470027818393</v>
      </c>
      <c r="J15" s="41">
        <f t="shared" si="1"/>
        <v>0.24049899134381927</v>
      </c>
      <c r="K15" s="41">
        <f t="shared" si="1"/>
        <v>0.24035161087156018</v>
      </c>
      <c r="L15" s="41">
        <f t="shared" si="1"/>
        <v>0.24018404761884962</v>
      </c>
      <c r="M15" s="42">
        <f t="shared" si="1"/>
        <v>0.24000680007485148</v>
      </c>
      <c r="N15" s="39"/>
    </row>
    <row r="16" spans="1:14">
      <c r="A16" s="13"/>
      <c r="B16" s="20"/>
      <c r="C16" s="15"/>
      <c r="D16" s="47"/>
      <c r="E16" s="47"/>
      <c r="F16" s="15"/>
      <c r="G16" s="15"/>
      <c r="H16" s="15"/>
      <c r="I16" s="15"/>
      <c r="J16" s="15"/>
      <c r="K16" s="15"/>
      <c r="L16" s="15"/>
      <c r="M16" s="28"/>
      <c r="N16" s="38"/>
    </row>
    <row r="17" spans="1:14">
      <c r="A17" s="13"/>
      <c r="B17" s="20" t="s">
        <v>257</v>
      </c>
      <c r="C17" s="15"/>
      <c r="D17" s="119">
        <v>-331389</v>
      </c>
      <c r="E17" s="119">
        <v>-338196</v>
      </c>
      <c r="F17" s="15">
        <v>-374664</v>
      </c>
      <c r="G17" s="15">
        <v>-456364</v>
      </c>
      <c r="H17" s="15">
        <v>-495443</v>
      </c>
      <c r="I17" s="15">
        <f>-'Cash Flow Statement'!I7</f>
        <v>-548958.89908952161</v>
      </c>
      <c r="J17" s="15">
        <f>-'Cash Flow Statement'!J7</f>
        <v>-608255.38536134246</v>
      </c>
      <c r="K17" s="15">
        <f>-'Cash Flow Statement'!K7</f>
        <v>-673956.85621400503</v>
      </c>
      <c r="L17" s="15">
        <f>-'Cash Flow Statement'!L7</f>
        <v>-746755.15411677072</v>
      </c>
      <c r="M17" s="28">
        <f>-'Cash Flow Statement'!M7</f>
        <v>-827416.85177380347</v>
      </c>
      <c r="N17" s="38"/>
    </row>
    <row r="18" spans="1:14">
      <c r="A18" s="13"/>
      <c r="B18" s="21" t="s">
        <v>34</v>
      </c>
      <c r="C18" s="22"/>
      <c r="D18" s="45">
        <f t="shared" ref="D18:M18" si="2">D14+D17</f>
        <v>459602</v>
      </c>
      <c r="E18" s="45">
        <f t="shared" si="2"/>
        <v>623124</v>
      </c>
      <c r="F18" s="22">
        <f t="shared" si="2"/>
        <v>430536</v>
      </c>
      <c r="G18" s="22">
        <f t="shared" si="2"/>
        <v>372326</v>
      </c>
      <c r="H18" s="22">
        <f t="shared" si="2"/>
        <v>-39480</v>
      </c>
      <c r="I18" s="22">
        <f t="shared" si="2"/>
        <v>509687.22555012081</v>
      </c>
      <c r="J18" s="22">
        <f t="shared" si="2"/>
        <v>608652.77812106023</v>
      </c>
      <c r="K18" s="22">
        <f t="shared" si="2"/>
        <v>785438.0580421167</v>
      </c>
      <c r="L18" s="22">
        <f t="shared" si="2"/>
        <v>1076216.7011026281</v>
      </c>
      <c r="M18" s="40">
        <f t="shared" si="2"/>
        <v>1540697.6825421811</v>
      </c>
      <c r="N18" s="38"/>
    </row>
    <row r="19" spans="1:14">
      <c r="A19" s="13"/>
      <c r="B19" s="128" t="s">
        <v>32</v>
      </c>
      <c r="C19" s="129"/>
      <c r="D19" s="130">
        <f t="shared" ref="D19:M19" si="3">D18/D7</f>
        <v>0.15917454021927618</v>
      </c>
      <c r="E19" s="130">
        <f t="shared" si="3"/>
        <v>0.18020937145183988</v>
      </c>
      <c r="F19" s="43">
        <f t="shared" si="3"/>
        <v>0.10656900267179938</v>
      </c>
      <c r="G19" s="43">
        <f t="shared" si="3"/>
        <v>9.5220899361632319E-2</v>
      </c>
      <c r="H19" s="43">
        <f t="shared" si="3"/>
        <v>-9.8701357143660719E-3</v>
      </c>
      <c r="I19" s="43">
        <f t="shared" si="3"/>
        <v>0.11583959860132641</v>
      </c>
      <c r="J19" s="43">
        <f t="shared" si="3"/>
        <v>0.12028876427111353</v>
      </c>
      <c r="K19" s="43">
        <f t="shared" si="3"/>
        <v>0.1293558725237012</v>
      </c>
      <c r="L19" s="43">
        <f t="shared" si="3"/>
        <v>0.14179598146057226</v>
      </c>
      <c r="M19" s="44">
        <f t="shared" si="3"/>
        <v>0.15614866397350849</v>
      </c>
      <c r="N19" s="38"/>
    </row>
    <row r="20" spans="1:14">
      <c r="A20" s="23"/>
      <c r="B20" s="23"/>
      <c r="C20" s="23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39"/>
    </row>
    <row r="21" spans="1:14">
      <c r="A21" s="23"/>
      <c r="B21" s="23"/>
      <c r="C21" s="23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39"/>
    </row>
    <row r="22" spans="1:14">
      <c r="B22" s="208" t="s">
        <v>258</v>
      </c>
      <c r="D22" s="1"/>
      <c r="E22" s="1"/>
      <c r="F22" s="1"/>
      <c r="G22" s="1"/>
      <c r="H22" s="1"/>
    </row>
    <row r="24" spans="1:14">
      <c r="D24" s="38"/>
    </row>
  </sheetData>
  <phoneticPr fontId="5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18"/>
  <sheetViews>
    <sheetView topLeftCell="C1" workbookViewId="0">
      <selection activeCell="I19" sqref="I19"/>
    </sheetView>
  </sheetViews>
  <sheetFormatPr baseColWidth="10" defaultColWidth="10.7109375" defaultRowHeight="15"/>
  <cols>
    <col min="3" max="3" width="54" customWidth="1"/>
    <col min="4" max="4" width="12.85546875" customWidth="1"/>
    <col min="9" max="13" width="12.140625" customWidth="1"/>
  </cols>
  <sheetData>
    <row r="1" spans="1:13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8">
      <c r="A2" s="31" t="s">
        <v>26</v>
      </c>
      <c r="B2" s="32"/>
      <c r="C2" s="32"/>
      <c r="D2" s="33" t="s">
        <v>27</v>
      </c>
      <c r="E2" s="33"/>
      <c r="F2" s="33" t="s">
        <v>28</v>
      </c>
      <c r="G2" s="33"/>
      <c r="H2" s="33"/>
      <c r="I2" s="34"/>
      <c r="J2" s="34"/>
      <c r="K2" s="34"/>
      <c r="L2" s="34"/>
      <c r="M2" s="34"/>
    </row>
    <row r="3" spans="1:13">
      <c r="A3" s="35" t="s">
        <v>36</v>
      </c>
      <c r="B3" s="36"/>
      <c r="C3" s="36"/>
      <c r="D3" s="37">
        <v>2006</v>
      </c>
      <c r="E3" s="37">
        <v>2007</v>
      </c>
      <c r="F3" s="37">
        <v>2008</v>
      </c>
      <c r="G3" s="37">
        <v>2009</v>
      </c>
      <c r="H3" s="37">
        <v>2010</v>
      </c>
      <c r="I3" s="36">
        <v>2011</v>
      </c>
      <c r="J3" s="36">
        <v>2012</v>
      </c>
      <c r="K3" s="36">
        <v>2013</v>
      </c>
      <c r="L3" s="36">
        <v>2014</v>
      </c>
      <c r="M3" s="36">
        <v>2015</v>
      </c>
    </row>
    <row r="4" spans="1:13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16.5" thickBot="1">
      <c r="A5" s="16"/>
      <c r="B5" s="17" t="s">
        <v>57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>
      <c r="A6" s="13"/>
      <c r="B6" s="20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>
      <c r="A7" s="13"/>
      <c r="B7" s="20" t="s">
        <v>33</v>
      </c>
      <c r="C7" s="15"/>
      <c r="D7" s="15">
        <f>-'Income Statement'!D17</f>
        <v>331389</v>
      </c>
      <c r="E7" s="15">
        <f>-'Income Statement'!E17</f>
        <v>338196</v>
      </c>
      <c r="F7" s="15">
        <f>-'Income Statement'!F17</f>
        <v>374664</v>
      </c>
      <c r="G7" s="15">
        <f>-'Income Statement'!G17</f>
        <v>456364</v>
      </c>
      <c r="H7" s="15">
        <f>-'Income Statement'!H17</f>
        <v>495443</v>
      </c>
      <c r="I7" s="15">
        <f>IF(Assumption!$H$2=Assumption!$S$1,H7*(1+Assumption!I24),IF(Assumption!$H$2=Assumption!$S$2,'Cash Flow Statement'!H7*(1+Assumption!I47),'Cash Flow Statement'!H7*(1+Assumption!#REF!)))</f>
        <v>548958.89908952161</v>
      </c>
      <c r="J7" s="15">
        <f>IF(Assumption!$H$2=Assumption!$S$1,I7*(1+Assumption!J24),IF(Assumption!$H$2=Assumption!$S$2,'Cash Flow Statement'!I7*(1+Assumption!J47),'Cash Flow Statement'!I7*(1+Assumption!#REF!)))</f>
        <v>608255.38536134246</v>
      </c>
      <c r="K7" s="15">
        <f>IF(Assumption!$H$2=Assumption!$S$1,J7*(1+Assumption!K24),IF(Assumption!$H$2=Assumption!$S$2,'Cash Flow Statement'!J7*(1+Assumption!K47),'Cash Flow Statement'!J7*(1+Assumption!#REF!)))</f>
        <v>673956.85621400503</v>
      </c>
      <c r="L7" s="15">
        <f>IF(Assumption!$H$2=Assumption!$S$1,K7*(1+Assumption!L24),IF(Assumption!$H$2=Assumption!$S$2,'Cash Flow Statement'!K7*(1+Assumption!L47),'Cash Flow Statement'!K7*(1+Assumption!#REF!)))</f>
        <v>746755.15411677072</v>
      </c>
      <c r="M7" s="15">
        <f>IF(Assumption!$H$2=Assumption!$S$1,L7*(1+Assumption!M24),IF(Assumption!$H$2=Assumption!$S$2,'Cash Flow Statement'!L7*(1+Assumption!M47),'Cash Flow Statement'!L7*(1+Assumption!#REF!)))</f>
        <v>827416.85177380347</v>
      </c>
    </row>
    <row r="8" spans="1:13">
      <c r="A8" s="13"/>
      <c r="B8" s="20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>
      <c r="A9" s="13"/>
      <c r="B9" s="20" t="s">
        <v>59</v>
      </c>
      <c r="C9" s="15"/>
      <c r="D9" s="15">
        <v>-333675</v>
      </c>
      <c r="E9" s="15">
        <v>-412872</v>
      </c>
      <c r="F9" s="15">
        <v>-597562</v>
      </c>
      <c r="G9" s="15">
        <v>-661713</v>
      </c>
      <c r="H9" s="15">
        <v>-654105</v>
      </c>
      <c r="I9" s="205">
        <f>-Assumption!I26*'Income Statement'!I7</f>
        <v>-561547.07452193322</v>
      </c>
      <c r="J9" s="205">
        <f>-Assumption!J26*'Income Statement'!J7</f>
        <v>-645779.13570022327</v>
      </c>
      <c r="K9" s="205">
        <f>-Assumption!K26*'Income Statement'!K7</f>
        <v>-774934.96284026792</v>
      </c>
      <c r="L9" s="205">
        <f>-Assumption!L26*'Income Statement'!L7</f>
        <v>-968668.70355033479</v>
      </c>
      <c r="M9" s="205">
        <f>-Assumption!M26*'Income Statement'!M7</f>
        <v>-1259269.3146154352</v>
      </c>
    </row>
    <row r="10" spans="1:13">
      <c r="A10" s="13"/>
      <c r="B10" s="20" t="s">
        <v>60</v>
      </c>
      <c r="C10" s="15"/>
      <c r="D10" s="15">
        <v>-568953</v>
      </c>
      <c r="E10" s="15">
        <v>-342456</v>
      </c>
      <c r="F10" s="15">
        <v>-16561</v>
      </c>
      <c r="G10" s="15">
        <v>-51336</v>
      </c>
      <c r="H10" s="15">
        <v>0</v>
      </c>
      <c r="I10" s="205">
        <f>-Assumption!I27*'Income Statement'!I7</f>
        <v>-275712.35080171586</v>
      </c>
      <c r="J10" s="205">
        <f>-Assumption!J27*'Income Statement'!J7</f>
        <v>-317069.20342197322</v>
      </c>
      <c r="K10" s="205">
        <f>-Assumption!K27*'Income Statement'!K7</f>
        <v>-380483.04410636786</v>
      </c>
      <c r="L10" s="205">
        <f>-Assumption!L27*'Income Statement'!L7</f>
        <v>-475603.80513295979</v>
      </c>
      <c r="M10" s="205">
        <f>-Assumption!M27*'Income Statement'!M7</f>
        <v>-618284.94667284773</v>
      </c>
    </row>
    <row r="11" spans="1:13">
      <c r="A11" s="13"/>
      <c r="B11" s="21" t="s">
        <v>58</v>
      </c>
      <c r="C11" s="22"/>
      <c r="D11" s="22">
        <f>D9+D10</f>
        <v>-902628</v>
      </c>
      <c r="E11" s="22">
        <f>E9+E10</f>
        <v>-755328</v>
      </c>
      <c r="F11" s="22">
        <f>F9+F10</f>
        <v>-614123</v>
      </c>
      <c r="G11" s="22">
        <f>G9+G10</f>
        <v>-713049</v>
      </c>
      <c r="H11" s="22">
        <f>H9+H10</f>
        <v>-654105</v>
      </c>
      <c r="I11" s="22">
        <f>-IF(Assumption!$H$2=Assumption!$S$1,'Income Statement'!I7*Assumption!I28,IF(Assumption!$H$2=Assumption!$S$2,'Income Statement'!I7*Assumption!I51,'Income Statement'!I7*Assumption!#REF!))</f>
        <v>-837259.42532364908</v>
      </c>
      <c r="J11" s="22">
        <f>-IF(Assumption!$H$2=Assumption!$S$1,'Income Statement'!J7*Assumption!J28,IF(Assumption!$H$2=Assumption!$S$2,'Income Statement'!J7*Assumption!J51,'Income Statement'!J7*Assumption!#REF!))</f>
        <v>-962848.33912219643</v>
      </c>
      <c r="K11" s="22">
        <f>-IF(Assumption!$H$2=Assumption!$S$1,'Income Statement'!K7*Assumption!K28,IF(Assumption!$H$2=Assumption!$S$2,'Income Statement'!K7*Assumption!K51,'Income Statement'!K7*Assumption!#REF!))</f>
        <v>-1155418.0069466357</v>
      </c>
      <c r="L11" s="22">
        <f>-IF(Assumption!$H$2=Assumption!$S$1,'Income Statement'!L7*Assumption!L28,IF(Assumption!$H$2=Assumption!$S$2,'Income Statement'!L7*Assumption!L51,'Income Statement'!L7*Assumption!#REF!))</f>
        <v>-1444272.5086832945</v>
      </c>
      <c r="M11" s="22">
        <f>-IF(Assumption!$H$2=Assumption!$S$1,'Income Statement'!M7*Assumption!M28,IF(Assumption!$H$2=Assumption!$S$2,'Income Statement'!M7*Assumption!M51,'Income Statement'!M7*Assumption!#REF!))</f>
        <v>-1877554.2612882832</v>
      </c>
    </row>
    <row r="12" spans="1:13">
      <c r="A12" s="13"/>
      <c r="B12" s="49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13"/>
      <c r="B13" s="49" t="s">
        <v>61</v>
      </c>
      <c r="C13" s="15"/>
      <c r="D13" s="15">
        <f t="shared" ref="D13:M13" si="0">-D11-D7</f>
        <v>571239</v>
      </c>
      <c r="E13" s="15">
        <f t="shared" si="0"/>
        <v>417132</v>
      </c>
      <c r="F13" s="15">
        <f t="shared" si="0"/>
        <v>239459</v>
      </c>
      <c r="G13" s="15">
        <f t="shared" si="0"/>
        <v>256685</v>
      </c>
      <c r="H13" s="15">
        <f t="shared" si="0"/>
        <v>158662</v>
      </c>
      <c r="I13" s="15">
        <f t="shared" si="0"/>
        <v>288300.52623412746</v>
      </c>
      <c r="J13" s="15">
        <f t="shared" si="0"/>
        <v>354592.95376085397</v>
      </c>
      <c r="K13" s="15">
        <f t="shared" si="0"/>
        <v>481461.15073263063</v>
      </c>
      <c r="L13" s="15">
        <f t="shared" si="0"/>
        <v>697517.35456652381</v>
      </c>
      <c r="M13" s="15">
        <f t="shared" si="0"/>
        <v>1050137.4095144798</v>
      </c>
    </row>
    <row r="17" spans="4:13">
      <c r="D17" s="1"/>
      <c r="E17" s="1"/>
      <c r="F17" s="1"/>
      <c r="G17" s="1"/>
      <c r="H17" s="1"/>
    </row>
    <row r="18" spans="4:13">
      <c r="D18" s="38"/>
      <c r="E18" s="38"/>
      <c r="F18" s="38"/>
      <c r="G18" s="38"/>
      <c r="H18" s="38"/>
      <c r="I18" s="38"/>
      <c r="J18" s="38"/>
      <c r="K18" s="38"/>
      <c r="L18" s="38"/>
      <c r="M18" s="38"/>
    </row>
  </sheetData>
  <phoneticPr fontId="5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"/>
  <sheetViews>
    <sheetView workbookViewId="0">
      <selection sqref="A1:XFD1048576"/>
    </sheetView>
  </sheetViews>
  <sheetFormatPr baseColWidth="10" defaultRowHeight="15"/>
  <cols>
    <col min="1" max="16384" width="11.42578125" style="3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35"/>
  <sheetViews>
    <sheetView topLeftCell="A14" workbookViewId="0">
      <selection activeCell="C29" sqref="C29"/>
    </sheetView>
  </sheetViews>
  <sheetFormatPr baseColWidth="10" defaultColWidth="11.42578125" defaultRowHeight="12.75"/>
  <cols>
    <col min="1" max="1" width="11.42578125" style="3"/>
    <col min="2" max="2" width="12.85546875" style="3" customWidth="1"/>
    <col min="3" max="4" width="11.42578125" style="3"/>
    <col min="5" max="5" width="13.42578125" style="3" customWidth="1"/>
    <col min="6" max="16384" width="11.42578125" style="3"/>
  </cols>
  <sheetData>
    <row r="1" spans="1:11" s="4" customFormat="1" ht="18.75">
      <c r="A1" s="80" t="s">
        <v>72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s="6" customFormat="1">
      <c r="A2" s="6" t="s">
        <v>73</v>
      </c>
    </row>
    <row r="3" spans="1:11" s="5" customFormat="1">
      <c r="A3" s="5" t="s">
        <v>6</v>
      </c>
      <c r="E3" s="105">
        <v>80000</v>
      </c>
    </row>
    <row r="4" spans="1:11" s="7" customFormat="1">
      <c r="A4" s="7" t="s">
        <v>7</v>
      </c>
    </row>
    <row r="5" spans="1:11" s="5" customFormat="1">
      <c r="A5" s="8" t="s">
        <v>8</v>
      </c>
      <c r="B5" s="8" t="s">
        <v>9</v>
      </c>
      <c r="C5" s="5" t="s">
        <v>10</v>
      </c>
    </row>
    <row r="6" spans="1:11" s="5" customFormat="1">
      <c r="A6" s="8">
        <v>1</v>
      </c>
      <c r="B6" s="105">
        <v>78500</v>
      </c>
    </row>
    <row r="7" spans="1:11" s="5" customFormat="1">
      <c r="A7" s="8">
        <v>2</v>
      </c>
      <c r="B7" s="105">
        <v>62800</v>
      </c>
    </row>
    <row r="8" spans="1:11" s="5" customFormat="1">
      <c r="A8" s="8">
        <v>3</v>
      </c>
      <c r="B8" s="105">
        <v>40800</v>
      </c>
    </row>
    <row r="9" spans="1:11" s="5" customFormat="1">
      <c r="A9" s="8">
        <v>4</v>
      </c>
      <c r="B9" s="105">
        <v>28400</v>
      </c>
    </row>
    <row r="10" spans="1:11" s="5" customFormat="1">
      <c r="A10" s="8">
        <v>5</v>
      </c>
      <c r="B10" s="105">
        <v>19800</v>
      </c>
    </row>
    <row r="11" spans="1:11" s="5" customFormat="1">
      <c r="A11" s="8" t="s">
        <v>11</v>
      </c>
      <c r="B11" s="105">
        <v>114500</v>
      </c>
    </row>
    <row r="12" spans="1:11" s="5" customFormat="1"/>
    <row r="13" spans="1:11" s="81" customFormat="1" ht="16.5" thickBot="1">
      <c r="A13" s="81" t="s">
        <v>5</v>
      </c>
    </row>
    <row r="14" spans="1:11" s="5" customFormat="1" ht="13.5" thickBot="1">
      <c r="A14" s="5" t="s">
        <v>12</v>
      </c>
      <c r="C14" s="82">
        <f>WACC!G6</f>
        <v>5.2275596632821317E-2</v>
      </c>
      <c r="D14" s="5" t="s">
        <v>74</v>
      </c>
    </row>
    <row r="15" spans="1:11" s="5" customFormat="1"/>
    <row r="16" spans="1:11" s="7" customFormat="1">
      <c r="A16" s="7" t="s">
        <v>13</v>
      </c>
    </row>
    <row r="17" spans="1:5" s="5" customFormat="1">
      <c r="A17" s="5" t="s">
        <v>14</v>
      </c>
      <c r="D17" s="83">
        <f>'Income Statement'!H18</f>
        <v>-39480</v>
      </c>
      <c r="E17" s="5" t="s">
        <v>15</v>
      </c>
    </row>
    <row r="18" spans="1:5" s="5" customFormat="1">
      <c r="A18" s="5" t="s">
        <v>16</v>
      </c>
      <c r="D18" s="83">
        <f>WACC!C10</f>
        <v>1152300</v>
      </c>
      <c r="E18" s="5" t="s">
        <v>17</v>
      </c>
    </row>
    <row r="19" spans="1:5" s="5" customFormat="1">
      <c r="D19" s="84"/>
    </row>
    <row r="20" spans="1:5" s="5" customFormat="1">
      <c r="A20" s="5" t="s">
        <v>18</v>
      </c>
      <c r="D20" s="9">
        <f>IF(B11&gt;0,ROUND(B11/AVERAGE(B6:B10),0),0)</f>
        <v>2</v>
      </c>
      <c r="E20" s="5" t="s">
        <v>19</v>
      </c>
    </row>
    <row r="21" spans="1:5" s="6" customFormat="1">
      <c r="E21" s="5" t="s">
        <v>20</v>
      </c>
    </row>
    <row r="22" spans="1:5" s="7" customFormat="1">
      <c r="A22" s="7" t="s">
        <v>21</v>
      </c>
    </row>
    <row r="23" spans="1:5" s="5" customFormat="1">
      <c r="A23" s="8" t="s">
        <v>8</v>
      </c>
      <c r="B23" s="8" t="s">
        <v>9</v>
      </c>
      <c r="C23" s="8" t="s">
        <v>22</v>
      </c>
    </row>
    <row r="24" spans="1:5" s="5" customFormat="1">
      <c r="A24" s="10">
        <f>A6</f>
        <v>1</v>
      </c>
      <c r="B24" s="106">
        <f>B6</f>
        <v>78500</v>
      </c>
      <c r="C24" s="83">
        <f>B24/(1+$C$14)^A24</f>
        <v>74600.228543921679</v>
      </c>
    </row>
    <row r="25" spans="1:5" s="5" customFormat="1">
      <c r="A25" s="10">
        <f t="shared" ref="A25:B28" si="0">A7</f>
        <v>2</v>
      </c>
      <c r="B25" s="106">
        <f t="shared" si="0"/>
        <v>62800</v>
      </c>
      <c r="C25" s="83">
        <f>B25/(1+$C$14)^A25</f>
        <v>56715.353873175496</v>
      </c>
    </row>
    <row r="26" spans="1:5" s="5" customFormat="1">
      <c r="A26" s="10">
        <f t="shared" si="0"/>
        <v>3</v>
      </c>
      <c r="B26" s="106">
        <f t="shared" si="0"/>
        <v>40800</v>
      </c>
      <c r="C26" s="83">
        <f>B26/(1+$C$14)^A26</f>
        <v>35016.413875662714</v>
      </c>
    </row>
    <row r="27" spans="1:5" s="5" customFormat="1">
      <c r="A27" s="10">
        <f t="shared" si="0"/>
        <v>4</v>
      </c>
      <c r="B27" s="106">
        <f t="shared" si="0"/>
        <v>28400</v>
      </c>
      <c r="C27" s="83">
        <f>B27/(1+$C$14)^A27</f>
        <v>23163.295358039486</v>
      </c>
    </row>
    <row r="28" spans="1:5" s="5" customFormat="1">
      <c r="A28" s="10">
        <f t="shared" si="0"/>
        <v>5</v>
      </c>
      <c r="B28" s="106">
        <f t="shared" si="0"/>
        <v>19800</v>
      </c>
      <c r="C28" s="83">
        <f>B28/(1+$C$14)^A28</f>
        <v>15346.795158021932</v>
      </c>
    </row>
    <row r="29" spans="1:5" s="5" customFormat="1" ht="13.5" thickBot="1">
      <c r="A29" s="11" t="str">
        <f>A11</f>
        <v>6 and beyond</v>
      </c>
      <c r="B29" s="107">
        <f>IF(B11&gt;0,IF(D20&gt;0,B11/D20,B11),0)</f>
        <v>57250</v>
      </c>
      <c r="C29" s="85">
        <f>IF(D20&gt;0,(B29*(1-(1+C14)^(-D20))/C14)/(1+$C$14)^5,B29/(1+C14)^6)</f>
        <v>82244.086395411898</v>
      </c>
      <c r="D29" s="5" t="s">
        <v>23</v>
      </c>
    </row>
    <row r="30" spans="1:5" s="5" customFormat="1" ht="13.5" thickBot="1">
      <c r="A30" s="12" t="s">
        <v>24</v>
      </c>
      <c r="B30" s="86"/>
      <c r="C30" s="108">
        <f>SUM(C24:C29)</f>
        <v>287086.17320423323</v>
      </c>
    </row>
    <row r="31" spans="1:5" s="5" customFormat="1"/>
    <row r="32" spans="1:5" s="5" customFormat="1">
      <c r="A32" s="7" t="s">
        <v>25</v>
      </c>
    </row>
    <row r="33" spans="1:7" s="5" customFormat="1">
      <c r="A33" s="5" t="s">
        <v>75</v>
      </c>
      <c r="F33" s="83">
        <f>C30/(5+D20)</f>
        <v>41012.310457747604</v>
      </c>
      <c r="G33" s="5" t="s">
        <v>76</v>
      </c>
    </row>
    <row r="34" spans="1:7" s="5" customFormat="1" ht="13.5" thickBot="1">
      <c r="A34" s="5" t="s">
        <v>77</v>
      </c>
      <c r="F34" s="87">
        <f>E3-F33</f>
        <v>38987.689542252396</v>
      </c>
      <c r="G34" s="5" t="s">
        <v>78</v>
      </c>
    </row>
    <row r="35" spans="1:7" s="5" customFormat="1" ht="13.5" thickBot="1">
      <c r="A35" s="5" t="s">
        <v>79</v>
      </c>
      <c r="F35" s="109">
        <f>C30</f>
        <v>287086.17320423323</v>
      </c>
    </row>
  </sheetData>
  <phoneticPr fontId="50" type="noConversion"/>
  <pageMargins left="0.78740157499999996" right="0.78740157499999996" top="0.984251969" bottom="0.984251969" header="0.5" footer="0.5"/>
  <pageSetup paperSize="0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L142"/>
  <sheetViews>
    <sheetView topLeftCell="A21" workbookViewId="0">
      <selection activeCell="H27" sqref="H27:L27"/>
    </sheetView>
  </sheetViews>
  <sheetFormatPr baseColWidth="10" defaultColWidth="11.42578125" defaultRowHeight="12.75"/>
  <cols>
    <col min="1" max="10" width="11.42578125" style="3"/>
    <col min="11" max="11" width="12.5703125" style="3" customWidth="1"/>
    <col min="12" max="12" width="21" style="3" bestFit="1" customWidth="1"/>
    <col min="13" max="16384" width="11.42578125" style="3"/>
  </cols>
  <sheetData>
    <row r="1" spans="1:12" s="4" customFormat="1" ht="18.75">
      <c r="A1" s="80" t="s">
        <v>80</v>
      </c>
      <c r="B1" s="80"/>
      <c r="C1" s="80"/>
      <c r="D1" s="80"/>
      <c r="E1" s="80"/>
      <c r="F1" s="80"/>
      <c r="G1" s="80"/>
      <c r="H1" s="80"/>
      <c r="I1" s="80"/>
      <c r="J1" s="80"/>
    </row>
    <row r="2" spans="1:12" s="5" customFormat="1">
      <c r="A2" s="5" t="s">
        <v>81</v>
      </c>
    </row>
    <row r="3" spans="1:12" s="5" customFormat="1">
      <c r="A3" s="5" t="s">
        <v>82</v>
      </c>
    </row>
    <row r="4" spans="1:12" s="5" customFormat="1"/>
    <row r="5" spans="1:12" s="5" customFormat="1">
      <c r="A5" s="6" t="s">
        <v>73</v>
      </c>
    </row>
    <row r="6" spans="1:12" s="5" customFormat="1">
      <c r="A6" s="5" t="s">
        <v>83</v>
      </c>
      <c r="F6" s="88">
        <v>10</v>
      </c>
      <c r="G6" s="5" t="s">
        <v>84</v>
      </c>
    </row>
    <row r="7" spans="1:12" s="5" customFormat="1">
      <c r="A7" s="5" t="s">
        <v>85</v>
      </c>
      <c r="F7" s="110">
        <v>847284</v>
      </c>
      <c r="G7" s="5" t="s">
        <v>86</v>
      </c>
    </row>
    <row r="8" spans="1:12" s="5" customFormat="1">
      <c r="A8" s="5" t="s">
        <v>87</v>
      </c>
    </row>
    <row r="9" spans="1:12" s="5" customFormat="1">
      <c r="A9" s="5" t="s">
        <v>88</v>
      </c>
    </row>
    <row r="10" spans="1:12" s="91" customFormat="1">
      <c r="A10" s="89" t="s">
        <v>8</v>
      </c>
      <c r="B10" s="89" t="s">
        <v>89</v>
      </c>
      <c r="C10" s="90"/>
      <c r="D10" s="90"/>
      <c r="E10" s="90"/>
      <c r="F10" s="90"/>
      <c r="G10" s="90"/>
      <c r="H10" s="90"/>
    </row>
    <row r="11" spans="1:12" s="91" customFormat="1">
      <c r="A11" s="92">
        <v>-1</v>
      </c>
      <c r="B11" s="93">
        <v>833853</v>
      </c>
      <c r="C11" s="90" t="s">
        <v>90</v>
      </c>
      <c r="D11" s="90"/>
      <c r="E11" s="90"/>
      <c r="F11" s="90"/>
      <c r="G11" s="90"/>
      <c r="H11" s="90"/>
      <c r="I11" s="90"/>
    </row>
    <row r="12" spans="1:12" s="91" customFormat="1">
      <c r="A12" s="92">
        <f>IF((0-A11)&lt;$F$6,IF(A11&gt;-1,,A11-1),)</f>
        <v>-2</v>
      </c>
      <c r="B12" s="93">
        <v>1294411</v>
      </c>
      <c r="C12" s="90" t="s">
        <v>91</v>
      </c>
      <c r="D12" s="90"/>
      <c r="E12" s="90"/>
      <c r="F12" s="90"/>
      <c r="G12" s="90"/>
      <c r="H12" s="168" t="s">
        <v>247</v>
      </c>
      <c r="I12" s="77"/>
      <c r="J12" s="77"/>
      <c r="K12" s="77"/>
      <c r="L12" s="78"/>
    </row>
    <row r="13" spans="1:12" s="91" customFormat="1">
      <c r="A13" s="92">
        <f t="shared" ref="A13:A20" si="0">IF((0-A12)&lt;$F$6,IF(A12&gt;-1,,A12-1),)</f>
        <v>-3</v>
      </c>
      <c r="B13" s="93">
        <v>737685</v>
      </c>
      <c r="C13" s="90"/>
      <c r="D13" s="90"/>
      <c r="E13" s="90"/>
      <c r="F13" s="90"/>
      <c r="G13" s="90"/>
      <c r="H13" s="169" t="s">
        <v>8</v>
      </c>
      <c r="I13" s="151" t="s">
        <v>92</v>
      </c>
      <c r="J13" s="548" t="s">
        <v>93</v>
      </c>
      <c r="K13" s="548"/>
      <c r="L13" s="170" t="s">
        <v>94</v>
      </c>
    </row>
    <row r="14" spans="1:12" s="91" customFormat="1">
      <c r="A14" s="92">
        <f t="shared" si="0"/>
        <v>-4</v>
      </c>
      <c r="B14" s="93">
        <v>649951</v>
      </c>
      <c r="C14" s="90"/>
      <c r="D14" s="90"/>
      <c r="E14" s="90"/>
      <c r="F14" s="90"/>
      <c r="G14" s="167"/>
      <c r="H14" s="171" t="s">
        <v>95</v>
      </c>
      <c r="I14" s="172">
        <f>-'Income Statement'!M13</f>
        <v>2336312.5471499804</v>
      </c>
      <c r="J14" s="173">
        <f>1</f>
        <v>1</v>
      </c>
      <c r="K14" s="173">
        <f>I14*J14</f>
        <v>2336312.5471499804</v>
      </c>
      <c r="L14" s="174"/>
    </row>
    <row r="15" spans="1:12" s="91" customFormat="1">
      <c r="A15" s="92">
        <f t="shared" si="0"/>
        <v>-5</v>
      </c>
      <c r="B15" s="93">
        <v>502657</v>
      </c>
      <c r="C15" s="90"/>
      <c r="D15" s="90"/>
      <c r="E15" s="90"/>
      <c r="F15" s="90"/>
      <c r="G15" s="167"/>
      <c r="H15" s="175">
        <f>A11</f>
        <v>-1</v>
      </c>
      <c r="I15" s="172">
        <f>-'Income Statement'!L13</f>
        <v>1797163.4978076771</v>
      </c>
      <c r="J15" s="173">
        <f>IF(H15&lt;0,($F$6+H15)/$F$6,0)</f>
        <v>0.9</v>
      </c>
      <c r="K15" s="173">
        <f>I15*J15</f>
        <v>1617447.1480269094</v>
      </c>
      <c r="L15" s="176">
        <f>IF(H15&lt;0,I15/$F$6,0)</f>
        <v>179716.34978076772</v>
      </c>
    </row>
    <row r="16" spans="1:12" s="91" customFormat="1">
      <c r="A16" s="92">
        <f t="shared" si="0"/>
        <v>-6</v>
      </c>
      <c r="B16" s="93">
        <v>391802</v>
      </c>
      <c r="C16" s="90"/>
      <c r="D16" s="90"/>
      <c r="E16" s="90"/>
      <c r="F16" s="90"/>
      <c r="G16" s="15"/>
      <c r="H16" s="175">
        <f t="shared" ref="H16:H24" si="1">A12</f>
        <v>-2</v>
      </c>
      <c r="I16" s="172">
        <f>-'Income Statement'!K13</f>
        <v>1437730.7982461418</v>
      </c>
      <c r="J16" s="173">
        <f>IF(H16&lt;0,($F$6+H16)/$F$6,0)</f>
        <v>0.8</v>
      </c>
      <c r="K16" s="173">
        <f t="shared" ref="K16:K24" si="2">I16*J16</f>
        <v>1150184.6385969135</v>
      </c>
      <c r="L16" s="176">
        <f t="shared" ref="L16:L24" si="3">IF(H16&lt;0,I16/$F$6,0)</f>
        <v>143773.07982461416</v>
      </c>
    </row>
    <row r="17" spans="1:12" s="91" customFormat="1">
      <c r="A17" s="92">
        <f t="shared" si="0"/>
        <v>-7</v>
      </c>
      <c r="B17" s="93">
        <v>335256</v>
      </c>
      <c r="C17" s="90"/>
      <c r="D17" s="90"/>
      <c r="E17" s="90"/>
      <c r="F17" s="90"/>
      <c r="G17" s="15"/>
      <c r="H17" s="175">
        <f t="shared" si="1"/>
        <v>-3</v>
      </c>
      <c r="I17" s="172">
        <f>-'Income Statement'!J13</f>
        <v>1198108.9985384515</v>
      </c>
      <c r="J17" s="173">
        <f>IF(H17&lt;0,($F$6+H17)/$F$6,0)</f>
        <v>0.7</v>
      </c>
      <c r="K17" s="173">
        <f t="shared" si="2"/>
        <v>838676.298976916</v>
      </c>
      <c r="L17" s="176">
        <f t="shared" si="3"/>
        <v>119810.89985384516</v>
      </c>
    </row>
    <row r="18" spans="1:12" s="91" customFormat="1">
      <c r="A18" s="92">
        <f t="shared" si="0"/>
        <v>-8</v>
      </c>
      <c r="B18" s="93">
        <v>308487</v>
      </c>
      <c r="C18" s="90"/>
      <c r="D18" s="90"/>
      <c r="E18" s="90"/>
      <c r="F18" s="90"/>
      <c r="G18" s="15"/>
      <c r="H18" s="175">
        <f t="shared" si="1"/>
        <v>-4</v>
      </c>
      <c r="I18" s="172">
        <f>-'Income Statement'!I13</f>
        <v>1041833.9117725665</v>
      </c>
      <c r="J18" s="173">
        <f t="shared" ref="J18:J23" si="4">IF(H18&lt;0,($F$6+H18)/$F$6,0)</f>
        <v>0.6</v>
      </c>
      <c r="K18" s="173">
        <f t="shared" si="2"/>
        <v>625100.3470635399</v>
      </c>
      <c r="L18" s="176">
        <f t="shared" si="3"/>
        <v>104183.39117725665</v>
      </c>
    </row>
    <row r="19" spans="1:12" s="91" customFormat="1">
      <c r="A19" s="92">
        <f t="shared" si="0"/>
        <v>-9</v>
      </c>
      <c r="B19" s="93">
        <v>264004</v>
      </c>
      <c r="C19" s="90"/>
      <c r="D19" s="90"/>
      <c r="E19" s="90"/>
      <c r="F19" s="90"/>
      <c r="G19" s="90"/>
      <c r="H19" s="175">
        <f t="shared" si="1"/>
        <v>-5</v>
      </c>
      <c r="I19" s="172">
        <f>F7</f>
        <v>847284</v>
      </c>
      <c r="J19" s="173">
        <f t="shared" si="4"/>
        <v>0.5</v>
      </c>
      <c r="K19" s="173">
        <f t="shared" si="2"/>
        <v>423642</v>
      </c>
      <c r="L19" s="176">
        <f t="shared" si="3"/>
        <v>84728.4</v>
      </c>
    </row>
    <row r="20" spans="1:12" s="91" customFormat="1">
      <c r="A20" s="92">
        <f t="shared" si="0"/>
        <v>-10</v>
      </c>
      <c r="B20" s="93">
        <v>2200033</v>
      </c>
      <c r="C20" s="90"/>
      <c r="D20" s="90"/>
      <c r="E20" s="90"/>
      <c r="F20" s="90"/>
      <c r="G20" s="90"/>
      <c r="H20" s="175">
        <f t="shared" si="1"/>
        <v>-6</v>
      </c>
      <c r="I20" s="172">
        <f>B11</f>
        <v>833853</v>
      </c>
      <c r="J20" s="173">
        <f t="shared" si="4"/>
        <v>0.4</v>
      </c>
      <c r="K20" s="173">
        <f t="shared" si="2"/>
        <v>333541.2</v>
      </c>
      <c r="L20" s="176">
        <f t="shared" si="3"/>
        <v>83385.3</v>
      </c>
    </row>
    <row r="21" spans="1:12" s="91" customFormat="1">
      <c r="A21" s="90"/>
      <c r="B21" s="90"/>
      <c r="C21" s="90"/>
      <c r="D21" s="90"/>
      <c r="E21" s="90"/>
      <c r="F21" s="90"/>
      <c r="G21" s="90"/>
      <c r="H21" s="175">
        <f t="shared" si="1"/>
        <v>-7</v>
      </c>
      <c r="I21" s="172">
        <f>B12</f>
        <v>1294411</v>
      </c>
      <c r="J21" s="173">
        <f t="shared" si="4"/>
        <v>0.3</v>
      </c>
      <c r="K21" s="173">
        <f t="shared" si="2"/>
        <v>388323.3</v>
      </c>
      <c r="L21" s="176">
        <f t="shared" si="3"/>
        <v>129441.1</v>
      </c>
    </row>
    <row r="22" spans="1:12" s="91" customFormat="1">
      <c r="A22" s="94" t="s">
        <v>5</v>
      </c>
      <c r="B22" s="90"/>
      <c r="C22" s="90"/>
      <c r="D22" s="90"/>
      <c r="E22" s="90"/>
      <c r="F22" s="90"/>
      <c r="G22" s="90"/>
      <c r="H22" s="175">
        <f t="shared" si="1"/>
        <v>-8</v>
      </c>
      <c r="I22" s="172">
        <f>B13</f>
        <v>737685</v>
      </c>
      <c r="J22" s="173">
        <f t="shared" si="4"/>
        <v>0.2</v>
      </c>
      <c r="K22" s="173">
        <f t="shared" si="2"/>
        <v>147537</v>
      </c>
      <c r="L22" s="176">
        <f t="shared" si="3"/>
        <v>73768.5</v>
      </c>
    </row>
    <row r="23" spans="1:12" s="91" customFormat="1">
      <c r="A23" s="89" t="s">
        <v>8</v>
      </c>
      <c r="B23" s="89" t="s">
        <v>92</v>
      </c>
      <c r="C23" s="95" t="s">
        <v>93</v>
      </c>
      <c r="D23" s="96"/>
      <c r="E23" s="90" t="s">
        <v>94</v>
      </c>
      <c r="F23" s="90"/>
      <c r="G23" s="90"/>
      <c r="H23" s="175">
        <f t="shared" si="1"/>
        <v>-9</v>
      </c>
      <c r="I23" s="172">
        <f>B14</f>
        <v>649951</v>
      </c>
      <c r="J23" s="173">
        <f t="shared" si="4"/>
        <v>0.1</v>
      </c>
      <c r="K23" s="173">
        <f t="shared" si="2"/>
        <v>64995.100000000006</v>
      </c>
      <c r="L23" s="176">
        <f t="shared" si="3"/>
        <v>64995.1</v>
      </c>
    </row>
    <row r="24" spans="1:12" s="91" customFormat="1">
      <c r="A24" s="89" t="s">
        <v>95</v>
      </c>
      <c r="B24" s="89">
        <f>F7</f>
        <v>847284</v>
      </c>
      <c r="C24" s="89">
        <f>1</f>
        <v>1</v>
      </c>
      <c r="D24" s="89">
        <f>B24*C24</f>
        <v>847284</v>
      </c>
      <c r="E24" s="90"/>
      <c r="F24" s="90"/>
      <c r="G24" s="90"/>
      <c r="H24" s="175">
        <f t="shared" si="1"/>
        <v>-10</v>
      </c>
      <c r="I24" s="172">
        <f>B15</f>
        <v>502657</v>
      </c>
      <c r="J24" s="173">
        <f>IF(H24&lt;0,($F$6+H24)/$F$6,0)</f>
        <v>0</v>
      </c>
      <c r="K24" s="173">
        <f t="shared" si="2"/>
        <v>0</v>
      </c>
      <c r="L24" s="176">
        <f t="shared" si="3"/>
        <v>50265.7</v>
      </c>
    </row>
    <row r="25" spans="1:12" s="91" customFormat="1">
      <c r="A25" s="92">
        <f>A11</f>
        <v>-1</v>
      </c>
      <c r="B25" s="89">
        <f>B11</f>
        <v>833853</v>
      </c>
      <c r="C25" s="89">
        <f>IF(A25&lt;0,($F$6+A25)/$F$6,0)</f>
        <v>0.9</v>
      </c>
      <c r="D25" s="89">
        <f>B25*C25</f>
        <v>750467.70000000007</v>
      </c>
      <c r="E25" s="97">
        <f t="shared" ref="E25:E34" si="5">IF(A25&lt;0,B25/$F$6,0)</f>
        <v>83385.3</v>
      </c>
      <c r="F25" s="90"/>
      <c r="G25" s="90"/>
      <c r="H25" s="549" t="s">
        <v>248</v>
      </c>
      <c r="I25" s="550"/>
      <c r="J25" s="550"/>
      <c r="K25" s="178">
        <f>SUM(K14:K24)</f>
        <v>7925759.579814259</v>
      </c>
      <c r="L25" s="179">
        <f>SUM(L15:L24)</f>
        <v>1034067.8206364837</v>
      </c>
    </row>
    <row r="26" spans="1:12" s="91" customFormat="1">
      <c r="A26" s="92">
        <f t="shared" ref="A26:A34" si="6">A12</f>
        <v>-2</v>
      </c>
      <c r="B26" s="89">
        <f t="shared" ref="B26:B34" si="7">B12</f>
        <v>1294411</v>
      </c>
      <c r="C26" s="89">
        <f>IF(A26&lt;0,($F$6+A26)/$F$6,0)</f>
        <v>0.8</v>
      </c>
      <c r="D26" s="89">
        <f t="shared" ref="D26:D34" si="8">B26*C26</f>
        <v>1035528.8</v>
      </c>
      <c r="E26" s="97">
        <f t="shared" si="5"/>
        <v>129441.1</v>
      </c>
      <c r="F26" s="90"/>
      <c r="G26" s="90"/>
      <c r="H26" s="180" t="s">
        <v>249</v>
      </c>
      <c r="I26" s="181"/>
      <c r="J26" s="181"/>
      <c r="K26" s="181"/>
      <c r="L26" s="182">
        <f>(1+L25/D37-1)^(1/5)-1</f>
        <v>6.5829495176821462E-2</v>
      </c>
    </row>
    <row r="27" spans="1:12" s="91" customFormat="1">
      <c r="A27" s="92">
        <f t="shared" si="6"/>
        <v>-3</v>
      </c>
      <c r="B27" s="89">
        <f t="shared" si="7"/>
        <v>737685</v>
      </c>
      <c r="C27" s="89">
        <f>IF(A27&lt;0,($F$6+A27)/$F$6,0)</f>
        <v>0.7</v>
      </c>
      <c r="D27" s="89">
        <f t="shared" si="8"/>
        <v>516379.49999999994</v>
      </c>
      <c r="E27" s="97">
        <f t="shared" si="5"/>
        <v>73768.5</v>
      </c>
      <c r="F27" s="90"/>
      <c r="G27" s="90"/>
      <c r="H27" s="180" t="s">
        <v>539</v>
      </c>
      <c r="I27" s="181"/>
      <c r="J27" s="181"/>
      <c r="K27" s="181"/>
      <c r="L27" s="182">
        <f>(1+K25/D35-1)^(1/5)-1</f>
        <v>0.13889747058518176</v>
      </c>
    </row>
    <row r="28" spans="1:12" s="91" customFormat="1">
      <c r="A28" s="92">
        <f t="shared" si="6"/>
        <v>-4</v>
      </c>
      <c r="B28" s="89">
        <f t="shared" si="7"/>
        <v>649951</v>
      </c>
      <c r="C28" s="89">
        <f t="shared" ref="C28:C33" si="9">IF(A28&lt;0,($F$6+A28)/$F$6,0)</f>
        <v>0.6</v>
      </c>
      <c r="D28" s="89">
        <f t="shared" si="8"/>
        <v>389970.6</v>
      </c>
      <c r="E28" s="97">
        <f t="shared" si="5"/>
        <v>64995.1</v>
      </c>
      <c r="F28" s="90"/>
      <c r="G28" s="90"/>
      <c r="H28" s="90"/>
      <c r="I28" s="90"/>
    </row>
    <row r="29" spans="1:12" s="91" customFormat="1">
      <c r="A29" s="92">
        <f t="shared" si="6"/>
        <v>-5</v>
      </c>
      <c r="B29" s="89">
        <f t="shared" si="7"/>
        <v>502657</v>
      </c>
      <c r="C29" s="89">
        <f t="shared" si="9"/>
        <v>0.5</v>
      </c>
      <c r="D29" s="89">
        <f t="shared" si="8"/>
        <v>251328.5</v>
      </c>
      <c r="E29" s="97">
        <f t="shared" si="5"/>
        <v>50265.7</v>
      </c>
      <c r="F29" s="90"/>
      <c r="G29" s="90"/>
      <c r="H29" s="90"/>
      <c r="I29" s="90"/>
      <c r="L29" s="177"/>
    </row>
    <row r="30" spans="1:12" s="91" customFormat="1">
      <c r="A30" s="92">
        <f t="shared" si="6"/>
        <v>-6</v>
      </c>
      <c r="B30" s="89">
        <f t="shared" si="7"/>
        <v>391802</v>
      </c>
      <c r="C30" s="89">
        <f t="shared" si="9"/>
        <v>0.4</v>
      </c>
      <c r="D30" s="89">
        <f t="shared" si="8"/>
        <v>156720.80000000002</v>
      </c>
      <c r="E30" s="97">
        <f t="shared" si="5"/>
        <v>39180.199999999997</v>
      </c>
      <c r="F30" s="90"/>
      <c r="G30" s="90"/>
      <c r="H30" s="90"/>
      <c r="I30" s="127"/>
    </row>
    <row r="31" spans="1:12" s="91" customFormat="1">
      <c r="A31" s="92">
        <f t="shared" si="6"/>
        <v>-7</v>
      </c>
      <c r="B31" s="89">
        <f t="shared" si="7"/>
        <v>335256</v>
      </c>
      <c r="C31" s="89">
        <f t="shared" si="9"/>
        <v>0.3</v>
      </c>
      <c r="D31" s="89">
        <f t="shared" si="8"/>
        <v>100576.8</v>
      </c>
      <c r="E31" s="97">
        <f t="shared" si="5"/>
        <v>33525.599999999999</v>
      </c>
      <c r="F31" s="90"/>
      <c r="G31" s="90"/>
      <c r="H31" s="90"/>
      <c r="I31" s="126"/>
    </row>
    <row r="32" spans="1:12" s="91" customFormat="1">
      <c r="A32" s="92">
        <f t="shared" si="6"/>
        <v>-8</v>
      </c>
      <c r="B32" s="89">
        <f t="shared" si="7"/>
        <v>308487</v>
      </c>
      <c r="C32" s="89">
        <f t="shared" si="9"/>
        <v>0.2</v>
      </c>
      <c r="D32" s="89">
        <f t="shared" si="8"/>
        <v>61697.4</v>
      </c>
      <c r="E32" s="97">
        <f t="shared" si="5"/>
        <v>30848.7</v>
      </c>
      <c r="F32" s="90"/>
      <c r="G32" s="90"/>
      <c r="H32" s="90"/>
      <c r="I32" s="90"/>
    </row>
    <row r="33" spans="1:12" s="91" customFormat="1">
      <c r="A33" s="92">
        <f t="shared" si="6"/>
        <v>-9</v>
      </c>
      <c r="B33" s="89">
        <f t="shared" si="7"/>
        <v>264004</v>
      </c>
      <c r="C33" s="89">
        <f t="shared" si="9"/>
        <v>0.1</v>
      </c>
      <c r="D33" s="89">
        <f t="shared" si="8"/>
        <v>26400.400000000001</v>
      </c>
      <c r="E33" s="97">
        <f t="shared" si="5"/>
        <v>26400.400000000001</v>
      </c>
      <c r="F33" s="90"/>
      <c r="G33" s="90"/>
      <c r="H33" s="90"/>
      <c r="I33" s="90"/>
    </row>
    <row r="34" spans="1:12" s="91" customFormat="1" ht="15.95" customHeight="1" thickBot="1">
      <c r="A34" s="92">
        <f t="shared" si="6"/>
        <v>-10</v>
      </c>
      <c r="B34" s="89">
        <f t="shared" si="7"/>
        <v>2200033</v>
      </c>
      <c r="C34" s="89">
        <f>IF(A34&lt;0,($F$6+A34)/$F$6,0)</f>
        <v>0</v>
      </c>
      <c r="D34" s="98">
        <f t="shared" si="8"/>
        <v>0</v>
      </c>
      <c r="E34" s="99">
        <f t="shared" si="5"/>
        <v>220003.3</v>
      </c>
      <c r="F34" s="90"/>
      <c r="G34" s="90"/>
      <c r="H34" s="90"/>
      <c r="I34" s="90"/>
    </row>
    <row r="35" spans="1:12" s="5" customFormat="1" ht="13.5" thickBot="1">
      <c r="A35" s="5" t="s">
        <v>96</v>
      </c>
      <c r="D35" s="100">
        <f>SUM(D24:D34)</f>
        <v>4136354.4999999995</v>
      </c>
      <c r="E35" s="101">
        <f>SUM(E25:E34)</f>
        <v>751813.89999999991</v>
      </c>
    </row>
    <row r="36" spans="1:12" ht="13.5" thickBot="1"/>
    <row r="37" spans="1:12" s="5" customFormat="1" ht="13.5" thickBot="1">
      <c r="A37" s="5" t="s">
        <v>97</v>
      </c>
      <c r="D37" s="100">
        <f>E35</f>
        <v>751813.89999999991</v>
      </c>
    </row>
    <row r="38" spans="1:12" s="5" customFormat="1" ht="13.5" thickBot="1"/>
    <row r="39" spans="1:12" s="5" customFormat="1">
      <c r="A39" s="5" t="s">
        <v>98</v>
      </c>
      <c r="D39" s="102">
        <f>F7-D37</f>
        <v>95470.100000000093</v>
      </c>
      <c r="E39" s="5" t="s">
        <v>99</v>
      </c>
      <c r="L39" s="124">
        <f>D39/F7</f>
        <v>0.11267780342836652</v>
      </c>
    </row>
    <row r="40" spans="1:12">
      <c r="A40" s="3" t="s">
        <v>100</v>
      </c>
      <c r="D40" s="103">
        <f>(F7-D37)*'Free Cash Flow'!H14</f>
        <v>38188.040000000037</v>
      </c>
      <c r="E40" s="5"/>
    </row>
    <row r="43" spans="1:12" s="104" customFormat="1" ht="12">
      <c r="A43" s="104" t="s">
        <v>101</v>
      </c>
    </row>
    <row r="44" spans="1:12" s="5" customFormat="1">
      <c r="A44" s="7" t="s">
        <v>102</v>
      </c>
      <c r="B44" s="7" t="s">
        <v>103</v>
      </c>
    </row>
    <row r="45" spans="1:12" s="5" customFormat="1">
      <c r="A45" s="5" t="s">
        <v>104</v>
      </c>
      <c r="B45" s="5">
        <v>2</v>
      </c>
    </row>
    <row r="46" spans="1:12" s="5" customFormat="1">
      <c r="A46" s="5" t="s">
        <v>105</v>
      </c>
      <c r="B46" s="5">
        <v>10</v>
      </c>
      <c r="D46" s="5" t="s">
        <v>106</v>
      </c>
      <c r="F46" s="5" t="s">
        <v>107</v>
      </c>
    </row>
    <row r="47" spans="1:12" s="5" customFormat="1">
      <c r="A47" s="5" t="s">
        <v>108</v>
      </c>
      <c r="B47" s="5">
        <v>10</v>
      </c>
      <c r="D47" s="5" t="s">
        <v>109</v>
      </c>
      <c r="F47" s="5" t="s">
        <v>110</v>
      </c>
    </row>
    <row r="48" spans="1:12" s="5" customFormat="1">
      <c r="A48" s="5" t="s">
        <v>111</v>
      </c>
      <c r="B48" s="5">
        <v>5</v>
      </c>
      <c r="D48" s="5" t="s">
        <v>112</v>
      </c>
      <c r="F48" s="5" t="s">
        <v>113</v>
      </c>
    </row>
    <row r="49" spans="1:6" s="5" customFormat="1">
      <c r="A49" s="5" t="s">
        <v>114</v>
      </c>
      <c r="B49" s="5">
        <v>3</v>
      </c>
      <c r="D49" s="5" t="s">
        <v>115</v>
      </c>
      <c r="F49" s="5" t="s">
        <v>116</v>
      </c>
    </row>
    <row r="50" spans="1:6" s="5" customFormat="1">
      <c r="A50" s="5" t="s">
        <v>117</v>
      </c>
      <c r="B50" s="5">
        <v>10</v>
      </c>
      <c r="D50" s="5" t="s">
        <v>118</v>
      </c>
      <c r="F50" s="5" t="s">
        <v>116</v>
      </c>
    </row>
    <row r="51" spans="1:6" s="5" customFormat="1">
      <c r="A51" s="5" t="s">
        <v>119</v>
      </c>
      <c r="B51" s="5">
        <v>5</v>
      </c>
      <c r="D51" s="5" t="s">
        <v>120</v>
      </c>
      <c r="F51" s="5" t="s">
        <v>116</v>
      </c>
    </row>
    <row r="52" spans="1:6" s="5" customFormat="1">
      <c r="A52" s="5" t="s">
        <v>121</v>
      </c>
      <c r="B52" s="5">
        <v>5</v>
      </c>
    </row>
    <row r="53" spans="1:6" s="5" customFormat="1">
      <c r="A53" s="5" t="s">
        <v>122</v>
      </c>
      <c r="B53" s="5">
        <v>2</v>
      </c>
    </row>
    <row r="54" spans="1:6" s="5" customFormat="1">
      <c r="A54" s="5" t="s">
        <v>123</v>
      </c>
      <c r="B54" s="5">
        <v>2</v>
      </c>
    </row>
    <row r="55" spans="1:6" s="5" customFormat="1">
      <c r="A55" s="5" t="s">
        <v>124</v>
      </c>
      <c r="B55" s="5">
        <v>2</v>
      </c>
    </row>
    <row r="56" spans="1:6" s="5" customFormat="1">
      <c r="A56" s="5" t="s">
        <v>125</v>
      </c>
      <c r="B56" s="5">
        <v>2</v>
      </c>
    </row>
    <row r="57" spans="1:6" s="5" customFormat="1">
      <c r="A57" s="5" t="s">
        <v>126</v>
      </c>
      <c r="B57" s="5">
        <v>3</v>
      </c>
    </row>
    <row r="58" spans="1:6" s="5" customFormat="1">
      <c r="A58" s="5" t="s">
        <v>127</v>
      </c>
      <c r="B58" s="5">
        <v>3</v>
      </c>
    </row>
    <row r="59" spans="1:6" s="5" customFormat="1">
      <c r="A59" s="5" t="s">
        <v>128</v>
      </c>
      <c r="B59" s="5">
        <v>5</v>
      </c>
    </row>
    <row r="60" spans="1:6" s="5" customFormat="1">
      <c r="A60" s="5" t="s">
        <v>129</v>
      </c>
      <c r="B60" s="5">
        <v>10</v>
      </c>
    </row>
    <row r="61" spans="1:6" s="5" customFormat="1">
      <c r="A61" s="5" t="s">
        <v>130</v>
      </c>
      <c r="B61" s="5">
        <v>10</v>
      </c>
    </row>
    <row r="62" spans="1:6" s="5" customFormat="1">
      <c r="A62" s="5" t="s">
        <v>131</v>
      </c>
      <c r="B62" s="5">
        <v>10</v>
      </c>
    </row>
    <row r="63" spans="1:6" s="5" customFormat="1">
      <c r="A63" s="5" t="s">
        <v>132</v>
      </c>
      <c r="B63" s="5">
        <v>10</v>
      </c>
    </row>
    <row r="64" spans="1:6" s="5" customFormat="1">
      <c r="A64" s="5" t="s">
        <v>133</v>
      </c>
      <c r="B64" s="5">
        <v>10</v>
      </c>
    </row>
    <row r="65" spans="1:2" s="5" customFormat="1">
      <c r="A65" s="5" t="s">
        <v>134</v>
      </c>
      <c r="B65" s="5">
        <v>10</v>
      </c>
    </row>
    <row r="66" spans="1:2" s="5" customFormat="1">
      <c r="A66" s="5" t="s">
        <v>135</v>
      </c>
      <c r="B66" s="5">
        <v>5</v>
      </c>
    </row>
    <row r="67" spans="1:2" s="5" customFormat="1">
      <c r="A67" s="5" t="s">
        <v>136</v>
      </c>
      <c r="B67" s="5">
        <v>5</v>
      </c>
    </row>
    <row r="68" spans="1:2" s="5" customFormat="1">
      <c r="A68" s="5" t="s">
        <v>137</v>
      </c>
      <c r="B68" s="5">
        <v>3</v>
      </c>
    </row>
    <row r="69" spans="1:2" s="5" customFormat="1">
      <c r="A69" s="5" t="s">
        <v>138</v>
      </c>
      <c r="B69" s="5">
        <v>5</v>
      </c>
    </row>
    <row r="70" spans="1:2" s="5" customFormat="1">
      <c r="A70" s="5" t="s">
        <v>139</v>
      </c>
      <c r="B70" s="5">
        <v>5</v>
      </c>
    </row>
    <row r="71" spans="1:2" s="5" customFormat="1">
      <c r="A71" s="5" t="s">
        <v>140</v>
      </c>
      <c r="B71" s="5">
        <v>10</v>
      </c>
    </row>
    <row r="72" spans="1:2" s="5" customFormat="1">
      <c r="A72" s="5" t="s">
        <v>141</v>
      </c>
      <c r="B72" s="5">
        <v>3</v>
      </c>
    </row>
    <row r="73" spans="1:2" s="5" customFormat="1">
      <c r="A73" s="5" t="s">
        <v>142</v>
      </c>
      <c r="B73" s="5">
        <v>3</v>
      </c>
    </row>
    <row r="74" spans="1:2" s="5" customFormat="1">
      <c r="A74" s="5" t="s">
        <v>143</v>
      </c>
      <c r="B74" s="5">
        <v>10</v>
      </c>
    </row>
    <row r="75" spans="1:2" s="5" customFormat="1">
      <c r="A75" s="5" t="s">
        <v>144</v>
      </c>
      <c r="B75" s="5">
        <v>10</v>
      </c>
    </row>
    <row r="76" spans="1:2" s="5" customFormat="1">
      <c r="A76" s="5" t="s">
        <v>145</v>
      </c>
      <c r="B76" s="5">
        <v>10</v>
      </c>
    </row>
    <row r="77" spans="1:2" s="5" customFormat="1">
      <c r="A77" s="5" t="s">
        <v>146</v>
      </c>
      <c r="B77" s="5">
        <v>10</v>
      </c>
    </row>
    <row r="78" spans="1:2" s="5" customFormat="1">
      <c r="A78" s="5" t="s">
        <v>147</v>
      </c>
      <c r="B78" s="5">
        <v>5</v>
      </c>
    </row>
    <row r="79" spans="1:2" s="5" customFormat="1">
      <c r="A79" s="5" t="s">
        <v>148</v>
      </c>
      <c r="B79" s="5">
        <v>3</v>
      </c>
    </row>
    <row r="80" spans="1:2" s="5" customFormat="1">
      <c r="A80" s="5" t="s">
        <v>149</v>
      </c>
      <c r="B80" s="5">
        <v>5</v>
      </c>
    </row>
    <row r="81" spans="1:2" s="5" customFormat="1">
      <c r="A81" s="5" t="s">
        <v>150</v>
      </c>
      <c r="B81" s="5">
        <v>2</v>
      </c>
    </row>
    <row r="82" spans="1:2" s="5" customFormat="1">
      <c r="A82" s="5" t="s">
        <v>151</v>
      </c>
      <c r="B82" s="5">
        <v>3</v>
      </c>
    </row>
    <row r="83" spans="1:2" s="5" customFormat="1">
      <c r="A83" s="5" t="s">
        <v>152</v>
      </c>
      <c r="B83" s="5">
        <v>3</v>
      </c>
    </row>
    <row r="84" spans="1:2" s="5" customFormat="1">
      <c r="A84" s="5" t="s">
        <v>153</v>
      </c>
      <c r="B84" s="5">
        <v>5</v>
      </c>
    </row>
    <row r="85" spans="1:2" s="5" customFormat="1">
      <c r="A85" s="5" t="s">
        <v>154</v>
      </c>
      <c r="B85" s="5">
        <v>10</v>
      </c>
    </row>
    <row r="86" spans="1:2" s="5" customFormat="1">
      <c r="A86" s="5" t="s">
        <v>155</v>
      </c>
      <c r="B86" s="5">
        <v>3</v>
      </c>
    </row>
    <row r="87" spans="1:2" s="5" customFormat="1">
      <c r="A87" s="5" t="s">
        <v>156</v>
      </c>
      <c r="B87" s="5">
        <v>5</v>
      </c>
    </row>
    <row r="88" spans="1:2" s="5" customFormat="1">
      <c r="A88" s="5" t="s">
        <v>157</v>
      </c>
      <c r="B88" s="5">
        <v>2</v>
      </c>
    </row>
    <row r="89" spans="1:2" s="5" customFormat="1">
      <c r="A89" s="5" t="s">
        <v>158</v>
      </c>
      <c r="B89" s="5">
        <v>3</v>
      </c>
    </row>
    <row r="90" spans="1:2" s="5" customFormat="1">
      <c r="A90" s="5" t="s">
        <v>159</v>
      </c>
      <c r="B90" s="5">
        <v>5</v>
      </c>
    </row>
    <row r="91" spans="1:2" s="5" customFormat="1">
      <c r="A91" s="5" t="s">
        <v>160</v>
      </c>
      <c r="B91" s="5">
        <v>5</v>
      </c>
    </row>
    <row r="92" spans="1:2" s="5" customFormat="1">
      <c r="A92" s="5" t="s">
        <v>161</v>
      </c>
      <c r="B92" s="5">
        <v>3</v>
      </c>
    </row>
    <row r="93" spans="1:2" s="5" customFormat="1">
      <c r="A93" s="5" t="s">
        <v>162</v>
      </c>
      <c r="B93" s="5">
        <v>3</v>
      </c>
    </row>
    <row r="94" spans="1:2" s="5" customFormat="1">
      <c r="A94" s="5" t="s">
        <v>163</v>
      </c>
      <c r="B94" s="5">
        <v>3</v>
      </c>
    </row>
    <row r="95" spans="1:2" s="5" customFormat="1">
      <c r="A95" s="5" t="s">
        <v>164</v>
      </c>
      <c r="B95" s="5">
        <v>3</v>
      </c>
    </row>
    <row r="96" spans="1:2" s="5" customFormat="1">
      <c r="A96" s="5" t="s">
        <v>165</v>
      </c>
      <c r="B96" s="5">
        <v>3</v>
      </c>
    </row>
    <row r="97" spans="1:2" s="5" customFormat="1">
      <c r="A97" s="5" t="s">
        <v>166</v>
      </c>
      <c r="B97" s="5">
        <v>3</v>
      </c>
    </row>
    <row r="98" spans="1:2" s="5" customFormat="1">
      <c r="A98" s="5" t="s">
        <v>167</v>
      </c>
      <c r="B98" s="5">
        <v>3</v>
      </c>
    </row>
    <row r="99" spans="1:2" s="5" customFormat="1">
      <c r="A99" s="5" t="s">
        <v>168</v>
      </c>
      <c r="B99" s="5">
        <v>3</v>
      </c>
    </row>
    <row r="100" spans="1:2" s="5" customFormat="1">
      <c r="A100" s="5" t="s">
        <v>169</v>
      </c>
      <c r="B100" s="5">
        <v>3</v>
      </c>
    </row>
    <row r="101" spans="1:2" s="5" customFormat="1">
      <c r="A101" s="5" t="s">
        <v>170</v>
      </c>
      <c r="B101" s="5">
        <v>3</v>
      </c>
    </row>
    <row r="102" spans="1:2" s="5" customFormat="1">
      <c r="A102" s="5" t="s">
        <v>171</v>
      </c>
      <c r="B102" s="5">
        <v>10</v>
      </c>
    </row>
    <row r="103" spans="1:2" s="5" customFormat="1">
      <c r="A103" s="5" t="s">
        <v>172</v>
      </c>
      <c r="B103" s="5">
        <v>5</v>
      </c>
    </row>
    <row r="104" spans="1:2" s="5" customFormat="1">
      <c r="A104" s="5" t="s">
        <v>173</v>
      </c>
      <c r="B104" s="5">
        <v>10</v>
      </c>
    </row>
    <row r="105" spans="1:2" s="5" customFormat="1">
      <c r="A105" s="5" t="s">
        <v>174</v>
      </c>
      <c r="B105" s="5">
        <v>3</v>
      </c>
    </row>
    <row r="106" spans="1:2" s="5" customFormat="1">
      <c r="A106" s="5" t="s">
        <v>175</v>
      </c>
      <c r="B106" s="5">
        <v>5</v>
      </c>
    </row>
    <row r="107" spans="1:2" s="5" customFormat="1">
      <c r="A107" s="5" t="s">
        <v>176</v>
      </c>
      <c r="B107" s="5">
        <v>10</v>
      </c>
    </row>
    <row r="108" spans="1:2" s="5" customFormat="1">
      <c r="A108" s="5" t="s">
        <v>177</v>
      </c>
      <c r="B108" s="5">
        <v>5</v>
      </c>
    </row>
    <row r="109" spans="1:2" s="5" customFormat="1">
      <c r="A109" s="5" t="s">
        <v>178</v>
      </c>
      <c r="B109" s="5">
        <v>10</v>
      </c>
    </row>
    <row r="110" spans="1:2" s="5" customFormat="1">
      <c r="A110" s="5" t="s">
        <v>179</v>
      </c>
      <c r="B110" s="5">
        <v>10</v>
      </c>
    </row>
    <row r="111" spans="1:2" s="5" customFormat="1">
      <c r="A111" s="5" t="s">
        <v>180</v>
      </c>
      <c r="B111" s="5">
        <v>3</v>
      </c>
    </row>
    <row r="112" spans="1:2" s="5" customFormat="1">
      <c r="A112" s="5" t="s">
        <v>181</v>
      </c>
      <c r="B112" s="5">
        <v>5</v>
      </c>
    </row>
    <row r="113" spans="1:2" s="5" customFormat="1">
      <c r="A113" s="5" t="s">
        <v>182</v>
      </c>
      <c r="B113" s="5">
        <v>5</v>
      </c>
    </row>
    <row r="114" spans="1:2" s="5" customFormat="1">
      <c r="A114" s="5" t="s">
        <v>183</v>
      </c>
      <c r="B114" s="5">
        <v>5</v>
      </c>
    </row>
    <row r="115" spans="1:2" s="5" customFormat="1">
      <c r="A115" s="5" t="s">
        <v>184</v>
      </c>
      <c r="B115" s="5">
        <v>10</v>
      </c>
    </row>
    <row r="116" spans="1:2" s="5" customFormat="1">
      <c r="A116" s="5" t="s">
        <v>185</v>
      </c>
      <c r="B116" s="5">
        <v>5</v>
      </c>
    </row>
    <row r="117" spans="1:2" s="5" customFormat="1">
      <c r="A117" s="5" t="s">
        <v>186</v>
      </c>
      <c r="B117" s="5">
        <v>5</v>
      </c>
    </row>
    <row r="118" spans="1:2" s="5" customFormat="1">
      <c r="A118" s="5" t="s">
        <v>187</v>
      </c>
      <c r="B118" s="5">
        <v>5</v>
      </c>
    </row>
    <row r="119" spans="1:2" s="5" customFormat="1">
      <c r="A119" s="5" t="s">
        <v>188</v>
      </c>
      <c r="B119" s="5">
        <v>3</v>
      </c>
    </row>
    <row r="120" spans="1:2" s="5" customFormat="1">
      <c r="A120" s="5" t="s">
        <v>189</v>
      </c>
      <c r="B120" s="5">
        <v>3</v>
      </c>
    </row>
    <row r="121" spans="1:2" s="5" customFormat="1">
      <c r="A121" s="5" t="s">
        <v>190</v>
      </c>
      <c r="B121" s="5">
        <v>5</v>
      </c>
    </row>
    <row r="122" spans="1:2" s="5" customFormat="1">
      <c r="A122" s="5" t="s">
        <v>191</v>
      </c>
      <c r="B122" s="5">
        <v>5</v>
      </c>
    </row>
    <row r="123" spans="1:2" s="5" customFormat="1">
      <c r="A123" s="5" t="s">
        <v>192</v>
      </c>
      <c r="B123" s="5">
        <v>2</v>
      </c>
    </row>
    <row r="124" spans="1:2" s="5" customFormat="1">
      <c r="A124" s="5" t="s">
        <v>193</v>
      </c>
      <c r="B124" s="5">
        <v>2</v>
      </c>
    </row>
    <row r="125" spans="1:2" s="5" customFormat="1">
      <c r="A125" s="5" t="s">
        <v>194</v>
      </c>
      <c r="B125" s="5">
        <v>2</v>
      </c>
    </row>
    <row r="126" spans="1:2" s="5" customFormat="1">
      <c r="A126" s="5" t="s">
        <v>195</v>
      </c>
      <c r="B126" s="5">
        <v>2</v>
      </c>
    </row>
    <row r="127" spans="1:2" s="5" customFormat="1">
      <c r="A127" s="5" t="s">
        <v>196</v>
      </c>
      <c r="B127" s="5">
        <v>2</v>
      </c>
    </row>
    <row r="128" spans="1:2" s="5" customFormat="1">
      <c r="A128" s="5" t="s">
        <v>197</v>
      </c>
      <c r="B128" s="5">
        <v>5</v>
      </c>
    </row>
    <row r="129" spans="1:2" s="5" customFormat="1">
      <c r="A129" s="5" t="s">
        <v>198</v>
      </c>
      <c r="B129" s="5">
        <v>5</v>
      </c>
    </row>
    <row r="130" spans="1:2" s="5" customFormat="1">
      <c r="A130" s="5" t="s">
        <v>199</v>
      </c>
      <c r="B130" s="5">
        <v>3</v>
      </c>
    </row>
    <row r="131" spans="1:2" s="5" customFormat="1">
      <c r="A131" s="5" t="s">
        <v>200</v>
      </c>
      <c r="B131" s="5">
        <v>5</v>
      </c>
    </row>
    <row r="132" spans="1:2" s="5" customFormat="1">
      <c r="A132" s="5" t="s">
        <v>201</v>
      </c>
      <c r="B132" s="5">
        <v>5</v>
      </c>
    </row>
    <row r="133" spans="1:2" s="5" customFormat="1">
      <c r="A133" s="5" t="s">
        <v>202</v>
      </c>
      <c r="B133" s="5">
        <v>10</v>
      </c>
    </row>
    <row r="134" spans="1:2" s="5" customFormat="1">
      <c r="A134" s="5" t="s">
        <v>203</v>
      </c>
      <c r="B134" s="5">
        <v>5</v>
      </c>
    </row>
    <row r="135" spans="1:2" s="5" customFormat="1">
      <c r="A135" s="5" t="s">
        <v>204</v>
      </c>
      <c r="B135" s="5">
        <v>5</v>
      </c>
    </row>
    <row r="136" spans="1:2" s="5" customFormat="1">
      <c r="A136" s="5" t="s">
        <v>205</v>
      </c>
      <c r="B136" s="5">
        <v>2</v>
      </c>
    </row>
    <row r="137" spans="1:2" s="5" customFormat="1">
      <c r="A137" s="5" t="s">
        <v>206</v>
      </c>
      <c r="B137" s="5">
        <v>5</v>
      </c>
    </row>
    <row r="138" spans="1:2" s="5" customFormat="1">
      <c r="A138" s="5" t="s">
        <v>207</v>
      </c>
      <c r="B138" s="5">
        <v>5</v>
      </c>
    </row>
    <row r="139" spans="1:2" s="5" customFormat="1">
      <c r="A139" s="5" t="s">
        <v>208</v>
      </c>
      <c r="B139" s="5">
        <v>3</v>
      </c>
    </row>
    <row r="140" spans="1:2" s="5" customFormat="1">
      <c r="A140" s="5" t="s">
        <v>209</v>
      </c>
      <c r="B140" s="5">
        <v>5</v>
      </c>
    </row>
    <row r="141" spans="1:2" s="5" customFormat="1">
      <c r="A141" s="5" t="s">
        <v>210</v>
      </c>
      <c r="B141" s="5">
        <v>10</v>
      </c>
    </row>
    <row r="142" spans="1:2" s="5" customFormat="1">
      <c r="A142" s="5" t="s">
        <v>211</v>
      </c>
      <c r="B142" s="5">
        <v>10</v>
      </c>
    </row>
  </sheetData>
  <mergeCells count="2">
    <mergeCell ref="J13:K13"/>
    <mergeCell ref="H25:J25"/>
  </mergeCells>
  <phoneticPr fontId="50" type="noConversion"/>
  <conditionalFormatting sqref="B11:B20">
    <cfRule type="cellIs" dxfId="1" priority="1" stopIfTrue="1" operator="equal">
      <formula>0</formula>
    </cfRule>
  </conditionalFormatting>
  <pageMargins left="0.78740157499999996" right="0.78740157499999996" top="0.984251969" bottom="0.984251969" header="0.5" footer="0.5"/>
  <pageSetup orientation="landscape" horizontalDpi="4294967292" verticalDpi="4294967292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"/>
  <sheetViews>
    <sheetView workbookViewId="0">
      <selection activeCell="L59" sqref="L59"/>
    </sheetView>
  </sheetViews>
  <sheetFormatPr baseColWidth="10" defaultRowHeight="15"/>
  <cols>
    <col min="1" max="16384" width="11.42578125" style="307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V100"/>
  <sheetViews>
    <sheetView showGridLines="0" tabSelected="1" topLeftCell="A10" zoomScale="85" zoomScaleNormal="85" workbookViewId="0">
      <selection activeCell="L17" sqref="L17"/>
    </sheetView>
  </sheetViews>
  <sheetFormatPr baseColWidth="10" defaultColWidth="11.42578125" defaultRowHeight="14.25"/>
  <cols>
    <col min="1" max="2" width="11.42578125" style="67"/>
    <col min="3" max="3" width="7.5703125" style="67" customWidth="1"/>
    <col min="4" max="10" width="11.28515625" style="67" customWidth="1"/>
    <col min="11" max="12" width="13.5703125" style="67" customWidth="1"/>
    <col min="13" max="15" width="15.140625" style="67" customWidth="1"/>
    <col min="16" max="16" width="12.7109375" style="67" customWidth="1"/>
    <col min="17" max="17" width="20.42578125" style="67" bestFit="1" customWidth="1"/>
    <col min="18" max="16384" width="11.42578125" style="67"/>
  </cols>
  <sheetData>
    <row r="1" spans="1:16" ht="15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6" ht="18">
      <c r="A2" s="31" t="s">
        <v>26</v>
      </c>
      <c r="B2" s="32"/>
      <c r="C2" s="32"/>
      <c r="D2" s="33" t="s">
        <v>27</v>
      </c>
      <c r="E2" s="33"/>
      <c r="F2" s="33" t="s">
        <v>28</v>
      </c>
      <c r="G2" s="33"/>
      <c r="H2" s="33"/>
      <c r="I2" s="33"/>
      <c r="J2" s="33"/>
      <c r="K2" s="34"/>
      <c r="L2" s="34"/>
      <c r="M2" s="34"/>
      <c r="N2" s="34"/>
      <c r="O2" s="34"/>
    </row>
    <row r="3" spans="1:16">
      <c r="A3" s="35" t="s">
        <v>425</v>
      </c>
      <c r="B3" s="36"/>
      <c r="C3" s="36"/>
      <c r="D3" s="37">
        <v>2006</v>
      </c>
      <c r="E3" s="37">
        <v>2007</v>
      </c>
      <c r="F3" s="37">
        <v>2008</v>
      </c>
      <c r="G3" s="37">
        <v>2009</v>
      </c>
      <c r="H3" s="37">
        <v>2010</v>
      </c>
      <c r="I3" s="66" t="s">
        <v>63</v>
      </c>
      <c r="J3" s="65">
        <v>2010</v>
      </c>
      <c r="K3" s="36">
        <v>2011</v>
      </c>
      <c r="L3" s="36">
        <v>2012</v>
      </c>
      <c r="M3" s="36">
        <v>2013</v>
      </c>
      <c r="N3" s="36">
        <v>2014</v>
      </c>
      <c r="O3" s="36">
        <v>2015</v>
      </c>
    </row>
    <row r="4" spans="1:16">
      <c r="I4" s="131"/>
    </row>
    <row r="5" spans="1:16" ht="16.5" thickBot="1">
      <c r="B5" s="17" t="s">
        <v>62</v>
      </c>
      <c r="C5" s="18"/>
      <c r="D5" s="19"/>
      <c r="E5" s="19"/>
      <c r="F5" s="19"/>
      <c r="G5" s="19"/>
      <c r="H5" s="19"/>
      <c r="I5" s="132"/>
      <c r="J5" s="19"/>
      <c r="K5" s="19"/>
      <c r="L5" s="19"/>
      <c r="M5" s="19"/>
      <c r="N5" s="19"/>
      <c r="O5" s="19"/>
    </row>
    <row r="6" spans="1:16">
      <c r="B6" s="20"/>
      <c r="C6" s="15"/>
      <c r="D6" s="15"/>
      <c r="E6" s="15"/>
      <c r="F6" s="15"/>
      <c r="G6" s="15"/>
      <c r="H6" s="15"/>
      <c r="I6" s="133"/>
      <c r="J6" s="15"/>
      <c r="K6" s="15"/>
      <c r="L6" s="15"/>
      <c r="M6" s="15"/>
      <c r="N6" s="15"/>
      <c r="O6" s="15"/>
    </row>
    <row r="7" spans="1:16">
      <c r="B7" s="15" t="s">
        <v>64</v>
      </c>
      <c r="C7" s="68"/>
      <c r="D7" s="68"/>
      <c r="E7" s="68"/>
      <c r="I7" s="131"/>
      <c r="K7" s="15">
        <v>1</v>
      </c>
      <c r="L7" s="15">
        <v>2</v>
      </c>
      <c r="M7" s="15">
        <v>3</v>
      </c>
      <c r="N7" s="15">
        <v>4</v>
      </c>
      <c r="O7" s="15">
        <v>5</v>
      </c>
      <c r="P7" s="15"/>
    </row>
    <row r="8" spans="1:16">
      <c r="B8" s="68"/>
      <c r="C8" s="68"/>
      <c r="D8" s="68"/>
      <c r="E8" s="68"/>
      <c r="F8" s="68"/>
      <c r="G8" s="68"/>
      <c r="H8" s="68"/>
      <c r="I8" s="131"/>
      <c r="J8" s="68"/>
      <c r="K8" s="68"/>
      <c r="L8" s="68"/>
      <c r="M8" s="68"/>
      <c r="N8" s="68"/>
      <c r="O8" s="68"/>
      <c r="P8" s="68"/>
    </row>
    <row r="9" spans="1:16">
      <c r="B9" s="13" t="s">
        <v>31</v>
      </c>
      <c r="C9" s="13"/>
      <c r="D9" s="13">
        <f>'Income Statement'!D14</f>
        <v>790991</v>
      </c>
      <c r="E9" s="13">
        <f>'Income Statement'!E14</f>
        <v>961320</v>
      </c>
      <c r="F9" s="13">
        <f>'Income Statement'!F14</f>
        <v>805200</v>
      </c>
      <c r="G9" s="13">
        <f>'Income Statement'!G14</f>
        <v>828690</v>
      </c>
      <c r="H9" s="13">
        <f>'Income Statement'!H14</f>
        <v>455963</v>
      </c>
      <c r="I9" s="134">
        <v>0</v>
      </c>
      <c r="J9" s="13">
        <f>H9+I9</f>
        <v>455963</v>
      </c>
      <c r="K9" s="13">
        <f>'Income Statement'!I14</f>
        <v>1058646.1246396424</v>
      </c>
      <c r="L9" s="13">
        <f>'Income Statement'!J14</f>
        <v>1216908.1634824027</v>
      </c>
      <c r="M9" s="13">
        <f>'Income Statement'!K14</f>
        <v>1459394.9142561217</v>
      </c>
      <c r="N9" s="13">
        <f>'Income Statement'!L14</f>
        <v>1822971.8552193989</v>
      </c>
      <c r="O9" s="13">
        <f>'Income Statement'!M14</f>
        <v>2368114.5343159847</v>
      </c>
      <c r="P9" s="13"/>
    </row>
    <row r="10" spans="1:16">
      <c r="B10" s="138"/>
      <c r="C10" s="138"/>
      <c r="D10" s="138"/>
      <c r="E10" s="138"/>
      <c r="F10" s="138"/>
      <c r="G10" s="138"/>
      <c r="H10" s="138"/>
      <c r="I10" s="139"/>
      <c r="J10" s="138"/>
      <c r="K10" s="138"/>
      <c r="L10" s="138"/>
      <c r="M10" s="138"/>
      <c r="N10" s="138"/>
      <c r="O10" s="138"/>
      <c r="P10" s="68"/>
    </row>
    <row r="11" spans="1:16">
      <c r="B11" s="15" t="s">
        <v>33</v>
      </c>
      <c r="C11" s="138"/>
      <c r="D11" s="15">
        <f>'Income Statement'!D17</f>
        <v>-331389</v>
      </c>
      <c r="E11" s="15">
        <f>'Income Statement'!E17</f>
        <v>-338196</v>
      </c>
      <c r="F11" s="15">
        <f>'Income Statement'!F17</f>
        <v>-374664</v>
      </c>
      <c r="G11" s="15">
        <f>'Income Statement'!G17</f>
        <v>-456364</v>
      </c>
      <c r="H11" s="15">
        <f>'Income Statement'!H17</f>
        <v>-495443</v>
      </c>
      <c r="I11" s="133">
        <v>0</v>
      </c>
      <c r="J11" s="15">
        <f>'Income Statement'!H17</f>
        <v>-495443</v>
      </c>
      <c r="K11" s="15">
        <f>'Income Statement'!I13</f>
        <v>-1041833.9117725665</v>
      </c>
      <c r="L11" s="15">
        <f>'Income Statement'!J13</f>
        <v>-1198108.9985384515</v>
      </c>
      <c r="M11" s="15">
        <f>'Income Statement'!K13</f>
        <v>-1437730.7982461418</v>
      </c>
      <c r="N11" s="15">
        <f>'Income Statement'!L13</f>
        <v>-1797163.4978076771</v>
      </c>
      <c r="O11" s="15">
        <f>'Income Statement'!M13</f>
        <v>-2336312.5471499804</v>
      </c>
      <c r="P11" s="15"/>
    </row>
    <row r="12" spans="1:16">
      <c r="B12" s="22" t="s">
        <v>34</v>
      </c>
      <c r="C12" s="22"/>
      <c r="D12" s="22">
        <f>SUM(D9:D11)</f>
        <v>459602</v>
      </c>
      <c r="E12" s="22">
        <f>SUM(E9:E11)</f>
        <v>623124</v>
      </c>
      <c r="F12" s="22">
        <f>SUM(F9:F11)</f>
        <v>430536</v>
      </c>
      <c r="G12" s="22">
        <f>SUM(G9:G11)</f>
        <v>372326</v>
      </c>
      <c r="H12" s="22">
        <f>SUM(H9:H11)</f>
        <v>-39480</v>
      </c>
      <c r="I12" s="135">
        <f>D36+D38+D37</f>
        <v>172645.82954225253</v>
      </c>
      <c r="J12" s="22">
        <f>H12+I12</f>
        <v>133165.82954225253</v>
      </c>
      <c r="K12" s="22">
        <f>'Income Statement'!I18+E36+E37+E38</f>
        <v>885414.79026848217</v>
      </c>
      <c r="L12" s="22">
        <f>'Income Statement'!J18+F36+F37+F38</f>
        <v>1129316.1196422959</v>
      </c>
      <c r="M12" s="22">
        <f>'Income Statement'!K18+G36+G37+G38</f>
        <v>1562861.1094060307</v>
      </c>
      <c r="N12" s="22">
        <f>'Income Statement'!L18+H36+H37+H38</f>
        <v>2272953.2292339285</v>
      </c>
      <c r="O12" s="22">
        <f>'Income Statement'!M18+I36+I37+I38</f>
        <v>3402827.9892033283</v>
      </c>
      <c r="P12" s="13"/>
    </row>
    <row r="13" spans="1:16">
      <c r="B13" s="138"/>
      <c r="C13" s="138"/>
      <c r="D13" s="138"/>
      <c r="E13" s="138"/>
      <c r="F13" s="138"/>
      <c r="G13" s="138"/>
      <c r="H13" s="138"/>
      <c r="I13" s="139"/>
      <c r="J13" s="138"/>
      <c r="K13" s="138"/>
      <c r="L13" s="138"/>
      <c r="M13" s="138"/>
      <c r="N13" s="138"/>
      <c r="O13" s="138"/>
      <c r="P13" s="68"/>
    </row>
    <row r="14" spans="1:16">
      <c r="B14" s="15" t="s">
        <v>214</v>
      </c>
      <c r="C14" s="138"/>
      <c r="D14" s="140">
        <f>IF($B$14="Marginal tax rate",D32,D31)</f>
        <v>0.4</v>
      </c>
      <c r="E14" s="140">
        <f>IF($B$14="Marginal tax rate",E32,E31)</f>
        <v>0.4</v>
      </c>
      <c r="F14" s="140">
        <f>IF($B$14="Marginal tax rate",F32,F31)</f>
        <v>0.4</v>
      </c>
      <c r="G14" s="140">
        <f>IF($B$14="Marginal tax rate",G32,G31)</f>
        <v>0.4</v>
      </c>
      <c r="H14" s="140">
        <f>IF($B$14="Marginal tax rate",H32,H31)</f>
        <v>0.4</v>
      </c>
      <c r="I14" s="133">
        <v>0</v>
      </c>
      <c r="J14" s="140">
        <f>IF($B$14="Marginal tax rate",H32,H31)</f>
        <v>0.4</v>
      </c>
      <c r="K14" s="140">
        <f>Assumption!I18</f>
        <v>0.4</v>
      </c>
      <c r="L14" s="140">
        <f>Assumption!J18</f>
        <v>0.4</v>
      </c>
      <c r="M14" s="140">
        <f>Assumption!K18</f>
        <v>0.4</v>
      </c>
      <c r="N14" s="140">
        <f>Assumption!L18</f>
        <v>0.4</v>
      </c>
      <c r="O14" s="140">
        <f>Assumption!M18</f>
        <v>0.4</v>
      </c>
      <c r="P14" s="15"/>
    </row>
    <row r="15" spans="1:16">
      <c r="B15" s="22" t="s">
        <v>65</v>
      </c>
      <c r="C15" s="125"/>
      <c r="D15" s="146">
        <f>D12*(1-D14)</f>
        <v>275761.2</v>
      </c>
      <c r="E15" s="146">
        <f>E12*(1-E14)</f>
        <v>373874.39999999997</v>
      </c>
      <c r="F15" s="146">
        <f>F12*(1-F14)</f>
        <v>258321.59999999998</v>
      </c>
      <c r="G15" s="146">
        <f>G12*(1-G14)</f>
        <v>223395.6</v>
      </c>
      <c r="H15" s="146">
        <f>H12*(1-H14)</f>
        <v>-23688</v>
      </c>
      <c r="I15" s="149">
        <f>I12*(1-H14)</f>
        <v>103587.49772535151</v>
      </c>
      <c r="J15" s="146">
        <f>H15+I15</f>
        <v>79899.49772535151</v>
      </c>
      <c r="K15" s="146">
        <f>K12*(1-K14)</f>
        <v>531248.8741610893</v>
      </c>
      <c r="L15" s="146">
        <f>L12*(1-L14)</f>
        <v>677589.67178537755</v>
      </c>
      <c r="M15" s="146">
        <f>M12*(1-M14)</f>
        <v>937716.66564361844</v>
      </c>
      <c r="N15" s="146">
        <f>N12*(1-N14)</f>
        <v>1363771.937540357</v>
      </c>
      <c r="O15" s="146">
        <f>O12*(1-O14)</f>
        <v>2041696.7935219968</v>
      </c>
      <c r="P15" s="68"/>
    </row>
    <row r="16" spans="1:16">
      <c r="B16" s="141"/>
      <c r="C16" s="141"/>
      <c r="D16" s="141"/>
      <c r="E16" s="141"/>
      <c r="F16" s="141"/>
      <c r="G16" s="141"/>
      <c r="H16" s="141"/>
      <c r="I16" s="139"/>
      <c r="J16" s="141"/>
      <c r="K16" s="141"/>
      <c r="L16" s="141"/>
      <c r="M16" s="141"/>
      <c r="N16" s="141"/>
      <c r="O16" s="141"/>
    </row>
    <row r="17" spans="2:17">
      <c r="B17" s="15" t="s">
        <v>33</v>
      </c>
      <c r="C17" s="141"/>
      <c r="D17" s="15">
        <f>-D11</f>
        <v>331389</v>
      </c>
      <c r="E17" s="15">
        <f>-E11</f>
        <v>338196</v>
      </c>
      <c r="F17" s="15">
        <f>-F11</f>
        <v>374664</v>
      </c>
      <c r="G17" s="15">
        <f>-G11</f>
        <v>456364</v>
      </c>
      <c r="H17" s="15">
        <f>-H11</f>
        <v>495443</v>
      </c>
      <c r="I17" s="133">
        <f>D41+D42</f>
        <v>792826.21045774757</v>
      </c>
      <c r="J17" s="142">
        <f>H17+I17</f>
        <v>1288269.2104577476</v>
      </c>
      <c r="K17" s="143">
        <f>-K11+E41+E42</f>
        <v>1884151.6517342313</v>
      </c>
      <c r="L17" s="143">
        <f>-L11+F41+F42</f>
        <v>2093176.2704068052</v>
      </c>
      <c r="M17" s="143">
        <f>-M11+G41+G42</f>
        <v>2389020.0770774153</v>
      </c>
      <c r="N17" s="143">
        <f>-N11+H41+H42</f>
        <v>2808375.8499380676</v>
      </c>
      <c r="O17" s="143">
        <f>-O11+I41+I42</f>
        <v>3411392.6782442117</v>
      </c>
    </row>
    <row r="18" spans="2:17">
      <c r="B18" s="15" t="s">
        <v>66</v>
      </c>
      <c r="C18" s="141"/>
      <c r="D18" s="15">
        <f>'Balance Sheet'!D48</f>
        <v>24641</v>
      </c>
      <c r="E18" s="15">
        <f>'Balance Sheet'!E48</f>
        <v>84286</v>
      </c>
      <c r="F18" s="15">
        <f>'Balance Sheet'!F48</f>
        <v>100908</v>
      </c>
      <c r="G18" s="15">
        <f>'Balance Sheet'!G48</f>
        <v>-48719</v>
      </c>
      <c r="H18" s="15">
        <f>'Balance Sheet'!H48</f>
        <v>82872</v>
      </c>
      <c r="I18" s="134">
        <v>0</v>
      </c>
      <c r="J18" s="142">
        <f>H18+I18</f>
        <v>82872</v>
      </c>
      <c r="K18" s="148">
        <f>'Balance Sheet'!I48</f>
        <v>110699.07109807222</v>
      </c>
      <c r="L18" s="148">
        <f>'Balance Sheet'!J48</f>
        <v>177324.61066471087</v>
      </c>
      <c r="M18" s="148">
        <f>'Balance Sheet'!K48</f>
        <v>271897.73635255639</v>
      </c>
      <c r="N18" s="148">
        <f>'Balance Sheet'!L48</f>
        <v>407846.60452883481</v>
      </c>
      <c r="O18" s="148">
        <f>'Balance Sheet'!M48</f>
        <v>611769.90679325256</v>
      </c>
    </row>
    <row r="19" spans="2:17">
      <c r="B19" s="15" t="s">
        <v>58</v>
      </c>
      <c r="C19" s="141"/>
      <c r="D19" s="15">
        <f>'Cash Flow Statement'!D11</f>
        <v>-902628</v>
      </c>
      <c r="E19" s="15">
        <f>'Cash Flow Statement'!E11</f>
        <v>-755328</v>
      </c>
      <c r="F19" s="15">
        <f>'Cash Flow Statement'!F11</f>
        <v>-614123</v>
      </c>
      <c r="G19" s="15">
        <f>'Cash Flow Statement'!G11</f>
        <v>-713049</v>
      </c>
      <c r="H19" s="15">
        <f>'Cash Flow Statement'!H11</f>
        <v>-654105</v>
      </c>
      <c r="I19" s="133">
        <f>D45+D46</f>
        <v>-927284</v>
      </c>
      <c r="J19" s="15">
        <f>H19+I19</f>
        <v>-1581389</v>
      </c>
      <c r="K19" s="15">
        <f>'Cash Flow Statement'!I11+D45+D46</f>
        <v>-1764543.4253236491</v>
      </c>
      <c r="L19" s="15">
        <f>'Cash Flow Statement'!J11+E45+E46</f>
        <v>-2084682.250894763</v>
      </c>
      <c r="M19" s="15">
        <f>'Cash Flow Statement'!K11+F45+F46</f>
        <v>-2433527.0054850872</v>
      </c>
      <c r="N19" s="15">
        <f>'Cash Flow Statement'!L11+G45+G46</f>
        <v>-2962003.3069294365</v>
      </c>
      <c r="O19" s="15">
        <f>'Cash Flow Statement'!M11+H45+H46</f>
        <v>-3754717.7590959603</v>
      </c>
    </row>
    <row r="20" spans="2:17">
      <c r="B20" s="141"/>
      <c r="C20" s="141"/>
      <c r="D20" s="141"/>
      <c r="E20" s="141"/>
      <c r="F20" s="141"/>
      <c r="G20" s="141"/>
      <c r="H20" s="141"/>
      <c r="I20" s="139"/>
      <c r="J20" s="141"/>
      <c r="K20" s="141"/>
      <c r="L20" s="141"/>
      <c r="M20" s="141"/>
      <c r="N20" s="141"/>
      <c r="O20" s="141"/>
    </row>
    <row r="21" spans="2:17">
      <c r="B21" s="144" t="s">
        <v>71</v>
      </c>
      <c r="C21" s="145"/>
      <c r="D21" s="146">
        <f>D15+D17-D18+D19</f>
        <v>-320118.80000000005</v>
      </c>
      <c r="E21" s="146">
        <f>E15+E17-E18+E19</f>
        <v>-127543.60000000009</v>
      </c>
      <c r="F21" s="146">
        <f>F15+F17-F18+F19</f>
        <v>-82045.400000000023</v>
      </c>
      <c r="G21" s="146">
        <f>G15+G17-G18+G19</f>
        <v>15429.599999999977</v>
      </c>
      <c r="H21" s="146">
        <f>H15+H17-H18+H19</f>
        <v>-265222</v>
      </c>
      <c r="I21" s="147" t="s">
        <v>235</v>
      </c>
      <c r="J21" s="146">
        <f t="shared" ref="J21:O21" si="0">J15+J17-J18+J19</f>
        <v>-296092.29181690095</v>
      </c>
      <c r="K21" s="146">
        <f>K15+K17-K18+K19</f>
        <v>540158.02947359928</v>
      </c>
      <c r="L21" s="146">
        <f t="shared" si="0"/>
        <v>508759.08063270897</v>
      </c>
      <c r="M21" s="146">
        <f t="shared" si="0"/>
        <v>621312.0008833902</v>
      </c>
      <c r="N21" s="146">
        <f t="shared" si="0"/>
        <v>802297.87602015305</v>
      </c>
      <c r="O21" s="146">
        <f t="shared" si="0"/>
        <v>1086601.8058769954</v>
      </c>
    </row>
    <row r="23" spans="2:17">
      <c r="B23" s="150" t="s">
        <v>236</v>
      </c>
      <c r="K23" s="13">
        <f>K21/(1+WACC!$D$24)^'Free Cash Flow'!K7</f>
        <v>488875.03798859561</v>
      </c>
      <c r="L23" s="13">
        <f>L21/(1+WACC!$D$24)^'Free Cash Flow'!L7</f>
        <v>416740.99729792745</v>
      </c>
      <c r="M23" s="13">
        <f>M21/(1+WACC!$D$24)^'Free Cash Flow'!M7</f>
        <v>460617.91116996075</v>
      </c>
      <c r="N23" s="13">
        <f>N21/(1+WACC!$D$24)^'Free Cash Flow'!N7</f>
        <v>538324.0072498502</v>
      </c>
      <c r="O23" s="13">
        <f>O21/(1+WACC!$D$24)^'Free Cash Flow'!O7</f>
        <v>659865.70060503134</v>
      </c>
    </row>
    <row r="24" spans="2:17">
      <c r="B24" s="150" t="s">
        <v>237</v>
      </c>
      <c r="K24" s="13"/>
      <c r="L24" s="13"/>
      <c r="M24" s="13"/>
      <c r="N24" s="13"/>
      <c r="O24" s="13">
        <f>SUM(K23:O23)</f>
        <v>2564423.6543113654</v>
      </c>
    </row>
    <row r="25" spans="2:17">
      <c r="B25" s="150" t="s">
        <v>315</v>
      </c>
      <c r="K25" s="13"/>
      <c r="L25" s="13"/>
      <c r="M25" s="13"/>
      <c r="N25" s="13"/>
      <c r="O25" s="13">
        <f>'Tax Shield'!G29*1000</f>
        <v>1964010.7811048201</v>
      </c>
    </row>
    <row r="26" spans="2:17">
      <c r="B26" s="150" t="s">
        <v>316</v>
      </c>
      <c r="K26" s="13"/>
      <c r="L26" s="13"/>
      <c r="M26" s="13"/>
      <c r="N26" s="13"/>
      <c r="O26" s="13">
        <f>-'Costs of Financial Distress'!H14</f>
        <v>-297476.92381535284</v>
      </c>
      <c r="P26" s="277"/>
    </row>
    <row r="27" spans="2:17">
      <c r="B27" s="150" t="s">
        <v>255</v>
      </c>
      <c r="K27" s="13"/>
      <c r="L27" s="13"/>
      <c r="M27" s="13"/>
      <c r="N27" s="13"/>
      <c r="O27" s="13">
        <f>IF(N61&lt;=N62,O23*(1+N61)/(WACC!D28-N61),O23*(1+N62)/(WACC!D28-N62))</f>
        <v>11901389.464091644</v>
      </c>
      <c r="P27" s="68"/>
    </row>
    <row r="28" spans="2:17">
      <c r="B28" s="150" t="s">
        <v>221</v>
      </c>
      <c r="K28" s="13"/>
      <c r="L28" s="13"/>
      <c r="M28" s="13"/>
      <c r="N28" s="13"/>
      <c r="O28" s="222">
        <f>O24+O27+O25+O26</f>
        <v>16132346.975692477</v>
      </c>
      <c r="P28" s="15">
        <f>O28-WACC!G15</f>
        <v>14692960.802488243</v>
      </c>
      <c r="Q28" s="278"/>
    </row>
    <row r="29" spans="2:17">
      <c r="O29" s="204">
        <f>O28/WACC!G21-1</f>
        <v>-0.19581103542858047</v>
      </c>
      <c r="P29" s="204">
        <f>P28/WACC!G19-1</f>
        <v>-0.21094704251614038</v>
      </c>
    </row>
    <row r="30" spans="2:17">
      <c r="B30" s="69" t="s">
        <v>212</v>
      </c>
      <c r="C30" s="116"/>
      <c r="D30" s="77">
        <v>2006</v>
      </c>
      <c r="E30" s="77">
        <v>2007</v>
      </c>
      <c r="F30" s="77">
        <v>2008</v>
      </c>
      <c r="G30" s="77">
        <v>2009</v>
      </c>
      <c r="H30" s="78">
        <v>2010</v>
      </c>
      <c r="O30" s="141"/>
      <c r="P30" s="141"/>
    </row>
    <row r="31" spans="2:17">
      <c r="B31" s="164" t="s">
        <v>213</v>
      </c>
      <c r="C31" s="117"/>
      <c r="D31" s="112">
        <v>-0.68</v>
      </c>
      <c r="E31" s="112">
        <v>0.35</v>
      </c>
      <c r="F31" s="112">
        <v>0.33</v>
      </c>
      <c r="G31" s="112">
        <v>0.22</v>
      </c>
      <c r="H31" s="113">
        <v>-3.38</v>
      </c>
    </row>
    <row r="32" spans="2:17">
      <c r="B32" s="165" t="s">
        <v>214</v>
      </c>
      <c r="C32" s="118"/>
      <c r="D32" s="114">
        <v>0.4</v>
      </c>
      <c r="E32" s="114">
        <v>0.4</v>
      </c>
      <c r="F32" s="114">
        <v>0.4</v>
      </c>
      <c r="G32" s="114">
        <v>0.4</v>
      </c>
      <c r="H32" s="115">
        <v>0.4</v>
      </c>
    </row>
    <row r="34" spans="2:22" ht="15">
      <c r="B34" s="69" t="s">
        <v>219</v>
      </c>
      <c r="C34" s="183"/>
      <c r="D34" s="77" t="s">
        <v>215</v>
      </c>
      <c r="E34" s="152">
        <v>2011</v>
      </c>
      <c r="F34" s="152">
        <v>2012</v>
      </c>
      <c r="G34" s="152">
        <v>2013</v>
      </c>
      <c r="H34" s="152">
        <v>2014</v>
      </c>
      <c r="I34" s="153">
        <v>2015</v>
      </c>
      <c r="P34" s="280"/>
      <c r="Q34" s="280"/>
      <c r="R34" s="280"/>
      <c r="S34" s="281"/>
      <c r="T34" s="280"/>
      <c r="U34" s="280"/>
      <c r="V34" s="280"/>
    </row>
    <row r="35" spans="2:22">
      <c r="B35" s="123" t="s">
        <v>226</v>
      </c>
      <c r="C35" s="184"/>
      <c r="D35" s="156"/>
      <c r="E35" s="185">
        <v>1</v>
      </c>
      <c r="F35" s="185">
        <v>2</v>
      </c>
      <c r="G35" s="185">
        <v>3</v>
      </c>
      <c r="H35" s="185">
        <v>4</v>
      </c>
      <c r="I35" s="186">
        <v>5</v>
      </c>
      <c r="P35" s="280"/>
      <c r="Q35" s="280"/>
      <c r="R35" s="280"/>
      <c r="S35" s="280"/>
      <c r="T35" s="280"/>
      <c r="U35" s="280"/>
      <c r="V35" s="280"/>
    </row>
    <row r="36" spans="2:22" ht="15">
      <c r="B36" s="164" t="s">
        <v>216</v>
      </c>
      <c r="C36" s="187"/>
      <c r="D36" s="188">
        <f>'R&amp;D converter'!D39</f>
        <v>95470.100000000093</v>
      </c>
      <c r="E36" s="188">
        <f>-'Income Statement'!I13-'R&amp;D converter'!$D$37*POWER((1+'R&amp;D converter'!$L$26),E35)</f>
        <v>240528.48226864927</v>
      </c>
      <c r="F36" s="188">
        <f>-'Income Statement'!J13-'R&amp;D converter'!$D$37*POWER((1+'R&amp;D converter'!$L$26),F35)</f>
        <v>344054.03712784522</v>
      </c>
      <c r="G36" s="188">
        <f>-'Income Statement'!K13-'R&amp;D converter'!$D$37*POWER((1+'R&amp;D converter'!$L$26),G35)</f>
        <v>527453.82987261552</v>
      </c>
      <c r="H36" s="188">
        <f>-'Income Statement'!L13-'R&amp;D converter'!$D$37*POWER((1+'R&amp;D converter'!$L$26),H35)</f>
        <v>826963.4561350341</v>
      </c>
      <c r="I36" s="189">
        <f>-'Income Statement'!M13-'R&amp;D converter'!$D$37*POWER((1+'R&amp;D converter'!$L$26),I35)</f>
        <v>1302244.7265134961</v>
      </c>
      <c r="P36" s="279"/>
      <c r="Q36" s="279"/>
      <c r="R36" s="279"/>
      <c r="S36" s="279"/>
      <c r="T36" s="279"/>
      <c r="U36" s="279"/>
      <c r="V36" s="279"/>
    </row>
    <row r="37" spans="2:22" ht="15">
      <c r="B37" s="164" t="s">
        <v>222</v>
      </c>
      <c r="C37" s="187"/>
      <c r="D37" s="188">
        <f>'R&amp;D converter'!D40</f>
        <v>38188.040000000037</v>
      </c>
      <c r="E37" s="188">
        <f>E36*K14</f>
        <v>96211.392907459711</v>
      </c>
      <c r="F37" s="188">
        <f>F36*L14</f>
        <v>137621.61485113809</v>
      </c>
      <c r="G37" s="188">
        <f>G36*M14</f>
        <v>210981.53194904621</v>
      </c>
      <c r="H37" s="188">
        <f>H36*N14</f>
        <v>330785.38245401368</v>
      </c>
      <c r="I37" s="189">
        <f>I36*O14</f>
        <v>520897.89060539845</v>
      </c>
      <c r="P37" s="279"/>
      <c r="Q37" s="282"/>
      <c r="R37" s="283"/>
      <c r="S37" s="283"/>
      <c r="T37" s="283"/>
      <c r="U37" s="283"/>
      <c r="V37" s="283"/>
    </row>
    <row r="38" spans="2:22" ht="15">
      <c r="B38" s="164" t="s">
        <v>217</v>
      </c>
      <c r="C38" s="187"/>
      <c r="D38" s="188">
        <f>'Operating lease converter'!F34</f>
        <v>38987.689542252396</v>
      </c>
      <c r="E38" s="188">
        <f>$D$38</f>
        <v>38987.689542252396</v>
      </c>
      <c r="F38" s="188">
        <f>$D$38</f>
        <v>38987.689542252396</v>
      </c>
      <c r="G38" s="188">
        <f>$D$38</f>
        <v>38987.689542252396</v>
      </c>
      <c r="H38" s="188">
        <f>$D$38</f>
        <v>38987.689542252396</v>
      </c>
      <c r="I38" s="189">
        <f>$D$38</f>
        <v>38987.689542252396</v>
      </c>
      <c r="P38" s="279"/>
      <c r="Q38" s="283"/>
      <c r="R38" s="284"/>
      <c r="S38" s="284"/>
      <c r="T38" s="284"/>
      <c r="U38" s="284"/>
      <c r="V38" s="284"/>
    </row>
    <row r="39" spans="2:22" ht="15">
      <c r="B39" s="164"/>
      <c r="C39" s="187"/>
      <c r="D39" s="188"/>
      <c r="E39" s="188"/>
      <c r="F39" s="188"/>
      <c r="G39" s="188"/>
      <c r="H39" s="188"/>
      <c r="I39" s="189"/>
      <c r="M39" s="136"/>
      <c r="P39" s="279"/>
      <c r="Q39" s="283"/>
      <c r="R39" s="284"/>
      <c r="S39" s="284"/>
      <c r="T39" s="284"/>
      <c r="U39" s="284"/>
      <c r="V39" s="284"/>
    </row>
    <row r="40" spans="2:22" ht="15">
      <c r="B40" s="165" t="s">
        <v>218</v>
      </c>
      <c r="C40" s="185"/>
      <c r="D40" s="190"/>
      <c r="E40" s="190"/>
      <c r="F40" s="190"/>
      <c r="G40" s="190"/>
      <c r="H40" s="190"/>
      <c r="I40" s="191"/>
      <c r="P40" s="279"/>
      <c r="Q40" s="283"/>
      <c r="R40" s="284"/>
      <c r="S40" s="284"/>
      <c r="T40" s="284"/>
      <c r="U40" s="284"/>
      <c r="V40" s="284"/>
    </row>
    <row r="41" spans="2:22" ht="15">
      <c r="B41" s="164" t="s">
        <v>216</v>
      </c>
      <c r="C41" s="187"/>
      <c r="D41" s="188">
        <f>'R&amp;D converter'!D37</f>
        <v>751813.89999999991</v>
      </c>
      <c r="E41" s="188">
        <f>D41*(1+'R&amp;D converter'!$L$26)</f>
        <v>801305.42950391723</v>
      </c>
      <c r="F41" s="188">
        <f>E41*(1+'R&amp;D converter'!$L$26)</f>
        <v>854054.96141060616</v>
      </c>
      <c r="G41" s="188">
        <f>F41*(1+'R&amp;D converter'!$L$26)</f>
        <v>910276.96837352612</v>
      </c>
      <c r="H41" s="188">
        <f>G41*(1+'R&amp;D converter'!$L$26)</f>
        <v>970200.04167264281</v>
      </c>
      <c r="I41" s="189">
        <f>H41*(1+'R&amp;D converter'!$L$26)</f>
        <v>1034067.8206364841</v>
      </c>
      <c r="P41" s="279"/>
      <c r="Q41" s="283"/>
      <c r="R41" s="284"/>
      <c r="S41" s="284"/>
      <c r="T41" s="284"/>
      <c r="U41" s="284"/>
      <c r="V41" s="284"/>
    </row>
    <row r="42" spans="2:22" ht="15">
      <c r="B42" s="164" t="s">
        <v>217</v>
      </c>
      <c r="C42" s="187"/>
      <c r="D42" s="188">
        <f>'Operating lease converter'!F33</f>
        <v>41012.310457747604</v>
      </c>
      <c r="E42" s="188">
        <f>$D$42</f>
        <v>41012.310457747604</v>
      </c>
      <c r="F42" s="188">
        <f>$D$42</f>
        <v>41012.310457747604</v>
      </c>
      <c r="G42" s="188">
        <f>$D$42</f>
        <v>41012.310457747604</v>
      </c>
      <c r="H42" s="188">
        <f>$D$42</f>
        <v>41012.310457747604</v>
      </c>
      <c r="I42" s="189">
        <f>$D$42</f>
        <v>41012.310457747604</v>
      </c>
      <c r="P42" s="279"/>
      <c r="Q42" s="283"/>
      <c r="R42" s="284"/>
      <c r="S42" s="284"/>
      <c r="T42" s="284"/>
      <c r="U42" s="284"/>
      <c r="V42" s="284"/>
    </row>
    <row r="43" spans="2:22">
      <c r="B43" s="164"/>
      <c r="C43" s="187"/>
      <c r="D43" s="188"/>
      <c r="E43" s="188"/>
      <c r="F43" s="188"/>
      <c r="G43" s="188"/>
      <c r="H43" s="188"/>
      <c r="I43" s="189"/>
    </row>
    <row r="44" spans="2:22">
      <c r="B44" s="165" t="s">
        <v>220</v>
      </c>
      <c r="C44" s="185"/>
      <c r="D44" s="190"/>
      <c r="E44" s="190"/>
      <c r="F44" s="190"/>
      <c r="G44" s="190"/>
      <c r="H44" s="190"/>
      <c r="I44" s="191"/>
    </row>
    <row r="45" spans="2:22">
      <c r="B45" s="164" t="s">
        <v>216</v>
      </c>
      <c r="C45" s="187"/>
      <c r="D45" s="137">
        <f>-'R&amp;D converter'!F7</f>
        <v>-847284</v>
      </c>
      <c r="E45" s="188">
        <f>'Income Statement'!I13</f>
        <v>-1041833.9117725665</v>
      </c>
      <c r="F45" s="188">
        <f>'Income Statement'!J13</f>
        <v>-1198108.9985384515</v>
      </c>
      <c r="G45" s="188">
        <f>'Income Statement'!K13</f>
        <v>-1437730.7982461418</v>
      </c>
      <c r="H45" s="188">
        <f>'Income Statement'!L13</f>
        <v>-1797163.4978076771</v>
      </c>
      <c r="I45" s="189">
        <f>'Income Statement'!M13</f>
        <v>-2336312.5471499804</v>
      </c>
    </row>
    <row r="46" spans="2:22">
      <c r="B46" s="165" t="s">
        <v>217</v>
      </c>
      <c r="C46" s="185"/>
      <c r="D46" s="155">
        <f>-'Operating lease converter'!E3</f>
        <v>-80000</v>
      </c>
      <c r="E46" s="190">
        <f>$D$46</f>
        <v>-80000</v>
      </c>
      <c r="F46" s="190">
        <f>$D$46</f>
        <v>-80000</v>
      </c>
      <c r="G46" s="190">
        <f>$D$46</f>
        <v>-80000</v>
      </c>
      <c r="H46" s="190">
        <f>$D$46</f>
        <v>-80000</v>
      </c>
      <c r="I46" s="191">
        <f>$D$46</f>
        <v>-80000</v>
      </c>
    </row>
    <row r="48" spans="2:22">
      <c r="B48" s="69" t="s">
        <v>254</v>
      </c>
      <c r="C48" s="70"/>
      <c r="D48" s="77"/>
      <c r="E48" s="77">
        <v>2006</v>
      </c>
      <c r="F48" s="77">
        <v>2007</v>
      </c>
      <c r="G48" s="77">
        <v>2008</v>
      </c>
      <c r="H48" s="77">
        <v>2009</v>
      </c>
      <c r="I48" s="78">
        <v>2010</v>
      </c>
      <c r="J48" s="152">
        <v>2011</v>
      </c>
      <c r="K48" s="152">
        <v>2012</v>
      </c>
      <c r="L48" s="152">
        <v>2013</v>
      </c>
      <c r="M48" s="152">
        <v>2014</v>
      </c>
      <c r="N48" s="153">
        <v>2015</v>
      </c>
    </row>
    <row r="49" spans="2:14">
      <c r="B49" s="164" t="s">
        <v>223</v>
      </c>
      <c r="C49" s="117"/>
      <c r="D49" s="117"/>
      <c r="E49" s="117">
        <f>'Balance Sheet'!D33</f>
        <v>5660711</v>
      </c>
      <c r="F49" s="117">
        <f>'Balance Sheet'!E33</f>
        <v>6612937</v>
      </c>
      <c r="G49" s="117">
        <f>'Balance Sheet'!F33</f>
        <v>7305993</v>
      </c>
      <c r="H49" s="117">
        <f>'Balance Sheet'!G33</f>
        <v>7683652</v>
      </c>
      <c r="I49" s="117">
        <f>'Balance Sheet'!H33</f>
        <v>7586973</v>
      </c>
    </row>
    <row r="50" spans="2:14">
      <c r="B50" s="164" t="s">
        <v>224</v>
      </c>
      <c r="C50" s="117"/>
      <c r="D50" s="117"/>
      <c r="E50" s="117">
        <f>'Balance Sheet'!D28+'Balance Sheet'!D24</f>
        <v>126029</v>
      </c>
      <c r="F50" s="117">
        <f>'Balance Sheet'!E28+'Balance Sheet'!E24</f>
        <v>810373</v>
      </c>
      <c r="G50" s="117">
        <f>'Balance Sheet'!F28+'Balance Sheet'!F24</f>
        <v>131907</v>
      </c>
      <c r="H50" s="117">
        <f>'Balance Sheet'!G28+'Balance Sheet'!G24</f>
        <v>124600</v>
      </c>
      <c r="I50" s="117">
        <f>'Balance Sheet'!H28+'Balance Sheet'!H24</f>
        <v>1106540</v>
      </c>
    </row>
    <row r="51" spans="2:14">
      <c r="B51" s="198" t="s">
        <v>225</v>
      </c>
      <c r="C51" s="79"/>
      <c r="D51" s="79"/>
      <c r="E51" s="146">
        <f>SUM(E49:E50)</f>
        <v>5786740</v>
      </c>
      <c r="F51" s="146">
        <f>SUM(F49:F50)</f>
        <v>7423310</v>
      </c>
      <c r="G51" s="146">
        <f>SUM(G49:G50)</f>
        <v>7437900</v>
      </c>
      <c r="H51" s="146">
        <f>SUM(H49:H50)</f>
        <v>7808252</v>
      </c>
      <c r="I51" s="146">
        <f>SUM(I49:I50)</f>
        <v>8693513</v>
      </c>
      <c r="J51" s="491">
        <f>(J48-$E$48)*619849+6*10^6</f>
        <v>9099245</v>
      </c>
      <c r="K51" s="491">
        <f t="shared" ref="K51:N51" si="1">(K48-$E$48)*619849+6*10^6</f>
        <v>9719094</v>
      </c>
      <c r="L51" s="491">
        <f t="shared" si="1"/>
        <v>10338943</v>
      </c>
      <c r="M51" s="491">
        <f t="shared" si="1"/>
        <v>10958792</v>
      </c>
      <c r="N51" s="491">
        <f t="shared" si="1"/>
        <v>11578641</v>
      </c>
    </row>
    <row r="52" spans="2:14">
      <c r="B52" s="164" t="s">
        <v>541</v>
      </c>
      <c r="C52" s="117"/>
      <c r="D52" s="117"/>
      <c r="G52" s="490"/>
      <c r="H52" s="490"/>
      <c r="I52" s="493">
        <f>'R&amp;D converter'!D35</f>
        <v>4136354.4999999995</v>
      </c>
      <c r="J52" s="493">
        <f>'R&amp;D converter'!$D$35*POWER(1+'R&amp;D converter'!$L$27,'Free Cash Flow'!K7)</f>
        <v>4710883.6774936337</v>
      </c>
      <c r="K52" s="493">
        <f>'R&amp;D converter'!$D$35*POWER(1+'R&amp;D converter'!$L$27,'Free Cash Flow'!L7)</f>
        <v>5365213.5045185182</v>
      </c>
      <c r="L52" s="493">
        <f>'R&amp;D converter'!$D$35*POWER(1+'R&amp;D converter'!$L$27,'Free Cash Flow'!M7)</f>
        <v>6110428.0894455994</v>
      </c>
      <c r="M52" s="493">
        <f>'R&amp;D converter'!$D$35*POWER(1+'R&amp;D converter'!$L$27,'Free Cash Flow'!N7)</f>
        <v>6959151.0952622388</v>
      </c>
      <c r="N52" s="493">
        <f>'R&amp;D converter'!$D$35*POWER(1+'R&amp;D converter'!$L$27,'Free Cash Flow'!O7)</f>
        <v>7925759.5798142608</v>
      </c>
    </row>
    <row r="53" spans="2:14">
      <c r="B53" s="164"/>
      <c r="C53" s="117"/>
      <c r="D53" s="117"/>
      <c r="E53" s="117"/>
      <c r="F53" s="117"/>
      <c r="G53" s="117"/>
      <c r="H53" s="117"/>
      <c r="I53" s="120"/>
      <c r="J53" s="195"/>
      <c r="K53" s="195"/>
      <c r="L53" s="195"/>
      <c r="M53" s="195"/>
      <c r="N53" s="195"/>
    </row>
    <row r="54" spans="2:14">
      <c r="B54" s="198" t="s">
        <v>65</v>
      </c>
      <c r="C54" s="79"/>
      <c r="D54" s="79"/>
      <c r="E54" s="146">
        <f>D15</f>
        <v>275761.2</v>
      </c>
      <c r="F54" s="146">
        <f>E15</f>
        <v>373874.39999999997</v>
      </c>
      <c r="G54" s="146">
        <f>F15</f>
        <v>258321.59999999998</v>
      </c>
      <c r="H54" s="146">
        <f>G15</f>
        <v>223395.6</v>
      </c>
      <c r="I54" s="146">
        <f>H15</f>
        <v>-23688</v>
      </c>
      <c r="J54" s="195">
        <f>K15</f>
        <v>531248.8741610893</v>
      </c>
      <c r="K54" s="195">
        <f>L15</f>
        <v>677589.67178537755</v>
      </c>
      <c r="L54" s="195">
        <f>M15</f>
        <v>937716.66564361844</v>
      </c>
      <c r="M54" s="195">
        <f>N15</f>
        <v>1363771.937540357</v>
      </c>
      <c r="N54" s="195">
        <f>O15</f>
        <v>2041696.7935219968</v>
      </c>
    </row>
    <row r="55" spans="2:14">
      <c r="B55" s="164"/>
      <c r="C55" s="117"/>
      <c r="D55" s="117"/>
      <c r="E55" s="117"/>
      <c r="F55" s="117"/>
      <c r="G55" s="117"/>
      <c r="H55" s="117"/>
      <c r="I55" s="120"/>
    </row>
    <row r="56" spans="2:14" ht="15">
      <c r="B56" s="199" t="s">
        <v>540</v>
      </c>
      <c r="C56" s="121"/>
      <c r="D56" s="121"/>
      <c r="E56" s="121"/>
      <c r="F56" s="122">
        <f t="shared" ref="F56:I56" si="2">F54/E51</f>
        <v>6.4608812561131129E-2</v>
      </c>
      <c r="G56" s="122">
        <f t="shared" si="2"/>
        <v>3.4798708392886728E-2</v>
      </c>
      <c r="H56" s="122">
        <f t="shared" si="2"/>
        <v>3.003476787803009E-2</v>
      </c>
      <c r="I56" s="122">
        <f t="shared" si="2"/>
        <v>-3.033713563547898E-3</v>
      </c>
      <c r="J56" s="197">
        <f>(J54+E41)/(I51+I52)</f>
        <v>0.10386345016150841</v>
      </c>
      <c r="K56" s="197">
        <f t="shared" ref="K56:N56" si="3">(K54+F41)/(J51+J52)</f>
        <v>0.11090733974782617</v>
      </c>
      <c r="L56" s="197">
        <f t="shared" si="3"/>
        <v>0.12251100247482866</v>
      </c>
      <c r="M56" s="197">
        <f t="shared" si="3"/>
        <v>0.14188821970893131</v>
      </c>
      <c r="N56" s="197">
        <f t="shared" si="3"/>
        <v>0.17165835374104729</v>
      </c>
    </row>
    <row r="57" spans="2:14">
      <c r="B57" s="164"/>
      <c r="C57" s="117"/>
      <c r="D57" s="117"/>
      <c r="E57" s="117"/>
      <c r="F57" s="117"/>
      <c r="G57" s="117"/>
      <c r="H57" s="117"/>
      <c r="I57" s="120"/>
    </row>
    <row r="58" spans="2:14">
      <c r="B58" s="164" t="s">
        <v>61</v>
      </c>
      <c r="C58" s="117"/>
      <c r="D58" s="117"/>
      <c r="E58" s="15">
        <f>'Cash Flow Statement'!D13</f>
        <v>571239</v>
      </c>
      <c r="F58" s="15">
        <f>'Cash Flow Statement'!E13</f>
        <v>417132</v>
      </c>
      <c r="G58" s="15">
        <f>'Cash Flow Statement'!F13</f>
        <v>239459</v>
      </c>
      <c r="H58" s="15">
        <f>'Cash Flow Statement'!G13</f>
        <v>256685</v>
      </c>
      <c r="I58" s="28">
        <f>'Cash Flow Statement'!H13</f>
        <v>158662</v>
      </c>
      <c r="J58" s="15">
        <f>-K19-K17</f>
        <v>-119608.2264105822</v>
      </c>
      <c r="K58" s="15">
        <f>-L19-L17</f>
        <v>-8494.0195120421704</v>
      </c>
      <c r="L58" s="15">
        <f>-M19-M17</f>
        <v>44506.928407671861</v>
      </c>
      <c r="M58" s="15">
        <f>-N19-N17</f>
        <v>153627.4569913689</v>
      </c>
      <c r="N58" s="15">
        <f>-O19-O17</f>
        <v>343325.08085174859</v>
      </c>
    </row>
    <row r="59" spans="2:14">
      <c r="B59" s="164" t="s">
        <v>227</v>
      </c>
      <c r="C59" s="187"/>
      <c r="D59" s="187"/>
      <c r="E59" s="195">
        <f>'Balance Sheet'!D48</f>
        <v>24641</v>
      </c>
      <c r="F59" s="195">
        <f>'Balance Sheet'!E48</f>
        <v>84286</v>
      </c>
      <c r="G59" s="195">
        <f>'Balance Sheet'!F48</f>
        <v>100908</v>
      </c>
      <c r="H59" s="195">
        <f>'Balance Sheet'!G48</f>
        <v>-48719</v>
      </c>
      <c r="I59" s="196">
        <f>'Balance Sheet'!H48</f>
        <v>82872</v>
      </c>
      <c r="J59" s="195">
        <f>K18</f>
        <v>110699.07109807222</v>
      </c>
      <c r="K59" s="195">
        <f>L18</f>
        <v>177324.61066471087</v>
      </c>
      <c r="L59" s="195">
        <f>M18</f>
        <v>271897.73635255639</v>
      </c>
      <c r="M59" s="195">
        <f>N18</f>
        <v>407846.60452883481</v>
      </c>
      <c r="N59" s="195">
        <f>O18</f>
        <v>611769.90679325256</v>
      </c>
    </row>
    <row r="60" spans="2:14">
      <c r="B60" s="164"/>
      <c r="C60" s="187"/>
      <c r="D60" s="187"/>
      <c r="E60" s="195"/>
      <c r="F60" s="195"/>
      <c r="G60" s="195"/>
      <c r="H60" s="195"/>
      <c r="I60" s="196"/>
      <c r="J60" s="195"/>
      <c r="K60" s="195"/>
      <c r="L60" s="195"/>
      <c r="M60" s="195"/>
      <c r="N60" s="195"/>
    </row>
    <row r="61" spans="2:14" ht="15">
      <c r="B61" s="199" t="s">
        <v>253</v>
      </c>
      <c r="C61" s="121"/>
      <c r="D61" s="121"/>
      <c r="E61" s="121"/>
      <c r="F61" s="202">
        <f t="shared" ref="F61:M61" si="4">(F58+F59)/F54*F56</f>
        <v>8.6649477944403919E-2</v>
      </c>
      <c r="G61" s="202">
        <f t="shared" si="4"/>
        <v>4.58511095454723E-2</v>
      </c>
      <c r="H61" s="202">
        <f t="shared" si="4"/>
        <v>2.7960311378211592E-2</v>
      </c>
      <c r="I61" s="202">
        <f t="shared" si="4"/>
        <v>3.0933171726527271E-2</v>
      </c>
      <c r="J61" s="201">
        <f>(J58+J59)/J54*J56</f>
        <v>-1.7418118960595302E-3</v>
      </c>
      <c r="K61" s="201">
        <f t="shared" si="4"/>
        <v>2.7634057177197132E-2</v>
      </c>
      <c r="L61" s="201">
        <f t="shared" si="4"/>
        <v>4.1337702621379716E-2</v>
      </c>
      <c r="M61" s="201">
        <f t="shared" si="4"/>
        <v>5.8416332532496597E-2</v>
      </c>
      <c r="N61" s="201">
        <f>(N58+N59)/N54*N56</f>
        <v>8.0300872179285443E-2</v>
      </c>
    </row>
    <row r="62" spans="2:14" ht="15">
      <c r="B62" s="2" t="s">
        <v>252</v>
      </c>
      <c r="C62" s="117"/>
      <c r="D62" s="117"/>
      <c r="E62" s="117"/>
      <c r="F62" s="197"/>
      <c r="G62" s="197"/>
      <c r="H62" s="197"/>
      <c r="I62" s="197"/>
      <c r="J62" s="197"/>
      <c r="K62" s="197"/>
      <c r="L62" s="197"/>
      <c r="M62" s="197"/>
      <c r="N62" s="201">
        <v>4.3279999999999999E-2</v>
      </c>
    </row>
    <row r="63" spans="2:14" ht="15">
      <c r="B63" s="2" t="s">
        <v>424</v>
      </c>
      <c r="K63" s="159"/>
      <c r="N63" s="402" t="s">
        <v>518</v>
      </c>
    </row>
    <row r="64" spans="2:14" ht="15">
      <c r="B64" s="492" t="s">
        <v>538</v>
      </c>
      <c r="J64" s="158"/>
    </row>
    <row r="65" spans="2:14" ht="15">
      <c r="B65" s="200"/>
      <c r="D65" s="158"/>
      <c r="J65" s="158"/>
    </row>
    <row r="66" spans="2:14">
      <c r="D66" s="158"/>
      <c r="J66" s="158"/>
    </row>
    <row r="69" spans="2:14">
      <c r="B69" s="151" t="s">
        <v>548</v>
      </c>
      <c r="C69" s="151"/>
      <c r="D69" s="151"/>
      <c r="E69" s="151"/>
      <c r="F69" s="151"/>
      <c r="G69" s="151"/>
      <c r="H69" s="151"/>
      <c r="I69" s="151"/>
      <c r="J69" s="151"/>
      <c r="L69" s="151" t="s">
        <v>560</v>
      </c>
      <c r="M69" s="151"/>
      <c r="N69" s="151"/>
    </row>
    <row r="70" spans="2:14">
      <c r="B70" s="187" t="s">
        <v>559</v>
      </c>
      <c r="C70" s="187"/>
      <c r="D70" s="509">
        <v>2011</v>
      </c>
      <c r="E70" s="509">
        <v>2012</v>
      </c>
      <c r="F70" s="509">
        <v>2013</v>
      </c>
      <c r="G70" s="509">
        <v>2014</v>
      </c>
      <c r="H70" s="509">
        <v>2015</v>
      </c>
      <c r="I70" s="187"/>
      <c r="L70" s="150" t="s">
        <v>481</v>
      </c>
      <c r="M70" s="150"/>
      <c r="N70" s="518">
        <f>WACC!D24</f>
        <v>0.10489999999999999</v>
      </c>
    </row>
    <row r="71" spans="2:14">
      <c r="B71" s="187" t="s">
        <v>236</v>
      </c>
      <c r="C71" s="187"/>
      <c r="D71" s="493">
        <f>K23/1000</f>
        <v>488.87503798859558</v>
      </c>
      <c r="E71" s="493">
        <f t="shared" ref="E71:H71" si="5">L23/1000</f>
        <v>416.74099729792744</v>
      </c>
      <c r="F71" s="493">
        <f t="shared" si="5"/>
        <v>460.61791116996073</v>
      </c>
      <c r="G71" s="493">
        <f t="shared" si="5"/>
        <v>538.32400724985018</v>
      </c>
      <c r="H71" s="493">
        <f t="shared" si="5"/>
        <v>659.86570060503129</v>
      </c>
      <c r="I71" s="187"/>
      <c r="L71" s="150" t="s">
        <v>492</v>
      </c>
      <c r="M71" s="150"/>
      <c r="N71" s="518">
        <f>WACC!G6</f>
        <v>5.2275596632821317E-2</v>
      </c>
    </row>
    <row r="72" spans="2:14">
      <c r="B72" s="187" t="s">
        <v>237</v>
      </c>
      <c r="C72" s="187"/>
      <c r="D72" s="493"/>
      <c r="E72" s="493"/>
      <c r="F72" s="493"/>
      <c r="G72" s="493"/>
      <c r="H72" s="117"/>
      <c r="I72" s="15">
        <f>O24/1000</f>
        <v>2564.4236543113652</v>
      </c>
      <c r="L72" s="150" t="s">
        <v>562</v>
      </c>
      <c r="M72" s="150"/>
      <c r="N72" s="518">
        <f>WACC!D28</f>
        <v>0.10112406015821113</v>
      </c>
    </row>
    <row r="73" spans="2:14">
      <c r="B73" s="187" t="s">
        <v>315</v>
      </c>
      <c r="C73" s="187"/>
      <c r="D73" s="493"/>
      <c r="E73" s="493"/>
      <c r="F73" s="493"/>
      <c r="G73" s="493"/>
      <c r="H73" s="187"/>
      <c r="I73" s="15">
        <f t="shared" ref="I73:I76" si="6">O25/1000</f>
        <v>1964.0107811048201</v>
      </c>
      <c r="L73" s="150" t="s">
        <v>561</v>
      </c>
      <c r="M73" s="150"/>
      <c r="N73" s="518">
        <f>N62</f>
        <v>4.3279999999999999E-2</v>
      </c>
    </row>
    <row r="74" spans="2:14">
      <c r="B74" s="187" t="s">
        <v>316</v>
      </c>
      <c r="C74" s="187"/>
      <c r="D74" s="493"/>
      <c r="E74" s="493"/>
      <c r="F74" s="493"/>
      <c r="G74" s="493"/>
      <c r="H74" s="187"/>
      <c r="I74" s="15">
        <f t="shared" si="6"/>
        <v>-297.47692381535285</v>
      </c>
    </row>
    <row r="75" spans="2:14">
      <c r="B75" s="510" t="s">
        <v>549</v>
      </c>
      <c r="C75" s="510"/>
      <c r="D75" s="490"/>
      <c r="E75" s="490"/>
      <c r="F75" s="490"/>
      <c r="G75" s="490"/>
      <c r="H75" s="510"/>
      <c r="I75" s="13">
        <f t="shared" si="6"/>
        <v>11901.389464091644</v>
      </c>
    </row>
    <row r="76" spans="2:14">
      <c r="B76" s="516" t="s">
        <v>550</v>
      </c>
      <c r="C76" s="511"/>
      <c r="D76" s="512"/>
      <c r="E76" s="512"/>
      <c r="F76" s="512"/>
      <c r="G76" s="512"/>
      <c r="H76" s="511"/>
      <c r="I76" s="517">
        <f t="shared" si="6"/>
        <v>16132.346975692477</v>
      </c>
      <c r="J76" s="527">
        <v>-0.19</v>
      </c>
    </row>
    <row r="77" spans="2:14">
      <c r="B77" s="516" t="s">
        <v>551</v>
      </c>
      <c r="C77" s="511"/>
      <c r="D77" s="511"/>
      <c r="E77" s="511"/>
      <c r="F77" s="511"/>
      <c r="G77" s="511"/>
      <c r="H77" s="511"/>
      <c r="I77" s="517">
        <f>P28/1000</f>
        <v>14692.960802488244</v>
      </c>
      <c r="J77" s="528">
        <v>-0.2</v>
      </c>
    </row>
    <row r="78" spans="2:14">
      <c r="B78" s="513" t="s">
        <v>564</v>
      </c>
      <c r="C78" s="187"/>
      <c r="D78" s="187"/>
      <c r="E78" s="187"/>
      <c r="F78" s="187"/>
      <c r="G78" s="187"/>
      <c r="H78" s="141"/>
      <c r="I78" s="141"/>
    </row>
    <row r="79" spans="2:14">
      <c r="B79" s="187"/>
      <c r="C79" s="187"/>
      <c r="D79" s="187"/>
      <c r="E79" s="195"/>
      <c r="F79" s="195"/>
      <c r="G79" s="195"/>
      <c r="H79" s="195"/>
      <c r="I79" s="195"/>
      <c r="J79" s="195"/>
      <c r="K79" s="195"/>
      <c r="L79" s="195"/>
      <c r="M79" s="195"/>
      <c r="N79" s="195"/>
    </row>
    <row r="80" spans="2:14">
      <c r="B80" s="117"/>
      <c r="C80" s="117"/>
      <c r="D80" s="117"/>
      <c r="E80" s="117"/>
      <c r="F80" s="117"/>
      <c r="G80" s="117"/>
      <c r="H80" s="117"/>
      <c r="I80" s="117"/>
    </row>
    <row r="81" spans="2:12" ht="18">
      <c r="B81" s="32"/>
      <c r="C81" s="32"/>
      <c r="D81" s="32"/>
      <c r="E81" s="33" t="s">
        <v>27</v>
      </c>
      <c r="F81" s="33"/>
      <c r="G81" s="33"/>
      <c r="H81" s="33"/>
      <c r="I81" s="33" t="s">
        <v>563</v>
      </c>
      <c r="J81" s="33"/>
      <c r="K81" s="33"/>
      <c r="L81" s="33"/>
    </row>
    <row r="82" spans="2:12">
      <c r="B82" s="36"/>
      <c r="C82" s="36"/>
      <c r="D82" s="36"/>
      <c r="E82" s="37">
        <v>2010</v>
      </c>
      <c r="F82" s="66" t="s">
        <v>63</v>
      </c>
      <c r="G82" s="65">
        <v>2010</v>
      </c>
      <c r="H82" s="36">
        <v>2011</v>
      </c>
      <c r="I82" s="36">
        <v>2012</v>
      </c>
      <c r="J82" s="36">
        <v>2013</v>
      </c>
      <c r="K82" s="36">
        <v>2014</v>
      </c>
      <c r="L82" s="36">
        <v>2015</v>
      </c>
    </row>
    <row r="83" spans="2:12" ht="6.75" customHeight="1">
      <c r="F83" s="131"/>
    </row>
    <row r="84" spans="2:12" ht="15.75">
      <c r="B84" s="519" t="s">
        <v>62</v>
      </c>
      <c r="C84" s="520"/>
      <c r="D84" s="520"/>
      <c r="E84" s="521"/>
      <c r="F84" s="522"/>
      <c r="G84" s="521"/>
      <c r="H84" s="521"/>
      <c r="I84" s="521"/>
      <c r="J84" s="521"/>
      <c r="K84" s="521"/>
      <c r="L84" s="523"/>
    </row>
    <row r="85" spans="2:12" ht="6.75" customHeight="1">
      <c r="F85" s="524"/>
    </row>
    <row r="86" spans="2:12">
      <c r="B86" s="15" t="s">
        <v>64</v>
      </c>
      <c r="C86" s="15"/>
      <c r="D86" s="15"/>
      <c r="F86" s="524"/>
      <c r="H86" s="15">
        <v>1</v>
      </c>
      <c r="I86" s="15">
        <v>2</v>
      </c>
      <c r="J86" s="15">
        <v>3</v>
      </c>
      <c r="K86" s="15">
        <v>4</v>
      </c>
      <c r="L86" s="15">
        <v>5</v>
      </c>
    </row>
    <row r="87" spans="2:12">
      <c r="B87" s="68"/>
      <c r="C87" s="68"/>
      <c r="D87" s="68"/>
      <c r="E87" s="68"/>
      <c r="F87" s="131"/>
      <c r="G87" s="68"/>
      <c r="H87" s="68"/>
      <c r="I87" s="68"/>
      <c r="J87" s="68"/>
      <c r="K87" s="68"/>
      <c r="L87" s="68"/>
    </row>
    <row r="88" spans="2:12">
      <c r="B88" s="13" t="s">
        <v>31</v>
      </c>
      <c r="C88" s="13"/>
      <c r="D88" s="13"/>
      <c r="E88" s="13">
        <v>455.96300000000002</v>
      </c>
      <c r="F88" s="134">
        <v>0</v>
      </c>
      <c r="G88" s="13">
        <v>455.96300000000002</v>
      </c>
      <c r="H88" s="13">
        <v>1863.3414520646697</v>
      </c>
      <c r="I88" s="13">
        <v>2137.5825580627488</v>
      </c>
      <c r="J88" s="13">
        <v>2557.903878474624</v>
      </c>
      <c r="K88" s="13">
        <v>3188.2326738951347</v>
      </c>
      <c r="L88" s="13">
        <v>4133.5031346775695</v>
      </c>
    </row>
    <row r="89" spans="2:12">
      <c r="B89" s="138"/>
      <c r="C89" s="138"/>
      <c r="D89" s="138"/>
      <c r="E89" s="138"/>
      <c r="F89" s="139"/>
      <c r="G89" s="138"/>
      <c r="H89" s="138"/>
      <c r="I89" s="138"/>
      <c r="J89" s="138"/>
      <c r="K89" s="138"/>
      <c r="L89" s="138"/>
    </row>
    <row r="90" spans="2:12">
      <c r="B90" s="15" t="s">
        <v>33</v>
      </c>
      <c r="C90" s="15"/>
      <c r="D90" s="15"/>
      <c r="E90" s="15">
        <v>-495.44299999999998</v>
      </c>
      <c r="F90" s="133">
        <v>0</v>
      </c>
      <c r="G90" s="15">
        <v>-495.44299999999998</v>
      </c>
      <c r="H90" s="15">
        <v>-678.35968160537345</v>
      </c>
      <c r="I90" s="15">
        <v>-780.11363384617948</v>
      </c>
      <c r="J90" s="15">
        <v>-936.13636061541536</v>
      </c>
      <c r="K90" s="15">
        <v>-1170.1704507692691</v>
      </c>
      <c r="L90" s="15">
        <v>-1521.2215860000499</v>
      </c>
    </row>
    <row r="91" spans="2:12">
      <c r="B91" s="22" t="s">
        <v>34</v>
      </c>
      <c r="C91" s="22"/>
      <c r="D91" s="22"/>
      <c r="E91" s="22">
        <v>-39.479999999999997</v>
      </c>
      <c r="F91" s="135">
        <v>172.64582954225253</v>
      </c>
      <c r="G91" s="22">
        <v>133.16582954225254</v>
      </c>
      <c r="H91" s="22">
        <v>1209.3049159595673</v>
      </c>
      <c r="I91" s="22">
        <v>1520.7008327148499</v>
      </c>
      <c r="J91" s="22">
        <v>2042.1661492512362</v>
      </c>
      <c r="K91" s="22">
        <v>2869.2343098417336</v>
      </c>
      <c r="L91" s="22">
        <v>4159.5836626497303</v>
      </c>
    </row>
    <row r="92" spans="2:12">
      <c r="B92" s="138"/>
      <c r="C92" s="138"/>
      <c r="D92" s="138"/>
      <c r="E92" s="138"/>
      <c r="F92" s="139"/>
      <c r="G92" s="138"/>
      <c r="H92" s="138"/>
      <c r="I92" s="138"/>
      <c r="J92" s="138"/>
      <c r="K92" s="138"/>
      <c r="L92" s="138"/>
    </row>
    <row r="93" spans="2:12">
      <c r="B93" s="15" t="s">
        <v>213</v>
      </c>
      <c r="C93" s="15"/>
      <c r="D93" s="15"/>
      <c r="E93" s="140">
        <v>0.4</v>
      </c>
      <c r="F93" s="133">
        <v>0</v>
      </c>
      <c r="G93" s="137">
        <v>40</v>
      </c>
      <c r="H93" s="140">
        <v>0.4</v>
      </c>
      <c r="I93" s="140">
        <v>0.4</v>
      </c>
      <c r="J93" s="140">
        <v>0.4</v>
      </c>
      <c r="K93" s="140">
        <v>0.4</v>
      </c>
      <c r="L93" s="140">
        <v>0.4</v>
      </c>
    </row>
    <row r="94" spans="2:12">
      <c r="B94" s="22" t="s">
        <v>65</v>
      </c>
      <c r="C94" s="22"/>
      <c r="D94" s="22"/>
      <c r="E94" s="525">
        <v>-23.687999999999999</v>
      </c>
      <c r="F94" s="149">
        <v>103.58749772535151</v>
      </c>
      <c r="G94" s="526">
        <v>79.899497725351509</v>
      </c>
      <c r="H94" s="526">
        <v>725.58294957574037</v>
      </c>
      <c r="I94" s="526">
        <v>912.42049962890985</v>
      </c>
      <c r="J94" s="526">
        <v>1225.2996895507415</v>
      </c>
      <c r="K94" s="526">
        <v>1721.54058590504</v>
      </c>
      <c r="L94" s="526">
        <v>2495.7501975898381</v>
      </c>
    </row>
    <row r="95" spans="2:12">
      <c r="B95" s="141"/>
      <c r="C95" s="141"/>
      <c r="D95" s="141"/>
      <c r="E95" s="141"/>
      <c r="F95" s="139"/>
      <c r="G95" s="141"/>
      <c r="H95" s="141"/>
      <c r="I95" s="141"/>
      <c r="J95" s="141"/>
      <c r="K95" s="141"/>
      <c r="L95" s="141"/>
    </row>
    <row r="96" spans="2:12">
      <c r="B96" s="15" t="s">
        <v>33</v>
      </c>
      <c r="C96" s="15"/>
      <c r="D96" s="15"/>
      <c r="E96" s="15">
        <v>495.44299999999998</v>
      </c>
      <c r="F96" s="133">
        <v>792.82621045774761</v>
      </c>
      <c r="G96" s="142">
        <v>1288.2692104577475</v>
      </c>
      <c r="H96" s="143">
        <v>1488.6090448451766</v>
      </c>
      <c r="I96" s="143">
        <v>1608.1899283202149</v>
      </c>
      <c r="J96" s="143">
        <v>1782.4527222693332</v>
      </c>
      <c r="K96" s="143">
        <v>2035.1495899004312</v>
      </c>
      <c r="L96" s="143">
        <v>2405.2960091414211</v>
      </c>
    </row>
    <row r="97" spans="2:12">
      <c r="B97" s="15" t="s">
        <v>66</v>
      </c>
      <c r="C97" s="15"/>
      <c r="D97" s="15"/>
      <c r="E97" s="15">
        <v>82.872</v>
      </c>
      <c r="F97" s="134"/>
      <c r="G97" s="142">
        <v>82.872</v>
      </c>
      <c r="H97" s="148">
        <v>-920.60733167440242</v>
      </c>
      <c r="I97" s="148">
        <v>22.628650248839637</v>
      </c>
      <c r="J97" s="148">
        <v>34.697263714887434</v>
      </c>
      <c r="K97" s="148">
        <v>52.045895572331126</v>
      </c>
      <c r="L97" s="148">
        <v>78.068843358496721</v>
      </c>
    </row>
    <row r="98" spans="2:12">
      <c r="B98" s="15" t="s">
        <v>58</v>
      </c>
      <c r="C98" s="15"/>
      <c r="D98" s="15"/>
      <c r="E98" s="15">
        <v>-654.10500000000002</v>
      </c>
      <c r="F98" s="133">
        <v>-927.28399999999999</v>
      </c>
      <c r="G98" s="15">
        <v>-1581.3889999999999</v>
      </c>
      <c r="H98" s="15">
        <v>-2043.7149293545822</v>
      </c>
      <c r="I98" s="15">
        <v>-2042.2552503631432</v>
      </c>
      <c r="J98" s="15">
        <v>-2400.788316355503</v>
      </c>
      <c r="K98" s="15">
        <v>-2941.9797137520695</v>
      </c>
      <c r="L98" s="15">
        <v>-3753.7668098469198</v>
      </c>
    </row>
    <row r="99" spans="2:12">
      <c r="B99" s="141"/>
      <c r="C99" s="141"/>
      <c r="D99" s="141"/>
      <c r="E99" s="141"/>
      <c r="F99" s="139"/>
      <c r="G99" s="141"/>
      <c r="H99" s="141"/>
      <c r="I99" s="141"/>
      <c r="J99" s="141"/>
      <c r="K99" s="141"/>
      <c r="L99" s="141"/>
    </row>
    <row r="100" spans="2:12">
      <c r="B100" s="144" t="s">
        <v>71</v>
      </c>
      <c r="C100" s="144"/>
      <c r="D100" s="144"/>
      <c r="E100" s="146">
        <v>-265.22199999999998</v>
      </c>
      <c r="F100" s="147" t="s">
        <v>235</v>
      </c>
      <c r="G100" s="146">
        <v>-296.09229181690097</v>
      </c>
      <c r="H100" s="146">
        <v>1091.0843967407372</v>
      </c>
      <c r="I100" s="146">
        <v>455.72652733714227</v>
      </c>
      <c r="J100" s="146">
        <v>572.26683174968423</v>
      </c>
      <c r="K100" s="146">
        <v>762.6645664810701</v>
      </c>
      <c r="L100" s="146">
        <v>1069.2105535258418</v>
      </c>
    </row>
  </sheetData>
  <phoneticPr fontId="50" type="noConversion"/>
  <dataValidations disablePrompts="1" count="2">
    <dataValidation type="list" allowBlank="1" showInputMessage="1" showErrorMessage="1" sqref="B14">
      <formula1>$B$31:$B$32</formula1>
    </dataValidation>
    <dataValidation type="list" allowBlank="1" showInputMessage="1" showErrorMessage="1" sqref="B93:D93">
      <formula1>$B$29:$B$30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35"/>
  <sheetViews>
    <sheetView showGridLines="0" topLeftCell="A12" zoomScale="80" zoomScaleNormal="80" workbookViewId="0">
      <selection activeCell="G29" sqref="G29"/>
    </sheetView>
  </sheetViews>
  <sheetFormatPr baseColWidth="10" defaultColWidth="13.140625" defaultRowHeight="15.75"/>
  <cols>
    <col min="1" max="1" width="19.42578125" style="232" customWidth="1"/>
    <col min="2" max="2" width="55.140625" style="232" bestFit="1" customWidth="1"/>
    <col min="3" max="4" width="14.28515625" style="232" customWidth="1"/>
    <col min="5" max="6" width="14.28515625" style="229" customWidth="1"/>
    <col min="7" max="7" width="15.28515625" style="229" customWidth="1"/>
    <col min="8" max="8" width="16" style="229" customWidth="1"/>
    <col min="9" max="9" width="3.42578125" style="229" customWidth="1"/>
    <col min="10" max="10" width="16.42578125" style="229" customWidth="1"/>
    <col min="11" max="11" width="3.42578125" style="229" customWidth="1"/>
    <col min="12" max="12" width="13.140625" style="229"/>
    <col min="13" max="13" width="3.28515625" style="229" customWidth="1"/>
    <col min="14" max="16384" width="13.140625" style="229"/>
  </cols>
  <sheetData>
    <row r="1" spans="1:15">
      <c r="A1" s="29" t="s">
        <v>35</v>
      </c>
      <c r="B1" s="30"/>
      <c r="C1" s="30"/>
      <c r="D1" s="30"/>
      <c r="E1" s="30"/>
      <c r="F1" s="30"/>
      <c r="G1" s="30"/>
      <c r="H1" s="30"/>
    </row>
    <row r="2" spans="1:15" ht="18">
      <c r="A2" s="31" t="s">
        <v>26</v>
      </c>
      <c r="B2" s="32"/>
      <c r="C2" s="32"/>
      <c r="D2" s="33"/>
      <c r="E2" s="33"/>
      <c r="F2" s="33"/>
      <c r="G2" s="33"/>
      <c r="H2" s="33"/>
    </row>
    <row r="3" spans="1:15">
      <c r="A3" s="35" t="s">
        <v>259</v>
      </c>
      <c r="B3" s="36"/>
      <c r="C3" s="36"/>
      <c r="D3" s="37"/>
      <c r="E3" s="37"/>
      <c r="F3" s="37"/>
      <c r="G3" s="37"/>
      <c r="H3" s="37"/>
    </row>
    <row r="5" spans="1:15">
      <c r="B5" s="69" t="s">
        <v>357</v>
      </c>
      <c r="C5" s="77">
        <v>2006</v>
      </c>
      <c r="D5" s="77">
        <v>2007</v>
      </c>
      <c r="E5" s="77">
        <v>2008</v>
      </c>
      <c r="F5" s="77">
        <v>2009</v>
      </c>
      <c r="G5" s="78">
        <v>2010</v>
      </c>
    </row>
    <row r="6" spans="1:15">
      <c r="A6" s="229"/>
      <c r="B6" s="20" t="s">
        <v>317</v>
      </c>
      <c r="C6" s="15">
        <f>'Balance Sheet'!D24</f>
        <v>6226</v>
      </c>
      <c r="D6" s="15">
        <f>'Balance Sheet'!E24</f>
        <v>696625</v>
      </c>
      <c r="E6" s="15">
        <f>'Balance Sheet'!F24</f>
        <v>7566</v>
      </c>
      <c r="F6" s="15">
        <f>'Balance Sheet'!G24</f>
        <v>8166</v>
      </c>
      <c r="G6" s="28">
        <f>'Balance Sheet'!H24</f>
        <v>7584</v>
      </c>
    </row>
    <row r="7" spans="1:15">
      <c r="A7" s="229"/>
      <c r="B7" s="20" t="s">
        <v>318</v>
      </c>
      <c r="C7" s="15">
        <f>'Balance Sheet'!D28</f>
        <v>119803</v>
      </c>
      <c r="D7" s="15">
        <f>'Balance Sheet'!E28</f>
        <v>113748</v>
      </c>
      <c r="E7" s="15">
        <f>'Balance Sheet'!F28</f>
        <v>124341</v>
      </c>
      <c r="F7" s="15">
        <f>'Balance Sheet'!G28</f>
        <v>116434</v>
      </c>
      <c r="G7" s="28">
        <f>'Balance Sheet'!H28</f>
        <v>1098956</v>
      </c>
    </row>
    <row r="8" spans="1:15">
      <c r="A8" s="229"/>
      <c r="B8" s="20" t="s">
        <v>319</v>
      </c>
      <c r="C8" s="15">
        <f>C7+C6</f>
        <v>126029</v>
      </c>
      <c r="D8" s="15">
        <f>D7+D6</f>
        <v>810373</v>
      </c>
      <c r="E8" s="15">
        <f>E7+E6</f>
        <v>131907</v>
      </c>
      <c r="F8" s="15">
        <f>F7+F6</f>
        <v>124600</v>
      </c>
      <c r="G8" s="28">
        <f>G7+G6</f>
        <v>1106540</v>
      </c>
      <c r="I8" s="15"/>
      <c r="J8" s="15"/>
      <c r="K8" s="15"/>
      <c r="L8" s="15"/>
      <c r="M8" s="15"/>
      <c r="N8" s="15"/>
    </row>
    <row r="9" spans="1:15">
      <c r="A9" s="229"/>
      <c r="B9" s="20" t="s">
        <v>48</v>
      </c>
      <c r="C9" s="15">
        <f>'Balance Sheet'!D19</f>
        <v>7191188</v>
      </c>
      <c r="D9" s="15">
        <f>'Balance Sheet'!E19</f>
        <v>8301741</v>
      </c>
      <c r="E9" s="15">
        <f>'Balance Sheet'!F19</f>
        <v>8671276</v>
      </c>
      <c r="F9" s="15">
        <f>'Balance Sheet'!G19</f>
        <v>10060724</v>
      </c>
      <c r="G9" s="28">
        <f>'Balance Sheet'!H19</f>
        <v>10913854</v>
      </c>
      <c r="I9" s="15"/>
      <c r="J9" s="15"/>
      <c r="K9" s="15"/>
      <c r="L9" s="15"/>
      <c r="M9" s="15"/>
      <c r="N9" s="15"/>
    </row>
    <row r="10" spans="1:15">
      <c r="A10" s="229"/>
      <c r="B10" s="25" t="s">
        <v>321</v>
      </c>
      <c r="C10" s="269">
        <f>C8/C9</f>
        <v>1.752547701436814E-2</v>
      </c>
      <c r="D10" s="269">
        <f>D8/D9</f>
        <v>9.7614825613085252E-2</v>
      </c>
      <c r="E10" s="269">
        <f>E8/E9</f>
        <v>1.5211948045477966E-2</v>
      </c>
      <c r="F10" s="269">
        <f>F8/F9</f>
        <v>1.2384794573432291E-2</v>
      </c>
      <c r="G10" s="270">
        <f>G8/G9</f>
        <v>0.10138856539587207</v>
      </c>
      <c r="I10" s="15"/>
      <c r="J10" s="15"/>
      <c r="K10" s="15"/>
      <c r="L10" s="15"/>
      <c r="M10" s="15"/>
      <c r="N10" s="15"/>
    </row>
    <row r="11" spans="1:15">
      <c r="A11" s="229"/>
      <c r="B11" s="231" t="s">
        <v>358</v>
      </c>
      <c r="C11" s="229"/>
      <c r="D11" s="229"/>
      <c r="I11" s="15"/>
      <c r="J11" s="15"/>
      <c r="K11" s="15"/>
      <c r="L11" s="15"/>
      <c r="M11" s="15"/>
      <c r="N11" s="15"/>
    </row>
    <row r="12" spans="1:15">
      <c r="A12" s="22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>
      <c r="A13" s="229" t="s">
        <v>554</v>
      </c>
      <c r="B13" s="265" t="s">
        <v>362</v>
      </c>
      <c r="C13" s="266"/>
      <c r="D13" s="266"/>
      <c r="E13" s="266"/>
      <c r="F13" s="266"/>
      <c r="G13" s="266"/>
      <c r="H13" s="267">
        <f>WACC!G15/1000</f>
        <v>1439.3861732042333</v>
      </c>
      <c r="I13" s="15"/>
      <c r="J13" s="15"/>
      <c r="K13" s="15"/>
      <c r="L13" s="15"/>
      <c r="M13" s="15"/>
      <c r="N13" s="15"/>
    </row>
    <row r="14" spans="1:15">
      <c r="A14" s="229"/>
      <c r="B14" s="69" t="s">
        <v>360</v>
      </c>
      <c r="C14" s="152">
        <v>2011</v>
      </c>
      <c r="D14" s="152">
        <v>2012</v>
      </c>
      <c r="E14" s="152">
        <v>2013</v>
      </c>
      <c r="F14" s="152">
        <v>2014</v>
      </c>
      <c r="G14" s="152">
        <v>2015</v>
      </c>
      <c r="H14" s="268" t="s">
        <v>359</v>
      </c>
      <c r="I14" s="15"/>
      <c r="J14" s="15"/>
      <c r="K14" s="15"/>
      <c r="L14" s="15"/>
      <c r="M14" s="15"/>
      <c r="N14" s="15"/>
    </row>
    <row r="15" spans="1:15">
      <c r="A15" s="229"/>
      <c r="B15" s="20" t="s">
        <v>320</v>
      </c>
      <c r="C15" s="15">
        <v>0.5</v>
      </c>
      <c r="D15" s="15">
        <v>0.5</v>
      </c>
      <c r="E15" s="15">
        <v>0.6</v>
      </c>
      <c r="F15" s="15">
        <v>0.6</v>
      </c>
      <c r="G15" s="15">
        <v>500.6</v>
      </c>
      <c r="H15" s="258">
        <v>514.20000000000005</v>
      </c>
      <c r="I15" s="15"/>
      <c r="J15" s="15"/>
      <c r="K15" s="15"/>
      <c r="L15" s="15"/>
      <c r="M15" s="15"/>
      <c r="N15" s="15"/>
      <c r="O15" s="230"/>
    </row>
    <row r="16" spans="1:15">
      <c r="A16" s="229"/>
      <c r="B16" s="20" t="s">
        <v>322</v>
      </c>
      <c r="C16" s="15">
        <v>15.4</v>
      </c>
      <c r="D16" s="15">
        <v>15.5</v>
      </c>
      <c r="E16" s="15">
        <v>16.899999999999999</v>
      </c>
      <c r="F16" s="15">
        <v>18.899999999999999</v>
      </c>
      <c r="G16" s="15">
        <v>18.8</v>
      </c>
      <c r="H16" s="258">
        <v>48.7</v>
      </c>
      <c r="I16" s="15"/>
      <c r="J16" s="15"/>
      <c r="K16" s="15"/>
      <c r="L16" s="15"/>
      <c r="M16" s="15"/>
      <c r="N16" s="15"/>
    </row>
    <row r="17" spans="1:14">
      <c r="A17" s="229"/>
      <c r="B17" s="20" t="s">
        <v>323</v>
      </c>
      <c r="C17" s="15">
        <v>78.5</v>
      </c>
      <c r="D17" s="15">
        <v>62.8</v>
      </c>
      <c r="E17" s="15">
        <v>40.799999999999997</v>
      </c>
      <c r="F17" s="15">
        <v>28.4</v>
      </c>
      <c r="G17" s="15">
        <v>19.8</v>
      </c>
      <c r="H17" s="258">
        <v>114.5</v>
      </c>
      <c r="I17" s="15"/>
      <c r="J17" s="15"/>
      <c r="K17" s="15"/>
      <c r="L17" s="15"/>
      <c r="M17" s="15"/>
      <c r="N17" s="15"/>
    </row>
    <row r="18" spans="1:14">
      <c r="A18" s="229"/>
      <c r="B18" s="20" t="s">
        <v>248</v>
      </c>
      <c r="C18" s="15">
        <f>SUM(C15:C17)</f>
        <v>94.4</v>
      </c>
      <c r="D18" s="15">
        <f>SUM(D15:D17)</f>
        <v>78.8</v>
      </c>
      <c r="E18" s="15">
        <f>SUM(E15:E17)</f>
        <v>58.3</v>
      </c>
      <c r="F18" s="15">
        <f>SUM(F15:F17)</f>
        <v>47.9</v>
      </c>
      <c r="G18" s="15">
        <f>SUM(G15:G17)</f>
        <v>539.19999999999993</v>
      </c>
      <c r="H18" s="258">
        <v>813.2</v>
      </c>
    </row>
    <row r="19" spans="1:14">
      <c r="A19" s="229"/>
      <c r="B19" s="25" t="s">
        <v>324</v>
      </c>
      <c r="C19" s="26">
        <f>H13-C18</f>
        <v>1344.9861732042332</v>
      </c>
      <c r="D19" s="26">
        <f>C19-D18</f>
        <v>1266.1861732042332</v>
      </c>
      <c r="E19" s="26">
        <f>D19-E18</f>
        <v>1207.8861732042333</v>
      </c>
      <c r="F19" s="26">
        <f>E19-F18</f>
        <v>1159.9861732042332</v>
      </c>
      <c r="G19" s="26">
        <f>F19-G18</f>
        <v>620.78617320423325</v>
      </c>
      <c r="H19" s="263">
        <f>G19-H18</f>
        <v>-192.41382679576679</v>
      </c>
    </row>
    <row r="20" spans="1:14">
      <c r="A20" s="229"/>
      <c r="B20" s="52" t="s">
        <v>356</v>
      </c>
      <c r="C20" s="15"/>
      <c r="D20" s="15"/>
      <c r="E20" s="15"/>
      <c r="F20" s="15"/>
      <c r="G20" s="15"/>
      <c r="H20" s="15"/>
    </row>
    <row r="21" spans="1:14">
      <c r="A21" s="234"/>
      <c r="B21" s="229"/>
      <c r="C21" s="229"/>
      <c r="D21" s="233"/>
    </row>
    <row r="22" spans="1:14">
      <c r="A22" s="234" t="s">
        <v>361</v>
      </c>
      <c r="B22" s="255">
        <f>WACC!G6</f>
        <v>5.2275596632821317E-2</v>
      </c>
      <c r="D22" s="229"/>
    </row>
    <row r="23" spans="1:14">
      <c r="A23" s="229" t="s">
        <v>325</v>
      </c>
      <c r="B23" s="235">
        <v>0.40200000000000002</v>
      </c>
      <c r="C23" s="229"/>
      <c r="D23" s="229"/>
    </row>
    <row r="25" spans="1:14">
      <c r="A25" s="229" t="s">
        <v>554</v>
      </c>
      <c r="B25" s="69" t="s">
        <v>360</v>
      </c>
      <c r="C25" s="152">
        <v>2011</v>
      </c>
      <c r="D25" s="152">
        <v>2012</v>
      </c>
      <c r="E25" s="152">
        <v>2013</v>
      </c>
      <c r="F25" s="152">
        <v>2014</v>
      </c>
      <c r="G25" s="153">
        <v>2015</v>
      </c>
    </row>
    <row r="26" spans="1:14">
      <c r="B26" s="256" t="s">
        <v>8</v>
      </c>
      <c r="C26" s="257">
        <v>1</v>
      </c>
      <c r="D26" s="257">
        <v>2</v>
      </c>
      <c r="E26" s="257">
        <v>3</v>
      </c>
      <c r="F26" s="257">
        <v>4</v>
      </c>
      <c r="G26" s="258">
        <v>5</v>
      </c>
    </row>
    <row r="27" spans="1:14">
      <c r="B27" s="259" t="s">
        <v>326</v>
      </c>
      <c r="C27" s="15">
        <f>C19*$B$23</f>
        <v>540.68444162810181</v>
      </c>
      <c r="D27" s="15">
        <f t="shared" ref="D27:G27" si="0">D19*$B$23</f>
        <v>509.00684162810177</v>
      </c>
      <c r="E27" s="15">
        <f t="shared" si="0"/>
        <v>485.57024162810183</v>
      </c>
      <c r="F27" s="15">
        <f t="shared" si="0"/>
        <v>466.31444162810175</v>
      </c>
      <c r="G27" s="28">
        <f t="shared" si="0"/>
        <v>249.55604162810178</v>
      </c>
    </row>
    <row r="28" spans="1:14">
      <c r="B28" s="259" t="s">
        <v>327</v>
      </c>
      <c r="C28" s="26">
        <f>C27/(1+$B$22)^C26</f>
        <v>513.8239861859754</v>
      </c>
      <c r="D28" s="26">
        <f t="shared" ref="D28:G28" si="1">D27/(1+$B$22)^D26</f>
        <v>459.68954055422273</v>
      </c>
      <c r="E28" s="26">
        <f t="shared" si="1"/>
        <v>416.73844476850888</v>
      </c>
      <c r="F28" s="26">
        <f t="shared" si="1"/>
        <v>380.33025144897834</v>
      </c>
      <c r="G28" s="263">
        <f t="shared" si="1"/>
        <v>193.42855814713496</v>
      </c>
    </row>
    <row r="29" spans="1:14">
      <c r="B29" s="262" t="s">
        <v>248</v>
      </c>
      <c r="C29" s="260"/>
      <c r="D29" s="260"/>
      <c r="E29" s="261"/>
      <c r="F29" s="261"/>
      <c r="G29" s="264">
        <f>SUM(C28:G28)</f>
        <v>1964.0107811048201</v>
      </c>
    </row>
    <row r="30" spans="1:14">
      <c r="B30" s="514" t="s">
        <v>552</v>
      </c>
    </row>
    <row r="31" spans="1:14">
      <c r="A31" s="236" t="s">
        <v>328</v>
      </c>
    </row>
    <row r="33" spans="1:4">
      <c r="A33" s="229"/>
      <c r="B33" s="229"/>
      <c r="C33" s="229"/>
      <c r="D33" s="229"/>
    </row>
    <row r="34" spans="1:4">
      <c r="C34" s="229"/>
      <c r="D34" s="229"/>
    </row>
    <row r="35" spans="1:4">
      <c r="A35" s="229"/>
    </row>
  </sheetData>
  <phoneticPr fontId="5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24"/>
  <sheetViews>
    <sheetView topLeftCell="A7" workbookViewId="0">
      <selection activeCell="F14" sqref="F14"/>
    </sheetView>
  </sheetViews>
  <sheetFormatPr baseColWidth="10" defaultColWidth="9.140625" defaultRowHeight="15"/>
  <cols>
    <col min="1" max="5" width="9.140625" style="238"/>
    <col min="6" max="6" width="54" style="238" customWidth="1"/>
    <col min="7" max="7" width="13" style="238" customWidth="1"/>
    <col min="8" max="8" width="12.5703125" style="238" customWidth="1"/>
    <col min="9" max="16384" width="9.140625" style="238"/>
  </cols>
  <sheetData>
    <row r="1" spans="1:9" ht="84">
      <c r="A1" s="237" t="s">
        <v>329</v>
      </c>
    </row>
    <row r="2" spans="1:9">
      <c r="A2" s="239"/>
      <c r="B2" s="551" t="s">
        <v>330</v>
      </c>
      <c r="C2" s="551"/>
      <c r="D2" s="551" t="s">
        <v>331</v>
      </c>
      <c r="E2" s="551"/>
    </row>
    <row r="3" spans="1:9" ht="36">
      <c r="A3" s="240" t="s">
        <v>332</v>
      </c>
      <c r="B3" s="239" t="s">
        <v>333</v>
      </c>
      <c r="C3" s="239" t="s">
        <v>334</v>
      </c>
      <c r="D3" s="239" t="s">
        <v>333</v>
      </c>
      <c r="E3" s="239" t="s">
        <v>334</v>
      </c>
    </row>
    <row r="4" spans="1:9">
      <c r="A4" s="241" t="s">
        <v>335</v>
      </c>
      <c r="B4" s="242">
        <v>0</v>
      </c>
      <c r="C4" s="242">
        <v>0.52</v>
      </c>
      <c r="D4" s="242">
        <v>0</v>
      </c>
      <c r="E4" s="242">
        <v>0.6</v>
      </c>
    </row>
    <row r="5" spans="1:9">
      <c r="A5" s="243" t="s">
        <v>336</v>
      </c>
      <c r="B5" s="244">
        <v>0.06</v>
      </c>
      <c r="C5" s="244">
        <v>0.52</v>
      </c>
      <c r="D5" s="244">
        <v>0</v>
      </c>
      <c r="E5" s="244">
        <v>1.5</v>
      </c>
      <c r="F5" s="248" t="s">
        <v>546</v>
      </c>
      <c r="G5" s="246" t="s">
        <v>339</v>
      </c>
      <c r="H5" s="515" t="s">
        <v>363</v>
      </c>
    </row>
    <row r="6" spans="1:9">
      <c r="A6" s="241" t="s">
        <v>337</v>
      </c>
      <c r="B6" s="242">
        <v>0.03</v>
      </c>
      <c r="C6" s="245">
        <v>1.29</v>
      </c>
      <c r="D6" s="242">
        <v>0.23</v>
      </c>
      <c r="E6" s="245">
        <v>2.91</v>
      </c>
      <c r="F6" s="249" t="s">
        <v>341</v>
      </c>
      <c r="G6" s="271">
        <f>((C6+C7)/2+(E6+E7)/2)/2/100</f>
        <v>4.7824999999999999E-2</v>
      </c>
      <c r="H6" s="272">
        <v>2.4199999999999999E-2</v>
      </c>
    </row>
    <row r="7" spans="1:9">
      <c r="A7" s="243" t="s">
        <v>338</v>
      </c>
      <c r="B7" s="244">
        <v>0.13</v>
      </c>
      <c r="C7" s="245">
        <v>4.6399999999999997</v>
      </c>
      <c r="D7" s="244">
        <v>0.32</v>
      </c>
      <c r="E7" s="245">
        <v>10.29</v>
      </c>
      <c r="I7" s="247"/>
    </row>
    <row r="8" spans="1:9">
      <c r="A8" s="241" t="s">
        <v>340</v>
      </c>
      <c r="B8" s="242">
        <v>2.65</v>
      </c>
      <c r="C8" s="242">
        <v>19.12</v>
      </c>
      <c r="D8" s="242">
        <v>1.74</v>
      </c>
      <c r="E8" s="242">
        <v>29.93</v>
      </c>
      <c r="H8" s="248"/>
    </row>
    <row r="9" spans="1:9">
      <c r="A9" s="243" t="s">
        <v>342</v>
      </c>
      <c r="B9" s="244">
        <v>11.86</v>
      </c>
      <c r="C9" s="244">
        <v>43.34</v>
      </c>
      <c r="D9" s="244">
        <v>8.48</v>
      </c>
      <c r="E9" s="244">
        <v>53.72</v>
      </c>
      <c r="G9" s="248"/>
      <c r="H9" s="248"/>
    </row>
    <row r="10" spans="1:9" ht="24">
      <c r="A10" s="241" t="s">
        <v>343</v>
      </c>
      <c r="B10" s="242">
        <v>16.579999999999998</v>
      </c>
      <c r="C10" s="242">
        <v>69.180000000000007</v>
      </c>
      <c r="D10" s="242">
        <v>44.81</v>
      </c>
      <c r="E10" s="242">
        <v>69.19</v>
      </c>
      <c r="F10" s="248" t="s">
        <v>344</v>
      </c>
      <c r="G10" s="250">
        <f>'Balance Sheet'!H24+'Balance Sheet'!H28+'Balance Sheet'!H34</f>
        <v>8693513</v>
      </c>
      <c r="H10" s="248" t="s">
        <v>345</v>
      </c>
    </row>
    <row r="11" spans="1:9">
      <c r="A11" s="243"/>
      <c r="B11" s="244"/>
      <c r="C11" s="244"/>
      <c r="D11" s="244"/>
      <c r="E11" s="244"/>
      <c r="F11" s="248" t="s">
        <v>346</v>
      </c>
      <c r="G11" s="251">
        <v>0.25</v>
      </c>
      <c r="H11" s="248" t="s">
        <v>347</v>
      </c>
    </row>
    <row r="12" spans="1:9" ht="24">
      <c r="A12" s="252" t="s">
        <v>348</v>
      </c>
      <c r="B12" s="244"/>
      <c r="C12" s="244"/>
      <c r="D12" s="244"/>
      <c r="E12" s="244"/>
      <c r="F12" s="248" t="s">
        <v>349</v>
      </c>
      <c r="G12" s="248">
        <f>G10*G11</f>
        <v>2173378.25</v>
      </c>
      <c r="H12" s="248" t="s">
        <v>345</v>
      </c>
    </row>
    <row r="13" spans="1:9" ht="24">
      <c r="A13" s="241" t="s">
        <v>350</v>
      </c>
      <c r="B13" s="242">
        <v>7.0000000000000007E-2</v>
      </c>
      <c r="C13" s="242">
        <v>2.09</v>
      </c>
      <c r="D13" s="242">
        <v>0.2</v>
      </c>
      <c r="E13" s="242">
        <v>4.1399999999999997</v>
      </c>
      <c r="F13" s="248" t="s">
        <v>553</v>
      </c>
    </row>
    <row r="14" spans="1:9" ht="36">
      <c r="A14" s="243" t="s">
        <v>351</v>
      </c>
      <c r="B14" s="244">
        <v>4.29</v>
      </c>
      <c r="C14" s="244">
        <v>31.37</v>
      </c>
      <c r="D14" s="244">
        <v>7.37</v>
      </c>
      <c r="E14" s="244">
        <v>42.35</v>
      </c>
      <c r="G14" s="143">
        <f>('Free Cash Flow'!O24+'Free Cash Flow'!O27-'Costs of Financial Distress'!G12)*'Costs of Financial Distress'!G6</f>
        <v>587885.69758137397</v>
      </c>
      <c r="H14" s="311">
        <f>('Free Cash Flow'!O24+'Free Cash Flow'!O27-'Costs of Financial Distress'!G12)*'Costs of Financial Distress'!H6</f>
        <v>297476.92381535284</v>
      </c>
    </row>
    <row r="15" spans="1:9">
      <c r="A15" s="253" t="s">
        <v>352</v>
      </c>
      <c r="B15" s="254">
        <v>0.1</v>
      </c>
      <c r="C15" s="254">
        <v>9.6999999999999993</v>
      </c>
      <c r="D15" s="254">
        <v>0.28999999999999998</v>
      </c>
      <c r="E15" s="254">
        <v>12.98</v>
      </c>
    </row>
    <row r="16" spans="1:9" ht="69" customHeight="1">
      <c r="A16" s="552" t="s">
        <v>353</v>
      </c>
      <c r="B16" s="552"/>
      <c r="C16" s="552"/>
      <c r="D16" s="552"/>
      <c r="E16" s="552"/>
      <c r="G16" s="238">
        <f>G12/1000</f>
        <v>2173.3782500000002</v>
      </c>
      <c r="H16" s="238">
        <f>H14/1000</f>
        <v>297.47692381535285</v>
      </c>
    </row>
    <row r="17" spans="1:7">
      <c r="A17" s="248" t="s">
        <v>354</v>
      </c>
    </row>
    <row r="20" spans="1:7">
      <c r="F20" s="515" t="s">
        <v>555</v>
      </c>
      <c r="G20" s="238">
        <v>2010</v>
      </c>
    </row>
    <row r="21" spans="1:7">
      <c r="F21" s="515" t="s">
        <v>556</v>
      </c>
      <c r="G21" s="272">
        <v>2.4199999999999999E-2</v>
      </c>
    </row>
    <row r="22" spans="1:7">
      <c r="F22" s="248" t="s">
        <v>225</v>
      </c>
      <c r="G22" s="238">
        <f>G10/1000</f>
        <v>8693.5130000000008</v>
      </c>
    </row>
    <row r="23" spans="1:7">
      <c r="F23" s="248" t="s">
        <v>557</v>
      </c>
    </row>
    <row r="24" spans="1:7">
      <c r="F24" s="515" t="s">
        <v>558</v>
      </c>
    </row>
  </sheetData>
  <mergeCells count="3">
    <mergeCell ref="B2:C2"/>
    <mergeCell ref="D2:E2"/>
    <mergeCell ref="A16:E16"/>
  </mergeCells>
  <phoneticPr fontId="5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26"/>
  <sheetViews>
    <sheetView showGridLines="0" topLeftCell="A16" workbookViewId="0">
      <selection activeCell="I28" sqref="I28"/>
    </sheetView>
  </sheetViews>
  <sheetFormatPr baseColWidth="10" defaultColWidth="9.140625" defaultRowHeight="15"/>
  <cols>
    <col min="1" max="1" width="23.7109375" bestFit="1" customWidth="1"/>
    <col min="2" max="2" width="11.7109375" bestFit="1" customWidth="1"/>
    <col min="3" max="9" width="13.140625" customWidth="1"/>
    <col min="10" max="10" width="10.5703125" bestFit="1" customWidth="1"/>
  </cols>
  <sheetData>
    <row r="1" spans="1:11">
      <c r="A1" s="36"/>
      <c r="B1" s="36">
        <v>2015</v>
      </c>
    </row>
    <row r="2" spans="1:11">
      <c r="A2" s="150" t="s">
        <v>236</v>
      </c>
      <c r="B2" s="146">
        <f>'Free Cash Flow'!O23/1000</f>
        <v>659.86570060503129</v>
      </c>
    </row>
    <row r="3" spans="1:11">
      <c r="A3" s="150" t="s">
        <v>237</v>
      </c>
      <c r="B3" s="146">
        <f>'Free Cash Flow'!O24/1000</f>
        <v>2564.4236543113652</v>
      </c>
      <c r="C3" s="67"/>
      <c r="D3" s="67"/>
      <c r="E3" s="67"/>
      <c r="F3" s="67"/>
      <c r="G3" s="67"/>
      <c r="H3" s="67"/>
      <c r="I3" s="67"/>
      <c r="J3" s="67"/>
      <c r="K3" s="67"/>
    </row>
    <row r="4" spans="1:11">
      <c r="A4" s="150" t="s">
        <v>315</v>
      </c>
      <c r="B4" s="146">
        <f>'Free Cash Flow'!O25/1000</f>
        <v>1964.0107811048201</v>
      </c>
      <c r="C4" s="67"/>
      <c r="D4" s="67"/>
      <c r="E4" s="67"/>
      <c r="F4" s="67"/>
      <c r="G4" s="67"/>
      <c r="H4" s="67"/>
      <c r="I4" s="67"/>
      <c r="J4" s="67"/>
      <c r="K4" s="67"/>
    </row>
    <row r="5" spans="1:11">
      <c r="A5" s="150" t="s">
        <v>316</v>
      </c>
      <c r="B5" s="13">
        <f>'Free Cash Flow'!O26/1000</f>
        <v>-297.47692381535285</v>
      </c>
      <c r="C5" s="67"/>
      <c r="D5" s="67"/>
      <c r="E5" s="67"/>
      <c r="F5" s="67"/>
      <c r="G5" s="67"/>
      <c r="H5" s="67"/>
      <c r="I5" s="67"/>
      <c r="J5" s="67"/>
      <c r="K5" s="67"/>
    </row>
    <row r="6" spans="1:11">
      <c r="A6" s="150" t="s">
        <v>255</v>
      </c>
      <c r="B6" s="146">
        <f>'Free Cash Flow'!O27/1000</f>
        <v>11901.389464091644</v>
      </c>
      <c r="C6" s="67"/>
      <c r="D6" s="67"/>
      <c r="E6" s="67"/>
      <c r="F6" s="67"/>
      <c r="G6" s="67"/>
      <c r="H6" s="67"/>
      <c r="I6" s="67"/>
      <c r="J6" s="67"/>
      <c r="K6" s="67"/>
    </row>
    <row r="7" spans="1:11">
      <c r="A7" s="150" t="s">
        <v>221</v>
      </c>
      <c r="B7" s="146">
        <f>(B3+B6+B4+B5)</f>
        <v>16132.346975692475</v>
      </c>
      <c r="C7" s="67"/>
      <c r="D7" s="67"/>
      <c r="E7" s="67"/>
      <c r="F7" s="67"/>
      <c r="G7" s="67"/>
      <c r="H7" s="67"/>
      <c r="I7" s="67"/>
      <c r="J7" s="67"/>
      <c r="K7" s="67"/>
    </row>
    <row r="8" spans="1:11">
      <c r="A8" s="150" t="s">
        <v>365</v>
      </c>
      <c r="B8" s="276">
        <f>[4]WACC!D28</f>
        <v>0.10112406015821113</v>
      </c>
      <c r="C8" s="277"/>
      <c r="D8" s="68"/>
      <c r="E8" s="67"/>
      <c r="F8" s="67"/>
      <c r="G8" s="67"/>
      <c r="H8" s="67"/>
      <c r="I8" s="67"/>
      <c r="J8" s="67"/>
      <c r="K8" s="67"/>
    </row>
    <row r="9" spans="1:11">
      <c r="A9" s="150" t="s">
        <v>366</v>
      </c>
      <c r="B9" s="276">
        <f>'[4]Free Cash Flow'!N63</f>
        <v>4.3279999999999999E-2</v>
      </c>
      <c r="C9" s="68"/>
      <c r="D9" s="68"/>
      <c r="E9" s="67"/>
      <c r="F9" s="67"/>
      <c r="G9" s="67"/>
      <c r="H9" s="67"/>
      <c r="I9" s="67"/>
      <c r="J9" s="67"/>
      <c r="K9" s="67"/>
    </row>
    <row r="10" spans="1:11">
      <c r="B10" s="13"/>
      <c r="C10" s="15"/>
      <c r="D10" s="278"/>
      <c r="E10" s="67"/>
      <c r="F10" s="67"/>
      <c r="G10" s="67"/>
      <c r="H10" s="67"/>
      <c r="I10" s="67"/>
      <c r="J10" s="67"/>
      <c r="K10" s="67"/>
    </row>
    <row r="11" spans="1:11">
      <c r="B11" s="204"/>
      <c r="C11" s="275"/>
      <c r="D11" s="275"/>
      <c r="E11" s="275"/>
      <c r="G11" s="275"/>
      <c r="H11" s="275"/>
      <c r="I11" s="275"/>
      <c r="J11" s="67"/>
      <c r="K11" s="67"/>
    </row>
    <row r="12" spans="1:11">
      <c r="B12" s="141"/>
      <c r="C12" s="541" t="s">
        <v>554</v>
      </c>
      <c r="D12" s="542"/>
      <c r="E12" s="542"/>
      <c r="F12" s="542" t="s">
        <v>573</v>
      </c>
      <c r="G12" s="542"/>
      <c r="H12" s="542"/>
      <c r="I12" s="542"/>
      <c r="J12" s="67"/>
      <c r="K12" s="67"/>
    </row>
    <row r="13" spans="1:11">
      <c r="B13" s="67"/>
      <c r="C13" s="542"/>
      <c r="D13" s="542"/>
      <c r="E13" s="543"/>
      <c r="F13" s="543"/>
      <c r="G13" s="543" t="s">
        <v>574</v>
      </c>
      <c r="H13" s="543"/>
      <c r="I13" s="543"/>
      <c r="J13" s="67"/>
      <c r="K13" s="67"/>
    </row>
    <row r="14" spans="1:11" ht="15.75" thickBot="1">
      <c r="B14" s="67"/>
      <c r="C14" s="543"/>
      <c r="D14" s="143">
        <f>$B$3+$B$4+$B$5+$B$2*(1+B9)/(B8-B9)</f>
        <v>16132.346975692473</v>
      </c>
      <c r="E14" s="544">
        <f>F14-0.01</f>
        <v>8.1124060158211136E-2</v>
      </c>
      <c r="F14" s="544">
        <f>G14-0.01</f>
        <v>9.1124060158211131E-2</v>
      </c>
      <c r="G14" s="545">
        <f>B8</f>
        <v>0.10112406015821113</v>
      </c>
      <c r="H14" s="544">
        <f>G14+0.01</f>
        <v>0.11112406015821112</v>
      </c>
      <c r="I14" s="544">
        <f>H14+0.01</f>
        <v>0.12112406015821112</v>
      </c>
      <c r="J14" s="67"/>
      <c r="K14" s="67"/>
    </row>
    <row r="15" spans="1:11">
      <c r="B15" s="67"/>
      <c r="C15" s="543"/>
      <c r="D15" s="546">
        <f>D16-0.01</f>
        <v>2.3279999999999995E-2</v>
      </c>
      <c r="E15" s="143">
        <f>$B$3+$B$4+$B$5+$B$2*(1+$D15)/(E$14-$D15)</f>
        <v>15904.193661834415</v>
      </c>
      <c r="F15" s="143">
        <f>$B$3+$B$4+$B$5+$B$2*(1+$D15)/(F$14-$D15)</f>
        <v>14183.595554496529</v>
      </c>
      <c r="G15" s="143">
        <f t="shared" ref="G15:I19" si="0">$B$3+$B$4+$B$5+$B$2*(1+$D15)/(G$14-$D15)</f>
        <v>12905.060233668217</v>
      </c>
      <c r="H15" s="143">
        <f t="shared" si="0"/>
        <v>11917.616949916883</v>
      </c>
      <c r="I15" s="143">
        <f t="shared" si="0"/>
        <v>11132.013876425561</v>
      </c>
      <c r="J15" s="67"/>
      <c r="K15" s="67"/>
    </row>
    <row r="16" spans="1:11">
      <c r="B16" s="67"/>
      <c r="C16" s="543"/>
      <c r="D16" s="546">
        <f>D17-0.01</f>
        <v>3.3279999999999997E-2</v>
      </c>
      <c r="E16" s="143">
        <f t="shared" ref="E16:E19" si="1">$B$3+$B$4+$B$5+$B$2*(1+$D16)/($E$14-$D16)</f>
        <v>18481.964404964368</v>
      </c>
      <c r="F16" s="538">
        <f t="shared" ref="F16:F19" si="2">$B$3+$B$4+$B$5+$B$2*(1+$D16)/(F$14-$D16)</f>
        <v>16018.270318763445</v>
      </c>
      <c r="G16" s="538">
        <f t="shared" si="0"/>
        <v>14280.857672811124</v>
      </c>
      <c r="H16" s="538">
        <f t="shared" si="0"/>
        <v>12989.827870307918</v>
      </c>
      <c r="I16" s="143">
        <f t="shared" si="0"/>
        <v>11992.734800733044</v>
      </c>
      <c r="J16" s="67"/>
      <c r="K16" s="67"/>
    </row>
    <row r="17" spans="2:11">
      <c r="B17" s="67"/>
      <c r="C17" s="543" t="s">
        <v>575</v>
      </c>
      <c r="D17" s="547">
        <f>B9</f>
        <v>4.3279999999999999E-2</v>
      </c>
      <c r="E17" s="143">
        <f t="shared" si="1"/>
        <v>22422.047084156846</v>
      </c>
      <c r="F17" s="538">
        <f t="shared" si="2"/>
        <v>18619.884493356323</v>
      </c>
      <c r="G17" s="539">
        <f t="shared" si="0"/>
        <v>16132.346975692473</v>
      </c>
      <c r="H17" s="538">
        <f t="shared" si="0"/>
        <v>14378.119791125717</v>
      </c>
      <c r="I17" s="143">
        <f t="shared" si="0"/>
        <v>13074.595506947622</v>
      </c>
      <c r="J17" s="67"/>
      <c r="K17" s="67"/>
    </row>
    <row r="18" spans="2:11">
      <c r="B18" s="67"/>
      <c r="C18" s="543"/>
      <c r="D18" s="546">
        <f>D17+0.01</f>
        <v>5.3280000000000001E-2</v>
      </c>
      <c r="E18" s="143">
        <f t="shared" si="1"/>
        <v>29192.236189498923</v>
      </c>
      <c r="F18" s="538">
        <f t="shared" si="2"/>
        <v>22596.411488463993</v>
      </c>
      <c r="G18" s="538">
        <f t="shared" si="0"/>
        <v>18757.804581748278</v>
      </c>
      <c r="H18" s="538">
        <f t="shared" si="0"/>
        <v>16246.423632621505</v>
      </c>
      <c r="I18" s="143">
        <f t="shared" si="0"/>
        <v>14475.381909440312</v>
      </c>
      <c r="J18" s="67"/>
      <c r="K18" s="67"/>
    </row>
    <row r="19" spans="2:11">
      <c r="B19" s="67"/>
      <c r="C19" s="543"/>
      <c r="D19" s="546">
        <f>D18+0.01</f>
        <v>6.3280000000000003E-2</v>
      </c>
      <c r="E19" s="143">
        <f t="shared" si="1"/>
        <v>43550.596423289826</v>
      </c>
      <c r="F19" s="143">
        <f t="shared" si="2"/>
        <v>29429.222353461962</v>
      </c>
      <c r="G19" s="143">
        <f t="shared" si="0"/>
        <v>22770.775892771147</v>
      </c>
      <c r="H19" s="143">
        <f t="shared" si="0"/>
        <v>18895.724670140233</v>
      </c>
      <c r="I19" s="143">
        <f t="shared" si="0"/>
        <v>16360.500289550535</v>
      </c>
      <c r="J19" s="67"/>
      <c r="K19" s="67"/>
    </row>
    <row r="20" spans="2:11">
      <c r="B20" s="67"/>
      <c r="J20" s="67"/>
      <c r="K20" s="67"/>
    </row>
    <row r="21" spans="2:11">
      <c r="B21" s="67"/>
      <c r="J21" s="67"/>
      <c r="K21" s="67"/>
    </row>
    <row r="22" spans="2:11">
      <c r="B22" s="67"/>
      <c r="C22" s="141"/>
      <c r="D22" s="141"/>
      <c r="E22" s="141"/>
      <c r="F22" s="141"/>
      <c r="G22" s="141"/>
      <c r="H22" s="141" t="s">
        <v>221</v>
      </c>
      <c r="I22" s="141" t="s">
        <v>576</v>
      </c>
      <c r="J22" s="141"/>
      <c r="K22" s="67"/>
    </row>
    <row r="23" spans="2:11">
      <c r="B23" s="67"/>
      <c r="C23" s="141" t="s">
        <v>577</v>
      </c>
      <c r="D23" s="141"/>
      <c r="E23" s="141"/>
      <c r="F23" s="141"/>
      <c r="G23" s="141"/>
      <c r="H23" s="540">
        <f>$G$17</f>
        <v>16132.346975692473</v>
      </c>
      <c r="I23" s="141">
        <f>15773338.0689619/1000</f>
        <v>15773.338068961899</v>
      </c>
      <c r="J23" s="540">
        <f>I23-H23</f>
        <v>-359.00890673057438</v>
      </c>
      <c r="K23" s="67"/>
    </row>
    <row r="24" spans="2:11">
      <c r="B24" s="67"/>
      <c r="C24" s="141" t="s">
        <v>578</v>
      </c>
      <c r="D24" s="141"/>
      <c r="E24" s="141"/>
      <c r="F24" s="141"/>
      <c r="G24" s="141"/>
      <c r="H24" s="540">
        <f t="shared" ref="H24:H26" si="3">$G$17</f>
        <v>16132.346975692473</v>
      </c>
      <c r="I24" s="141">
        <f>16496902.8049334/1000</f>
        <v>16496.902804933401</v>
      </c>
      <c r="J24" s="540">
        <f>I24-H24</f>
        <v>364.55582924092778</v>
      </c>
      <c r="K24" s="67"/>
    </row>
    <row r="25" spans="2:11">
      <c r="B25" s="67"/>
      <c r="C25" s="141" t="s">
        <v>579</v>
      </c>
      <c r="D25" s="141"/>
      <c r="E25" s="141"/>
      <c r="F25" s="141"/>
      <c r="G25" s="141"/>
      <c r="H25" s="540">
        <f t="shared" si="3"/>
        <v>16132.346975692473</v>
      </c>
      <c r="I25" s="141">
        <f>15795683.448582/1000</f>
        <v>15795.683448582</v>
      </c>
      <c r="J25" s="540">
        <f>I25-H25</f>
        <v>-336.6635271104733</v>
      </c>
      <c r="K25" s="67"/>
    </row>
    <row r="26" spans="2:11">
      <c r="B26" s="67"/>
      <c r="C26" s="141" t="s">
        <v>580</v>
      </c>
      <c r="D26" s="141"/>
      <c r="E26" s="141"/>
      <c r="F26" s="141"/>
      <c r="G26" s="141"/>
      <c r="H26" s="540">
        <f t="shared" si="3"/>
        <v>16132.346975692473</v>
      </c>
      <c r="I26" s="141">
        <f>16468999.7681843/1000</f>
        <v>16468.999768184302</v>
      </c>
      <c r="J26" s="540">
        <f>I26-H26</f>
        <v>336.65279249182822</v>
      </c>
      <c r="K26" s="67"/>
    </row>
  </sheetData>
  <phoneticPr fontId="50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107"/>
  <sheetViews>
    <sheetView topLeftCell="A2" zoomScale="70" zoomScaleNormal="70" workbookViewId="0">
      <selection activeCell="L28" sqref="L28"/>
    </sheetView>
  </sheetViews>
  <sheetFormatPr baseColWidth="10" defaultColWidth="8.85546875" defaultRowHeight="15"/>
  <cols>
    <col min="1" max="1" width="3.28515625" customWidth="1"/>
    <col min="2" max="2" width="42.140625" customWidth="1"/>
    <col min="3" max="6" width="15.42578125" customWidth="1"/>
    <col min="8" max="8" width="9.7109375" customWidth="1"/>
    <col min="9" max="13" width="13.85546875" customWidth="1"/>
    <col min="14" max="14" width="3.28515625" customWidth="1"/>
  </cols>
  <sheetData>
    <row r="1" spans="1:14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</row>
    <row r="2" spans="1:14" ht="10.9" customHeight="1">
      <c r="A2" s="312"/>
      <c r="B2" s="553">
        <v>2010</v>
      </c>
      <c r="C2" s="554"/>
      <c r="D2" s="554"/>
      <c r="E2" s="554"/>
      <c r="F2" s="555"/>
      <c r="G2" s="312"/>
      <c r="H2" s="312"/>
      <c r="I2" s="312"/>
      <c r="J2" s="312"/>
      <c r="K2" s="312"/>
      <c r="L2" s="312"/>
      <c r="M2" s="312"/>
      <c r="N2" s="312"/>
    </row>
    <row r="3" spans="1:14" ht="10.9" customHeight="1">
      <c r="A3" s="312"/>
      <c r="B3" s="556"/>
      <c r="C3" s="557"/>
      <c r="D3" s="557"/>
      <c r="E3" s="557"/>
      <c r="F3" s="558"/>
      <c r="G3" s="312"/>
      <c r="H3" s="312"/>
      <c r="I3" s="312"/>
      <c r="J3" s="312"/>
      <c r="K3" s="312"/>
      <c r="L3" s="312"/>
      <c r="M3" s="312"/>
      <c r="N3" s="312"/>
    </row>
    <row r="4" spans="1:14" ht="16.899999999999999" customHeight="1">
      <c r="A4" s="312"/>
      <c r="B4" s="317"/>
      <c r="C4" s="318" t="s">
        <v>426</v>
      </c>
      <c r="D4" s="314" t="s">
        <v>427</v>
      </c>
      <c r="E4" s="315" t="s">
        <v>428</v>
      </c>
      <c r="F4" s="316" t="s">
        <v>429</v>
      </c>
      <c r="G4" s="312"/>
      <c r="H4" s="312"/>
      <c r="I4" s="312"/>
      <c r="J4" s="312"/>
      <c r="K4" s="312"/>
      <c r="L4" s="312"/>
      <c r="M4" s="312"/>
      <c r="N4" s="312"/>
    </row>
    <row r="5" spans="1:14" ht="9.6" customHeight="1">
      <c r="A5" s="312"/>
      <c r="B5" s="321"/>
      <c r="C5" s="322"/>
      <c r="D5" s="320"/>
      <c r="E5" s="320"/>
      <c r="F5" s="320"/>
      <c r="G5" s="312"/>
      <c r="H5" s="312"/>
      <c r="I5" s="312"/>
      <c r="J5" s="312"/>
      <c r="K5" s="312"/>
      <c r="L5" s="312"/>
      <c r="M5" s="312"/>
      <c r="N5" s="312"/>
    </row>
    <row r="6" spans="1:14" ht="16.899999999999999" customHeight="1">
      <c r="A6" s="312"/>
      <c r="B6" s="323" t="s">
        <v>430</v>
      </c>
      <c r="C6" s="326">
        <v>51166.8</v>
      </c>
      <c r="D6" s="324">
        <v>3.13</v>
      </c>
      <c r="E6" s="324">
        <v>7.18</v>
      </c>
      <c r="F6" s="325">
        <v>8.5</v>
      </c>
      <c r="G6" s="312"/>
      <c r="H6" s="313"/>
      <c r="I6" s="312"/>
      <c r="J6" s="312"/>
      <c r="K6" s="312"/>
      <c r="L6" s="312"/>
      <c r="M6" s="312"/>
      <c r="N6" s="312"/>
    </row>
    <row r="7" spans="1:14" ht="16.899999999999999" customHeight="1">
      <c r="A7" s="312"/>
      <c r="B7" s="327" t="s">
        <v>436</v>
      </c>
      <c r="C7" s="331">
        <v>27818.799999999999</v>
      </c>
      <c r="D7" s="332">
        <v>7.3</v>
      </c>
      <c r="E7" s="332">
        <v>21.2</v>
      </c>
      <c r="F7" s="329">
        <v>26.75</v>
      </c>
      <c r="G7" s="312"/>
      <c r="H7" s="330"/>
      <c r="I7" s="330" t="s">
        <v>431</v>
      </c>
      <c r="J7" s="330" t="s">
        <v>432</v>
      </c>
      <c r="K7" s="330" t="s">
        <v>433</v>
      </c>
      <c r="L7" s="330" t="s">
        <v>434</v>
      </c>
      <c r="M7" s="330" t="s">
        <v>435</v>
      </c>
      <c r="N7" s="312"/>
    </row>
    <row r="8" spans="1:14" ht="16.899999999999999" customHeight="1">
      <c r="A8" s="312"/>
      <c r="B8" s="327" t="s">
        <v>437</v>
      </c>
      <c r="C8" s="331">
        <v>16128.1</v>
      </c>
      <c r="D8" s="328">
        <v>3.27</v>
      </c>
      <c r="E8" s="328">
        <v>9.6300000000000008</v>
      </c>
      <c r="F8" s="333">
        <v>12.36</v>
      </c>
      <c r="G8" s="312"/>
      <c r="H8" s="321" t="s">
        <v>427</v>
      </c>
      <c r="I8" s="334">
        <f>$D$29</f>
        <v>9759865.7999999989</v>
      </c>
      <c r="J8" s="334">
        <f>$D$31-$D$29</f>
        <v>2759962.0500000007</v>
      </c>
      <c r="K8" s="334">
        <f>$D$30-$D$31</f>
        <v>559992.30000000075</v>
      </c>
      <c r="L8" s="334">
        <f>$D$32-$D$30</f>
        <v>12959821.799999999</v>
      </c>
      <c r="M8" s="334">
        <f>$D$28-$D$32</f>
        <v>3159956.5500000007</v>
      </c>
      <c r="N8" s="312"/>
    </row>
    <row r="9" spans="1:14" ht="16.899999999999999" customHeight="1">
      <c r="A9" s="312"/>
      <c r="B9" s="327" t="s">
        <v>438</v>
      </c>
      <c r="C9" s="331">
        <v>29396.7</v>
      </c>
      <c r="D9" s="328">
        <v>2.44</v>
      </c>
      <c r="E9" s="328">
        <v>11.11</v>
      </c>
      <c r="F9" s="333">
        <v>14.67</v>
      </c>
      <c r="G9" s="312"/>
      <c r="H9" s="321" t="s">
        <v>428</v>
      </c>
      <c r="I9" s="334">
        <f>$E$29</f>
        <v>3273814.34</v>
      </c>
      <c r="J9" s="334">
        <f>$E$31-$E$29</f>
        <v>706742.65000000037</v>
      </c>
      <c r="K9" s="334">
        <f>$E$30-$E$31</f>
        <v>410366.70000000019</v>
      </c>
      <c r="L9" s="334">
        <f>$E$32-$E$30</f>
        <v>2975158.5750000002</v>
      </c>
      <c r="M9" s="334">
        <f>$E$28-$E$32</f>
        <v>2300333.334999999</v>
      </c>
      <c r="N9" s="312"/>
    </row>
    <row r="10" spans="1:14" ht="16.899999999999999" customHeight="1">
      <c r="A10" s="312"/>
      <c r="B10" s="327" t="s">
        <v>439</v>
      </c>
      <c r="C10" s="331">
        <v>29064.400000000001</v>
      </c>
      <c r="D10" s="328">
        <v>5.72</v>
      </c>
      <c r="E10" s="328">
        <v>8.73</v>
      </c>
      <c r="F10" s="333">
        <v>9.33</v>
      </c>
      <c r="G10" s="312"/>
      <c r="H10" s="321" t="s">
        <v>429</v>
      </c>
      <c r="I10" s="334">
        <f>$F$29</f>
        <v>-335580</v>
      </c>
      <c r="J10" s="334">
        <f>$F$31-$F$29</f>
        <v>-32768.400000000023</v>
      </c>
      <c r="K10" s="334">
        <f>$F$30-$F$31</f>
        <v>-119624.39999999997</v>
      </c>
      <c r="L10" s="334">
        <f>F38</f>
        <v>-329658.00000000006</v>
      </c>
      <c r="M10" s="334">
        <f>$F$28-$F$32</f>
        <v>-238459.19999999995</v>
      </c>
      <c r="N10" s="312"/>
    </row>
    <row r="11" spans="1:14" ht="16.899999999999999" customHeight="1">
      <c r="A11" s="312"/>
      <c r="B11" s="335" t="s">
        <v>440</v>
      </c>
      <c r="C11" s="336">
        <v>18519.599999999999</v>
      </c>
      <c r="D11" s="337">
        <v>4.47</v>
      </c>
      <c r="E11" s="337">
        <v>34.04</v>
      </c>
      <c r="F11" s="338">
        <v>504.7</v>
      </c>
      <c r="G11" s="312"/>
      <c r="H11" s="321" t="s">
        <v>441</v>
      </c>
      <c r="I11" s="334">
        <f>F48</f>
        <v>15253539.249087363</v>
      </c>
      <c r="J11" s="334"/>
      <c r="K11" s="334"/>
      <c r="L11" s="334"/>
      <c r="M11" s="334">
        <f>F47</f>
        <v>20060393.373204231</v>
      </c>
      <c r="N11" s="312"/>
    </row>
    <row r="12" spans="1:14" ht="16.899999999999999" customHeight="1">
      <c r="A12" s="312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</row>
    <row r="13" spans="1:14" ht="16.899999999999999" customHeight="1">
      <c r="A13" s="312"/>
      <c r="B13" s="339" t="s">
        <v>442</v>
      </c>
      <c r="C13" s="340"/>
      <c r="D13" s="341"/>
      <c r="E13" s="341" t="s">
        <v>443</v>
      </c>
      <c r="F13" s="342" t="s">
        <v>443</v>
      </c>
      <c r="G13" s="312"/>
      <c r="H13" s="312"/>
      <c r="I13" s="312"/>
      <c r="J13" s="312"/>
      <c r="K13" s="312"/>
      <c r="L13" s="312"/>
      <c r="M13" s="312"/>
      <c r="N13" s="312"/>
    </row>
    <row r="14" spans="1:14" ht="16.899999999999999" customHeight="1">
      <c r="A14" s="312"/>
      <c r="B14" s="323" t="s">
        <v>435</v>
      </c>
      <c r="C14" s="319"/>
      <c r="D14" s="343">
        <f>MAX(D6:D10)</f>
        <v>7.3</v>
      </c>
      <c r="E14" s="343">
        <f t="shared" ref="E14:F14" si="0">MAX(E6:E10)</f>
        <v>21.2</v>
      </c>
      <c r="F14" s="344">
        <f t="shared" si="0"/>
        <v>26.75</v>
      </c>
      <c r="G14" s="312"/>
      <c r="H14" s="312"/>
      <c r="I14" s="312"/>
      <c r="J14" s="312"/>
      <c r="K14" s="312"/>
      <c r="L14" s="312"/>
      <c r="M14" s="312"/>
      <c r="N14" s="312"/>
    </row>
    <row r="15" spans="1:14" ht="16.899999999999999" customHeight="1">
      <c r="A15" s="312"/>
      <c r="B15" s="327" t="s">
        <v>431</v>
      </c>
      <c r="C15" s="321"/>
      <c r="D15" s="345">
        <f>MIN(D6:D10)</f>
        <v>2.44</v>
      </c>
      <c r="E15" s="345">
        <f t="shared" ref="E15:F15" si="1">MIN(E6:E10)</f>
        <v>7.18</v>
      </c>
      <c r="F15" s="346">
        <f t="shared" si="1"/>
        <v>8.5</v>
      </c>
      <c r="G15" s="312"/>
      <c r="H15" s="312"/>
      <c r="I15" s="312"/>
      <c r="J15" s="312"/>
      <c r="K15" s="312"/>
      <c r="L15" s="312"/>
      <c r="M15" s="312"/>
      <c r="N15" s="312"/>
    </row>
    <row r="16" spans="1:14" ht="16.899999999999999" customHeight="1">
      <c r="A16" s="312"/>
      <c r="B16" s="327" t="s">
        <v>433</v>
      </c>
      <c r="C16" s="321"/>
      <c r="D16" s="345">
        <f>MEDIAN(D6:D10)</f>
        <v>3.27</v>
      </c>
      <c r="E16" s="345">
        <f t="shared" ref="E16:F16" si="2">MEDIAN(E6:E10)</f>
        <v>9.6300000000000008</v>
      </c>
      <c r="F16" s="346">
        <f t="shared" si="2"/>
        <v>12.36</v>
      </c>
      <c r="G16" s="312"/>
      <c r="H16" s="312"/>
      <c r="I16" s="312"/>
      <c r="J16" s="312"/>
      <c r="K16" s="312"/>
      <c r="L16" s="312"/>
      <c r="M16" s="312"/>
      <c r="N16" s="312"/>
    </row>
    <row r="17" spans="1:14" ht="16.899999999999999" customHeight="1">
      <c r="A17" s="312"/>
      <c r="B17" s="327" t="s">
        <v>432</v>
      </c>
      <c r="C17" s="321"/>
      <c r="D17" s="345">
        <f>QUARTILE(D6:D10,1)</f>
        <v>3.13</v>
      </c>
      <c r="E17" s="345">
        <f t="shared" ref="E17:F17" si="3">QUARTILE(E6:E10,1)</f>
        <v>8.73</v>
      </c>
      <c r="F17" s="346">
        <f t="shared" si="3"/>
        <v>9.33</v>
      </c>
      <c r="G17" s="312"/>
      <c r="H17" s="312"/>
      <c r="I17" s="312"/>
      <c r="J17" s="312"/>
      <c r="K17" s="312"/>
      <c r="L17" s="312"/>
      <c r="M17" s="312"/>
      <c r="N17" s="312"/>
    </row>
    <row r="18" spans="1:14" ht="16.899999999999999" customHeight="1">
      <c r="A18" s="312"/>
      <c r="B18" s="327" t="s">
        <v>434</v>
      </c>
      <c r="C18" s="321"/>
      <c r="D18" s="345">
        <f>_xlfn.QUARTILE.EXC(D6:D10,3)</f>
        <v>6.51</v>
      </c>
      <c r="E18" s="345">
        <f t="shared" ref="E18:F18" si="4">_xlfn.QUARTILE.EXC(E6:E10,3)</f>
        <v>16.155000000000001</v>
      </c>
      <c r="F18" s="346">
        <f t="shared" si="4"/>
        <v>20.71</v>
      </c>
      <c r="G18" s="312"/>
      <c r="H18" s="312"/>
      <c r="I18" s="312"/>
      <c r="J18" s="312"/>
      <c r="K18" s="312"/>
      <c r="L18" s="312"/>
      <c r="M18" s="312"/>
      <c r="N18" s="312"/>
    </row>
    <row r="19" spans="1:14" ht="16.899999999999999" customHeight="1">
      <c r="A19" s="312"/>
      <c r="B19" s="327" t="s">
        <v>312</v>
      </c>
      <c r="C19" s="321"/>
      <c r="D19" s="345">
        <f>AVERAGE(D6:D10)</f>
        <v>4.3719999999999999</v>
      </c>
      <c r="E19" s="345">
        <f t="shared" ref="E19:F19" si="5">AVERAGE(E6:E10)</f>
        <v>11.569999999999999</v>
      </c>
      <c r="F19" s="346">
        <f t="shared" si="5"/>
        <v>14.321999999999999</v>
      </c>
      <c r="G19" s="312"/>
      <c r="H19" s="312"/>
      <c r="I19" s="312"/>
      <c r="J19" s="312"/>
      <c r="K19" s="312"/>
      <c r="L19" s="312"/>
      <c r="M19" s="312"/>
      <c r="N19" s="312"/>
    </row>
    <row r="20" spans="1:14" ht="16.899999999999999" customHeight="1">
      <c r="A20" s="312"/>
      <c r="B20" s="347" t="s">
        <v>444</v>
      </c>
      <c r="C20" s="348"/>
      <c r="D20" s="349">
        <f>_xlfn.STDEV.P(D14:D18)</f>
        <v>1.9752974459559245</v>
      </c>
      <c r="E20" s="349">
        <f t="shared" ref="E20:F20" si="6">_xlfn.STDEV.P(E14:E18)</f>
        <v>5.2871546222897647</v>
      </c>
      <c r="F20" s="350">
        <f t="shared" si="6"/>
        <v>7.0799802259610818</v>
      </c>
      <c r="G20" s="313" t="s">
        <v>445</v>
      </c>
      <c r="H20" s="312"/>
      <c r="I20" s="312"/>
      <c r="J20" s="312"/>
      <c r="K20" s="312"/>
      <c r="L20" s="312"/>
      <c r="M20" s="312"/>
      <c r="N20" s="312"/>
    </row>
    <row r="21" spans="1:14" ht="16.899999999999999" customHeight="1">
      <c r="A21" s="312"/>
      <c r="B21" s="323" t="s">
        <v>446</v>
      </c>
      <c r="C21" s="319"/>
      <c r="D21" s="343">
        <f>D15</f>
        <v>2.44</v>
      </c>
      <c r="E21" s="343">
        <f t="shared" ref="E21:F21" si="7">E15</f>
        <v>7.18</v>
      </c>
      <c r="F21" s="344">
        <f t="shared" si="7"/>
        <v>8.5</v>
      </c>
      <c r="G21" s="312"/>
      <c r="H21" s="312"/>
      <c r="I21" s="312"/>
      <c r="J21" s="312"/>
      <c r="K21" s="312"/>
      <c r="L21" s="312"/>
      <c r="M21" s="312"/>
      <c r="N21" s="312"/>
    </row>
    <row r="22" spans="1:14" ht="16.899999999999999" customHeight="1">
      <c r="A22" s="312"/>
      <c r="B22" s="327" t="s">
        <v>447</v>
      </c>
      <c r="C22" s="321"/>
      <c r="D22" s="345">
        <f>D17-D15</f>
        <v>0.69</v>
      </c>
      <c r="E22" s="345">
        <f t="shared" ref="E22:F22" si="8">E17-E15</f>
        <v>1.5500000000000007</v>
      </c>
      <c r="F22" s="346">
        <f t="shared" si="8"/>
        <v>0.83000000000000007</v>
      </c>
      <c r="G22" s="312"/>
      <c r="H22" s="312"/>
      <c r="I22" s="312"/>
      <c r="J22" s="312"/>
      <c r="K22" s="312"/>
      <c r="L22" s="312"/>
      <c r="M22" s="312"/>
      <c r="N22" s="312"/>
    </row>
    <row r="23" spans="1:14" ht="16.899999999999999" customHeight="1">
      <c r="A23" s="312"/>
      <c r="B23" s="327" t="s">
        <v>448</v>
      </c>
      <c r="C23" s="321"/>
      <c r="D23" s="345">
        <f>D16-D17</f>
        <v>0.14000000000000012</v>
      </c>
      <c r="E23" s="345">
        <f t="shared" ref="E23:F23" si="9">E16-E17</f>
        <v>0.90000000000000036</v>
      </c>
      <c r="F23" s="346">
        <f t="shared" si="9"/>
        <v>3.0299999999999994</v>
      </c>
      <c r="G23" s="312"/>
      <c r="H23" s="312"/>
      <c r="I23" s="312"/>
      <c r="J23" s="312"/>
      <c r="K23" s="312"/>
      <c r="L23" s="312"/>
      <c r="M23" s="312"/>
      <c r="N23" s="312"/>
    </row>
    <row r="24" spans="1:14" ht="16.899999999999999" customHeight="1">
      <c r="A24" s="312"/>
      <c r="B24" s="327" t="s">
        <v>449</v>
      </c>
      <c r="C24" s="321"/>
      <c r="D24" s="345">
        <f>D18-D16</f>
        <v>3.2399999999999998</v>
      </c>
      <c r="E24" s="345">
        <f t="shared" ref="E24:F24" si="10">E18-E16</f>
        <v>6.5250000000000004</v>
      </c>
      <c r="F24" s="346">
        <f t="shared" si="10"/>
        <v>8.3500000000000014</v>
      </c>
      <c r="G24" s="312"/>
      <c r="H24" s="312"/>
      <c r="I24" s="312"/>
      <c r="J24" s="312"/>
      <c r="K24" s="312"/>
      <c r="L24" s="312"/>
      <c r="M24" s="312"/>
      <c r="N24" s="312"/>
    </row>
    <row r="25" spans="1:14" ht="16.899999999999999" customHeight="1">
      <c r="A25" s="321"/>
      <c r="B25" s="351" t="s">
        <v>450</v>
      </c>
      <c r="C25" s="352"/>
      <c r="D25" s="353">
        <f>D14-D18</f>
        <v>0.79</v>
      </c>
      <c r="E25" s="353">
        <f t="shared" ref="E25:F25" si="11">E14-E18</f>
        <v>5.0449999999999982</v>
      </c>
      <c r="F25" s="354">
        <f t="shared" si="11"/>
        <v>6.0399999999999991</v>
      </c>
      <c r="G25" s="312"/>
      <c r="H25" s="312"/>
      <c r="I25" s="312"/>
      <c r="J25" s="312"/>
      <c r="K25" s="312"/>
      <c r="L25" s="312"/>
      <c r="M25" s="312"/>
      <c r="N25" s="312"/>
    </row>
    <row r="26" spans="1:14" ht="16.899999999999999" customHeight="1">
      <c r="A26" s="312"/>
      <c r="B26" s="321"/>
      <c r="C26" s="321"/>
      <c r="D26" s="355"/>
      <c r="E26" s="355"/>
      <c r="F26" s="355"/>
      <c r="G26" s="312"/>
      <c r="H26" s="312"/>
      <c r="I26" s="312"/>
      <c r="J26" s="312"/>
      <c r="K26" s="312"/>
      <c r="L26" s="312"/>
      <c r="M26" s="312"/>
      <c r="N26" s="312"/>
    </row>
    <row r="27" spans="1:14" ht="16.899999999999999" customHeight="1">
      <c r="A27" s="312"/>
      <c r="B27" s="339" t="s">
        <v>440</v>
      </c>
      <c r="C27" s="340"/>
      <c r="D27" s="314" t="s">
        <v>451</v>
      </c>
      <c r="E27" s="315" t="s">
        <v>452</v>
      </c>
      <c r="F27" s="316" t="s">
        <v>453</v>
      </c>
      <c r="G27" s="312"/>
      <c r="H27" s="312"/>
      <c r="I27" s="312"/>
      <c r="J27" s="312"/>
      <c r="K27" s="312"/>
      <c r="L27" s="312"/>
      <c r="M27" s="312"/>
      <c r="N27" s="312"/>
    </row>
    <row r="28" spans="1:14" ht="16.899999999999999" customHeight="1">
      <c r="A28" s="312"/>
      <c r="B28" s="323" t="s">
        <v>435</v>
      </c>
      <c r="C28" s="319"/>
      <c r="D28" s="356">
        <f>D14*$C$41</f>
        <v>29199598.5</v>
      </c>
      <c r="E28" s="356">
        <f t="shared" ref="E28:E34" si="12">E14*$C$42</f>
        <v>9666415.5999999996</v>
      </c>
      <c r="F28" s="357">
        <f t="shared" ref="F28:F34" si="13">F14*$C$43</f>
        <v>-1056090</v>
      </c>
      <c r="G28" s="312"/>
      <c r="H28" s="312"/>
      <c r="I28" s="312"/>
      <c r="J28" s="312"/>
      <c r="K28" s="312"/>
      <c r="L28" s="312"/>
      <c r="M28" s="312"/>
      <c r="N28" s="312"/>
    </row>
    <row r="29" spans="1:14" ht="16.899999999999999" customHeight="1">
      <c r="A29" s="312"/>
      <c r="B29" s="327" t="s">
        <v>431</v>
      </c>
      <c r="C29" s="321"/>
      <c r="D29" s="355">
        <f>D15*$C$41</f>
        <v>9759865.7999999989</v>
      </c>
      <c r="E29" s="355">
        <f t="shared" si="12"/>
        <v>3273814.34</v>
      </c>
      <c r="F29" s="358">
        <f t="shared" si="13"/>
        <v>-335580</v>
      </c>
      <c r="G29" s="312"/>
      <c r="H29" s="312"/>
      <c r="I29" s="312"/>
      <c r="J29" s="312"/>
      <c r="K29" s="312"/>
      <c r="L29" s="312"/>
      <c r="M29" s="312"/>
      <c r="N29" s="312"/>
    </row>
    <row r="30" spans="1:14" ht="16.899999999999999" customHeight="1">
      <c r="A30" s="312"/>
      <c r="B30" s="327" t="s">
        <v>433</v>
      </c>
      <c r="C30" s="321"/>
      <c r="D30" s="355">
        <f t="shared" ref="D30:D34" si="14">D16*$C$41</f>
        <v>13079820.15</v>
      </c>
      <c r="E30" s="355">
        <f t="shared" si="12"/>
        <v>4390923.6900000004</v>
      </c>
      <c r="F30" s="358">
        <f t="shared" si="13"/>
        <v>-487972.8</v>
      </c>
      <c r="G30" s="312"/>
      <c r="H30" s="312"/>
      <c r="I30" s="312"/>
      <c r="J30" s="312"/>
      <c r="K30" s="312"/>
      <c r="L30" s="312"/>
      <c r="M30" s="312"/>
      <c r="N30" s="312"/>
    </row>
    <row r="31" spans="1:14" ht="16.899999999999999" customHeight="1">
      <c r="A31" s="312"/>
      <c r="B31" s="327" t="s">
        <v>432</v>
      </c>
      <c r="C31" s="321"/>
      <c r="D31" s="355">
        <f t="shared" si="14"/>
        <v>12519827.85</v>
      </c>
      <c r="E31" s="355">
        <f t="shared" si="12"/>
        <v>3980556.99</v>
      </c>
      <c r="F31" s="358">
        <f t="shared" si="13"/>
        <v>-368348.4</v>
      </c>
      <c r="G31" s="312"/>
      <c r="H31" s="312"/>
      <c r="I31" s="312"/>
      <c r="J31" s="312"/>
      <c r="K31" s="312"/>
      <c r="L31" s="312"/>
      <c r="M31" s="312"/>
      <c r="N31" s="312"/>
    </row>
    <row r="32" spans="1:14" ht="16.899999999999999" customHeight="1">
      <c r="A32" s="312"/>
      <c r="B32" s="327" t="s">
        <v>434</v>
      </c>
      <c r="C32" s="321"/>
      <c r="D32" s="355">
        <f t="shared" si="14"/>
        <v>26039641.949999999</v>
      </c>
      <c r="E32" s="355">
        <f t="shared" si="12"/>
        <v>7366082.2650000006</v>
      </c>
      <c r="F32" s="358">
        <f t="shared" si="13"/>
        <v>-817630.8</v>
      </c>
      <c r="G32" s="312"/>
      <c r="H32" s="312"/>
      <c r="I32" s="312"/>
      <c r="J32" s="312"/>
      <c r="K32" s="312"/>
      <c r="L32" s="312"/>
      <c r="M32" s="312"/>
      <c r="N32" s="312"/>
    </row>
    <row r="33" spans="1:14" ht="16.899999999999999" customHeight="1">
      <c r="A33" s="312"/>
      <c r="B33" s="327" t="s">
        <v>312</v>
      </c>
      <c r="C33" s="321"/>
      <c r="D33" s="355">
        <f t="shared" si="14"/>
        <v>17487759.539999999</v>
      </c>
      <c r="E33" s="355">
        <f t="shared" si="12"/>
        <v>5275491.9099999992</v>
      </c>
      <c r="F33" s="358">
        <f t="shared" si="13"/>
        <v>-565432.55999999994</v>
      </c>
      <c r="G33" s="312"/>
      <c r="H33" s="312"/>
      <c r="I33" s="312"/>
      <c r="J33" s="312"/>
      <c r="K33" s="312"/>
      <c r="L33" s="312"/>
      <c r="M33" s="312"/>
      <c r="N33" s="312"/>
    </row>
    <row r="34" spans="1:14" ht="16.899999999999999" customHeight="1">
      <c r="A34" s="312"/>
      <c r="B34" s="351" t="s">
        <v>444</v>
      </c>
      <c r="C34" s="352"/>
      <c r="D34" s="355">
        <f t="shared" si="14"/>
        <v>7901081.1424641702</v>
      </c>
      <c r="E34" s="359">
        <f t="shared" si="12"/>
        <v>2410746.883043108</v>
      </c>
      <c r="F34" s="360">
        <f t="shared" si="13"/>
        <v>-279517.61932094349</v>
      </c>
      <c r="G34" s="312"/>
      <c r="H34" s="312"/>
      <c r="I34" s="312"/>
      <c r="J34" s="312"/>
      <c r="K34" s="312"/>
      <c r="L34" s="312"/>
      <c r="M34" s="312"/>
      <c r="N34" s="312"/>
    </row>
    <row r="35" spans="1:14">
      <c r="A35" s="321"/>
      <c r="B35" s="323" t="s">
        <v>446</v>
      </c>
      <c r="C35" s="319"/>
      <c r="D35" s="356">
        <f>$D$29</f>
        <v>9759865.7999999989</v>
      </c>
      <c r="E35" s="356">
        <f>$E$29</f>
        <v>3273814.34</v>
      </c>
      <c r="F35" s="357">
        <f>$F$29</f>
        <v>-335580</v>
      </c>
      <c r="G35" s="312"/>
      <c r="H35" s="312"/>
      <c r="I35" s="312"/>
      <c r="J35" s="312"/>
      <c r="K35" s="312"/>
      <c r="L35" s="312"/>
      <c r="M35" s="312"/>
      <c r="N35" s="312"/>
    </row>
    <row r="36" spans="1:14">
      <c r="A36" s="321"/>
      <c r="B36" s="327" t="s">
        <v>447</v>
      </c>
      <c r="C36" s="321"/>
      <c r="D36" s="355">
        <f>$D$31-$D$29</f>
        <v>2759962.0500000007</v>
      </c>
      <c r="E36" s="355">
        <f>$E$31-$E$29</f>
        <v>706742.65000000037</v>
      </c>
      <c r="F36" s="358">
        <f>$F$31-$F$29</f>
        <v>-32768.400000000023</v>
      </c>
      <c r="G36" s="312"/>
      <c r="H36" s="312"/>
      <c r="I36" s="312"/>
      <c r="J36" s="312"/>
      <c r="K36" s="312"/>
      <c r="L36" s="312"/>
      <c r="M36" s="312"/>
      <c r="N36" s="312"/>
    </row>
    <row r="37" spans="1:14">
      <c r="A37" s="321"/>
      <c r="B37" s="327" t="s">
        <v>448</v>
      </c>
      <c r="C37" s="321"/>
      <c r="D37" s="355">
        <f>$D$30-$D$31</f>
        <v>559992.30000000075</v>
      </c>
      <c r="E37" s="355">
        <f>$E$30-$E$31</f>
        <v>410366.70000000019</v>
      </c>
      <c r="F37" s="358">
        <f>$F$30-$F$31</f>
        <v>-119624.39999999997</v>
      </c>
      <c r="G37" s="312"/>
      <c r="H37" s="312"/>
      <c r="I37" s="312"/>
      <c r="J37" s="312"/>
      <c r="K37" s="312"/>
      <c r="L37" s="312"/>
      <c r="M37" s="312"/>
      <c r="N37" s="312"/>
    </row>
    <row r="38" spans="1:14">
      <c r="A38" s="321"/>
      <c r="B38" s="327" t="s">
        <v>449</v>
      </c>
      <c r="C38" s="321"/>
      <c r="D38" s="355">
        <f>$D$32-$D$30</f>
        <v>12959821.799999999</v>
      </c>
      <c r="E38" s="355">
        <f>$E$32-$E$30</f>
        <v>2975158.5750000002</v>
      </c>
      <c r="F38" s="358">
        <f>$F$32-$F$30</f>
        <v>-329658.00000000006</v>
      </c>
      <c r="G38" s="312"/>
      <c r="H38" s="312"/>
      <c r="I38" s="312"/>
      <c r="J38" s="312"/>
      <c r="K38" s="312"/>
      <c r="L38" s="312"/>
      <c r="M38" s="312"/>
      <c r="N38" s="312"/>
    </row>
    <row r="39" spans="1:14">
      <c r="A39" s="321"/>
      <c r="B39" s="351" t="s">
        <v>450</v>
      </c>
      <c r="C39" s="352"/>
      <c r="D39" s="359">
        <f>$D$28-$D$32</f>
        <v>3159956.5500000007</v>
      </c>
      <c r="E39" s="359">
        <f>$E$28-$E$32</f>
        <v>2300333.334999999</v>
      </c>
      <c r="F39" s="360">
        <f>$F$28-$F$32</f>
        <v>-238459.19999999995</v>
      </c>
      <c r="G39" s="312"/>
      <c r="H39" s="312"/>
      <c r="I39" s="312"/>
      <c r="J39" s="312"/>
      <c r="K39" s="312"/>
      <c r="L39" s="312"/>
      <c r="M39" s="312"/>
      <c r="N39" s="312"/>
    </row>
    <row r="40" spans="1:14">
      <c r="A40" s="321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</row>
    <row r="41" spans="1:14">
      <c r="A41" s="321"/>
      <c r="B41" s="361" t="s">
        <v>29</v>
      </c>
      <c r="C41" s="364">
        <v>3999945</v>
      </c>
      <c r="D41" s="362" t="s">
        <v>454</v>
      </c>
      <c r="E41" s="362"/>
      <c r="F41" s="363"/>
      <c r="G41" s="312"/>
      <c r="H41" s="312"/>
      <c r="I41" s="312"/>
      <c r="J41" s="312"/>
      <c r="K41" s="312"/>
      <c r="L41" s="312"/>
      <c r="M41" s="312"/>
      <c r="N41" s="312"/>
    </row>
    <row r="42" spans="1:14">
      <c r="A42" s="321"/>
      <c r="B42" s="365" t="s">
        <v>31</v>
      </c>
      <c r="C42" s="368">
        <v>455963</v>
      </c>
      <c r="D42" s="366" t="s">
        <v>454</v>
      </c>
      <c r="E42" s="366"/>
      <c r="F42" s="367"/>
      <c r="G42" s="312"/>
      <c r="H42" s="312"/>
      <c r="I42" s="312"/>
      <c r="J42" s="312"/>
      <c r="K42" s="312"/>
      <c r="L42" s="312"/>
      <c r="M42" s="312"/>
      <c r="N42" s="312"/>
    </row>
    <row r="43" spans="1:14">
      <c r="A43" s="321"/>
      <c r="B43" s="365" t="s">
        <v>455</v>
      </c>
      <c r="C43" s="368">
        <v>-39480</v>
      </c>
      <c r="D43" s="366" t="s">
        <v>454</v>
      </c>
      <c r="E43" s="366"/>
      <c r="F43" s="367"/>
      <c r="G43" s="312"/>
      <c r="H43" s="312"/>
      <c r="I43" s="312"/>
      <c r="J43" s="312"/>
      <c r="K43" s="312"/>
      <c r="L43" s="312"/>
      <c r="M43" s="312"/>
      <c r="N43" s="312"/>
    </row>
    <row r="44" spans="1:14">
      <c r="A44" s="321"/>
      <c r="B44" s="335" t="s">
        <v>221</v>
      </c>
      <c r="C44" s="370">
        <v>20056310</v>
      </c>
      <c r="D44" s="337" t="s">
        <v>454</v>
      </c>
      <c r="E44" s="352"/>
      <c r="F44" s="369"/>
      <c r="G44" s="312"/>
      <c r="H44" s="312"/>
      <c r="I44" s="312"/>
      <c r="J44" s="312"/>
      <c r="K44" s="312"/>
      <c r="L44" s="312"/>
      <c r="M44" s="312"/>
      <c r="N44" s="312"/>
    </row>
    <row r="45" spans="1:14">
      <c r="A45" s="321"/>
      <c r="B45" s="312"/>
      <c r="C45" s="313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</row>
    <row r="46" spans="1:14">
      <c r="A46" s="312"/>
      <c r="B46" s="371"/>
      <c r="C46" s="372" t="s">
        <v>429</v>
      </c>
      <c r="D46" s="373" t="s">
        <v>428</v>
      </c>
      <c r="E46" s="372" t="s">
        <v>456</v>
      </c>
      <c r="F46" s="372" t="s">
        <v>441</v>
      </c>
      <c r="G46" s="312"/>
      <c r="H46" s="312"/>
      <c r="I46" s="312"/>
      <c r="J46" s="312"/>
      <c r="K46" s="312"/>
      <c r="L46" s="312"/>
      <c r="M46" s="312"/>
      <c r="N46" s="312"/>
    </row>
    <row r="47" spans="1:14">
      <c r="A47" s="312"/>
      <c r="B47" s="366" t="s">
        <v>457</v>
      </c>
      <c r="C47" s="374">
        <f>F28</f>
        <v>-1056090</v>
      </c>
      <c r="D47" s="375">
        <f>E28</f>
        <v>9666415.5999999996</v>
      </c>
      <c r="E47" s="376">
        <f>D29</f>
        <v>9759865.7999999989</v>
      </c>
      <c r="F47" s="377">
        <v>20060393.373204231</v>
      </c>
      <c r="G47" s="378"/>
      <c r="H47" s="377"/>
      <c r="I47" s="312"/>
      <c r="J47" s="312"/>
      <c r="K47" s="312"/>
      <c r="L47" s="312"/>
      <c r="M47" s="312"/>
      <c r="N47" s="312"/>
    </row>
    <row r="48" spans="1:14">
      <c r="A48" s="312"/>
      <c r="B48" s="366" t="s">
        <v>458</v>
      </c>
      <c r="C48" s="374">
        <f>F29</f>
        <v>-335580</v>
      </c>
      <c r="D48" s="375">
        <f>E29</f>
        <v>3273814.34</v>
      </c>
      <c r="E48" s="375">
        <f>D28</f>
        <v>29199598.5</v>
      </c>
      <c r="F48" s="312">
        <v>15253539.249087363</v>
      </c>
      <c r="G48" s="312"/>
      <c r="H48" s="312"/>
      <c r="I48" s="312"/>
      <c r="J48" s="312"/>
      <c r="K48" s="312"/>
      <c r="L48" s="312"/>
      <c r="M48" s="312"/>
      <c r="N48" s="312"/>
    </row>
    <row r="49" spans="1:14">
      <c r="A49" s="312"/>
      <c r="B49" s="379"/>
      <c r="C49" s="380"/>
      <c r="D49" s="380"/>
      <c r="E49" s="380"/>
      <c r="F49" s="380"/>
      <c r="G49" s="312"/>
      <c r="H49" s="312"/>
      <c r="I49" s="312"/>
      <c r="J49" s="312"/>
      <c r="K49" s="312"/>
      <c r="L49" s="312"/>
      <c r="M49" s="312"/>
      <c r="N49" s="312"/>
    </row>
    <row r="50" spans="1:14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</row>
    <row r="51" spans="1:14">
      <c r="A51" s="312"/>
      <c r="B51" s="312"/>
      <c r="C51" s="313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</row>
    <row r="52" spans="1:14">
      <c r="A52" s="312"/>
      <c r="B52" s="312"/>
      <c r="C52" s="313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</row>
    <row r="53" spans="1:14">
      <c r="A53" s="312"/>
      <c r="B53" s="312"/>
      <c r="C53" s="313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</row>
    <row r="54" spans="1:14">
      <c r="A54" s="312"/>
      <c r="B54" s="312"/>
      <c r="C54" s="313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</row>
    <row r="55" spans="1:14">
      <c r="A55" s="312"/>
      <c r="B55" s="312"/>
      <c r="C55" s="313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</row>
    <row r="56" spans="1:14">
      <c r="A56" s="312"/>
      <c r="B56" s="312"/>
      <c r="C56" s="313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</row>
    <row r="57" spans="1:14">
      <c r="A57" s="312"/>
      <c r="B57" s="312"/>
      <c r="C57" s="313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</row>
    <row r="58" spans="1:14">
      <c r="A58" s="312"/>
      <c r="B58" s="312"/>
      <c r="C58" s="313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</row>
    <row r="59" spans="1:14">
      <c r="A59" s="312"/>
      <c r="B59" s="312"/>
      <c r="C59" s="313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</row>
    <row r="60" spans="1:14">
      <c r="A60" s="312"/>
      <c r="B60" s="312"/>
      <c r="C60" s="313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</row>
    <row r="61" spans="1:14">
      <c r="A61" s="312"/>
      <c r="B61" s="312"/>
      <c r="C61" s="313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</row>
    <row r="62" spans="1:14">
      <c r="A62" s="312"/>
      <c r="B62" s="312"/>
      <c r="C62" s="313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</row>
    <row r="63" spans="1:14">
      <c r="A63" s="312"/>
      <c r="B63" s="312"/>
      <c r="C63" s="313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</row>
    <row r="64" spans="1:14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</row>
    <row r="65" spans="1:14">
      <c r="A65" s="312"/>
      <c r="B65" s="312"/>
      <c r="C65" s="312"/>
      <c r="D65" s="312"/>
      <c r="E65" s="312"/>
      <c r="F65" s="312"/>
      <c r="G65" s="313"/>
      <c r="H65" s="312"/>
      <c r="I65" s="312"/>
      <c r="J65" s="312"/>
      <c r="K65" s="312"/>
      <c r="L65" s="312"/>
      <c r="M65" s="312"/>
      <c r="N65" s="312"/>
    </row>
    <row r="66" spans="1:14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</row>
    <row r="67" spans="1:14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</row>
    <row r="68" spans="1:14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</row>
    <row r="69" spans="1:14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</row>
    <row r="70" spans="1:14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</row>
    <row r="71" spans="1:14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</row>
    <row r="72" spans="1:14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</row>
    <row r="73" spans="1:14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</row>
    <row r="74" spans="1:14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</row>
    <row r="75" spans="1:14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</row>
    <row r="76" spans="1:14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</row>
    <row r="77" spans="1:14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</row>
    <row r="78" spans="1:14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</row>
    <row r="79" spans="1:14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</row>
    <row r="80" spans="1:14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</row>
    <row r="81" spans="1:14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</row>
    <row r="82" spans="1:14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</row>
    <row r="83" spans="1:14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</row>
    <row r="84" spans="1:14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</row>
    <row r="85" spans="1:14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</row>
    <row r="86" spans="1:14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</row>
    <row r="87" spans="1:14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</row>
    <row r="88" spans="1:14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</row>
    <row r="89" spans="1:14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</row>
    <row r="90" spans="1:14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</row>
    <row r="91" spans="1:14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</row>
    <row r="92" spans="1:14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</row>
    <row r="93" spans="1:14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</row>
    <row r="94" spans="1:14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</row>
    <row r="95" spans="1:14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</row>
    <row r="96" spans="1:14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</row>
    <row r="97" spans="1:14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</row>
    <row r="98" spans="1:14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</row>
    <row r="99" spans="1:14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</row>
    <row r="100" spans="1:14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</row>
    <row r="101" spans="1:14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</row>
    <row r="102" spans="1:14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</row>
    <row r="103" spans="1:14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</row>
    <row r="104" spans="1:14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</row>
    <row r="105" spans="1:14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</row>
    <row r="106" spans="1:14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</row>
    <row r="107" spans="1:14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</row>
  </sheetData>
  <mergeCells count="1">
    <mergeCell ref="B2:F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R53"/>
  <sheetViews>
    <sheetView topLeftCell="A38" zoomScale="85" zoomScaleNormal="85" workbookViewId="0">
      <selection activeCell="N50" sqref="N50"/>
    </sheetView>
  </sheetViews>
  <sheetFormatPr baseColWidth="10" defaultColWidth="10.7109375" defaultRowHeight="15"/>
  <cols>
    <col min="2" max="2" width="18.7109375" customWidth="1"/>
    <col min="4" max="4" width="12.5703125" customWidth="1"/>
    <col min="11" max="11" width="11" customWidth="1"/>
    <col min="12" max="12" width="13.7109375" customWidth="1"/>
    <col min="13" max="13" width="10.85546875" customWidth="1"/>
  </cols>
  <sheetData>
    <row r="2" spans="2:11">
      <c r="B2" t="s">
        <v>459</v>
      </c>
    </row>
    <row r="3" spans="2:11">
      <c r="B3" t="s">
        <v>460</v>
      </c>
      <c r="E3">
        <f>'[4]Cost of Equity'!B35</f>
        <v>0.57378461970725458</v>
      </c>
    </row>
    <row r="4" spans="2:11">
      <c r="B4" t="s">
        <v>461</v>
      </c>
      <c r="E4" s="1">
        <v>0.4</v>
      </c>
    </row>
    <row r="5" spans="2:11">
      <c r="B5" t="s">
        <v>462</v>
      </c>
      <c r="E5" s="381">
        <f>[5]WACC!G19</f>
        <v>18621007.199999999</v>
      </c>
    </row>
    <row r="6" spans="2:11">
      <c r="B6" t="s">
        <v>463</v>
      </c>
      <c r="E6" s="381">
        <f>[5]WACC!G15</f>
        <v>1439386.1732042332</v>
      </c>
      <c r="H6" s="382"/>
    </row>
    <row r="7" spans="2:11">
      <c r="B7" t="s">
        <v>464</v>
      </c>
      <c r="E7">
        <f>E3/(1+(1-E4)*E6/E5)</f>
        <v>0.54835235015143724</v>
      </c>
    </row>
    <row r="8" spans="2:11">
      <c r="B8" t="s">
        <v>566</v>
      </c>
      <c r="E8" s="291">
        <v>0.1807</v>
      </c>
    </row>
    <row r="9" spans="2:11">
      <c r="B9" t="s">
        <v>414</v>
      </c>
      <c r="E9" s="291">
        <v>1.1999999999999999E-3</v>
      </c>
    </row>
    <row r="11" spans="2:11">
      <c r="B11" t="s">
        <v>465</v>
      </c>
      <c r="H11" t="s">
        <v>466</v>
      </c>
    </row>
    <row r="12" spans="2:11">
      <c r="B12" t="s">
        <v>31</v>
      </c>
      <c r="E12" s="381">
        <f>'[5]Free Cash Flow'!J9</f>
        <v>455963</v>
      </c>
      <c r="H12" t="s">
        <v>467</v>
      </c>
      <c r="K12" s="383">
        <f>E16/E15</f>
        <v>31.530452604611447</v>
      </c>
    </row>
    <row r="13" spans="2:11">
      <c r="B13" t="s">
        <v>468</v>
      </c>
      <c r="E13" s="381">
        <f>-'[5]Free Cash Flow'!J11</f>
        <v>495443</v>
      </c>
      <c r="H13" t="s">
        <v>469</v>
      </c>
      <c r="K13" t="str">
        <f>VLOOKUP(K12,$N$32:$R$46,3,TRUE)</f>
        <v>Aaa/AAA</v>
      </c>
    </row>
    <row r="14" spans="2:11">
      <c r="B14" t="s">
        <v>34</v>
      </c>
      <c r="E14" s="381">
        <f>E12-E13</f>
        <v>-39480</v>
      </c>
      <c r="H14" t="s">
        <v>470</v>
      </c>
      <c r="K14" s="382">
        <f>VLOOKUP(K13,P32:R46,2,FALSE)+E9</f>
        <v>7.1999999999999998E-3</v>
      </c>
    </row>
    <row r="15" spans="2:11">
      <c r="B15" t="s">
        <v>471</v>
      </c>
      <c r="E15">
        <v>7026</v>
      </c>
      <c r="H15" t="s">
        <v>472</v>
      </c>
      <c r="K15" t="s">
        <v>473</v>
      </c>
    </row>
    <row r="16" spans="2:11">
      <c r="B16" t="s">
        <v>474</v>
      </c>
      <c r="E16" s="381">
        <f>AVERAGE('[5]Free Cash Flow'!D16,'[5]Free Cash Flow'!E16,'[5]Free Cash Flow'!F16,'[5]Free Cash Flow'!G16,'[5]Free Cash Flow'!H16)</f>
        <v>221532.96000000002</v>
      </c>
      <c r="F16" s="384" t="s">
        <v>475</v>
      </c>
      <c r="H16" t="s">
        <v>476</v>
      </c>
      <c r="K16" s="382">
        <f>VLOOKUP(K15,$P$32:$R$46,2,FALSE)+E9</f>
        <v>1.37E-2</v>
      </c>
    </row>
    <row r="17" spans="2:18">
      <c r="B17" t="s">
        <v>477</v>
      </c>
      <c r="E17" s="385">
        <f>1401.33863342784+E15</f>
        <v>8427.3386334278403</v>
      </c>
      <c r="H17" t="s">
        <v>478</v>
      </c>
      <c r="K17" s="382">
        <f>VLOOKUP(K15,$P$32:$R$46,3,FALSE)</f>
        <v>2.5000000000000001E-2</v>
      </c>
    </row>
    <row r="18" spans="2:18">
      <c r="B18" t="s">
        <v>479</v>
      </c>
      <c r="E18" s="381">
        <f>[5]WACC!G21</f>
        <v>20060393.373204231</v>
      </c>
      <c r="H18" t="s">
        <v>480</v>
      </c>
      <c r="K18" s="386">
        <v>0.25</v>
      </c>
    </row>
    <row r="20" spans="2:18">
      <c r="B20" t="s">
        <v>481</v>
      </c>
    </row>
    <row r="21" spans="2:18">
      <c r="B21" t="s">
        <v>482</v>
      </c>
      <c r="C21" t="s">
        <v>483</v>
      </c>
      <c r="D21" t="s">
        <v>484</v>
      </c>
      <c r="E21" t="s">
        <v>419</v>
      </c>
    </row>
    <row r="22" spans="2:18">
      <c r="B22" s="1">
        <v>0</v>
      </c>
      <c r="C22" s="157">
        <f>B22/(1-B22)</f>
        <v>0</v>
      </c>
      <c r="D22">
        <f>$E$7*(1+(1-$E$4)*C22)</f>
        <v>0.54835235015143724</v>
      </c>
      <c r="E22" s="291">
        <f>$E$9+D22*$E$8</f>
        <v>0.10028726967236472</v>
      </c>
    </row>
    <row r="23" spans="2:18">
      <c r="B23" s="1">
        <v>0.1</v>
      </c>
      <c r="C23" s="157">
        <f t="shared" ref="C23:C31" si="0">B23/(1-B23)</f>
        <v>0.11111111111111112</v>
      </c>
      <c r="D23">
        <f t="shared" ref="D23:D31" si="1">$E$7*(1+(1-$E$4)*C23)</f>
        <v>0.58490917349486637</v>
      </c>
      <c r="E23" s="291">
        <f t="shared" ref="E23:E31" si="2">$E$9+D23*$E$8</f>
        <v>0.10689308765052236</v>
      </c>
    </row>
    <row r="24" spans="2:18">
      <c r="B24" s="1">
        <v>0.2</v>
      </c>
      <c r="C24" s="157">
        <f t="shared" si="0"/>
        <v>0.25</v>
      </c>
      <c r="D24">
        <f t="shared" si="1"/>
        <v>0.63060520267415276</v>
      </c>
      <c r="E24" s="291">
        <f t="shared" si="2"/>
        <v>0.11515036012321941</v>
      </c>
    </row>
    <row r="25" spans="2:18">
      <c r="B25" s="1">
        <v>0.3</v>
      </c>
      <c r="C25" s="157">
        <f t="shared" si="0"/>
        <v>0.4285714285714286</v>
      </c>
      <c r="D25">
        <f t="shared" si="1"/>
        <v>0.68935724019037825</v>
      </c>
      <c r="E25" s="291">
        <f t="shared" si="2"/>
        <v>0.12576685330240134</v>
      </c>
    </row>
    <row r="26" spans="2:18">
      <c r="B26" s="1">
        <v>0.4</v>
      </c>
      <c r="C26" s="157">
        <f t="shared" si="0"/>
        <v>0.66666666666666674</v>
      </c>
      <c r="D26">
        <f t="shared" si="1"/>
        <v>0.76769329021201205</v>
      </c>
      <c r="E26" s="291">
        <f t="shared" si="2"/>
        <v>0.13992217754131059</v>
      </c>
    </row>
    <row r="27" spans="2:18">
      <c r="B27" s="1">
        <v>0.5</v>
      </c>
      <c r="C27" s="157">
        <f t="shared" si="0"/>
        <v>1</v>
      </c>
      <c r="D27">
        <f t="shared" si="1"/>
        <v>0.87736376024229967</v>
      </c>
      <c r="E27" s="291">
        <f t="shared" si="2"/>
        <v>0.15973963147578354</v>
      </c>
    </row>
    <row r="28" spans="2:18">
      <c r="B28" s="1">
        <v>0.6</v>
      </c>
      <c r="C28" s="157">
        <f t="shared" si="0"/>
        <v>1.4999999999999998</v>
      </c>
      <c r="D28">
        <f t="shared" si="1"/>
        <v>1.0418694652877307</v>
      </c>
      <c r="E28" s="291">
        <f t="shared" si="2"/>
        <v>0.18946581237749294</v>
      </c>
    </row>
    <row r="29" spans="2:18">
      <c r="B29" s="1">
        <v>0.7</v>
      </c>
      <c r="C29" s="157">
        <f t="shared" si="0"/>
        <v>2.333333333333333</v>
      </c>
      <c r="D29">
        <f t="shared" si="1"/>
        <v>1.3160456403634491</v>
      </c>
      <c r="E29" s="291">
        <f t="shared" si="2"/>
        <v>0.23900944721367526</v>
      </c>
      <c r="N29" s="387" t="s">
        <v>567</v>
      </c>
      <c r="O29" s="388"/>
      <c r="P29" s="388"/>
      <c r="Q29" s="388"/>
      <c r="R29" s="388"/>
    </row>
    <row r="30" spans="2:18">
      <c r="B30" s="1">
        <v>0.8</v>
      </c>
      <c r="C30" s="157">
        <f t="shared" si="0"/>
        <v>4.0000000000000009</v>
      </c>
      <c r="D30">
        <f t="shared" si="1"/>
        <v>1.8643979905148869</v>
      </c>
      <c r="E30" s="291">
        <f t="shared" si="2"/>
        <v>0.33809671688604004</v>
      </c>
      <c r="N30" s="389" t="s">
        <v>485</v>
      </c>
      <c r="O30" s="390"/>
      <c r="P30" s="391"/>
      <c r="Q30" s="391"/>
      <c r="R30" s="388"/>
    </row>
    <row r="31" spans="2:18">
      <c r="B31" s="1">
        <v>0.9</v>
      </c>
      <c r="C31" s="157">
        <f t="shared" si="0"/>
        <v>9.0000000000000018</v>
      </c>
      <c r="D31">
        <f t="shared" si="1"/>
        <v>3.5094550409691991</v>
      </c>
      <c r="E31" s="291">
        <f t="shared" si="2"/>
        <v>0.63535852590313424</v>
      </c>
      <c r="N31" s="391" t="s">
        <v>486</v>
      </c>
      <c r="O31" s="391" t="s">
        <v>487</v>
      </c>
      <c r="P31" s="391" t="s">
        <v>488</v>
      </c>
      <c r="Q31" s="391" t="s">
        <v>489</v>
      </c>
      <c r="R31" s="392" t="s">
        <v>490</v>
      </c>
    </row>
    <row r="32" spans="2:18">
      <c r="B32" s="1"/>
      <c r="N32" s="391">
        <v>-100000</v>
      </c>
      <c r="O32" s="391">
        <v>0.19999900000000001</v>
      </c>
      <c r="P32" s="393" t="s">
        <v>491</v>
      </c>
      <c r="Q32" s="394">
        <v>0.14000000000000001</v>
      </c>
      <c r="R32" s="395">
        <v>1</v>
      </c>
    </row>
    <row r="33" spans="2:18">
      <c r="B33" t="s">
        <v>492</v>
      </c>
      <c r="N33" s="391">
        <v>0.2</v>
      </c>
      <c r="O33" s="391">
        <v>0.64999899999999999</v>
      </c>
      <c r="P33" s="393" t="s">
        <v>493</v>
      </c>
      <c r="Q33" s="396">
        <v>0.105</v>
      </c>
      <c r="R33" s="395">
        <v>0.85</v>
      </c>
    </row>
    <row r="34" spans="2:18">
      <c r="B34" t="s">
        <v>494</v>
      </c>
      <c r="C34" s="386">
        <v>0</v>
      </c>
      <c r="D34" s="386">
        <v>0.1</v>
      </c>
      <c r="E34" s="386">
        <v>0.2</v>
      </c>
      <c r="F34" s="386">
        <v>0.3</v>
      </c>
      <c r="G34" s="386">
        <v>0.4</v>
      </c>
      <c r="H34" s="386">
        <v>0.5</v>
      </c>
      <c r="I34" s="386">
        <v>0.6</v>
      </c>
      <c r="J34" s="386">
        <v>0.7</v>
      </c>
      <c r="K34" s="386">
        <v>0.8</v>
      </c>
      <c r="L34" s="386">
        <v>0.9</v>
      </c>
      <c r="M34" s="386">
        <v>0.18</v>
      </c>
      <c r="N34" s="391">
        <v>0.65</v>
      </c>
      <c r="O34" s="391">
        <v>0.79999900000000002</v>
      </c>
      <c r="P34" s="393" t="s">
        <v>495</v>
      </c>
      <c r="Q34" s="396">
        <v>0.08</v>
      </c>
      <c r="R34" s="397">
        <v>0.7</v>
      </c>
    </row>
    <row r="35" spans="2:18">
      <c r="B35" t="s">
        <v>373</v>
      </c>
      <c r="C35" s="1">
        <f>C34/(1-C34)</f>
        <v>0</v>
      </c>
      <c r="D35" s="1">
        <f t="shared" ref="D35:M35" si="3">D34/(1-D34)</f>
        <v>0.11111111111111112</v>
      </c>
      <c r="E35" s="1">
        <f t="shared" si="3"/>
        <v>0.25</v>
      </c>
      <c r="F35" s="1">
        <f t="shared" si="3"/>
        <v>0.4285714285714286</v>
      </c>
      <c r="G35" s="1">
        <f t="shared" si="3"/>
        <v>0.66666666666666674</v>
      </c>
      <c r="H35" s="1">
        <f t="shared" si="3"/>
        <v>1</v>
      </c>
      <c r="I35" s="1">
        <f t="shared" si="3"/>
        <v>1.4999999999999998</v>
      </c>
      <c r="J35" s="1">
        <f t="shared" si="3"/>
        <v>2.333333333333333</v>
      </c>
      <c r="K35" s="1">
        <f t="shared" si="3"/>
        <v>4.0000000000000009</v>
      </c>
      <c r="L35" s="1">
        <f t="shared" si="3"/>
        <v>9.0000000000000018</v>
      </c>
      <c r="M35" s="1">
        <f t="shared" si="3"/>
        <v>0.21951219512195119</v>
      </c>
      <c r="N35" s="391">
        <v>0.8</v>
      </c>
      <c r="O35" s="391">
        <v>1.2499990000000001</v>
      </c>
      <c r="P35" s="393" t="s">
        <v>496</v>
      </c>
      <c r="Q35" s="396">
        <v>6.5000000000000002E-2</v>
      </c>
      <c r="R35" s="397">
        <v>0.59009999999999996</v>
      </c>
    </row>
    <row r="36" spans="2:18">
      <c r="B36" t="s">
        <v>497</v>
      </c>
      <c r="C36" s="381">
        <f>C34*$E$18</f>
        <v>0</v>
      </c>
      <c r="D36" s="381">
        <f t="shared" ref="D36:M36" si="4">D34*$E$18</f>
        <v>2006039.3373204232</v>
      </c>
      <c r="E36" s="381">
        <f t="shared" si="4"/>
        <v>4012078.6746408464</v>
      </c>
      <c r="F36" s="381">
        <f t="shared" si="4"/>
        <v>6018118.0119612692</v>
      </c>
      <c r="G36" s="381">
        <f t="shared" si="4"/>
        <v>8024157.3492816929</v>
      </c>
      <c r="H36" s="381">
        <f t="shared" si="4"/>
        <v>10030196.686602116</v>
      </c>
      <c r="I36" s="381">
        <f t="shared" si="4"/>
        <v>12036236.023922538</v>
      </c>
      <c r="J36" s="381">
        <f t="shared" si="4"/>
        <v>14042275.361242961</v>
      </c>
      <c r="K36" s="381">
        <f t="shared" si="4"/>
        <v>16048314.698563386</v>
      </c>
      <c r="L36" s="381">
        <f t="shared" si="4"/>
        <v>18054354.03588381</v>
      </c>
      <c r="M36" s="381">
        <f t="shared" si="4"/>
        <v>3610870.8071767613</v>
      </c>
      <c r="N36" s="391">
        <v>1.25</v>
      </c>
      <c r="O36" s="391">
        <v>1.4999990000000001</v>
      </c>
      <c r="P36" s="393" t="s">
        <v>498</v>
      </c>
      <c r="Q36" s="396">
        <v>5.5E-2</v>
      </c>
      <c r="R36" s="397">
        <v>0.45</v>
      </c>
    </row>
    <row r="37" spans="2:18"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N37" s="391">
        <v>1.5</v>
      </c>
      <c r="O37" s="391">
        <v>1.7499990000000001</v>
      </c>
      <c r="P37" s="393" t="s">
        <v>499</v>
      </c>
      <c r="Q37" s="396">
        <v>4.4999999999999998E-2</v>
      </c>
      <c r="R37" s="397">
        <v>0.1</v>
      </c>
    </row>
    <row r="38" spans="2:18">
      <c r="B38" t="s">
        <v>31</v>
      </c>
      <c r="C38" s="381">
        <f>$E$12</f>
        <v>455963</v>
      </c>
      <c r="D38" s="381">
        <f t="shared" ref="D38:M38" si="5">$E$12</f>
        <v>455963</v>
      </c>
      <c r="E38" s="381">
        <f t="shared" si="5"/>
        <v>455963</v>
      </c>
      <c r="F38" s="381">
        <f t="shared" si="5"/>
        <v>455963</v>
      </c>
      <c r="G38" s="381">
        <f t="shared" si="5"/>
        <v>455963</v>
      </c>
      <c r="H38" s="381">
        <f t="shared" si="5"/>
        <v>455963</v>
      </c>
      <c r="I38" s="381">
        <f t="shared" si="5"/>
        <v>455963</v>
      </c>
      <c r="J38" s="381">
        <f t="shared" si="5"/>
        <v>455963</v>
      </c>
      <c r="K38" s="381">
        <f t="shared" si="5"/>
        <v>455963</v>
      </c>
      <c r="L38" s="381">
        <f t="shared" si="5"/>
        <v>455963</v>
      </c>
      <c r="M38" s="381">
        <f t="shared" si="5"/>
        <v>455963</v>
      </c>
      <c r="N38" s="391">
        <v>1.75</v>
      </c>
      <c r="O38" s="391">
        <v>1.9999990000000001</v>
      </c>
      <c r="P38" s="393" t="s">
        <v>500</v>
      </c>
      <c r="Q38" s="396">
        <v>3.7499999999999999E-2</v>
      </c>
      <c r="R38" s="397">
        <v>0.1663</v>
      </c>
    </row>
    <row r="39" spans="2:18">
      <c r="B39" t="s">
        <v>468</v>
      </c>
      <c r="C39" s="381">
        <f>$E$13</f>
        <v>495443</v>
      </c>
      <c r="D39" s="381">
        <f t="shared" ref="D39:M39" si="6">$E$13</f>
        <v>495443</v>
      </c>
      <c r="E39" s="381">
        <f t="shared" si="6"/>
        <v>495443</v>
      </c>
      <c r="F39" s="381">
        <f t="shared" si="6"/>
        <v>495443</v>
      </c>
      <c r="G39" s="381">
        <f t="shared" si="6"/>
        <v>495443</v>
      </c>
      <c r="H39" s="381">
        <f t="shared" si="6"/>
        <v>495443</v>
      </c>
      <c r="I39" s="381">
        <f t="shared" si="6"/>
        <v>495443</v>
      </c>
      <c r="J39" s="381">
        <f t="shared" si="6"/>
        <v>495443</v>
      </c>
      <c r="K39" s="381">
        <f t="shared" si="6"/>
        <v>495443</v>
      </c>
      <c r="L39" s="381">
        <f t="shared" si="6"/>
        <v>495443</v>
      </c>
      <c r="M39" s="381">
        <f t="shared" si="6"/>
        <v>495443</v>
      </c>
      <c r="N39" s="391">
        <v>2</v>
      </c>
      <c r="O39" s="391">
        <v>2.2499999000000002</v>
      </c>
      <c r="P39" s="393" t="s">
        <v>501</v>
      </c>
      <c r="Q39" s="396">
        <v>0.03</v>
      </c>
      <c r="R39" s="397">
        <v>0.25</v>
      </c>
    </row>
    <row r="40" spans="2:18">
      <c r="B40" t="s">
        <v>502</v>
      </c>
      <c r="C40" s="381">
        <f>$E$16</f>
        <v>221532.96000000002</v>
      </c>
      <c r="D40" s="381">
        <f t="shared" ref="D40:M40" si="7">$E$16</f>
        <v>221532.96000000002</v>
      </c>
      <c r="E40" s="381">
        <f t="shared" si="7"/>
        <v>221532.96000000002</v>
      </c>
      <c r="F40" s="381">
        <f t="shared" si="7"/>
        <v>221532.96000000002</v>
      </c>
      <c r="G40" s="381">
        <f t="shared" si="7"/>
        <v>221532.96000000002</v>
      </c>
      <c r="H40" s="381">
        <f t="shared" si="7"/>
        <v>221532.96000000002</v>
      </c>
      <c r="I40" s="381">
        <f t="shared" si="7"/>
        <v>221532.96000000002</v>
      </c>
      <c r="J40" s="381">
        <f t="shared" si="7"/>
        <v>221532.96000000002</v>
      </c>
      <c r="K40" s="381">
        <f t="shared" si="7"/>
        <v>221532.96000000002</v>
      </c>
      <c r="L40" s="381">
        <f t="shared" si="7"/>
        <v>221532.96000000002</v>
      </c>
      <c r="M40" s="381">
        <f t="shared" si="7"/>
        <v>221532.96000000002</v>
      </c>
      <c r="N40" s="391">
        <v>2.25</v>
      </c>
      <c r="O40" s="391">
        <v>2.4999899999999999</v>
      </c>
      <c r="P40" s="393" t="s">
        <v>503</v>
      </c>
      <c r="Q40" s="396">
        <v>2.5000000000000001E-2</v>
      </c>
      <c r="R40" s="397">
        <v>0.36799999999999999</v>
      </c>
    </row>
    <row r="41" spans="2:18">
      <c r="B41" t="s">
        <v>504</v>
      </c>
      <c r="C41" s="381">
        <v>0</v>
      </c>
      <c r="D41" s="401">
        <f>D36*D45</f>
        <v>18455.561903347894</v>
      </c>
      <c r="E41" s="381">
        <f>E36*0.0122</f>
        <v>48947.359830618327</v>
      </c>
      <c r="F41" s="381">
        <f>F36*0.0137</f>
        <v>82448.216763869394</v>
      </c>
      <c r="G41" s="381">
        <f>G36*0.0312</f>
        <v>250353.70929758879</v>
      </c>
      <c r="H41" s="381">
        <f>H36*0.1062</f>
        <v>1065206.8881171448</v>
      </c>
      <c r="I41" s="381">
        <f>I36*0.1412</f>
        <v>1699516.5265778622</v>
      </c>
      <c r="J41" s="381">
        <f t="shared" ref="J41:L41" si="8">J36*I45</f>
        <v>1982769.281007506</v>
      </c>
      <c r="K41" s="381">
        <f t="shared" si="8"/>
        <v>2266022.0354371504</v>
      </c>
      <c r="L41" s="381">
        <f t="shared" si="8"/>
        <v>2549274.7898667944</v>
      </c>
      <c r="M41" s="381">
        <f>M36*0.72%</f>
        <v>25998.269811672682</v>
      </c>
      <c r="N41" s="391">
        <v>2.5</v>
      </c>
      <c r="O41" s="391">
        <v>2.9999989999999999</v>
      </c>
      <c r="P41" s="393" t="s">
        <v>505</v>
      </c>
      <c r="Q41" s="396">
        <v>1.6E-2</v>
      </c>
      <c r="R41" s="397">
        <v>7.5399999999999995E-2</v>
      </c>
    </row>
    <row r="42" spans="2:18">
      <c r="N42" s="391">
        <v>3</v>
      </c>
      <c r="O42" s="391">
        <v>4.2499989999999999</v>
      </c>
      <c r="P42" s="393" t="s">
        <v>473</v>
      </c>
      <c r="Q42" s="396">
        <v>1.2500000000000001E-2</v>
      </c>
      <c r="R42" s="397">
        <v>2.5000000000000001E-2</v>
      </c>
    </row>
    <row r="43" spans="2:18">
      <c r="B43" t="s">
        <v>506</v>
      </c>
      <c r="C43" t="s">
        <v>507</v>
      </c>
      <c r="D43" s="400">
        <f>D40/D41</f>
        <v>12.003587924343462</v>
      </c>
      <c r="E43" s="383">
        <f t="shared" ref="E43:M43" si="9">E40/E41</f>
        <v>4.5259429878672073</v>
      </c>
      <c r="F43" s="383">
        <f t="shared" si="9"/>
        <v>2.6869345232107023</v>
      </c>
      <c r="G43" s="383">
        <f t="shared" si="9"/>
        <v>0.88487987903813992</v>
      </c>
      <c r="H43" s="383">
        <f t="shared" si="9"/>
        <v>0.20797176818071533</v>
      </c>
      <c r="I43" s="383">
        <f t="shared" si="9"/>
        <v>0.13035057708210562</v>
      </c>
      <c r="J43" s="383">
        <f t="shared" si="9"/>
        <v>0.11172906607037623</v>
      </c>
      <c r="K43" s="383">
        <f t="shared" si="9"/>
        <v>9.7762932811579176E-2</v>
      </c>
      <c r="L43" s="383">
        <f t="shared" si="9"/>
        <v>8.6900384721403712E-2</v>
      </c>
      <c r="M43" s="383">
        <f t="shared" si="9"/>
        <v>8.5210655018487547</v>
      </c>
      <c r="N43" s="391">
        <v>4.25</v>
      </c>
      <c r="O43" s="391">
        <v>5.4999989999999999</v>
      </c>
      <c r="P43" s="393" t="s">
        <v>508</v>
      </c>
      <c r="Q43" s="396">
        <v>1.0999999999999999E-2</v>
      </c>
      <c r="R43" s="397">
        <v>6.6E-3</v>
      </c>
    </row>
    <row r="44" spans="2:18">
      <c r="B44" t="s">
        <v>509</v>
      </c>
      <c r="C44" t="s">
        <v>335</v>
      </c>
      <c r="D44" s="382" t="str">
        <f t="shared" ref="D44:M44" si="10">VLOOKUP(D43,$N$32:$R$46,3,TRUE)</f>
        <v>Aaa/AAA</v>
      </c>
      <c r="E44" s="382" t="str">
        <f t="shared" si="10"/>
        <v>A2/A</v>
      </c>
      <c r="F44" s="382" t="str">
        <f t="shared" si="10"/>
        <v>Baa2/BBB</v>
      </c>
      <c r="G44" s="382" t="str">
        <f t="shared" si="10"/>
        <v>Caa/CCC</v>
      </c>
      <c r="H44" s="382" t="str">
        <f t="shared" si="10"/>
        <v>C2/C</v>
      </c>
      <c r="I44" s="382" t="str">
        <f t="shared" si="10"/>
        <v>D2/D</v>
      </c>
      <c r="J44" s="382" t="str">
        <f t="shared" si="10"/>
        <v>D2/D</v>
      </c>
      <c r="K44" s="382" t="str">
        <f t="shared" si="10"/>
        <v>D2/D</v>
      </c>
      <c r="L44" s="382" t="str">
        <f t="shared" si="10"/>
        <v>D2/D</v>
      </c>
      <c r="M44" s="382" t="str">
        <f t="shared" si="10"/>
        <v>Aaa/AAA</v>
      </c>
      <c r="N44" s="391">
        <v>5.5</v>
      </c>
      <c r="O44" s="391">
        <v>6.4999989999999999</v>
      </c>
      <c r="P44" s="393" t="s">
        <v>510</v>
      </c>
      <c r="Q44" s="396">
        <v>0.01</v>
      </c>
      <c r="R44" s="397">
        <v>6.0000000000000001E-3</v>
      </c>
    </row>
    <row r="45" spans="2:18">
      <c r="B45" t="s">
        <v>511</v>
      </c>
      <c r="C45" s="291">
        <f t="shared" ref="C45:M45" si="11">$E$9+VLOOKUP(C44,$P$32:$Q$46,2,FALSE)</f>
        <v>7.1999999999999998E-3</v>
      </c>
      <c r="D45" s="399">
        <v>9.1999999999999998E-3</v>
      </c>
      <c r="E45" s="291">
        <f t="shared" si="11"/>
        <v>1.2199999999999999E-2</v>
      </c>
      <c r="F45" s="291">
        <v>1.37E-2</v>
      </c>
      <c r="G45" s="291">
        <v>6.6199999999999995E-2</v>
      </c>
      <c r="H45" s="291">
        <v>0.1062</v>
      </c>
      <c r="I45" s="291">
        <v>0.14119999999999999</v>
      </c>
      <c r="J45" s="291">
        <f t="shared" si="11"/>
        <v>0.14120000000000002</v>
      </c>
      <c r="K45" s="291">
        <f t="shared" si="11"/>
        <v>0.14120000000000002</v>
      </c>
      <c r="L45" s="291">
        <f t="shared" si="11"/>
        <v>0.14120000000000002</v>
      </c>
      <c r="M45" s="291">
        <f t="shared" si="11"/>
        <v>7.1999999999999998E-3</v>
      </c>
      <c r="N45" s="391">
        <v>6.5</v>
      </c>
      <c r="O45" s="391">
        <v>8.4999990000000007</v>
      </c>
      <c r="P45" s="393" t="s">
        <v>512</v>
      </c>
      <c r="Q45" s="396">
        <v>8.0000000000000002E-3</v>
      </c>
      <c r="R45" s="397">
        <v>5.1000000000000004E-3</v>
      </c>
    </row>
    <row r="46" spans="2:18">
      <c r="B46" t="s">
        <v>513</v>
      </c>
      <c r="C46" s="291">
        <f t="shared" ref="C46:M46" si="12">VLOOKUP(C44,$P$32:$R$46,3,FALSE)</f>
        <v>6.9999999999999999E-4</v>
      </c>
      <c r="D46" s="399">
        <f t="shared" si="12"/>
        <v>6.9999999999999999E-4</v>
      </c>
      <c r="E46" s="291">
        <f t="shared" si="12"/>
        <v>6.6E-3</v>
      </c>
      <c r="F46" s="291">
        <f t="shared" si="12"/>
        <v>7.5399999999999995E-2</v>
      </c>
      <c r="G46" s="291">
        <f t="shared" si="12"/>
        <v>0.59009999999999996</v>
      </c>
      <c r="H46" s="291">
        <f t="shared" si="12"/>
        <v>0.85</v>
      </c>
      <c r="I46" s="291">
        <f t="shared" si="12"/>
        <v>1</v>
      </c>
      <c r="J46" s="291">
        <f t="shared" si="12"/>
        <v>1</v>
      </c>
      <c r="K46" s="291">
        <f t="shared" si="12"/>
        <v>1</v>
      </c>
      <c r="L46" s="291">
        <f t="shared" si="12"/>
        <v>1</v>
      </c>
      <c r="M46" s="291">
        <f t="shared" si="12"/>
        <v>6.9999999999999999E-4</v>
      </c>
      <c r="N46" s="391">
        <v>8.5</v>
      </c>
      <c r="O46" s="391">
        <v>100000</v>
      </c>
      <c r="P46" s="393" t="s">
        <v>335</v>
      </c>
      <c r="Q46" s="396">
        <v>6.0000000000000001E-3</v>
      </c>
      <c r="R46" s="397">
        <v>6.9999999999999999E-4</v>
      </c>
    </row>
    <row r="47" spans="2:18">
      <c r="B47" t="s">
        <v>568</v>
      </c>
      <c r="C47" s="291">
        <f>C45*(1-$E$4)</f>
        <v>4.3200000000000001E-3</v>
      </c>
      <c r="D47" s="291">
        <f t="shared" ref="D47:M47" si="13">D45*(1-$E$4)</f>
        <v>5.5199999999999997E-3</v>
      </c>
      <c r="E47" s="291">
        <f t="shared" si="13"/>
        <v>7.3199999999999993E-3</v>
      </c>
      <c r="F47" s="291">
        <f t="shared" si="13"/>
        <v>8.2199999999999999E-3</v>
      </c>
      <c r="G47" s="291">
        <f t="shared" si="13"/>
        <v>3.9719999999999998E-2</v>
      </c>
      <c r="H47" s="291">
        <f t="shared" si="13"/>
        <v>6.3719999999999999E-2</v>
      </c>
      <c r="I47" s="291">
        <f t="shared" si="13"/>
        <v>8.471999999999999E-2</v>
      </c>
      <c r="J47" s="291">
        <f t="shared" si="13"/>
        <v>8.4720000000000004E-2</v>
      </c>
      <c r="K47" s="291">
        <f t="shared" si="13"/>
        <v>8.4720000000000004E-2</v>
      </c>
      <c r="L47" s="291">
        <f t="shared" si="13"/>
        <v>8.4720000000000004E-2</v>
      </c>
      <c r="M47" s="291">
        <f t="shared" si="13"/>
        <v>4.3200000000000001E-3</v>
      </c>
      <c r="N47" s="533"/>
      <c r="O47" s="533"/>
      <c r="P47" s="534"/>
      <c r="Q47" s="535"/>
      <c r="R47" s="535"/>
    </row>
    <row r="48" spans="2:18">
      <c r="B48" t="s">
        <v>569</v>
      </c>
      <c r="C48" s="536">
        <f>$E$6/($E$5+$E$6)*C45+$E$6/($E$5+$E$6)*E22</f>
        <v>7.7124953077210706E-3</v>
      </c>
      <c r="N48" t="s">
        <v>570</v>
      </c>
    </row>
    <row r="49" spans="2:13">
      <c r="B49" t="s">
        <v>571</v>
      </c>
      <c r="C49" s="381">
        <f>$E$18-$E$6*$E$4+$E$18*$K$17*$K$18</f>
        <v>19610016.362505067</v>
      </c>
      <c r="D49" s="381">
        <f t="shared" ref="D49:M49" si="14">$E$18-$E$6*$E$4+$E$18*$K$17*$K$18</f>
        <v>19610016.362505067</v>
      </c>
      <c r="E49" s="381">
        <f t="shared" si="14"/>
        <v>19610016.362505067</v>
      </c>
      <c r="F49" s="381">
        <f t="shared" si="14"/>
        <v>19610016.362505067</v>
      </c>
      <c r="G49" s="381">
        <f t="shared" si="14"/>
        <v>19610016.362505067</v>
      </c>
      <c r="H49" s="381">
        <f t="shared" si="14"/>
        <v>19610016.362505067</v>
      </c>
      <c r="I49" s="381">
        <f t="shared" si="14"/>
        <v>19610016.362505067</v>
      </c>
      <c r="J49" s="381">
        <f t="shared" si="14"/>
        <v>19610016.362505067</v>
      </c>
      <c r="K49" s="381">
        <f t="shared" si="14"/>
        <v>19610016.362505067</v>
      </c>
      <c r="L49" s="381">
        <f t="shared" si="14"/>
        <v>19610016.362505067</v>
      </c>
      <c r="M49" s="381">
        <f t="shared" si="14"/>
        <v>19610016.362505067</v>
      </c>
    </row>
    <row r="50" spans="2:13">
      <c r="B50" t="s">
        <v>572</v>
      </c>
      <c r="C50" s="1">
        <f>E4</f>
        <v>0.4</v>
      </c>
      <c r="D50" s="1">
        <f>E4</f>
        <v>0.4</v>
      </c>
      <c r="E50" s="1">
        <f>E4</f>
        <v>0.4</v>
      </c>
      <c r="F50" s="1">
        <f>E4</f>
        <v>0.4</v>
      </c>
      <c r="G50" s="382">
        <f>$G$40*$E$4/G41</f>
        <v>0.353951951615256</v>
      </c>
      <c r="H50" s="382">
        <f t="shared" ref="H50:L50" si="15">$G$40*$E$4/H41</f>
        <v>8.3188707272286139E-2</v>
      </c>
      <c r="I50" s="382">
        <f t="shared" si="15"/>
        <v>5.2140230832842242E-2</v>
      </c>
      <c r="J50" s="382">
        <f t="shared" si="15"/>
        <v>4.4691626428150492E-2</v>
      </c>
      <c r="K50" s="382">
        <f t="shared" si="15"/>
        <v>3.9105173124631673E-2</v>
      </c>
      <c r="L50" s="382">
        <f t="shared" si="15"/>
        <v>3.4760153888561483E-2</v>
      </c>
      <c r="M50" s="382">
        <f>E4</f>
        <v>0.4</v>
      </c>
    </row>
    <row r="51" spans="2:13">
      <c r="B51" t="s">
        <v>514</v>
      </c>
      <c r="C51" s="381">
        <f>C41*C50</f>
        <v>0</v>
      </c>
      <c r="D51" s="381">
        <f t="shared" ref="D51:M51" si="16">D41*D50</f>
        <v>7382.2247613391582</v>
      </c>
      <c r="E51" s="381">
        <f t="shared" si="16"/>
        <v>19578.94393224733</v>
      </c>
      <c r="F51" s="381">
        <f t="shared" si="16"/>
        <v>32979.286705547762</v>
      </c>
      <c r="G51" s="381">
        <f t="shared" si="16"/>
        <v>88613.184000000008</v>
      </c>
      <c r="H51" s="381">
        <f t="shared" si="16"/>
        <v>88613.184000000008</v>
      </c>
      <c r="I51" s="381">
        <f t="shared" si="16"/>
        <v>88613.184000000008</v>
      </c>
      <c r="J51" s="381">
        <f t="shared" si="16"/>
        <v>88613.184000000008</v>
      </c>
      <c r="K51" s="381">
        <f t="shared" si="16"/>
        <v>88613.184000000008</v>
      </c>
      <c r="L51" s="381">
        <f t="shared" si="16"/>
        <v>88613.184000000008</v>
      </c>
      <c r="M51" s="381">
        <f t="shared" si="16"/>
        <v>10399.307924669074</v>
      </c>
    </row>
    <row r="52" spans="2:13">
      <c r="B52" t="s">
        <v>515</v>
      </c>
      <c r="C52" s="381">
        <f t="shared" ref="C52:M52" si="17">C46*$K$18*(C49+C51)</f>
        <v>3431.7528634383866</v>
      </c>
      <c r="D52" s="381">
        <f t="shared" si="17"/>
        <v>3433.0447527716215</v>
      </c>
      <c r="E52" s="381">
        <f t="shared" si="17"/>
        <v>32388.832255621568</v>
      </c>
      <c r="F52" s="381">
        <f t="shared" si="17"/>
        <v>370270.46798762004</v>
      </c>
      <c r="G52" s="381">
        <f t="shared" si="17"/>
        <v>2906040.32384816</v>
      </c>
      <c r="H52" s="381">
        <f t="shared" si="17"/>
        <v>4185958.7786323265</v>
      </c>
      <c r="I52" s="381">
        <f t="shared" si="17"/>
        <v>4924657.3866262669</v>
      </c>
      <c r="J52" s="381">
        <f t="shared" si="17"/>
        <v>4924657.3866262669</v>
      </c>
      <c r="K52" s="381">
        <f t="shared" si="17"/>
        <v>4924657.3866262669</v>
      </c>
      <c r="L52" s="537">
        <f t="shared" si="17"/>
        <v>4924657.3866262669</v>
      </c>
      <c r="M52" s="537">
        <f t="shared" si="17"/>
        <v>3433.5727423252038</v>
      </c>
    </row>
    <row r="53" spans="2:13">
      <c r="B53" t="s">
        <v>516</v>
      </c>
      <c r="C53" s="381">
        <f>C49+C51-C52</f>
        <v>19606584.60964163</v>
      </c>
      <c r="D53" s="381">
        <f t="shared" ref="D53:M53" si="18">D49+D51-D52</f>
        <v>19613965.542513635</v>
      </c>
      <c r="E53" s="381">
        <f t="shared" si="18"/>
        <v>19597206.474181693</v>
      </c>
      <c r="F53" s="381">
        <f t="shared" si="18"/>
        <v>19272725.181222994</v>
      </c>
      <c r="G53" s="381">
        <f t="shared" si="18"/>
        <v>16792589.222656906</v>
      </c>
      <c r="H53" s="381">
        <f t="shared" si="18"/>
        <v>15512670.767872741</v>
      </c>
      <c r="I53" s="381">
        <f t="shared" si="18"/>
        <v>14773972.159878802</v>
      </c>
      <c r="J53" s="381">
        <f t="shared" si="18"/>
        <v>14773972.159878802</v>
      </c>
      <c r="K53" s="381">
        <f t="shared" si="18"/>
        <v>14773972.159878802</v>
      </c>
      <c r="L53" s="381">
        <f t="shared" si="18"/>
        <v>14773972.159878802</v>
      </c>
      <c r="M53" s="381">
        <f t="shared" si="18"/>
        <v>19616982.097687412</v>
      </c>
    </row>
  </sheetData>
  <conditionalFormatting sqref="C53:M53">
    <cfRule type="top10" dxfId="0" priority="1" rank="1"/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WACC &gt;&gt;&gt;&gt;</vt:lpstr>
      <vt:lpstr>Cost of Equity</vt:lpstr>
      <vt:lpstr>WACC</vt:lpstr>
      <vt:lpstr>FINANCIALS &gt;&gt;&gt;&gt;</vt:lpstr>
      <vt:lpstr>Assumption</vt:lpstr>
      <vt:lpstr>Value of Control Inputs</vt:lpstr>
      <vt:lpstr>Balance Sheet</vt:lpstr>
      <vt:lpstr>Income Statement</vt:lpstr>
      <vt:lpstr>Cash Flow Statement</vt:lpstr>
      <vt:lpstr>ADJUSTMENTS &gt;&gt;&gt;&gt;</vt:lpstr>
      <vt:lpstr>Operating lease converter</vt:lpstr>
      <vt:lpstr>R&amp;D converter</vt:lpstr>
      <vt:lpstr>VALUATION &gt;&gt;&gt;&gt;</vt:lpstr>
      <vt:lpstr>Free Cash Flow</vt:lpstr>
      <vt:lpstr>Tax Shield</vt:lpstr>
      <vt:lpstr>Costs of Financial Distress</vt:lpstr>
      <vt:lpstr>Sensitivity Analysis</vt:lpstr>
      <vt:lpstr>Multiples</vt:lpstr>
      <vt:lpstr>Opti K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</dc:creator>
  <cp:lastModifiedBy>Kalu</cp:lastModifiedBy>
  <dcterms:created xsi:type="dcterms:W3CDTF">2017-03-23T10:47:50Z</dcterms:created>
  <dcterms:modified xsi:type="dcterms:W3CDTF">2017-04-27T17:40:11Z</dcterms:modified>
</cp:coreProperties>
</file>