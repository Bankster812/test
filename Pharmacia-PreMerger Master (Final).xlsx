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omments1.xml" ContentType="application/vnd.openxmlformats-officedocument.spreadsheetml.comments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NO NAME/IB Preparation/Beispiel M&amp;A Valuation/Mrdjan/"/>
    </mc:Choice>
  </mc:AlternateContent>
  <xr:revisionPtr revIDLastSave="0" documentId="13_ncr:1_{EC650DC5-BF6D-4343-90AD-D3851BFB1364}" xr6:coauthVersionLast="40" xr6:coauthVersionMax="40" xr10:uidLastSave="{00000000-0000-0000-0000-000000000000}"/>
  <bookViews>
    <workbookView xWindow="0" yWindow="460" windowWidth="25400" windowHeight="15440" tabRatio="879" xr2:uid="{00000000-000D-0000-FFFF-FFFF00000000}"/>
  </bookViews>
  <sheets>
    <sheet name="Overview" sheetId="45" r:id="rId1"/>
    <sheet name="1. DATA&gt;&gt;&gt;&gt;" sheetId="39" r:id="rId2"/>
    <sheet name="1.1 Balance Sheet Raw" sheetId="44" r:id="rId3"/>
    <sheet name="1.2 Income Statement Raw" sheetId="41" r:id="rId4"/>
    <sheet name="1.3 Cash Flow - Standardized" sheetId="42" r:id="rId5"/>
    <sheet name="1.4 CAPEX &amp; Depreciation" sheetId="43" r:id="rId6"/>
    <sheet name="1.5 Stock Value" sheetId="46" r:id="rId7"/>
    <sheet name="2. WACC &gt;&gt;&gt;&gt;" sheetId="29" r:id="rId8"/>
    <sheet name="2.1 WACC" sheetId="18" r:id="rId9"/>
    <sheet name="3. FINANCIALS &gt;&gt;&gt;&gt;" sheetId="31" r:id="rId10"/>
    <sheet name="3.1 Assumption" sheetId="17" r:id="rId11"/>
    <sheet name="3.2 Balance Sheet" sheetId="12" r:id="rId12"/>
    <sheet name="3.3 Income Statement" sheetId="11" r:id="rId13"/>
    <sheet name="3.4 Cash Flow Statement" sheetId="13" r:id="rId14"/>
    <sheet name="3.5 Value of Control Inputs" sheetId="34" r:id="rId15"/>
    <sheet name="4. ADJUSTMENTS &gt;&gt;&gt;&gt;" sheetId="32" r:id="rId16"/>
    <sheet name="4.1 Operating lease converter" sheetId="15" r:id="rId17"/>
    <sheet name="4.2 R&amp;D converter" sheetId="16" r:id="rId18"/>
    <sheet name="5. VALUATION &gt;&gt;&gt;&gt;" sheetId="35" r:id="rId19"/>
    <sheet name="5.1 Free Cash Flow" sheetId="14" r:id="rId20"/>
    <sheet name="5.2 Sensitivity Analysis" sheetId="33" r:id="rId21"/>
    <sheet name="5.3 Multiples" sheetId="30" r:id="rId22"/>
    <sheet name="5.4 Opti K structure" sheetId="36" r:id="rId23"/>
    <sheet name="5.5 Value of Control" sheetId="38" r:id="rId24"/>
  </sheets>
  <externalReferences>
    <externalReference r:id="rId25"/>
    <externalReference r:id="rId26"/>
    <externalReference r:id="rId27"/>
  </externalReferences>
  <definedNames>
    <definedName name="acq">[1]Assumptions!$H$8</definedName>
    <definedName name="acq_fye">[1]Assumptions!$H$32</definedName>
    <definedName name="acq_price">[1]Assumptions!$J$11</definedName>
    <definedName name="assume">[1]Assumptions!$T$11</definedName>
    <definedName name="base_year">[2]Control!$D$11</definedName>
    <definedName name="case">[1]Assumptions!$T$7</definedName>
    <definedName name="cash_rate">[1]Assumptions!$T$20</definedName>
    <definedName name="circ">[2]Control!$D$13</definedName>
    <definedName name="curr">[2]Control!$D$9</definedName>
    <definedName name="debt_rate">[1]Assumptions!$T$16</definedName>
    <definedName name="eps">[1]Assumptions!$T$41</definedName>
    <definedName name="fees">[1]Assumptions!$T$24</definedName>
    <definedName name="libor">[3]LBO!$AF$34</definedName>
    <definedName name="min_cash">[1]Assumptions!$T$21</definedName>
    <definedName name="pct_cash">[1]Assumptions!$T$8</definedName>
    <definedName name="project">[2]Control!$D$5</definedName>
    <definedName name="sec_338">[1]Assumptions!$T$13</definedName>
    <definedName name="synergies">[1]Assumptions!$T$28</definedName>
    <definedName name="tax_rate">[1]Assumptions!$T$39</definedName>
    <definedName name="tgt">[1]Assumptions!$L$8</definedName>
    <definedName name="tgt_price">[1]Assumptions!$N$11</definedName>
    <definedName name="type">[1]Assumptions!$T$12</definedName>
    <definedName name="year">[1]Assumptions!$T$40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5" i="14" l="1"/>
  <c r="D46" i="12" l="1"/>
  <c r="D45" i="12"/>
  <c r="D44" i="12"/>
  <c r="D43" i="12"/>
  <c r="F33" i="12"/>
  <c r="G33" i="12"/>
  <c r="H33" i="12"/>
  <c r="I33" i="12"/>
  <c r="E33" i="12"/>
  <c r="F30" i="12"/>
  <c r="G30" i="12"/>
  <c r="H30" i="12"/>
  <c r="I30" i="12"/>
  <c r="E30" i="12"/>
  <c r="F29" i="12"/>
  <c r="G29" i="12"/>
  <c r="H29" i="12"/>
  <c r="I29" i="12"/>
  <c r="E29" i="12"/>
  <c r="F26" i="12"/>
  <c r="G26" i="12"/>
  <c r="H26" i="12"/>
  <c r="I26" i="12"/>
  <c r="E26" i="12"/>
  <c r="F25" i="12"/>
  <c r="G25" i="12"/>
  <c r="H25" i="12"/>
  <c r="I25" i="12"/>
  <c r="E25" i="12"/>
  <c r="F24" i="12"/>
  <c r="G24" i="12"/>
  <c r="H24" i="12"/>
  <c r="I24" i="12"/>
  <c r="E24" i="12"/>
  <c r="E16" i="12"/>
  <c r="F16" i="12"/>
  <c r="H16" i="12"/>
  <c r="I16" i="12"/>
  <c r="G16" i="12"/>
  <c r="F15" i="12"/>
  <c r="G15" i="12"/>
  <c r="H15" i="12"/>
  <c r="I15" i="12"/>
  <c r="E15" i="12"/>
  <c r="F14" i="12"/>
  <c r="G14" i="12"/>
  <c r="H14" i="12"/>
  <c r="I14" i="12"/>
  <c r="E14" i="12"/>
  <c r="F11" i="12"/>
  <c r="G11" i="12"/>
  <c r="H11" i="12"/>
  <c r="I11" i="12"/>
  <c r="E11" i="12"/>
  <c r="F10" i="12"/>
  <c r="G10" i="12"/>
  <c r="H10" i="12"/>
  <c r="I10" i="12"/>
  <c r="E10" i="12"/>
  <c r="F9" i="12"/>
  <c r="G9" i="12"/>
  <c r="H9" i="12"/>
  <c r="I9" i="12"/>
  <c r="E9" i="12"/>
  <c r="F8" i="12"/>
  <c r="G8" i="12"/>
  <c r="H8" i="12"/>
  <c r="I8" i="12"/>
  <c r="E8" i="12"/>
  <c r="F7" i="12"/>
  <c r="G7" i="12"/>
  <c r="H7" i="12"/>
  <c r="I7" i="12"/>
  <c r="E7" i="12"/>
  <c r="F9" i="13"/>
  <c r="G9" i="13"/>
  <c r="H9" i="13"/>
  <c r="I9" i="13"/>
  <c r="E9" i="13"/>
  <c r="I9" i="11"/>
  <c r="H9" i="11"/>
  <c r="G9" i="11"/>
  <c r="F9" i="11"/>
  <c r="E9" i="11"/>
  <c r="F14" i="11"/>
  <c r="G14" i="11"/>
  <c r="H14" i="11"/>
  <c r="I14" i="11"/>
  <c r="E14" i="11"/>
  <c r="F10" i="11"/>
  <c r="G10" i="11"/>
  <c r="H10" i="11"/>
  <c r="I10" i="11"/>
  <c r="E10" i="11"/>
  <c r="F8" i="11"/>
  <c r="G8" i="11"/>
  <c r="H8" i="11"/>
  <c r="I8" i="11"/>
  <c r="E8" i="11"/>
  <c r="I7" i="11"/>
  <c r="F7" i="11"/>
  <c r="G7" i="11"/>
  <c r="H7" i="11"/>
  <c r="E7" i="11"/>
  <c r="E23" i="36" l="1"/>
  <c r="F18" i="38"/>
  <c r="G71" i="38" s="1"/>
  <c r="G18" i="38"/>
  <c r="H18" i="38"/>
  <c r="I71" i="38" s="1"/>
  <c r="I18" i="38"/>
  <c r="I24" i="38" s="1"/>
  <c r="J18" i="38"/>
  <c r="K71" i="38" s="1"/>
  <c r="L18" i="38"/>
  <c r="F21" i="38"/>
  <c r="G21" i="38"/>
  <c r="H21" i="38"/>
  <c r="I21" i="38"/>
  <c r="J21" i="38"/>
  <c r="F26" i="38"/>
  <c r="G26" i="38"/>
  <c r="H26" i="38"/>
  <c r="I26" i="38"/>
  <c r="J26" i="38"/>
  <c r="L26" i="38" s="1"/>
  <c r="F52" i="38"/>
  <c r="F53" i="38"/>
  <c r="G53" i="38" s="1"/>
  <c r="G56" i="38"/>
  <c r="H56" i="38"/>
  <c r="I56" i="38"/>
  <c r="J56" i="38"/>
  <c r="K56" i="38"/>
  <c r="G57" i="38"/>
  <c r="H57" i="38"/>
  <c r="I57" i="38"/>
  <c r="J57" i="38"/>
  <c r="K57" i="38"/>
  <c r="P58" i="38"/>
  <c r="G65" i="38"/>
  <c r="H65" i="38"/>
  <c r="I65" i="38"/>
  <c r="J65" i="38"/>
  <c r="K65" i="38"/>
  <c r="G68" i="38"/>
  <c r="G70" i="38" s="1"/>
  <c r="H68" i="38"/>
  <c r="H70" i="38" s="1"/>
  <c r="I68" i="38"/>
  <c r="I70" i="38" s="1"/>
  <c r="J68" i="38"/>
  <c r="K68" i="38"/>
  <c r="K70" i="38" s="1"/>
  <c r="L68" i="38"/>
  <c r="M68" i="38"/>
  <c r="N68" i="38"/>
  <c r="O68" i="38"/>
  <c r="P68" i="38"/>
  <c r="L69" i="38"/>
  <c r="M69" i="38" s="1"/>
  <c r="N69" i="38" s="1"/>
  <c r="J70" i="38"/>
  <c r="J71" i="38"/>
  <c r="G85" i="38"/>
  <c r="H85" i="38"/>
  <c r="I85" i="38"/>
  <c r="J85" i="38"/>
  <c r="K85" i="38"/>
  <c r="M85" i="38"/>
  <c r="L70" i="38" l="1"/>
  <c r="I58" i="38"/>
  <c r="J24" i="38"/>
  <c r="H24" i="38"/>
  <c r="J72" i="38"/>
  <c r="H58" i="38"/>
  <c r="G58" i="38"/>
  <c r="K58" i="38"/>
  <c r="L58" i="38" s="1"/>
  <c r="M58" i="38" s="1"/>
  <c r="N58" i="38" s="1"/>
  <c r="O58" i="38" s="1"/>
  <c r="F24" i="38"/>
  <c r="H71" i="38"/>
  <c r="J58" i="38"/>
  <c r="G72" i="38"/>
  <c r="K72" i="38"/>
  <c r="G24" i="38"/>
  <c r="O69" i="38"/>
  <c r="N70" i="38"/>
  <c r="I72" i="38"/>
  <c r="M70" i="38"/>
  <c r="J53" i="38"/>
  <c r="H72" i="38"/>
  <c r="I53" i="38"/>
  <c r="H53" i="38"/>
  <c r="K53" i="38"/>
  <c r="E13" i="36"/>
  <c r="J9" i="36"/>
  <c r="J10" i="36" s="1"/>
  <c r="J11" i="36" s="1"/>
  <c r="E20" i="36"/>
  <c r="J13" i="36"/>
  <c r="J14" i="36"/>
  <c r="E24" i="36"/>
  <c r="F42" i="36" s="1"/>
  <c r="F47" i="36" s="1"/>
  <c r="C28" i="36"/>
  <c r="C29" i="36"/>
  <c r="C30" i="36"/>
  <c r="D30" i="36" s="1"/>
  <c r="E30" i="36" s="1"/>
  <c r="C31" i="36"/>
  <c r="C32" i="36"/>
  <c r="C33" i="36"/>
  <c r="C34" i="36"/>
  <c r="D34" i="36" s="1"/>
  <c r="E34" i="36" s="1"/>
  <c r="C35" i="36"/>
  <c r="C36" i="36"/>
  <c r="C37" i="36"/>
  <c r="C41" i="36"/>
  <c r="D41" i="36"/>
  <c r="E41" i="36"/>
  <c r="F41" i="36"/>
  <c r="G41" i="36"/>
  <c r="H41" i="36"/>
  <c r="I41" i="36"/>
  <c r="J41" i="36"/>
  <c r="K41" i="36"/>
  <c r="L41" i="36"/>
  <c r="C44" i="36"/>
  <c r="D44" i="36"/>
  <c r="E44" i="36"/>
  <c r="F44" i="36"/>
  <c r="G44" i="36"/>
  <c r="H44" i="36"/>
  <c r="I44" i="36"/>
  <c r="J44" i="36"/>
  <c r="K44" i="36"/>
  <c r="L44" i="36"/>
  <c r="M44" i="36"/>
  <c r="C45" i="36"/>
  <c r="D45" i="36"/>
  <c r="E45" i="36"/>
  <c r="F45" i="36"/>
  <c r="G45" i="36"/>
  <c r="H45" i="36"/>
  <c r="I45" i="36"/>
  <c r="J45" i="36"/>
  <c r="K45" i="36"/>
  <c r="L45" i="36"/>
  <c r="M45" i="36"/>
  <c r="C46" i="36"/>
  <c r="D46" i="36"/>
  <c r="E46" i="36"/>
  <c r="F46" i="36"/>
  <c r="G46" i="36"/>
  <c r="H46" i="36"/>
  <c r="I46" i="36"/>
  <c r="J46" i="36"/>
  <c r="K46" i="36"/>
  <c r="L46" i="36"/>
  <c r="M46" i="36"/>
  <c r="C51" i="36"/>
  <c r="C53" i="36" s="1"/>
  <c r="D51" i="36"/>
  <c r="D53" i="36" s="1"/>
  <c r="C52" i="36"/>
  <c r="D52" i="36"/>
  <c r="C56" i="36"/>
  <c r="C57" i="36" s="1"/>
  <c r="D56" i="36"/>
  <c r="E56" i="36"/>
  <c r="F56" i="36"/>
  <c r="M56" i="36"/>
  <c r="H5" i="34"/>
  <c r="I5" i="34"/>
  <c r="I18" i="34" s="1"/>
  <c r="J5" i="34"/>
  <c r="K5" i="34"/>
  <c r="L5" i="34"/>
  <c r="M5" i="34"/>
  <c r="M18" i="34" s="1"/>
  <c r="H6" i="34"/>
  <c r="I6" i="34"/>
  <c r="J6" i="34"/>
  <c r="J19" i="34" s="1"/>
  <c r="K6" i="34"/>
  <c r="K19" i="34" s="1"/>
  <c r="L6" i="34"/>
  <c r="M6" i="34"/>
  <c r="H7" i="34"/>
  <c r="I7" i="34"/>
  <c r="I20" i="34" s="1"/>
  <c r="J7" i="34"/>
  <c r="J20" i="34" s="1"/>
  <c r="K7" i="34"/>
  <c r="L7" i="34"/>
  <c r="L20" i="34" s="1"/>
  <c r="M7" i="34"/>
  <c r="M20" i="34" s="1"/>
  <c r="H10" i="34"/>
  <c r="I10" i="34"/>
  <c r="J10" i="34"/>
  <c r="J21" i="34" s="1"/>
  <c r="K10" i="34"/>
  <c r="K21" i="34" s="1"/>
  <c r="L10" i="34"/>
  <c r="L21" i="34" s="1"/>
  <c r="M10" i="34"/>
  <c r="H13" i="34"/>
  <c r="I13" i="34"/>
  <c r="I22" i="34" s="1"/>
  <c r="J13" i="34"/>
  <c r="J22" i="34" s="1"/>
  <c r="K13" i="34"/>
  <c r="K22" i="34" s="1"/>
  <c r="L13" i="34"/>
  <c r="M13" i="34"/>
  <c r="M22" i="34" s="1"/>
  <c r="H15" i="34"/>
  <c r="I15" i="34"/>
  <c r="J15" i="34"/>
  <c r="J23" i="34" s="1"/>
  <c r="K15" i="34"/>
  <c r="K23" i="34" s="1"/>
  <c r="L15" i="34"/>
  <c r="L23" i="34" s="1"/>
  <c r="M15" i="34"/>
  <c r="H16" i="34"/>
  <c r="I16" i="34"/>
  <c r="I24" i="34" s="1"/>
  <c r="J16" i="34"/>
  <c r="J24" i="34" s="1"/>
  <c r="K16" i="34"/>
  <c r="L16" i="34"/>
  <c r="L24" i="34" s="1"/>
  <c r="M16" i="34"/>
  <c r="M24" i="34" s="1"/>
  <c r="J18" i="34"/>
  <c r="K18" i="34"/>
  <c r="L18" i="34"/>
  <c r="N18" i="34"/>
  <c r="I19" i="34"/>
  <c r="L19" i="34"/>
  <c r="M19" i="34"/>
  <c r="N19" i="34"/>
  <c r="K20" i="34"/>
  <c r="N20" i="34"/>
  <c r="I21" i="34"/>
  <c r="M21" i="34"/>
  <c r="N21" i="34"/>
  <c r="L22" i="34"/>
  <c r="N22" i="34"/>
  <c r="I23" i="34"/>
  <c r="M23" i="34"/>
  <c r="N23" i="34"/>
  <c r="K24" i="34"/>
  <c r="N24" i="34"/>
  <c r="D37" i="36" l="1"/>
  <c r="E37" i="36" s="1"/>
  <c r="D33" i="36"/>
  <c r="E33" i="36" s="1"/>
  <c r="D29" i="36"/>
  <c r="E29" i="36" s="1"/>
  <c r="D36" i="36"/>
  <c r="E36" i="36" s="1"/>
  <c r="D31" i="36"/>
  <c r="E31" i="36" s="1"/>
  <c r="I55" i="36"/>
  <c r="D35" i="36"/>
  <c r="E35" i="36" s="1"/>
  <c r="F55" i="36"/>
  <c r="L42" i="36"/>
  <c r="L55" i="36"/>
  <c r="E55" i="36"/>
  <c r="D42" i="36"/>
  <c r="D47" i="36" s="1"/>
  <c r="D57" i="36" s="1"/>
  <c r="D58" i="36" s="1"/>
  <c r="J55" i="36"/>
  <c r="D55" i="36"/>
  <c r="D32" i="36"/>
  <c r="E32" i="36" s="1"/>
  <c r="H42" i="36"/>
  <c r="H47" i="36" s="1"/>
  <c r="H56" i="36" s="1"/>
  <c r="H57" i="36" s="1"/>
  <c r="M40" i="36"/>
  <c r="M41" i="36" s="1"/>
  <c r="F49" i="36"/>
  <c r="F50" i="36" s="1"/>
  <c r="F51" i="36" s="1"/>
  <c r="F53" i="36" s="1"/>
  <c r="M55" i="36"/>
  <c r="H55" i="36"/>
  <c r="I42" i="36"/>
  <c r="I47" i="36" s="1"/>
  <c r="I49" i="36" s="1"/>
  <c r="I50" i="36" s="1"/>
  <c r="E42" i="36"/>
  <c r="E47" i="36" s="1"/>
  <c r="E57" i="36" s="1"/>
  <c r="K42" i="36"/>
  <c r="G42" i="36"/>
  <c r="G47" i="36" s="1"/>
  <c r="G49" i="36" s="1"/>
  <c r="G50" i="36" s="1"/>
  <c r="C42" i="36"/>
  <c r="C55" i="36"/>
  <c r="C58" i="36" s="1"/>
  <c r="C59" i="36" s="1"/>
  <c r="D28" i="36"/>
  <c r="E28" i="36" s="1"/>
  <c r="C54" i="36" s="1"/>
  <c r="J42" i="36"/>
  <c r="P69" i="38"/>
  <c r="P70" i="38" s="1"/>
  <c r="O70" i="38"/>
  <c r="I56" i="36"/>
  <c r="I57" i="36" s="1"/>
  <c r="F57" i="36"/>
  <c r="K55" i="36"/>
  <c r="G55" i="36"/>
  <c r="K12" i="17"/>
  <c r="L12" i="17" s="1"/>
  <c r="M12" i="17" s="1"/>
  <c r="N12" i="17" s="1"/>
  <c r="J12" i="17"/>
  <c r="D49" i="36" l="1"/>
  <c r="E49" i="36"/>
  <c r="E50" i="36" s="1"/>
  <c r="H49" i="36"/>
  <c r="H50" i="36" s="1"/>
  <c r="H51" i="36" s="1"/>
  <c r="H53" i="36" s="1"/>
  <c r="F52" i="36"/>
  <c r="F58" i="36" s="1"/>
  <c r="F59" i="36" s="1"/>
  <c r="M42" i="36"/>
  <c r="M47" i="36" s="1"/>
  <c r="G56" i="36"/>
  <c r="G57" i="36" s="1"/>
  <c r="D59" i="36"/>
  <c r="I52" i="36"/>
  <c r="I58" i="36" s="1"/>
  <c r="I59" i="36" s="1"/>
  <c r="I51" i="36"/>
  <c r="E52" i="36"/>
  <c r="E58" i="36" s="1"/>
  <c r="E59" i="36" s="1"/>
  <c r="E51" i="36"/>
  <c r="G52" i="36"/>
  <c r="G51" i="36"/>
  <c r="G53" i="36" s="1"/>
  <c r="C46" i="30"/>
  <c r="J19" i="16"/>
  <c r="J20" i="16"/>
  <c r="J21" i="16"/>
  <c r="J22" i="16"/>
  <c r="J23" i="16"/>
  <c r="J24" i="16"/>
  <c r="F7" i="13"/>
  <c r="G7" i="13"/>
  <c r="G21" i="17" s="1"/>
  <c r="H7" i="13"/>
  <c r="H21" i="17" s="1"/>
  <c r="I7" i="13"/>
  <c r="I21" i="17" s="1"/>
  <c r="E7" i="13"/>
  <c r="E21" i="17" s="1"/>
  <c r="J7" i="11"/>
  <c r="F22" i="17"/>
  <c r="G22" i="17"/>
  <c r="H22" i="17"/>
  <c r="I22" i="17"/>
  <c r="E22" i="17"/>
  <c r="F21" i="17"/>
  <c r="F14" i="17"/>
  <c r="G14" i="17"/>
  <c r="H14" i="17"/>
  <c r="I14" i="17"/>
  <c r="E14" i="17"/>
  <c r="F13" i="17"/>
  <c r="G13" i="17"/>
  <c r="H13" i="17"/>
  <c r="I13" i="17"/>
  <c r="E13" i="17"/>
  <c r="F12" i="17"/>
  <c r="G12" i="17"/>
  <c r="H12" i="17"/>
  <c r="I12" i="17"/>
  <c r="E12" i="17"/>
  <c r="G11" i="17"/>
  <c r="H11" i="17"/>
  <c r="I11" i="17"/>
  <c r="F11" i="17"/>
  <c r="O47" i="14"/>
  <c r="O57" i="14"/>
  <c r="L83" i="14"/>
  <c r="F11" i="11"/>
  <c r="G16" i="38" s="1"/>
  <c r="G19" i="38" s="1"/>
  <c r="G22" i="38" s="1"/>
  <c r="G11" i="11"/>
  <c r="H16" i="38" s="1"/>
  <c r="H19" i="38" s="1"/>
  <c r="H22" i="38" s="1"/>
  <c r="H11" i="11"/>
  <c r="I16" i="38" s="1"/>
  <c r="I19" i="38" s="1"/>
  <c r="I22" i="38" s="1"/>
  <c r="I11" i="11"/>
  <c r="C47" i="30" s="1"/>
  <c r="E11" i="11"/>
  <c r="C34" i="16"/>
  <c r="C33" i="16"/>
  <c r="C32" i="16"/>
  <c r="C31" i="16"/>
  <c r="C30" i="16"/>
  <c r="C29" i="16"/>
  <c r="C28" i="16"/>
  <c r="C27" i="16"/>
  <c r="C26" i="16"/>
  <c r="C25" i="16"/>
  <c r="B25" i="16"/>
  <c r="F25" i="16" s="1"/>
  <c r="D24" i="16"/>
  <c r="I15" i="16"/>
  <c r="K14" i="16"/>
  <c r="B12" i="16"/>
  <c r="B26" i="16" s="1"/>
  <c r="B29" i="15"/>
  <c r="C28" i="15"/>
  <c r="B28" i="15"/>
  <c r="C27" i="15"/>
  <c r="B27" i="15"/>
  <c r="C26" i="15"/>
  <c r="B26" i="15"/>
  <c r="C25" i="15"/>
  <c r="B25" i="15"/>
  <c r="C24" i="15"/>
  <c r="B24" i="15"/>
  <c r="E20" i="15"/>
  <c r="D47" i="12"/>
  <c r="I46" i="12"/>
  <c r="H46" i="12"/>
  <c r="G46" i="12"/>
  <c r="F46" i="12"/>
  <c r="E46" i="12"/>
  <c r="I44" i="12"/>
  <c r="H44" i="12"/>
  <c r="G44" i="12"/>
  <c r="F44" i="12"/>
  <c r="E44" i="12"/>
  <c r="I35" i="12"/>
  <c r="H35" i="12"/>
  <c r="G35" i="12"/>
  <c r="F35" i="12"/>
  <c r="E35" i="12"/>
  <c r="I27" i="12"/>
  <c r="I31" i="12" s="1"/>
  <c r="H27" i="12"/>
  <c r="H31" i="12" s="1"/>
  <c r="G27" i="12"/>
  <c r="G45" i="12" s="1"/>
  <c r="F27" i="12"/>
  <c r="F45" i="12" s="1"/>
  <c r="E27" i="12"/>
  <c r="E31" i="12" s="1"/>
  <c r="I17" i="12"/>
  <c r="H17" i="12"/>
  <c r="G17" i="12"/>
  <c r="F17" i="12"/>
  <c r="E17" i="12"/>
  <c r="I12" i="12"/>
  <c r="I43" i="12" s="1"/>
  <c r="H12" i="12"/>
  <c r="H43" i="12" s="1"/>
  <c r="G12" i="12"/>
  <c r="F12" i="12"/>
  <c r="E12" i="12"/>
  <c r="E43" i="12" s="1"/>
  <c r="K88" i="17"/>
  <c r="K83" i="17"/>
  <c r="D24" i="15" l="1"/>
  <c r="B13" i="16"/>
  <c r="I17" i="16" s="1"/>
  <c r="D25" i="16"/>
  <c r="E25" i="16" s="1"/>
  <c r="H52" i="36"/>
  <c r="H58" i="36" s="1"/>
  <c r="H59" i="36" s="1"/>
  <c r="D26" i="15"/>
  <c r="D28" i="15"/>
  <c r="M49" i="36"/>
  <c r="M50" i="36" s="1"/>
  <c r="M57" i="36"/>
  <c r="D25" i="15"/>
  <c r="D27" i="15"/>
  <c r="G58" i="36"/>
  <c r="G59" i="36" s="1"/>
  <c r="H38" i="12"/>
  <c r="I16" i="16"/>
  <c r="K16" i="16" s="1"/>
  <c r="H15" i="11"/>
  <c r="H16" i="11" s="1"/>
  <c r="E38" i="12"/>
  <c r="I38" i="12"/>
  <c r="H45" i="12"/>
  <c r="H47" i="12" s="1"/>
  <c r="H18" i="17" s="1"/>
  <c r="I45" i="12"/>
  <c r="I47" i="12" s="1"/>
  <c r="I18" i="17" s="1"/>
  <c r="F31" i="12"/>
  <c r="F38" i="12" s="1"/>
  <c r="E45" i="12"/>
  <c r="E47" i="12" s="1"/>
  <c r="F20" i="12"/>
  <c r="G20" i="12"/>
  <c r="I20" i="12"/>
  <c r="E20" i="12"/>
  <c r="H20" i="12"/>
  <c r="J13" i="17"/>
  <c r="J9" i="11" s="1"/>
  <c r="K13" i="17"/>
  <c r="F12" i="11"/>
  <c r="I12" i="11"/>
  <c r="J16" i="38"/>
  <c r="H61" i="38"/>
  <c r="H63" i="38" s="1"/>
  <c r="G12" i="11"/>
  <c r="L13" i="17"/>
  <c r="I61" i="38"/>
  <c r="I63" i="38" s="1"/>
  <c r="J61" i="38"/>
  <c r="N13" i="17"/>
  <c r="E12" i="11"/>
  <c r="F16" i="38"/>
  <c r="F19" i="38" s="1"/>
  <c r="F22" i="38" s="1"/>
  <c r="M13" i="17"/>
  <c r="K14" i="17"/>
  <c r="J14" i="17"/>
  <c r="J10" i="11" s="1"/>
  <c r="L14" i="17"/>
  <c r="M14" i="17"/>
  <c r="N14" i="17"/>
  <c r="E53" i="36"/>
  <c r="C61" i="36"/>
  <c r="T19" i="38" s="1"/>
  <c r="S13" i="38" s="1"/>
  <c r="I53" i="36"/>
  <c r="J47" i="36"/>
  <c r="J8" i="11"/>
  <c r="K7" i="11"/>
  <c r="K21" i="17"/>
  <c r="N21" i="17"/>
  <c r="M21" i="17"/>
  <c r="L21" i="17"/>
  <c r="J21" i="17"/>
  <c r="J7" i="13" s="1"/>
  <c r="J14" i="11" s="1"/>
  <c r="M18" i="38" s="1"/>
  <c r="M22" i="17"/>
  <c r="H12" i="11"/>
  <c r="I15" i="11"/>
  <c r="E15" i="11"/>
  <c r="E16" i="11" s="1"/>
  <c r="K17" i="16"/>
  <c r="F26" i="16"/>
  <c r="D26" i="16"/>
  <c r="E26" i="16" s="1"/>
  <c r="K15" i="16"/>
  <c r="C24" i="16"/>
  <c r="E24" i="16" s="1"/>
  <c r="B14" i="16"/>
  <c r="B27" i="16"/>
  <c r="C29" i="15"/>
  <c r="D29" i="15" s="1"/>
  <c r="D30" i="15" s="1"/>
  <c r="F15" i="11"/>
  <c r="F16" i="11" s="1"/>
  <c r="G15" i="11"/>
  <c r="G16" i="11" s="1"/>
  <c r="F43" i="12"/>
  <c r="F47" i="12" s="1"/>
  <c r="G31" i="12"/>
  <c r="G38" i="12" s="1"/>
  <c r="G43" i="12"/>
  <c r="G47" i="12" s="1"/>
  <c r="G18" i="17" s="1"/>
  <c r="L22" i="17"/>
  <c r="J22" i="17"/>
  <c r="J9" i="13" s="1"/>
  <c r="N22" i="17"/>
  <c r="K22" i="17"/>
  <c r="C9" i="33"/>
  <c r="M51" i="36" l="1"/>
  <c r="M53" i="36" s="1"/>
  <c r="M52" i="36"/>
  <c r="M58" i="36" s="1"/>
  <c r="M59" i="36" s="1"/>
  <c r="H39" i="12"/>
  <c r="F39" i="12"/>
  <c r="E39" i="12"/>
  <c r="S12" i="38"/>
  <c r="S11" i="38" s="1"/>
  <c r="S15" i="38"/>
  <c r="S16" i="38" s="1"/>
  <c r="S17" i="38" s="1"/>
  <c r="G39" i="12"/>
  <c r="I39" i="12"/>
  <c r="E49" i="12"/>
  <c r="G66" i="38" s="1"/>
  <c r="E18" i="17"/>
  <c r="I49" i="12"/>
  <c r="K66" i="38" s="1"/>
  <c r="F49" i="12"/>
  <c r="G25" i="38" s="1"/>
  <c r="G28" i="38" s="1"/>
  <c r="F18" i="17"/>
  <c r="I16" i="11"/>
  <c r="C48" i="30"/>
  <c r="L16" i="38"/>
  <c r="J19" i="38"/>
  <c r="L65" i="38"/>
  <c r="M26" i="38"/>
  <c r="J63" i="38"/>
  <c r="G61" i="38"/>
  <c r="L71" i="38"/>
  <c r="L72" i="38" s="1"/>
  <c r="J18" i="16"/>
  <c r="G52" i="38"/>
  <c r="J56" i="36"/>
  <c r="J57" i="36" s="1"/>
  <c r="J49" i="36"/>
  <c r="J50" i="36" s="1"/>
  <c r="J11" i="11"/>
  <c r="M16" i="38" s="1"/>
  <c r="K9" i="13"/>
  <c r="K7" i="13"/>
  <c r="K14" i="11" s="1"/>
  <c r="N18" i="38" s="1"/>
  <c r="L7" i="11"/>
  <c r="K8" i="11"/>
  <c r="K9" i="11"/>
  <c r="K10" i="11"/>
  <c r="B28" i="16"/>
  <c r="B15" i="16"/>
  <c r="I18" i="16"/>
  <c r="D27" i="16"/>
  <c r="E27" i="16" s="1"/>
  <c r="F27" i="16"/>
  <c r="G35" i="15"/>
  <c r="G33" i="15"/>
  <c r="G49" i="12"/>
  <c r="H49" i="12"/>
  <c r="K68" i="14"/>
  <c r="L68" i="14" s="1"/>
  <c r="M68" i="14" s="1"/>
  <c r="N68" i="14" s="1"/>
  <c r="O68" i="14" s="1"/>
  <c r="E52" i="14"/>
  <c r="J52" i="14" s="1"/>
  <c r="F25" i="38" l="1"/>
  <c r="F28" i="38" s="1"/>
  <c r="G34" i="15"/>
  <c r="F45" i="38" s="1"/>
  <c r="F49" i="38"/>
  <c r="J25" i="38"/>
  <c r="L25" i="38" s="1"/>
  <c r="H66" i="38"/>
  <c r="H76" i="38" s="1"/>
  <c r="L18" i="17"/>
  <c r="L47" i="12" s="1"/>
  <c r="J18" i="17"/>
  <c r="J47" i="12" s="1"/>
  <c r="J49" i="12" s="1"/>
  <c r="M25" i="38" s="1"/>
  <c r="L66" i="38" s="1"/>
  <c r="N18" i="17"/>
  <c r="M18" i="17"/>
  <c r="K18" i="17"/>
  <c r="K47" i="12" s="1"/>
  <c r="J66" i="38"/>
  <c r="J76" i="38" s="1"/>
  <c r="I25" i="38"/>
  <c r="I28" i="38" s="1"/>
  <c r="H25" i="38"/>
  <c r="H28" i="38" s="1"/>
  <c r="I66" i="38"/>
  <c r="I76" i="38" s="1"/>
  <c r="J22" i="38"/>
  <c r="M71" i="38"/>
  <c r="M72" i="38" s="1"/>
  <c r="N26" i="38"/>
  <c r="M65" i="38"/>
  <c r="J17" i="16"/>
  <c r="M17" i="16" s="1"/>
  <c r="H52" i="38"/>
  <c r="J52" i="36"/>
  <c r="J58" i="36" s="1"/>
  <c r="J59" i="36" s="1"/>
  <c r="J51" i="36"/>
  <c r="M7" i="11"/>
  <c r="L9" i="13"/>
  <c r="L7" i="13"/>
  <c r="L14" i="11" s="1"/>
  <c r="O18" i="38" s="1"/>
  <c r="L8" i="11"/>
  <c r="L9" i="11"/>
  <c r="K11" i="11"/>
  <c r="F28" i="16"/>
  <c r="D28" i="16"/>
  <c r="E28" i="16" s="1"/>
  <c r="K18" i="16"/>
  <c r="L18" i="16" s="1"/>
  <c r="M18" i="16"/>
  <c r="B16" i="16"/>
  <c r="I19" i="16"/>
  <c r="B29" i="16"/>
  <c r="J12" i="11"/>
  <c r="J15" i="11"/>
  <c r="J16" i="11" s="1"/>
  <c r="G52" i="14"/>
  <c r="H52" i="14"/>
  <c r="I52" i="14"/>
  <c r="F52" i="14"/>
  <c r="J49" i="38" l="1"/>
  <c r="K49" i="38"/>
  <c r="I49" i="38"/>
  <c r="H49" i="38"/>
  <c r="G49" i="38"/>
  <c r="G45" i="38"/>
  <c r="J45" i="38"/>
  <c r="I45" i="38"/>
  <c r="H45" i="38"/>
  <c r="K45" i="38"/>
  <c r="L49" i="12"/>
  <c r="O25" i="38" s="1"/>
  <c r="N66" i="38" s="1"/>
  <c r="K49" i="12"/>
  <c r="N25" i="38" s="1"/>
  <c r="M66" i="38" s="1"/>
  <c r="K61" i="38"/>
  <c r="J28" i="38"/>
  <c r="L17" i="16"/>
  <c r="K12" i="11"/>
  <c r="N16" i="38"/>
  <c r="O26" i="38"/>
  <c r="N65" i="38"/>
  <c r="N71" i="38"/>
  <c r="N72" i="38" s="1"/>
  <c r="J53" i="36"/>
  <c r="K47" i="36"/>
  <c r="N7" i="11"/>
  <c r="M9" i="13"/>
  <c r="M7" i="13"/>
  <c r="M14" i="11" s="1"/>
  <c r="P18" i="38" s="1"/>
  <c r="M47" i="12"/>
  <c r="M49" i="12" s="1"/>
  <c r="P25" i="38" s="1"/>
  <c r="O66" i="38" s="1"/>
  <c r="M8" i="11"/>
  <c r="M9" i="11"/>
  <c r="K15" i="11"/>
  <c r="L10" i="11"/>
  <c r="M19" i="16"/>
  <c r="K19" i="16"/>
  <c r="L19" i="16" s="1"/>
  <c r="B30" i="16"/>
  <c r="B17" i="16"/>
  <c r="I20" i="16"/>
  <c r="D29" i="16"/>
  <c r="E29" i="16" s="1"/>
  <c r="F29" i="16"/>
  <c r="F51" i="14"/>
  <c r="K63" i="38" l="1"/>
  <c r="K76" i="38" s="1"/>
  <c r="O71" i="38"/>
  <c r="O72" i="38" s="1"/>
  <c r="P26" i="38"/>
  <c r="O65" i="38"/>
  <c r="K16" i="11"/>
  <c r="I52" i="38"/>
  <c r="K49" i="36"/>
  <c r="K50" i="36" s="1"/>
  <c r="K56" i="36"/>
  <c r="K57" i="36" s="1"/>
  <c r="N7" i="13"/>
  <c r="N14" i="11" s="1"/>
  <c r="Q18" i="38" s="1"/>
  <c r="N47" i="12"/>
  <c r="N49" i="12" s="1"/>
  <c r="Q25" i="38" s="1"/>
  <c r="P66" i="38" s="1"/>
  <c r="N9" i="13"/>
  <c r="N8" i="11"/>
  <c r="N9" i="11"/>
  <c r="N10" i="11"/>
  <c r="M10" i="11"/>
  <c r="J16" i="16"/>
  <c r="L11" i="11"/>
  <c r="O16" i="38" s="1"/>
  <c r="D30" i="16"/>
  <c r="E30" i="16" s="1"/>
  <c r="F30" i="16"/>
  <c r="K20" i="16"/>
  <c r="L20" i="16" s="1"/>
  <c r="M20" i="16"/>
  <c r="B18" i="16"/>
  <c r="B31" i="16"/>
  <c r="I21" i="16"/>
  <c r="L25" i="14"/>
  <c r="K64" i="14"/>
  <c r="K52" i="38" l="1"/>
  <c r="P71" i="38"/>
  <c r="P72" i="38" s="1"/>
  <c r="J52" i="38"/>
  <c r="Q26" i="38"/>
  <c r="P65" i="38"/>
  <c r="K52" i="36"/>
  <c r="K58" i="36" s="1"/>
  <c r="K59" i="36" s="1"/>
  <c r="K51" i="36"/>
  <c r="J14" i="16"/>
  <c r="L14" i="16" s="1"/>
  <c r="N11" i="11"/>
  <c r="L15" i="11"/>
  <c r="L12" i="11"/>
  <c r="L16" i="16"/>
  <c r="M16" i="16"/>
  <c r="J15" i="16"/>
  <c r="M11" i="11"/>
  <c r="P16" i="38" s="1"/>
  <c r="K21" i="16"/>
  <c r="L21" i="16" s="1"/>
  <c r="M21" i="16"/>
  <c r="F31" i="16"/>
  <c r="D31" i="16"/>
  <c r="E31" i="16" s="1"/>
  <c r="B32" i="16"/>
  <c r="I22" i="16"/>
  <c r="B19" i="16"/>
  <c r="M25" i="14"/>
  <c r="L64" i="14"/>
  <c r="F25" i="14"/>
  <c r="G25" i="14"/>
  <c r="H25" i="14"/>
  <c r="I25" i="14"/>
  <c r="E25" i="14"/>
  <c r="G64" i="14"/>
  <c r="H64" i="14"/>
  <c r="I64" i="14"/>
  <c r="J64" i="14"/>
  <c r="F64" i="14"/>
  <c r="N15" i="11" l="1"/>
  <c r="Q16" i="38"/>
  <c r="L16" i="11"/>
  <c r="K53" i="36"/>
  <c r="L47" i="36"/>
  <c r="N12" i="11"/>
  <c r="M15" i="11"/>
  <c r="M12" i="11"/>
  <c r="M15" i="16"/>
  <c r="L15" i="16"/>
  <c r="F32" i="16"/>
  <c r="D32" i="16"/>
  <c r="E32" i="16" s="1"/>
  <c r="I23" i="16"/>
  <c r="B20" i="16"/>
  <c r="B33" i="16"/>
  <c r="M22" i="16"/>
  <c r="K22" i="16"/>
  <c r="L22" i="16" s="1"/>
  <c r="N25" i="14"/>
  <c r="M64" i="14"/>
  <c r="F14" i="33"/>
  <c r="G14" i="33" s="1"/>
  <c r="H14" i="33" s="1"/>
  <c r="O67" i="14"/>
  <c r="I17" i="14"/>
  <c r="I23" i="14" s="1"/>
  <c r="I20" i="14"/>
  <c r="I15" i="17" s="1"/>
  <c r="F17" i="14"/>
  <c r="G70" i="14" s="1"/>
  <c r="F20" i="14"/>
  <c r="F15" i="17" s="1"/>
  <c r="G17" i="14"/>
  <c r="G23" i="14" s="1"/>
  <c r="G20" i="14"/>
  <c r="G15" i="17" s="1"/>
  <c r="H17" i="14"/>
  <c r="H23" i="14" s="1"/>
  <c r="H20" i="14"/>
  <c r="H15" i="17" s="1"/>
  <c r="E17" i="14"/>
  <c r="E23" i="14" s="1"/>
  <c r="E20" i="14"/>
  <c r="E15" i="17" s="1"/>
  <c r="F23" i="14"/>
  <c r="J55" i="14"/>
  <c r="J56" i="14"/>
  <c r="D20" i="30"/>
  <c r="D34" i="30" s="1"/>
  <c r="E20" i="30"/>
  <c r="E34" i="30" s="1"/>
  <c r="F20" i="30"/>
  <c r="F34" i="30" s="1"/>
  <c r="D19" i="30"/>
  <c r="D33" i="30" s="1"/>
  <c r="E19" i="30"/>
  <c r="E33" i="30" s="1"/>
  <c r="D52" i="30" s="1"/>
  <c r="F19" i="30"/>
  <c r="F33" i="30" s="1"/>
  <c r="F23" i="30"/>
  <c r="E23" i="30"/>
  <c r="E37" i="30" s="1"/>
  <c r="D23" i="30"/>
  <c r="D37" i="30" s="1"/>
  <c r="F21" i="30"/>
  <c r="F35" i="30" s="1"/>
  <c r="E21" i="30"/>
  <c r="E35" i="30" s="1"/>
  <c r="D21" i="30"/>
  <c r="D35" i="30" s="1"/>
  <c r="F22" i="30"/>
  <c r="F36" i="30" s="1"/>
  <c r="E22" i="30"/>
  <c r="E36" i="30" s="1"/>
  <c r="D22" i="30"/>
  <c r="D36" i="30" s="1"/>
  <c r="F24" i="30"/>
  <c r="F38" i="30" s="1"/>
  <c r="E24" i="30"/>
  <c r="E38" i="30" s="1"/>
  <c r="D24" i="30"/>
  <c r="D38" i="30" s="1"/>
  <c r="E51" i="14"/>
  <c r="J67" i="14"/>
  <c r="J69" i="14" s="1"/>
  <c r="L67" i="14"/>
  <c r="M67" i="14"/>
  <c r="N67" i="14"/>
  <c r="K67" i="14"/>
  <c r="G67" i="14"/>
  <c r="H67" i="14"/>
  <c r="H69" i="14" s="1"/>
  <c r="I67" i="14"/>
  <c r="I69" i="14" s="1"/>
  <c r="F67" i="14"/>
  <c r="F69" i="14" s="1"/>
  <c r="K17" i="14"/>
  <c r="G83" i="14"/>
  <c r="H83" i="14"/>
  <c r="I83" i="14"/>
  <c r="J83" i="14"/>
  <c r="F83" i="14"/>
  <c r="G55" i="14"/>
  <c r="G56" i="14"/>
  <c r="H55" i="14"/>
  <c r="H56" i="14"/>
  <c r="I55" i="14"/>
  <c r="I56" i="14"/>
  <c r="F55" i="14"/>
  <c r="F56" i="14"/>
  <c r="E15" i="14"/>
  <c r="G15" i="14"/>
  <c r="H15" i="14"/>
  <c r="J70" i="14"/>
  <c r="F29" i="30" l="1"/>
  <c r="M16" i="11"/>
  <c r="N16" i="11"/>
  <c r="L49" i="36"/>
  <c r="L50" i="36" s="1"/>
  <c r="L56" i="36"/>
  <c r="L57" i="36" s="1"/>
  <c r="F27" i="30"/>
  <c r="I24" i="16"/>
  <c r="B34" i="16"/>
  <c r="M23" i="16"/>
  <c r="K23" i="16"/>
  <c r="L23" i="16" s="1"/>
  <c r="D33" i="16"/>
  <c r="E33" i="16" s="1"/>
  <c r="F33" i="16"/>
  <c r="E14" i="33"/>
  <c r="D14" i="33" s="1"/>
  <c r="O25" i="14"/>
  <c r="N64" i="14"/>
  <c r="F57" i="14"/>
  <c r="H18" i="14"/>
  <c r="H21" i="14" s="1"/>
  <c r="I60" i="14" s="1"/>
  <c r="N69" i="14"/>
  <c r="M69" i="14"/>
  <c r="L69" i="14"/>
  <c r="K69" i="14"/>
  <c r="F26" i="30"/>
  <c r="E26" i="30"/>
  <c r="E27" i="30"/>
  <c r="K25" i="14"/>
  <c r="F37" i="30"/>
  <c r="F43" i="30" s="1"/>
  <c r="E28" i="30"/>
  <c r="E25" i="30"/>
  <c r="E39" i="30" s="1"/>
  <c r="E29" i="30"/>
  <c r="D28" i="30"/>
  <c r="D26" i="30"/>
  <c r="D25" i="30"/>
  <c r="D39" i="30" s="1"/>
  <c r="D30" i="30"/>
  <c r="D29" i="30"/>
  <c r="F41" i="30"/>
  <c r="J11" i="30"/>
  <c r="K11" i="30"/>
  <c r="F42" i="30"/>
  <c r="C52" i="30"/>
  <c r="I11" i="30"/>
  <c r="C53" i="30"/>
  <c r="F40" i="30"/>
  <c r="F28" i="30"/>
  <c r="F30" i="30"/>
  <c r="F25" i="30"/>
  <c r="F39" i="30" s="1"/>
  <c r="E43" i="30"/>
  <c r="L10" i="30"/>
  <c r="E41" i="30"/>
  <c r="K10" i="30"/>
  <c r="E42" i="30"/>
  <c r="J10" i="30"/>
  <c r="E40" i="30"/>
  <c r="I10" i="30"/>
  <c r="D53" i="30"/>
  <c r="E44" i="30"/>
  <c r="M10" i="30"/>
  <c r="E30" i="30"/>
  <c r="D42" i="30"/>
  <c r="K9" i="30"/>
  <c r="D44" i="30"/>
  <c r="M9" i="30"/>
  <c r="E52" i="30"/>
  <c r="J9" i="30"/>
  <c r="D41" i="30"/>
  <c r="L9" i="30"/>
  <c r="D43" i="30"/>
  <c r="E53" i="30"/>
  <c r="D40" i="30"/>
  <c r="I9" i="30"/>
  <c r="D27" i="30"/>
  <c r="O69" i="14"/>
  <c r="I70" i="14"/>
  <c r="I71" i="14" s="1"/>
  <c r="H70" i="14"/>
  <c r="H71" i="14" s="1"/>
  <c r="E18" i="14"/>
  <c r="E21" i="14" s="1"/>
  <c r="F60" i="14" s="1"/>
  <c r="F70" i="14"/>
  <c r="F71" i="14" s="1"/>
  <c r="G18" i="14"/>
  <c r="G21" i="14" s="1"/>
  <c r="H60" i="14" s="1"/>
  <c r="G71" i="14"/>
  <c r="F15" i="14"/>
  <c r="F18" i="14" s="1"/>
  <c r="F21" i="14" s="1"/>
  <c r="G60" i="14" s="1"/>
  <c r="I15" i="14"/>
  <c r="J71" i="14"/>
  <c r="G69" i="14"/>
  <c r="H57" i="14"/>
  <c r="I57" i="14"/>
  <c r="G57" i="14"/>
  <c r="J57" i="14"/>
  <c r="K57" i="14" s="1"/>
  <c r="L57" i="14" s="1"/>
  <c r="M57" i="14" s="1"/>
  <c r="N57" i="14" s="1"/>
  <c r="G62" i="14" l="1"/>
  <c r="L52" i="36"/>
  <c r="L58" i="36" s="1"/>
  <c r="L59" i="36" s="1"/>
  <c r="L51" i="36"/>
  <c r="L53" i="36" s="1"/>
  <c r="I62" i="14"/>
  <c r="D34" i="16"/>
  <c r="E34" i="16" s="1"/>
  <c r="E35" i="16" s="1"/>
  <c r="F34" i="16"/>
  <c r="F35" i="16" s="1"/>
  <c r="E37" i="16" s="1"/>
  <c r="M24" i="16"/>
  <c r="M25" i="16" s="1"/>
  <c r="K24" i="16"/>
  <c r="L24" i="16" s="1"/>
  <c r="L25" i="16" s="1"/>
  <c r="P25" i="14"/>
  <c r="O64" i="14"/>
  <c r="E44" i="14"/>
  <c r="L11" i="30"/>
  <c r="M11" i="30"/>
  <c r="F44" i="30"/>
  <c r="H62" i="14"/>
  <c r="K15" i="14"/>
  <c r="I18" i="14"/>
  <c r="E24" i="14"/>
  <c r="E27" i="14" s="1"/>
  <c r="G65" i="14"/>
  <c r="H24" i="14"/>
  <c r="H27" i="14" s="1"/>
  <c r="I24" i="14"/>
  <c r="H65" i="14"/>
  <c r="G75" i="14" l="1"/>
  <c r="M27" i="16"/>
  <c r="M59" i="38" s="1"/>
  <c r="F48" i="38"/>
  <c r="K24" i="38" s="1"/>
  <c r="L24" i="38" s="1"/>
  <c r="E40" i="16"/>
  <c r="F44" i="38" s="1"/>
  <c r="J58" i="14"/>
  <c r="K59" i="38"/>
  <c r="M26" i="16"/>
  <c r="E39" i="16"/>
  <c r="E48" i="14"/>
  <c r="H51" i="14"/>
  <c r="G51" i="14"/>
  <c r="L24" i="14"/>
  <c r="K65" i="14" s="1"/>
  <c r="E49" i="14"/>
  <c r="J49" i="14" s="1"/>
  <c r="F44" i="14"/>
  <c r="G44" i="14"/>
  <c r="I44" i="14"/>
  <c r="H44" i="14"/>
  <c r="J44" i="14"/>
  <c r="H75" i="14"/>
  <c r="I21" i="14"/>
  <c r="I27" i="14" s="1"/>
  <c r="F65" i="14"/>
  <c r="F24" i="14"/>
  <c r="F27" i="14" s="1"/>
  <c r="J65" i="14"/>
  <c r="G24" i="14"/>
  <c r="G27" i="14" s="1"/>
  <c r="I65" i="14"/>
  <c r="I75" i="14" s="1"/>
  <c r="K24" i="14"/>
  <c r="M39" i="16" l="1"/>
  <c r="F43" i="38"/>
  <c r="K19" i="38" s="1"/>
  <c r="L59" i="38"/>
  <c r="E42" i="14"/>
  <c r="E43" i="14"/>
  <c r="O59" i="38"/>
  <c r="N59" i="38"/>
  <c r="P59" i="38"/>
  <c r="G48" i="38"/>
  <c r="G43" i="38"/>
  <c r="G44" i="38" s="1"/>
  <c r="M19" i="38" s="1"/>
  <c r="M22" i="38" s="1"/>
  <c r="H43" i="38"/>
  <c r="I43" i="38"/>
  <c r="K43" i="38"/>
  <c r="J43" i="38"/>
  <c r="F49" i="14"/>
  <c r="J23" i="14"/>
  <c r="K23" i="14" s="1"/>
  <c r="H49" i="14"/>
  <c r="I49" i="14"/>
  <c r="G49" i="14"/>
  <c r="N41" i="14"/>
  <c r="L15" i="14"/>
  <c r="M17" i="14"/>
  <c r="L70" i="14" s="1"/>
  <c r="L71" i="14" s="1"/>
  <c r="N17" i="14"/>
  <c r="J60" i="14"/>
  <c r="J62" i="14" s="1"/>
  <c r="M24" i="14"/>
  <c r="L65" i="14" s="1"/>
  <c r="J18" i="14" l="1"/>
  <c r="J21" i="14" s="1"/>
  <c r="K21" i="14" s="1"/>
  <c r="K22" i="38"/>
  <c r="L22" i="38" s="1"/>
  <c r="L28" i="38" s="1"/>
  <c r="L19" i="38"/>
  <c r="I44" i="38"/>
  <c r="O19" i="38" s="1"/>
  <c r="O22" i="38" s="1"/>
  <c r="H44" i="38"/>
  <c r="N19" i="38" s="1"/>
  <c r="N22" i="38" s="1"/>
  <c r="M61" i="38" s="1"/>
  <c r="L61" i="38"/>
  <c r="J44" i="38"/>
  <c r="P19" i="38" s="1"/>
  <c r="P22" i="38" s="1"/>
  <c r="K44" i="38"/>
  <c r="Q19" i="38" s="1"/>
  <c r="Q22" i="38" s="1"/>
  <c r="H48" i="38"/>
  <c r="M24" i="38"/>
  <c r="M28" i="38" s="1"/>
  <c r="M30" i="38" s="1"/>
  <c r="L17" i="14"/>
  <c r="K70" i="14" s="1"/>
  <c r="K71" i="14" s="1"/>
  <c r="J51" i="14"/>
  <c r="I51" i="14"/>
  <c r="N43" i="14"/>
  <c r="N44" i="14" s="1"/>
  <c r="N45" i="14" s="1"/>
  <c r="N40" i="14"/>
  <c r="N39" i="14" s="1"/>
  <c r="K27" i="14"/>
  <c r="P17" i="14"/>
  <c r="O17" i="14"/>
  <c r="J75" i="14"/>
  <c r="M15" i="14"/>
  <c r="M70" i="14"/>
  <c r="M71" i="14" s="1"/>
  <c r="N24" i="14"/>
  <c r="M65" i="14" s="1"/>
  <c r="O24" i="14"/>
  <c r="K18" i="14" l="1"/>
  <c r="O61" i="38"/>
  <c r="M63" i="38"/>
  <c r="M76" i="38" s="1"/>
  <c r="I48" i="38"/>
  <c r="N24" i="38"/>
  <c r="N28" i="38" s="1"/>
  <c r="N30" i="38" s="1"/>
  <c r="N61" i="38"/>
  <c r="P61" i="38"/>
  <c r="L63" i="38"/>
  <c r="L76" i="38" s="1"/>
  <c r="P24" i="14"/>
  <c r="N15" i="14"/>
  <c r="N70" i="14"/>
  <c r="N71" i="14" s="1"/>
  <c r="N65" i="14"/>
  <c r="N63" i="38" l="1"/>
  <c r="N76" i="38" s="1"/>
  <c r="J48" i="38"/>
  <c r="O24" i="38"/>
  <c r="O28" i="38" s="1"/>
  <c r="O30" i="38" s="1"/>
  <c r="O15" i="14"/>
  <c r="P15" i="14"/>
  <c r="F48" i="14"/>
  <c r="G48" i="14" s="1"/>
  <c r="H48" i="14" s="1"/>
  <c r="I48" i="14" s="1"/>
  <c r="J48" i="14" s="1"/>
  <c r="O70" i="14"/>
  <c r="O71" i="14" s="1"/>
  <c r="O65" i="14"/>
  <c r="K48" i="38" l="1"/>
  <c r="P24" i="38"/>
  <c r="P28" i="38" s="1"/>
  <c r="P30" i="38" s="1"/>
  <c r="O63" i="38"/>
  <c r="O76" i="38" s="1"/>
  <c r="M58" i="14"/>
  <c r="F42" i="14"/>
  <c r="F43" i="14" s="1"/>
  <c r="L18" i="14" s="1"/>
  <c r="L21" i="14" s="1"/>
  <c r="J42" i="14"/>
  <c r="G42" i="14"/>
  <c r="I42" i="14"/>
  <c r="H42" i="14"/>
  <c r="Q24" i="38" l="1"/>
  <c r="Q28" i="38" s="1"/>
  <c r="Q30" i="38" s="1"/>
  <c r="P63" i="38"/>
  <c r="P76" i="38" s="1"/>
  <c r="O58" i="14"/>
  <c r="L58" i="14"/>
  <c r="N58" i="14"/>
  <c r="K58" i="14"/>
  <c r="J43" i="14"/>
  <c r="P18" i="14" s="1"/>
  <c r="P21" i="14" s="1"/>
  <c r="O60" i="14" s="1"/>
  <c r="K60" i="14"/>
  <c r="K62" i="14" s="1"/>
  <c r="G43" i="14"/>
  <c r="M18" i="14" s="1"/>
  <c r="M21" i="14" s="1"/>
  <c r="L60" i="14" s="1"/>
  <c r="H43" i="14"/>
  <c r="N18" i="14" s="1"/>
  <c r="N21" i="14" s="1"/>
  <c r="M60" i="14" s="1"/>
  <c r="L23" i="14"/>
  <c r="I43" i="14"/>
  <c r="O18" i="14" s="1"/>
  <c r="O21" i="14" s="1"/>
  <c r="N60" i="14" s="1"/>
  <c r="Q32" i="38" l="1"/>
  <c r="Q31" i="38"/>
  <c r="K75" i="14"/>
  <c r="L62" i="14"/>
  <c r="M23" i="14"/>
  <c r="L27" i="14"/>
  <c r="L29" i="14" s="1"/>
  <c r="Q33" i="38" l="1"/>
  <c r="T15" i="38"/>
  <c r="T12" i="38"/>
  <c r="T13" i="38"/>
  <c r="T17" i="38"/>
  <c r="T11" i="38"/>
  <c r="T16" i="38"/>
  <c r="N23" i="14"/>
  <c r="M62" i="14"/>
  <c r="L75" i="14"/>
  <c r="M27" i="14"/>
  <c r="M29" i="14" s="1"/>
  <c r="T10" i="38" l="1"/>
  <c r="Q34" i="38"/>
  <c r="N27" i="14"/>
  <c r="N29" i="14" s="1"/>
  <c r="M75" i="14"/>
  <c r="N62" i="14"/>
  <c r="O23" i="14"/>
  <c r="P23" i="14" l="1"/>
  <c r="O62" i="14"/>
  <c r="N75" i="14"/>
  <c r="O27" i="14"/>
  <c r="O29" i="14" s="1"/>
  <c r="P27" i="14" l="1"/>
  <c r="P29" i="14" s="1"/>
  <c r="O75" i="14"/>
  <c r="C10" i="33" s="1"/>
  <c r="C16" i="33" s="1"/>
  <c r="C17" i="33" l="1"/>
  <c r="C18" i="33" s="1"/>
  <c r="C19" i="33" s="1"/>
  <c r="C15" i="33"/>
  <c r="P31" i="14"/>
  <c r="C7" i="33" s="1"/>
  <c r="C5" i="33"/>
  <c r="P30" i="14"/>
  <c r="O40" i="14" l="1"/>
  <c r="O45" i="14"/>
  <c r="O41" i="14"/>
  <c r="O39" i="14"/>
  <c r="O44" i="14"/>
  <c r="O43" i="14"/>
  <c r="C6" i="33"/>
  <c r="F16" i="33" s="1"/>
  <c r="P32" i="14"/>
  <c r="Q35" i="38" l="1"/>
  <c r="P34" i="14"/>
  <c r="P33" i="14"/>
  <c r="C8" i="33"/>
  <c r="H16" i="33"/>
  <c r="E15" i="33"/>
  <c r="G16" i="33"/>
  <c r="C14" i="33"/>
  <c r="D16" i="33"/>
  <c r="G15" i="33"/>
  <c r="H15" i="33"/>
  <c r="F53" i="30" s="1"/>
  <c r="I12" i="30" s="1"/>
  <c r="E17" i="33"/>
  <c r="E16" i="33"/>
  <c r="G17" i="33"/>
  <c r="H17" i="33"/>
  <c r="D15" i="33"/>
  <c r="F17" i="33"/>
  <c r="D17" i="33"/>
  <c r="H18" i="33"/>
  <c r="D18" i="33"/>
  <c r="G18" i="33"/>
  <c r="F18" i="33"/>
  <c r="E18" i="33"/>
  <c r="G19" i="33"/>
  <c r="E19" i="33"/>
  <c r="H19" i="33"/>
  <c r="F19" i="33"/>
  <c r="D19" i="33"/>
  <c r="F52" i="30" s="1"/>
  <c r="M12" i="30" s="1"/>
  <c r="F15" i="33"/>
  <c r="O38" i="14"/>
  <c r="Q34" i="14" l="1"/>
  <c r="P36" i="14"/>
  <c r="G24" i="33"/>
  <c r="I24" i="33" s="1"/>
  <c r="G25" i="33"/>
  <c r="I25" i="33" s="1"/>
  <c r="G22" i="33"/>
  <c r="I22" i="33" s="1"/>
  <c r="G23" i="33"/>
  <c r="I23" i="3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Aswath Damodaran</author>
  </authors>
  <commentList>
    <comment ref="E40" authorId="0" shapeId="0" xr:uid="{0676529E-C9B8-46C1-9A80-F262B230AD77}">
      <text>
        <r>
          <rPr>
            <b/>
            <sz val="9"/>
            <color indexed="81"/>
            <rFont val="Geneva"/>
          </rPr>
          <t>Aswath Damodaran:</t>
        </r>
        <r>
          <rPr>
            <sz val="9"/>
            <color indexed="81"/>
            <rFont val="Geneva"/>
          </rPr>
          <t xml:space="preserve">
By expensing R&amp;D rather than capitalizing it, the firm gets a tax benefit. This is the dollar value of that tax benefit.</t>
        </r>
      </text>
    </comment>
  </commentList>
</comments>
</file>

<file path=xl/sharedStrings.xml><?xml version="1.0" encoding="utf-8"?>
<sst xmlns="http://schemas.openxmlformats.org/spreadsheetml/2006/main" count="1468" uniqueCount="765">
  <si>
    <t>Total equity</t>
  </si>
  <si>
    <t>Long-term debt</t>
  </si>
  <si>
    <t>Accounts payable</t>
  </si>
  <si>
    <t>Other current liabilities</t>
  </si>
  <si>
    <t>Short-term debt and current portion of long-term debt</t>
  </si>
  <si>
    <t>Liabilities related to assets held for sale or exchange</t>
  </si>
  <si>
    <t>Output</t>
  </si>
  <si>
    <t>Operating lease expense in current year =</t>
  </si>
  <si>
    <t>Year</t>
  </si>
  <si>
    <t>! Year 1 is next year, ….</t>
  </si>
  <si>
    <t>6 and beyond</t>
  </si>
  <si>
    <t>Pre-tax Cost of Debt =</t>
  </si>
  <si>
    <t>From the current financial statements, enter the following</t>
  </si>
  <si>
    <t>Reported Operating Income (EBIT) =</t>
  </si>
  <si>
    <t>! This is the EBIT reported in the current income statement</t>
  </si>
  <si>
    <t>Reported Debt =</t>
  </si>
  <si>
    <t>! This is the interest-bearing debt reported on the balance sheet</t>
  </si>
  <si>
    <t>Number of years embedded in yr 6 estimate =</t>
  </si>
  <si>
    <t>! I use the average lease expense over the first five years</t>
  </si>
  <si>
    <t>to estimate the number of years of expenses in yr 6</t>
  </si>
  <si>
    <t>Converting Operating Leases into debt</t>
  </si>
  <si>
    <t>Present Value</t>
  </si>
  <si>
    <t>! Commitment beyond year 6 converted into an annuity for ten years</t>
  </si>
  <si>
    <t>Debt Value of leases =</t>
  </si>
  <si>
    <t>Restated Financials</t>
  </si>
  <si>
    <t>Income Statement</t>
  </si>
  <si>
    <t>Actual</t>
  </si>
  <si>
    <t>Projections</t>
  </si>
  <si>
    <t>Sales</t>
  </si>
  <si>
    <t>EBITDA</t>
  </si>
  <si>
    <t>% margin</t>
  </si>
  <si>
    <t>Depreciation &amp; amortization</t>
  </si>
  <si>
    <t>EBIT</t>
  </si>
  <si>
    <t>Cost of sales</t>
  </si>
  <si>
    <t>R&amp;D expenses</t>
  </si>
  <si>
    <t>Assets</t>
  </si>
  <si>
    <t>Inventory</t>
  </si>
  <si>
    <t>Accounts receivable</t>
  </si>
  <si>
    <t>Other current assets</t>
  </si>
  <si>
    <t>Total current assets</t>
  </si>
  <si>
    <t>PP&amp;E</t>
  </si>
  <si>
    <t>Goodwill</t>
  </si>
  <si>
    <t>Total fixed assets</t>
  </si>
  <si>
    <t>Total assets</t>
  </si>
  <si>
    <t>Equity and Liabilities</t>
  </si>
  <si>
    <t>Total liabilities</t>
  </si>
  <si>
    <t>Total equity and liabilities</t>
  </si>
  <si>
    <t>check</t>
  </si>
  <si>
    <t>Other fixed assets</t>
  </si>
  <si>
    <t>Total current libailities</t>
  </si>
  <si>
    <t>Equity attributable to equity holders of the Company</t>
  </si>
  <si>
    <t>Minority interests</t>
  </si>
  <si>
    <t>Assets held for sale of exchange</t>
  </si>
  <si>
    <t>Other non-current liabilities</t>
  </si>
  <si>
    <t>Cash Flow Statement</t>
  </si>
  <si>
    <t>Capex</t>
  </si>
  <si>
    <t>Unlevered Free Cash Flow</t>
  </si>
  <si>
    <t>Adj.</t>
  </si>
  <si>
    <t>Year (t)</t>
  </si>
  <si>
    <t>EBIT*(1-Tax rate)</t>
  </si>
  <si>
    <t xml:space="preserve">Δ net Working Capital </t>
  </si>
  <si>
    <t>- Cash and Cash equivalents</t>
  </si>
  <si>
    <t xml:space="preserve"> -Total curent liabilities</t>
  </si>
  <si>
    <t xml:space="preserve">NET NON-CASH WORKING CAPITAL </t>
  </si>
  <si>
    <t>Operating Working Capital</t>
  </si>
  <si>
    <t>FCF</t>
  </si>
  <si>
    <t>Operating Lease Converter</t>
  </si>
  <si>
    <t>Inputs</t>
  </si>
  <si>
    <t>! If you do not have a cost of debt, use the ratings estimator</t>
  </si>
  <si>
    <t>Depreciation on Operating Lease Asset =</t>
  </si>
  <si>
    <t>! I use straight line depreciation</t>
  </si>
  <si>
    <t>Adjustment to Operating Earnings =</t>
  </si>
  <si>
    <t>! Operating lease expense - Depreciation</t>
    <phoneticPr fontId="0" type="noConversion"/>
  </si>
  <si>
    <t>Adjustment to Total Debt outstanding =</t>
  </si>
  <si>
    <t>R &amp; D Converter</t>
  </si>
  <si>
    <t>This spreadsheet converts R&amp;D expenses from operating to capital expenses. It makes the appropriate adjustments to operating income, net</t>
  </si>
  <si>
    <t>income, the book value of assets and the book value of equity.</t>
  </si>
  <si>
    <t>Over how many years do you want to amortize R&amp;D expenses</t>
  </si>
  <si>
    <t>! If in doubt, use the lookup table below</t>
  </si>
  <si>
    <t>Enter the current year's R&amp;D expense =</t>
  </si>
  <si>
    <t>The maximum allowed is ten years</t>
  </si>
  <si>
    <t>Enter R&amp; D expenses for past years: the number of years that you will need to enter will be determined by the amortization period</t>
  </si>
  <si>
    <t>Do not input numbers in the first column (Year). It will get automatically updated  based on the input above.</t>
  </si>
  <si>
    <t>! Year -1 is the year prior to the current year</t>
  </si>
  <si>
    <t>! Year -2 is the two years prior to the current year</t>
  </si>
  <si>
    <t>R&amp;D Expense</t>
  </si>
  <si>
    <t>Unamortized portion</t>
  </si>
  <si>
    <t>Amortization this year</t>
  </si>
  <si>
    <t>Current</t>
  </si>
  <si>
    <t>Value of Research Asset =</t>
  </si>
  <si>
    <t>Amortization of asset for current year =</t>
  </si>
  <si>
    <t>Adjustment to Operating Income =</t>
  </si>
  <si>
    <t>! A positive number indicates an increase in operating income (add to reported EBIT)</t>
  </si>
  <si>
    <t>Tax Effect of R&amp;D Expensing</t>
  </si>
  <si>
    <t>Look Up Table for Amortization Periods</t>
  </si>
  <si>
    <t>Industry Name</t>
  </si>
  <si>
    <t>Amortization Period</t>
  </si>
  <si>
    <t>Advertising</t>
  </si>
  <si>
    <t>Aerospace/Defense</t>
  </si>
  <si>
    <t>Non-technological Service</t>
  </si>
  <si>
    <t>2 years</t>
  </si>
  <si>
    <t>Air Transport</t>
  </si>
  <si>
    <t>Retail, Tech Service</t>
  </si>
  <si>
    <t>3 years</t>
  </si>
  <si>
    <t>Aluminum</t>
  </si>
  <si>
    <t>Light Manufacturing</t>
  </si>
  <si>
    <t>5 years</t>
  </si>
  <si>
    <t>Apparel</t>
  </si>
  <si>
    <t>Heavy  Manufacturing</t>
  </si>
  <si>
    <t>10 years</t>
  </si>
  <si>
    <t>Auto &amp; Truck</t>
  </si>
  <si>
    <t>Research, with Patenting</t>
  </si>
  <si>
    <t>Auto Parts (OEM)</t>
  </si>
  <si>
    <t>Long Gestation Period</t>
  </si>
  <si>
    <t>Auto Parts (Replacement)</t>
  </si>
  <si>
    <t>Bank</t>
  </si>
  <si>
    <t>Bank (Canadian)</t>
  </si>
  <si>
    <t>Bank (Foreign)</t>
  </si>
  <si>
    <t>Bank (Midwest)</t>
  </si>
  <si>
    <t>Beverage (Alcoholic)</t>
  </si>
  <si>
    <t>Beverage (Soft Drink)</t>
  </si>
  <si>
    <t>Building Materials</t>
  </si>
  <si>
    <t>Cable TV</t>
  </si>
  <si>
    <t>Canadian Energy</t>
  </si>
  <si>
    <t>Cement &amp; Aggregates</t>
  </si>
  <si>
    <t>Chemical (Basic)</t>
  </si>
  <si>
    <t>Chemical (Diversified)</t>
  </si>
  <si>
    <t>Chemical (Specialty)</t>
  </si>
  <si>
    <t>Coal/Alternate Energy</t>
  </si>
  <si>
    <t>Computer &amp; Peripherals</t>
  </si>
  <si>
    <t>Computer Software &amp; Svcs</t>
  </si>
  <si>
    <t>Copper</t>
  </si>
  <si>
    <t>Diversified Co.</t>
  </si>
  <si>
    <t>Drug</t>
  </si>
  <si>
    <t>Drugstore</t>
  </si>
  <si>
    <t>Educational Services</t>
  </si>
  <si>
    <t>Electric Util. (Central)</t>
  </si>
  <si>
    <t>Electric Utility (East)</t>
  </si>
  <si>
    <t>Electric Utility (West)</t>
  </si>
  <si>
    <t>Electrical Equipment</t>
  </si>
  <si>
    <t>Electronics</t>
  </si>
  <si>
    <t>Entertainment</t>
  </si>
  <si>
    <t>Environmental</t>
  </si>
  <si>
    <t>Financial Services</t>
  </si>
  <si>
    <t>Food Processing</t>
  </si>
  <si>
    <t>Food Wholesalers</t>
  </si>
  <si>
    <t>Foreign Electron/Entertn</t>
  </si>
  <si>
    <t>Foreign Telecom.</t>
  </si>
  <si>
    <t>Furn./Home Furnishings</t>
  </si>
  <si>
    <t>Gold/Silver Mining</t>
  </si>
  <si>
    <t>Grocery</t>
  </si>
  <si>
    <t>Healthcare Info Systems</t>
  </si>
  <si>
    <t>Home Appliance</t>
  </si>
  <si>
    <t>Homebuilding</t>
  </si>
  <si>
    <t>Hotel/Gaming</t>
  </si>
  <si>
    <t>Household Products</t>
  </si>
  <si>
    <t>Industrial Services</t>
  </si>
  <si>
    <t>Insurance (Diversified)</t>
  </si>
  <si>
    <t>Insurance (Life)</t>
  </si>
  <si>
    <t>Insurance (Prop/Casualty)</t>
  </si>
  <si>
    <t>Internet</t>
  </si>
  <si>
    <t>Investment Co. (Domestic)</t>
  </si>
  <si>
    <t>Investment Co. (Foreign)</t>
  </si>
  <si>
    <t>Investment Co. (Income)</t>
  </si>
  <si>
    <t>Machinery</t>
  </si>
  <si>
    <t>Manuf. Housing/Rec Veh</t>
  </si>
  <si>
    <t>Maritime</t>
  </si>
  <si>
    <t>Medical Services</t>
  </si>
  <si>
    <t>Medical Supplies</t>
  </si>
  <si>
    <t>Metal Fabricating</t>
  </si>
  <si>
    <t>Metals &amp; Mining (Div.)</t>
  </si>
  <si>
    <t>Natural Gas (Distrib.)</t>
  </si>
  <si>
    <t>Natural Gas (Diversified)</t>
  </si>
  <si>
    <t>Newspaper</t>
  </si>
  <si>
    <t>Office Equip &amp; Supplies</t>
  </si>
  <si>
    <t>Oilfield Services/Equip.</t>
  </si>
  <si>
    <t>Packaging &amp; Container</t>
  </si>
  <si>
    <t>Paper &amp; Forest Products</t>
  </si>
  <si>
    <t>Petroleum (Integrated)</t>
  </si>
  <si>
    <t>Petroleum (Producing)</t>
  </si>
  <si>
    <t>Precision Instrument</t>
  </si>
  <si>
    <t>Publishing</t>
  </si>
  <si>
    <t>R.E.I.T.</t>
  </si>
  <si>
    <t>Railroad</t>
  </si>
  <si>
    <t>Recreation</t>
  </si>
  <si>
    <t>Restaurant</t>
  </si>
  <si>
    <t>Retail (Special Lines)</t>
  </si>
  <si>
    <t>Retail Building Supply</t>
  </si>
  <si>
    <t>Retail Store</t>
  </si>
  <si>
    <t>Securities Brokerage</t>
  </si>
  <si>
    <t>Semiconductor</t>
  </si>
  <si>
    <t>Semiconductor Cap Equip</t>
  </si>
  <si>
    <t>Shoe</t>
  </si>
  <si>
    <t>Steel (General)</t>
  </si>
  <si>
    <t>Steel (Integrated)</t>
  </si>
  <si>
    <t>Telecom. Equipment</t>
  </si>
  <si>
    <t>Telecom. Services</t>
  </si>
  <si>
    <t>Textile</t>
  </si>
  <si>
    <t>Thrift</t>
  </si>
  <si>
    <t>Tire &amp; Rubber</t>
  </si>
  <si>
    <t>Tobacco</t>
  </si>
  <si>
    <t>Toiletries/Cosmetics</t>
  </si>
  <si>
    <t>Trucking/Transp. Leasing</t>
  </si>
  <si>
    <t>Utility (Foreign)</t>
  </si>
  <si>
    <t>Water Utility</t>
  </si>
  <si>
    <t>Tax rate</t>
  </si>
  <si>
    <t>Effective tax rate</t>
  </si>
  <si>
    <t>Marginal tax rate</t>
  </si>
  <si>
    <t>R&amp;D</t>
  </si>
  <si>
    <t>Operating leases</t>
  </si>
  <si>
    <t>Depreciaton adjustments</t>
  </si>
  <si>
    <t>EBIT adjustments</t>
  </si>
  <si>
    <t>EV</t>
  </si>
  <si>
    <t>R&amp;D tax effect</t>
  </si>
  <si>
    <t>Book value of equity</t>
  </si>
  <si>
    <t>Book value of debt</t>
  </si>
  <si>
    <t>Book value of capital</t>
  </si>
  <si>
    <t>R&amp;D adjustments</t>
  </si>
  <si>
    <t>Change in NCWC</t>
  </si>
  <si>
    <t>Expected Growth EPS</t>
  </si>
  <si>
    <t>EPS</t>
  </si>
  <si>
    <t>ln(EPS)</t>
  </si>
  <si>
    <t>Yearly Growth Rate</t>
  </si>
  <si>
    <t>Income statement</t>
  </si>
  <si>
    <t>Sales growth</t>
  </si>
  <si>
    <t>COGS as % of sales</t>
  </si>
  <si>
    <t>SG&amp;A as % of sales</t>
  </si>
  <si>
    <t>NC-WC as % of sales</t>
  </si>
  <si>
    <t>NA</t>
  </si>
  <si>
    <t>Unleverd FCF</t>
  </si>
  <si>
    <t>PV of UFCF</t>
  </si>
  <si>
    <t>Assumptions</t>
  </si>
  <si>
    <t xml:space="preserve">Δ NET NON-CASH WORKING CAPITAL </t>
  </si>
  <si>
    <t>+ Short-term debt and current portion of long-term debt</t>
  </si>
  <si>
    <t>Balance Sheet</t>
  </si>
  <si>
    <t>Projetction of R&amp;D depreciation growth rate</t>
  </si>
  <si>
    <t>Total</t>
  </si>
  <si>
    <t>Yearly growth rate of R&amp;D depreciation</t>
  </si>
  <si>
    <t>Accumulated depreciation &amp; impairment</t>
  </si>
  <si>
    <t>Current non-adjusted depreciation expense</t>
  </si>
  <si>
    <t>EBIT Growth rate</t>
  </si>
  <si>
    <t>Expected Growth Rate</t>
  </si>
  <si>
    <t>Average age of asset</t>
  </si>
  <si>
    <t>R&amp;D as % of sales</t>
  </si>
  <si>
    <t>Gross value of assets</t>
  </si>
  <si>
    <t>Book Value of Asset</t>
  </si>
  <si>
    <t>Depreciation &amp; amortization*</t>
  </si>
  <si>
    <t>*from Cash Flow Statement in AR</t>
  </si>
  <si>
    <t>Sensitivity Analysis</t>
  </si>
  <si>
    <t>WACC</t>
    <phoneticPr fontId="17" type="noConversion"/>
  </si>
  <si>
    <t>WACC</t>
    <phoneticPr fontId="17" type="noConversion"/>
  </si>
  <si>
    <t>Company</t>
  </si>
  <si>
    <t xml:space="preserve">Market Cap </t>
  </si>
  <si>
    <t>EV/Sales</t>
  </si>
  <si>
    <t>EV/EBITDA</t>
  </si>
  <si>
    <t>EV/EBIT</t>
  </si>
  <si>
    <t>Minimum</t>
  </si>
  <si>
    <t>25th percentile</t>
  </si>
  <si>
    <t>Median</t>
  </si>
  <si>
    <t xml:space="preserve">75th percentile </t>
  </si>
  <si>
    <t>Maximum</t>
  </si>
  <si>
    <t>Eli Lilly &amp; Co (LLY US) - Adj Highlights</t>
  </si>
  <si>
    <t>DCF</t>
  </si>
  <si>
    <t>Statistics</t>
  </si>
  <si>
    <t>Average</t>
  </si>
  <si>
    <t>Standard Deviation</t>
  </si>
  <si>
    <t>Min Point</t>
  </si>
  <si>
    <t>25th Point</t>
  </si>
  <si>
    <t>Median Point</t>
  </si>
  <si>
    <t>75th Point</t>
  </si>
  <si>
    <t>Maximum Point</t>
  </si>
  <si>
    <t>EV (X*Sales)</t>
  </si>
  <si>
    <t>EV (X*EBITDA)</t>
  </si>
  <si>
    <t>EV (X*EBIT)</t>
  </si>
  <si>
    <t>(thousand $)</t>
  </si>
  <si>
    <t xml:space="preserve">EBIT </t>
  </si>
  <si>
    <t xml:space="preserve">Max </t>
  </si>
  <si>
    <t>Min</t>
  </si>
  <si>
    <t>Value of Research Asset</t>
  </si>
  <si>
    <t>Yearly growth rate of value of R&amp;D asset</t>
  </si>
  <si>
    <t>Return of Capital Invested*</t>
  </si>
  <si>
    <t>Equity Value</t>
  </si>
  <si>
    <t>Terminal Value (TV)</t>
  </si>
  <si>
    <t>Entreprise Value (EV)</t>
  </si>
  <si>
    <t>gEBIT = (Net Capital Expenditures + Change in WC)/EBIT(1-t) * ROC</t>
  </si>
  <si>
    <t>TV</t>
  </si>
  <si>
    <t>WACC</t>
    <phoneticPr fontId="17" type="noConversion"/>
  </si>
  <si>
    <t xml:space="preserve">gEBIT </t>
  </si>
  <si>
    <t xml:space="preserve">gEBIT </t>
    <phoneticPr fontId="17" type="noConversion"/>
  </si>
  <si>
    <t>Sensitivity Analysis</t>
    <phoneticPr fontId="18" type="noConversion"/>
  </si>
  <si>
    <t>WACC</t>
    <phoneticPr fontId="18" type="noConversion"/>
  </si>
  <si>
    <t>EV adjusted</t>
  </si>
  <si>
    <t>R&amp;D as % of sales increases of 0,5% p.a. over the period</t>
  </si>
  <si>
    <t>R&amp;D as % of sales decreases of 0,5% p.a. over the period</t>
  </si>
  <si>
    <t>Sales growth decrease of 0,5% p.a. over the period</t>
  </si>
  <si>
    <t>Sales growth increase of 0,5% p.a. over the period</t>
  </si>
  <si>
    <t>Short-Term Investments</t>
    <phoneticPr fontId="17" type="noConversion"/>
  </si>
  <si>
    <t xml:space="preserve">Cash &amp; cash equivalents </t>
    <phoneticPr fontId="17" type="noConversion"/>
  </si>
  <si>
    <t>Cash From Operating Activities</t>
  </si>
  <si>
    <t>Cash From Investing Activities</t>
  </si>
  <si>
    <t>Cash Flow Statement</t>
    <phoneticPr fontId="17" type="noConversion"/>
  </si>
  <si>
    <t>Balance Sheet</t>
    <phoneticPr fontId="17" type="noConversion"/>
  </si>
  <si>
    <t>Pharmacia LLC</t>
    <phoneticPr fontId="17" type="noConversion"/>
  </si>
  <si>
    <t>Capital Expenditures</t>
    <phoneticPr fontId="17" type="noConversion"/>
  </si>
  <si>
    <t>Net Capex</t>
    <phoneticPr fontId="17" type="noConversion"/>
  </si>
  <si>
    <t>Abbott Laboratories (ABT US) - Adj Highlights</t>
    <phoneticPr fontId="17" type="noConversion"/>
  </si>
  <si>
    <t>Wyeth LLC (WYE US) - Adj Highlights</t>
    <phoneticPr fontId="17" type="noConversion"/>
  </si>
  <si>
    <t>Pharmacia LLC</t>
    <phoneticPr fontId="17" type="noConversion"/>
  </si>
  <si>
    <t>Operating Lease Assumptions (Average of last 3 years)</t>
    <phoneticPr fontId="17" type="noConversion"/>
  </si>
  <si>
    <t>Assumption</t>
    <phoneticPr fontId="17" type="noConversion"/>
  </si>
  <si>
    <t>Follow the median of Fortune 500 Drug Companies</t>
    <phoneticPr fontId="17" type="noConversion"/>
  </si>
  <si>
    <t>Equity</t>
    <phoneticPr fontId="17" type="noConversion"/>
  </si>
  <si>
    <t>Cost of Equity</t>
    <phoneticPr fontId="17" type="noConversion"/>
  </si>
  <si>
    <t>Weight of Equity</t>
    <phoneticPr fontId="17" type="noConversion"/>
  </si>
  <si>
    <t>Debt</t>
    <phoneticPr fontId="17" type="noConversion"/>
  </si>
  <si>
    <t>Cost of Debt</t>
    <phoneticPr fontId="17" type="noConversion"/>
  </si>
  <si>
    <t>Weight of Debt</t>
    <phoneticPr fontId="17" type="noConversion"/>
  </si>
  <si>
    <t>WACC*</t>
    <phoneticPr fontId="17" type="noConversion"/>
  </si>
  <si>
    <t xml:space="preserve">*from Bloomberg </t>
    <phoneticPr fontId="17" type="noConversion"/>
  </si>
  <si>
    <t>Bristol-Myers Squibb (BMY US) - Adj Highlights</t>
    <phoneticPr fontId="17" type="noConversion"/>
  </si>
  <si>
    <t>Schering-Plough (SGP US) - Adj Highlights</t>
    <phoneticPr fontId="17" type="noConversion"/>
  </si>
  <si>
    <t>American inflation rate</t>
    <phoneticPr fontId="17" type="noConversion"/>
  </si>
  <si>
    <t>Source: http://www.inflation.eu/inflation-rates/united-states/historic-inflation/cpi-inflation-united-states.aspx</t>
    <phoneticPr fontId="17" type="noConversion"/>
  </si>
  <si>
    <t>Depreciation &amp; Amortization</t>
    <phoneticPr fontId="17" type="noConversion"/>
  </si>
  <si>
    <t>Capex adjustements</t>
  </si>
  <si>
    <t>Pharmacia LLC</t>
    <phoneticPr fontId="17" type="noConversion"/>
  </si>
  <si>
    <t>Operating assumptions - Stable growth</t>
    <phoneticPr fontId="17" type="noConversion"/>
  </si>
  <si>
    <t>*adjusted with R&amp;D asset value from 2001 adj. To 2006E</t>
    <phoneticPr fontId="17" type="noConversion"/>
  </si>
  <si>
    <t>Capex as % of sales</t>
    <phoneticPr fontId="17" type="noConversion"/>
  </si>
  <si>
    <t>D&amp;A as % of sales</t>
    <phoneticPr fontId="17" type="noConversion"/>
  </si>
  <si>
    <t xml:space="preserve">Average </t>
    <phoneticPr fontId="17" type="noConversion"/>
  </si>
  <si>
    <t>Pharmacia LLC</t>
    <phoneticPr fontId="17" type="noConversion"/>
  </si>
  <si>
    <t>EBIT% margin</t>
    <phoneticPr fontId="17" type="noConversion"/>
  </si>
  <si>
    <t>EBITDA% margin</t>
    <phoneticPr fontId="17" type="noConversion"/>
  </si>
  <si>
    <t>Capex as % of sales</t>
  </si>
  <si>
    <t>Pharmacia</t>
    <phoneticPr fontId="17" type="noConversion"/>
  </si>
  <si>
    <t>75th percentile</t>
  </si>
  <si>
    <t>Profit margin</t>
    <phoneticPr fontId="17" type="noConversion"/>
  </si>
  <si>
    <t>ABT</t>
    <phoneticPr fontId="17" type="noConversion"/>
  </si>
  <si>
    <t>WYE</t>
    <phoneticPr fontId="17" type="noConversion"/>
  </si>
  <si>
    <t>SGP</t>
    <phoneticPr fontId="17" type="noConversion"/>
  </si>
  <si>
    <t>BMY</t>
    <phoneticPr fontId="17" type="noConversion"/>
  </si>
  <si>
    <t>LLY</t>
    <phoneticPr fontId="17" type="noConversion"/>
  </si>
  <si>
    <t>Levered Firm Value</t>
  </si>
  <si>
    <t>Bankruptcy Cost</t>
  </si>
  <si>
    <t>Tax Benefits</t>
  </si>
  <si>
    <t>adjusted marginal tax rate</t>
    <phoneticPr fontId="17" type="noConversion"/>
  </si>
  <si>
    <t>Unlev. Firm Value</t>
    <phoneticPr fontId="17" type="noConversion"/>
  </si>
  <si>
    <t>source: http://pages.stern.nyu.edu/~adamodar/New_Home_Page/datafile/ratings.htm</t>
    <phoneticPr fontId="17" type="noConversion"/>
  </si>
  <si>
    <t>rA</t>
    <phoneticPr fontId="17" type="noConversion"/>
  </si>
  <si>
    <t>After-tax cost of debt</t>
    <phoneticPr fontId="17" type="noConversion"/>
  </si>
  <si>
    <t>Aaa/AAA</t>
  </si>
  <si>
    <t>Probability of Bankruptcy</t>
  </si>
  <si>
    <t>Aa2/AA</t>
  </si>
  <si>
    <t>Pre-tax cost of debt</t>
  </si>
  <si>
    <t>A1/A+</t>
  </si>
  <si>
    <t>Likely Rating</t>
  </si>
  <si>
    <t>A2/A</t>
  </si>
  <si>
    <t>infinite</t>
  </si>
  <si>
    <t>Pre-tax Int. Cov</t>
  </si>
  <si>
    <t>A3/A-</t>
  </si>
  <si>
    <t>Baa2/BBB</t>
  </si>
  <si>
    <t>Interest</t>
  </si>
  <si>
    <t>B2/B</t>
  </si>
  <si>
    <t>Ajusted EBIT</t>
  </si>
  <si>
    <t>B1/B+</t>
  </si>
  <si>
    <t>D&amp;A</t>
  </si>
  <si>
    <t>Ba2/BB</t>
  </si>
  <si>
    <t>Ba1/BB+</t>
  </si>
  <si>
    <t>B3/B-</t>
  </si>
  <si>
    <t>$ Debt</t>
  </si>
  <si>
    <t>Caa/CCC</t>
  </si>
  <si>
    <t>D/E</t>
  </si>
  <si>
    <t>Ca2/CC</t>
  </si>
  <si>
    <t>D/(D+E)</t>
  </si>
  <si>
    <t>C2/C</t>
  </si>
  <si>
    <t>Cost of debt</t>
  </si>
  <si>
    <t>D2/D</t>
  </si>
  <si>
    <t>Bankruptcy Probability</t>
  </si>
  <si>
    <t>Spread is</t>
  </si>
  <si>
    <t>Rating is</t>
  </si>
  <si>
    <t>greater than</t>
  </si>
  <si>
    <t>If interest coverage ratio is</t>
  </si>
  <si>
    <t>For large non-financial service companies with market cap &gt; $ 5 billion</t>
    <phoneticPr fontId="17" type="noConversion"/>
  </si>
  <si>
    <t>Cost of Equity</t>
  </si>
  <si>
    <t>Levered Beta</t>
  </si>
  <si>
    <t>D/E Ratio</t>
  </si>
  <si>
    <t>Debt to Capital Ratio</t>
  </si>
  <si>
    <t>Cost of equity</t>
  </si>
  <si>
    <t>Market Value of the firm</t>
  </si>
  <si>
    <t>Adjusted EBIT</t>
  </si>
  <si>
    <t>Interest Expenses</t>
  </si>
  <si>
    <t>Ratings comparison at current debt ratio</t>
  </si>
  <si>
    <t>Pharmacia curent financials</t>
    <phoneticPr fontId="17" type="noConversion"/>
  </si>
  <si>
    <t xml:space="preserve">Unlevered Beta </t>
  </si>
  <si>
    <t>Market value of debt</t>
  </si>
  <si>
    <t>Market value of equity</t>
  </si>
  <si>
    <t>Marginal Tax rate</t>
  </si>
  <si>
    <t>Estimate the unlevered beta for the firm</t>
  </si>
  <si>
    <t>Opti WACC</t>
    <phoneticPr fontId="17" type="noConversion"/>
  </si>
  <si>
    <t>Opti WACC</t>
    <phoneticPr fontId="17" type="noConversion"/>
  </si>
  <si>
    <t>Because the EBIT margin of Pharmacia in the projection years is higher than the peer groups, therefore there will be no adjustment for this part</t>
    <phoneticPr fontId="17" type="noConversion"/>
  </si>
  <si>
    <t>Linear regression until 2003E and then constant</t>
    <phoneticPr fontId="17" type="noConversion"/>
  </si>
  <si>
    <t>Value of Control</t>
    <phoneticPr fontId="17" type="noConversion"/>
  </si>
  <si>
    <t>Pharmacia LLC (748957Q US) - Income Statement</t>
  </si>
  <si>
    <t>In Millions of USD except Per Share</t>
  </si>
  <si>
    <t>FY 1987</t>
  </si>
  <si>
    <t>FY 1988</t>
  </si>
  <si>
    <t>FY 1989</t>
  </si>
  <si>
    <t>FY 1990</t>
  </si>
  <si>
    <t>FY 1991</t>
  </si>
  <si>
    <t>FY 1992</t>
  </si>
  <si>
    <t>FY 1993</t>
  </si>
  <si>
    <t>FY 1994</t>
  </si>
  <si>
    <t>FY 1995</t>
  </si>
  <si>
    <t>FY 1996</t>
  </si>
  <si>
    <t>FY 1997</t>
  </si>
  <si>
    <t>FY 1998</t>
  </si>
  <si>
    <t>FY 1999</t>
  </si>
  <si>
    <t>FY 2000</t>
  </si>
  <si>
    <t>FY 2001</t>
  </si>
  <si>
    <t>FY 2002</t>
  </si>
  <si>
    <t>12 Months Ending</t>
  </si>
  <si>
    <t>12/31/1987</t>
  </si>
  <si>
    <t>12/31/1988</t>
  </si>
  <si>
    <t>12/31/1989</t>
  </si>
  <si>
    <t>12/31/1990</t>
  </si>
  <si>
    <t>01/01/1992</t>
  </si>
  <si>
    <t>12/31/1992</t>
  </si>
  <si>
    <t>12/31/1993</t>
  </si>
  <si>
    <t>12/31/1994</t>
  </si>
  <si>
    <t>12/31/1995</t>
  </si>
  <si>
    <t>12/31/1996</t>
  </si>
  <si>
    <t>12/31/1997</t>
  </si>
  <si>
    <t>12/31/1998</t>
  </si>
  <si>
    <t>12/31/1999</t>
  </si>
  <si>
    <t>12/31/2000</t>
  </si>
  <si>
    <t>12/31/2001</t>
  </si>
  <si>
    <t>12/31/2002</t>
  </si>
  <si>
    <t>04/09/2018</t>
  </si>
  <si>
    <t>Revenue</t>
  </si>
  <si>
    <t>SALES_REV_TURN</t>
  </si>
  <si>
    <t xml:space="preserve">  - Cost of Revenue</t>
  </si>
  <si>
    <t>IS_COGS_TO_FE_AND_PP_AND_G</t>
  </si>
  <si>
    <t>Gross Profit</t>
  </si>
  <si>
    <t>GROSS_PROFIT</t>
  </si>
  <si>
    <t xml:space="preserve">  - Operating Expenses</t>
  </si>
  <si>
    <t>IS_OPERATING_EXPN</t>
  </si>
  <si>
    <t>Operating Income or Losses</t>
  </si>
  <si>
    <t>IS_OPER_INC</t>
  </si>
  <si>
    <t xml:space="preserve">  - Interest Expense</t>
  </si>
  <si>
    <t>IS_INT_EXPENSE</t>
  </si>
  <si>
    <t xml:space="preserve">  - Foreign Exchange Losses (Gains)</t>
  </si>
  <si>
    <t>IS_FOREIGN_EXCH_LOSS</t>
  </si>
  <si>
    <t xml:space="preserve">  - Net Non-Operating Losses (Gains)</t>
  </si>
  <si>
    <t>IS_NET_NON_OPER_LOSS</t>
  </si>
  <si>
    <t>Pretax Income</t>
  </si>
  <si>
    <t>PRETAX_INC</t>
  </si>
  <si>
    <t xml:space="preserve">  - Income Tax Expense (Benefit)</t>
  </si>
  <si>
    <t>IS_INC_TAX_EXP</t>
  </si>
  <si>
    <t>Income Before XO Items</t>
  </si>
  <si>
    <t>IS_INC_BEF_XO_ITEM</t>
  </si>
  <si>
    <t xml:space="preserve">  - Extraordinary Loss Net of Tax</t>
  </si>
  <si>
    <t>XO_GL_NET_OF_TAX</t>
  </si>
  <si>
    <t>—</t>
  </si>
  <si>
    <t xml:space="preserve">  - Minority/Non Controlling Interests (Credits)</t>
  </si>
  <si>
    <t>MIN_NONCONTROL_INTEREST_CREDITS</t>
  </si>
  <si>
    <t>Net Income/Net Profit (Losses)</t>
  </si>
  <si>
    <t>NET_INCOME</t>
  </si>
  <si>
    <t xml:space="preserve">  - Total Cash Preferred Dividends</t>
  </si>
  <si>
    <t>IS_TOT_CASH_PFD_DVD</t>
  </si>
  <si>
    <t xml:space="preserve">  - Other Adjustments</t>
  </si>
  <si>
    <t>OTHER_ADJUSTMENTS</t>
  </si>
  <si>
    <t>Net Inc Avail to Common Shareholders</t>
  </si>
  <si>
    <t>EARN_FOR_COMMON</t>
  </si>
  <si>
    <t xml:space="preserve">  Abnormal Losses (Gains)</t>
  </si>
  <si>
    <t>IS_ABNORMAL_ITEM</t>
  </si>
  <si>
    <t xml:space="preserve">  Tax Effect on Abnormal Items</t>
  </si>
  <si>
    <t>IS_TAX_EFF_ON_ABNORMAL_ITEM</t>
  </si>
  <si>
    <t>Normalized Income</t>
  </si>
  <si>
    <t>NORMALIZED_INCOME</t>
  </si>
  <si>
    <t>Basic EPS Before Abnormal Items</t>
  </si>
  <si>
    <t>IS_BASIC_EPS_CONT_OPS</t>
  </si>
  <si>
    <t>Basic EPS Before XO Items</t>
  </si>
  <si>
    <t>IS_EARN_BEF_XO_ITEMS_PER_SH</t>
  </si>
  <si>
    <t>Basic Earnings per Share</t>
  </si>
  <si>
    <t>IS_EPS</t>
  </si>
  <si>
    <t xml:space="preserve">  Basic Weighted Avg Shares</t>
  </si>
  <si>
    <t>IS_AVG_NUM_SH_FOR_EPS</t>
  </si>
  <si>
    <t>Diluted EPS Before Abnormal Items</t>
  </si>
  <si>
    <t>IS_DIL_EPS_CONT_OPS</t>
  </si>
  <si>
    <t>Diluted EPS Before XO Items</t>
  </si>
  <si>
    <t>IS_DIL_EPS_BEF_XO</t>
  </si>
  <si>
    <t>Diluted EPS</t>
  </si>
  <si>
    <t>IS_DILUTED_EPS</t>
  </si>
  <si>
    <t xml:space="preserve">  Diluted Weighted Avg Shares</t>
  </si>
  <si>
    <t>IS_SH_FOR_DILUTED_EPS</t>
  </si>
  <si>
    <t>Reference Items</t>
  </si>
  <si>
    <t>Accounting Standard</t>
  </si>
  <si>
    <t>ACCOUNTING_STANDARD</t>
  </si>
  <si>
    <t>US GAAP</t>
  </si>
  <si>
    <t>EBITDA Margin (T12M)</t>
  </si>
  <si>
    <t>EBITDA_MARGIN</t>
  </si>
  <si>
    <t>Gross Margin</t>
  </si>
  <si>
    <t>GROSS_MARGIN</t>
  </si>
  <si>
    <t>Operating Margin</t>
  </si>
  <si>
    <t>OPER_MARGIN</t>
  </si>
  <si>
    <t>Profit Margin</t>
  </si>
  <si>
    <t>PROF_MARGIN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</si>
  <si>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</si>
  <si>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</si>
  <si>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</si>
  <si>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</si>
  <si>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</si>
  <si>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</si>
  <si>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Interest Income</t>
  </si>
  <si>
    <t>IS_INT_INC</t>
  </si>
  <si>
    <t>Capitalized Interest Expense</t>
  </si>
  <si>
    <t>IS_CAP_INT_EXP</t>
  </si>
  <si>
    <t>Research &amp; Development Expense</t>
  </si>
  <si>
    <t>IS_RD_EXPEND</t>
  </si>
  <si>
    <t>Export Sales</t>
  </si>
  <si>
    <t>IS_EXPORT_SALES</t>
  </si>
  <si>
    <t>Depreciation Expense</t>
  </si>
  <si>
    <t>IS_DEPR_EXP</t>
  </si>
  <si>
    <t>Source: Bloomberg</t>
  </si>
  <si>
    <t>Selling, general &amp; administrative and others</t>
    <phoneticPr fontId="17" type="noConversion"/>
  </si>
  <si>
    <t>Direct Method Cashflow</t>
  </si>
  <si>
    <t>CASH_FLOW_TO_NET_INC</t>
  </si>
  <si>
    <t>Cash Flow to Net Income</t>
  </si>
  <si>
    <t>PX_TO_FREE_CASH_FLOW</t>
  </si>
  <si>
    <t>Price to Free Cash Flow</t>
  </si>
  <si>
    <t>FREE_CASH_FLOW_PER_SH</t>
  </si>
  <si>
    <t>Free Cash Flow per Basic Share</t>
  </si>
  <si>
    <t>FREE_CASH_FLOW_EQUITY</t>
  </si>
  <si>
    <t>Free Cash Flow to Equity</t>
  </si>
  <si>
    <t>CF_FREE_CASH_FLOW_FIRM</t>
  </si>
  <si>
    <t>Free Cash Flow to Firm</t>
  </si>
  <si>
    <t>CF_FREE_CASH_FLOW</t>
  </si>
  <si>
    <t>Free Cash Flow</t>
  </si>
  <si>
    <t>CF_ACT_CASH_PAID_FOR_INT_DEBT</t>
  </si>
  <si>
    <t>Cash Paid for Interest</t>
  </si>
  <si>
    <t>CF_CASH_PAID_FOR_TAX</t>
  </si>
  <si>
    <t>Cash Paid for Taxes</t>
  </si>
  <si>
    <t>Trailing 12M EBITDA Margin</t>
  </si>
  <si>
    <t>CF_NET_CHNG_CASH</t>
  </si>
  <si>
    <t>Net Changes in Cash</t>
  </si>
  <si>
    <t>CF_CASH_FROM_FNC_ACT</t>
  </si>
  <si>
    <t>Cash from Financing Activities</t>
  </si>
  <si>
    <t>CF_OTHER_FNC_ACT</t>
  </si>
  <si>
    <t xml:space="preserve">  + Other Financing Activities</t>
  </si>
  <si>
    <t>CF_DECR_CAP_STOCK</t>
  </si>
  <si>
    <t xml:space="preserve">  + Decrease in Capital Stocks</t>
  </si>
  <si>
    <t>CF_INCR_CAP_STOCK</t>
  </si>
  <si>
    <t xml:space="preserve">  + Increase in Capital Stocks</t>
  </si>
  <si>
    <t>CF_REIMB_LT_BORROW</t>
  </si>
  <si>
    <t xml:space="preserve">  + Decrease In Long-Term Borrowings</t>
  </si>
  <si>
    <t>CF_INCR_LT_BORROW</t>
  </si>
  <si>
    <t xml:space="preserve">  + Increase in Long-Term Borrowings</t>
  </si>
  <si>
    <t>CF_INCR_ST_BORROW</t>
  </si>
  <si>
    <t xml:space="preserve">  + Change in Short-Term Borrowings</t>
  </si>
  <si>
    <t>CF_DVD_PAID</t>
  </si>
  <si>
    <t xml:space="preserve">  + Dividends Paid</t>
  </si>
  <si>
    <t>CF_CASH_FROM_INV_ACT</t>
  </si>
  <si>
    <t>CF_OTHER_INV_ACT</t>
  </si>
  <si>
    <t xml:space="preserve">  + Other Investing Activities</t>
  </si>
  <si>
    <t>CF_DECR_INVEST</t>
  </si>
  <si>
    <t xml:space="preserve">  + Decrease in Investments</t>
  </si>
  <si>
    <t>CF_INCR_INVEST</t>
  </si>
  <si>
    <t xml:space="preserve">  + Increase in Investments</t>
  </si>
  <si>
    <t>CF_CAP_EXPEND_PRPTY_ADD</t>
  </si>
  <si>
    <t xml:space="preserve">  + Capital Expenditures</t>
  </si>
  <si>
    <t>CF_DISP_FIX_ASSET</t>
  </si>
  <si>
    <t xml:space="preserve">  + Disposal of Fixed Assets</t>
  </si>
  <si>
    <t>CF_CASH_FROM_OPER</t>
  </si>
  <si>
    <t>Cash From Operations</t>
  </si>
  <si>
    <t>CF_CHNG_NON_CASH_WORK_CAP</t>
  </si>
  <si>
    <t xml:space="preserve">  + Changes in Non-Cash Capital</t>
  </si>
  <si>
    <t>CF_OTHER_NON_CASH_ADJUST</t>
  </si>
  <si>
    <t xml:space="preserve">  + Other Non-Cash Adjustments</t>
  </si>
  <si>
    <t>CF_DEPR_AMORT</t>
  </si>
  <si>
    <t xml:space="preserve">  + Depreciation &amp; Amortization</t>
  </si>
  <si>
    <t>CF_NET_INC</t>
  </si>
  <si>
    <t xml:space="preserve">  + Net Income</t>
  </si>
  <si>
    <t>Pharmacia LLC (748957Q US) - Standardized</t>
  </si>
  <si>
    <t>·</t>
    <phoneticPr fontId="17" type="noConversion"/>
  </si>
  <si>
    <t>AVG_AGE_OF_ASSETS_IN_YEARS</t>
  </si>
  <si>
    <t>Average Age of Assets in Years</t>
  </si>
  <si>
    <t>TOT_CAP_EXPEND_GROWTH</t>
  </si>
  <si>
    <t>Total Capital Expenditures - 1 Yr Growth</t>
  </si>
  <si>
    <t>5Y_AVG_CAPEX_TO_DEPR_EXPN</t>
  </si>
  <si>
    <t>CAPEX to Depreciation Expense 5 Year Average</t>
  </si>
  <si>
    <t>CAPEX_TO_DEPR_EXPN_RATIO</t>
  </si>
  <si>
    <t>Capital Expend / Depr Exp</t>
  </si>
  <si>
    <t>CAP_EXPEND_TO_TOT_ASSET</t>
  </si>
  <si>
    <t>CAPEX/Total Assets</t>
  </si>
  <si>
    <t>CAP_EXPEND_TO_SALES</t>
  </si>
  <si>
    <t>CAPEX/Sales</t>
  </si>
  <si>
    <t>Capital Expenditures</t>
  </si>
  <si>
    <t>CAPITALIZED_INT_TO_PRETAX_INC</t>
  </si>
  <si>
    <t>Cap Interest/Pretax Income</t>
  </si>
  <si>
    <t>Capitalized Int Exp</t>
  </si>
  <si>
    <t>ACCUM_DEPR_TO_GROSS_FA</t>
  </si>
  <si>
    <t>Accum Depr / Gross Fixed Assets</t>
  </si>
  <si>
    <t>ACCUM_DEPR_TO_TOT_ASSET</t>
  </si>
  <si>
    <t>Accum Depr / Total Assets</t>
  </si>
  <si>
    <t>DEPR_EXP_TO_NET_FIX_ASSET</t>
  </si>
  <si>
    <t>Depr Exp / Net Fixed Assets</t>
  </si>
  <si>
    <t>DEPR_EXP_TO_NET_SALES</t>
  </si>
  <si>
    <t>Depr Exp / Net Sales</t>
  </si>
  <si>
    <t>Depreciation Expenses</t>
  </si>
  <si>
    <t>Pharmacia LLC (748957Q US) - CAPEX &amp; Depreciation</t>
  </si>
  <si>
    <t>Pharmacia LLC (748957Q US) - Balance Sheet</t>
  </si>
  <si>
    <t xml:space="preserve">  + Cash &amp; Near Cash Items</t>
  </si>
  <si>
    <t>BS_CASH_NEAR_CASH_ITEM</t>
  </si>
  <si>
    <t xml:space="preserve">  + Short-Term Investments</t>
  </si>
  <si>
    <t>BS_MKT_SEC_OTHER_ST_INVEST</t>
  </si>
  <si>
    <t xml:space="preserve">  + Accounts &amp; Notes Receivable</t>
  </si>
  <si>
    <t>BS_ACCT_NOTE_RCV</t>
  </si>
  <si>
    <t xml:space="preserve">  + Inventories</t>
  </si>
  <si>
    <t>BS_INVENTORIES</t>
  </si>
  <si>
    <t xml:space="preserve">  + Other Current Assets</t>
  </si>
  <si>
    <t>BS_OTHER_CUR_ASSET</t>
  </si>
  <si>
    <t>Total Current Assets</t>
  </si>
  <si>
    <t>BS_CUR_ASSET_REPORT</t>
  </si>
  <si>
    <t xml:space="preserve">  + LT Investments &amp; LT Receivables</t>
  </si>
  <si>
    <t>BS_LT_INVEST</t>
  </si>
  <si>
    <t xml:space="preserve">  + Net Fixed Assets</t>
  </si>
  <si>
    <t>BS_NET_FIX_ASSET</t>
  </si>
  <si>
    <t xml:space="preserve">    + Gross Fixed Assets</t>
  </si>
  <si>
    <t>BS_GROSS_FIX_ASSET</t>
  </si>
  <si>
    <t xml:space="preserve">    - Accumulated Depreciation</t>
  </si>
  <si>
    <t>BS_ACCUM_DEPR</t>
  </si>
  <si>
    <t xml:space="preserve">  + Other Long-Term Assets</t>
  </si>
  <si>
    <t>BS_OTHER_ASSETS_DEF_CHRG_OTHER</t>
  </si>
  <si>
    <t>Total Long-Term Assets</t>
  </si>
  <si>
    <t>BS_TOT_NON_CUR_ASSET</t>
  </si>
  <si>
    <t>Total Assets</t>
  </si>
  <si>
    <t>BS_TOT_ASSET</t>
  </si>
  <si>
    <t>Liabilities &amp; Shareholders' Equity</t>
  </si>
  <si>
    <t xml:space="preserve">  + Accounts Payable</t>
  </si>
  <si>
    <t>BS_ACCT_PAYABLE</t>
  </si>
  <si>
    <t xml:space="preserve">  + Short-Term Borrowings</t>
  </si>
  <si>
    <t>BS_ST_BORROW</t>
  </si>
  <si>
    <t xml:space="preserve">  + Other Short-Term Liabilities</t>
  </si>
  <si>
    <t>BS_OTHER_ST_LIAB</t>
  </si>
  <si>
    <t>Total Current Liabilities</t>
  </si>
  <si>
    <t>BS_CUR_LIAB</t>
  </si>
  <si>
    <t xml:space="preserve">  + Long-Term Borrowings</t>
  </si>
  <si>
    <t>BS_LT_BORROW</t>
  </si>
  <si>
    <t xml:space="preserve">  + Other Long-Term Liabilities</t>
  </si>
  <si>
    <t>BS_OTHER_LT_LIABILITIES</t>
  </si>
  <si>
    <t>Total Long-Term Liabilities</t>
  </si>
  <si>
    <t>NON_CUR_LIAB</t>
  </si>
  <si>
    <t>Total Liabilities</t>
  </si>
  <si>
    <t>BS_TOT_LIAB2</t>
  </si>
  <si>
    <t xml:space="preserve">  + Total Preferred Equity</t>
  </si>
  <si>
    <t>BS_PFD_EQTY_&amp;_HYBRID_CPTL</t>
  </si>
  <si>
    <t xml:space="preserve">  + Minority Interest</t>
  </si>
  <si>
    <t>MINORITY_NONCONTROLLING_INTEREST</t>
  </si>
  <si>
    <t xml:space="preserve">  + Share Capital &amp; APIC</t>
  </si>
  <si>
    <t>BS_SH_CAP_AND_APIC</t>
  </si>
  <si>
    <t xml:space="preserve">  + Retained Earnings &amp; Other Equity</t>
  </si>
  <si>
    <t>BS_RETAIN_EARN</t>
  </si>
  <si>
    <t>Total Equity</t>
  </si>
  <si>
    <t>TOTAL_EQUITY</t>
  </si>
  <si>
    <t>Total Liabilities &amp; Equity</t>
  </si>
  <si>
    <t>TOT_LIAB_AND_EQY</t>
  </si>
  <si>
    <t>Shares Outstanding</t>
  </si>
  <si>
    <t>BS_SH_OUT</t>
  </si>
  <si>
    <t>Number of Treasury Shares</t>
  </si>
  <si>
    <t>BS_NUM_OF_TSY_SH</t>
  </si>
  <si>
    <t>Amount of Treasury Shares</t>
  </si>
  <si>
    <t>BS_AMT_OF_TSY_STOCK</t>
  </si>
  <si>
    <t>Pension Obligations</t>
  </si>
  <si>
    <t>BS_PENSION_RSRV</t>
  </si>
  <si>
    <t>Operating Leases</t>
  </si>
  <si>
    <t>BS_FUTURE_MIN_OPER_LEASE_OBLIG</t>
  </si>
  <si>
    <t>Capital Leases - Short Term</t>
  </si>
  <si>
    <t>ST_CAPITAL_LEASE_OBLIGATIONS</t>
  </si>
  <si>
    <t>Capital Leases - Long Term</t>
  </si>
  <si>
    <t>LT_CAPITAL_LEASE_OBLIGATIONS</t>
  </si>
  <si>
    <t>Capital Leases - Total</t>
  </si>
  <si>
    <t>BS_TOTAL_CAPITAL_LEASES</t>
  </si>
  <si>
    <t>Options Granted During Period</t>
  </si>
  <si>
    <t>BS_OPTIONS_GRANTED</t>
  </si>
  <si>
    <t>Options Outstanding at Period End</t>
  </si>
  <si>
    <t>BS_OPTIONS_OUTSTANDING</t>
  </si>
  <si>
    <t>Net Debt</t>
  </si>
  <si>
    <t>NET_DEBT</t>
  </si>
  <si>
    <t>Net Debt to Equity</t>
  </si>
  <si>
    <t>NET_DEBT_TO_SHRHLDR_EQTY</t>
  </si>
  <si>
    <t>Tangible Common Equity Ratio</t>
  </si>
  <si>
    <t>TCE_RATIO</t>
  </si>
  <si>
    <t>Current Ratio</t>
  </si>
  <si>
    <t>CUR_RATIO</t>
  </si>
  <si>
    <t>Cash Conversion Cycle</t>
  </si>
  <si>
    <t>CASH_CONVERSION_CYCLE</t>
  </si>
  <si>
    <t>Inventory - Raw Materials</t>
  </si>
  <si>
    <t>INVTRY_RAW_MATERIALS</t>
  </si>
  <si>
    <t>Inventory - Work in Progress</t>
  </si>
  <si>
    <t>INVTRY_IN_PROGRESS</t>
  </si>
  <si>
    <t>Inventory - Finished Goods</t>
  </si>
  <si>
    <t>INVTRY_FINISHED_GOODS</t>
  </si>
  <si>
    <t>Other Inventory/Allowances</t>
  </si>
  <si>
    <t>BS_OTHER_INV</t>
  </si>
  <si>
    <t>Pure Retained Earnings</t>
  </si>
  <si>
    <t>BS_PURE_RETAINED_EARNINGS</t>
  </si>
  <si>
    <t>BS_GOODWILL</t>
  </si>
  <si>
    <t>Number of Employees</t>
  </si>
  <si>
    <t>NUM_OF_EMPLOYEES</t>
  </si>
  <si>
    <t>SG&amp;A, Others as % of sales</t>
    <phoneticPr fontId="17" type="noConversion"/>
  </si>
  <si>
    <t>$m</t>
  </si>
  <si>
    <t>R&amp;D-Expenses</t>
  </si>
  <si>
    <t>Return on invested Capital*</t>
  </si>
  <si>
    <t>Changes</t>
    <phoneticPr fontId="17" type="noConversion"/>
  </si>
  <si>
    <r>
      <rPr>
        <sz val="10"/>
        <color theme="0"/>
        <rFont val="Times"/>
      </rPr>
      <t>≤</t>
    </r>
    <r>
      <rPr>
        <sz val="10"/>
        <color theme="0"/>
        <rFont val="Calibri"/>
        <family val="2"/>
      </rPr>
      <t xml:space="preserve"> to</t>
    </r>
  </si>
  <si>
    <t>Free Cash Flow Analysis</t>
  </si>
  <si>
    <t>Market premium</t>
  </si>
  <si>
    <t>Risk free return</t>
  </si>
  <si>
    <t>Levered Beta of Pharmacia</t>
  </si>
  <si>
    <t>Cost of bankruptcy</t>
  </si>
  <si>
    <t xml:space="preserve">Current Interest coverage ratio </t>
  </si>
  <si>
    <t xml:space="preserve">Rating based upon coverage </t>
  </si>
  <si>
    <t xml:space="preserve">Interest rate based upon coverage </t>
  </si>
  <si>
    <t xml:space="preserve">Current rating for company </t>
  </si>
  <si>
    <t xml:space="preserve">Current interest rate on debt </t>
  </si>
  <si>
    <t xml:space="preserve">Current Bankruptcy Probability </t>
  </si>
  <si>
    <t>Optimal Capital Structure</t>
  </si>
  <si>
    <t>Value of Control</t>
  </si>
  <si>
    <t>in Millions of USD</t>
  </si>
  <si>
    <t>In Millions of USD</t>
  </si>
  <si>
    <t>Finance and Economics of M&amp;A</t>
  </si>
  <si>
    <t>Acquisition of Pharmacia Corporation by Pfizer Inc.</t>
  </si>
  <si>
    <t>by</t>
  </si>
  <si>
    <t>Marc Schwarz</t>
  </si>
  <si>
    <t>EBS Universität für Wirtschaft und Recht</t>
  </si>
  <si>
    <t>Spring Term 2018</t>
  </si>
  <si>
    <t>Pharmacia LLC Standalone Valuation</t>
  </si>
  <si>
    <t>Pharmacia LLC (748957Q US) - Stock Value</t>
  </si>
  <si>
    <t>FY 1982</t>
  </si>
  <si>
    <t>FY 1983</t>
  </si>
  <si>
    <t>FY 1984</t>
  </si>
  <si>
    <t>FY 1985</t>
  </si>
  <si>
    <t>FY 1986</t>
  </si>
  <si>
    <t>12/31/1982</t>
  </si>
  <si>
    <t>12/31/1983</t>
  </si>
  <si>
    <t>12/31/1984</t>
  </si>
  <si>
    <t>12/31/1985</t>
  </si>
  <si>
    <t>12/31/1986</t>
  </si>
  <si>
    <t>Last Price</t>
  </si>
  <si>
    <t>PX_LAST</t>
  </si>
  <si>
    <t xml:space="preserve">  Period-over-Period % Change</t>
  </si>
  <si>
    <t>CHG_PCT_PERIOD</t>
  </si>
  <si>
    <t>Open Price</t>
  </si>
  <si>
    <t>PX_OPEN</t>
  </si>
  <si>
    <t>High Price</t>
  </si>
  <si>
    <t>PX_HIGH</t>
  </si>
  <si>
    <t>Low Price</t>
  </si>
  <si>
    <t>PX_LOW</t>
  </si>
  <si>
    <t>Market Capitalization</t>
  </si>
  <si>
    <t>HISTORICAL_MARKET_CAP</t>
  </si>
  <si>
    <t xml:space="preserve">  Current Shares Outstanding</t>
  </si>
  <si>
    <t>EQY_SH_OUT</t>
  </si>
  <si>
    <t>Share Price ($)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</si>
</sst>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&quot;$&quot;#,##0.00"/>
    <numFmt numFmtId="165" formatCode="_(&quot;$&quot;* #,##0.00_);_(&quot;$&quot;* \(#,##0.00\);_(&quot;$&quot;* &quot;-&quot;??_);_(@_)"/>
    <numFmt numFmtId="166" formatCode="0&quot;E&quot;"/>
    <numFmt numFmtId="167" formatCode="0&quot;A&quot;"/>
    <numFmt numFmtId="168" formatCode="#,##0.0_);\ \(#,##0.0\);\-"/>
    <numFmt numFmtId="169" formatCode="#,##0.0%;\ \(#,##0.0\)%;\-"/>
    <numFmt numFmtId="170" formatCode="#,##0.0"/>
    <numFmt numFmtId="171" formatCode="0&quot; adj.&quot;"/>
    <numFmt numFmtId="172" formatCode="&quot;$&quot;#,##0.00_);[Red]\(&quot;$&quot;#,##0.00\)"/>
    <numFmt numFmtId="173" formatCode="&quot;$&quot;#,##0_);[Red]\(&quot;$&quot;#,##0\)"/>
    <numFmt numFmtId="174" formatCode="_-* #,##0.00\ [$€-40C]_-;\-* #,##0.00\ [$€-40C]_-;_-* &quot;-&quot;??\ [$€-40C]_-;_-@_-"/>
    <numFmt numFmtId="175" formatCode="0.0%"/>
    <numFmt numFmtId="176" formatCode="#,##0.00_);\ \(#,##0.00\);\-"/>
    <numFmt numFmtId="177" formatCode="_(* #,##0.00_);_(* \(#,##0.00\);_(* &quot;-&quot;??_);_(@_)"/>
    <numFmt numFmtId="178" formatCode="0.0"/>
    <numFmt numFmtId="179" formatCode="#,##0.0000"/>
    <numFmt numFmtId="180" formatCode="0.0000%"/>
    <numFmt numFmtId="181" formatCode="0.0000000000000000%"/>
    <numFmt numFmtId="182" formatCode="0.00_);[Red]\(0.00\)"/>
  </numFmts>
  <fonts count="9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Geneva"/>
    </font>
    <font>
      <b/>
      <sz val="9"/>
      <color indexed="81"/>
      <name val="Geneva"/>
    </font>
    <font>
      <sz val="9"/>
      <color indexed="81"/>
      <name val="Geneva"/>
    </font>
    <font>
      <sz val="11"/>
      <color rgb="FFFF0000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theme="4"/>
      <name val="Arial"/>
      <family val="2"/>
    </font>
    <font>
      <b/>
      <sz val="11"/>
      <color theme="0"/>
      <name val="Arial"/>
      <family val="2"/>
    </font>
    <font>
      <b/>
      <sz val="14"/>
      <color theme="0"/>
      <name val="Arial"/>
      <family val="2"/>
    </font>
    <font>
      <b/>
      <sz val="10"/>
      <color theme="0"/>
      <name val="Arial"/>
      <family val="2"/>
    </font>
    <font>
      <i/>
      <sz val="10"/>
      <color indexed="8"/>
      <name val="Arial"/>
      <family val="2"/>
    </font>
    <font>
      <sz val="10"/>
      <color theme="1"/>
      <name val="Arial"/>
      <family val="2"/>
    </font>
    <font>
      <sz val="9"/>
      <name val="Calibri"/>
      <family val="3"/>
      <charset val="134"/>
      <scheme val="minor"/>
    </font>
    <font>
      <b/>
      <sz val="11"/>
      <color theme="0"/>
      <name val="Calibri"/>
      <family val="3"/>
      <charset val="134"/>
      <scheme val="minor"/>
    </font>
    <font>
      <i/>
      <sz val="10"/>
      <color theme="1"/>
      <name val="Arial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indexed="9"/>
      <name val="Arial"/>
      <family val="2"/>
    </font>
    <font>
      <sz val="10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b/>
      <sz val="10"/>
      <color theme="0"/>
      <name val="Calibri"/>
      <family val="2"/>
    </font>
    <font>
      <b/>
      <sz val="12"/>
      <name val="Calibri"/>
      <family val="2"/>
    </font>
    <font>
      <b/>
      <sz val="10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i/>
      <sz val="11"/>
      <color theme="1"/>
      <name val="Calibri"/>
      <family val="2"/>
    </font>
    <font>
      <i/>
      <sz val="11"/>
      <color rgb="FFFF0000"/>
      <name val="Calibri"/>
      <family val="2"/>
    </font>
    <font>
      <i/>
      <sz val="10"/>
      <name val="Calibri"/>
      <family val="2"/>
    </font>
    <font>
      <b/>
      <sz val="11"/>
      <color rgb="FFFF0000"/>
      <name val="Calibri"/>
      <family val="2"/>
    </font>
    <font>
      <b/>
      <sz val="12"/>
      <color indexed="8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b/>
      <i/>
      <sz val="9"/>
      <name val="Calibri"/>
      <family val="2"/>
    </font>
    <font>
      <sz val="10"/>
      <color theme="4"/>
      <name val="Calibri"/>
      <family val="2"/>
    </font>
    <font>
      <i/>
      <sz val="10"/>
      <color indexed="8"/>
      <name val="Calibri"/>
      <family val="2"/>
    </font>
    <font>
      <sz val="9"/>
      <color indexed="8"/>
      <name val="Calibri"/>
      <family val="2"/>
    </font>
    <font>
      <i/>
      <sz val="9"/>
      <color indexed="8"/>
      <name val="Calibri"/>
      <family val="2"/>
    </font>
    <font>
      <sz val="10"/>
      <color rgb="FF0070C0"/>
      <name val="Calibri"/>
      <family val="2"/>
    </font>
    <font>
      <b/>
      <sz val="12"/>
      <color theme="0"/>
      <name val="Calibri"/>
      <family val="2"/>
    </font>
    <font>
      <sz val="10"/>
      <color theme="0"/>
      <name val="Calibri"/>
      <family val="2"/>
    </font>
    <font>
      <sz val="9"/>
      <color theme="0"/>
      <name val="Calibri"/>
      <family val="2"/>
    </font>
    <font>
      <sz val="11"/>
      <color theme="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rgb="FF0070C0"/>
      <name val="Calibri"/>
      <family val="2"/>
    </font>
    <font>
      <b/>
      <sz val="11"/>
      <color rgb="FF0070C0"/>
      <name val="Calibri"/>
      <family val="2"/>
    </font>
    <font>
      <b/>
      <sz val="11"/>
      <name val="Calibri"/>
      <family val="2"/>
    </font>
    <font>
      <sz val="11"/>
      <color theme="4"/>
      <name val="Calibri"/>
      <family val="2"/>
    </font>
    <font>
      <b/>
      <i/>
      <sz val="10"/>
      <name val="Calibri"/>
      <family val="2"/>
    </font>
    <font>
      <sz val="12"/>
      <color theme="0"/>
      <name val="Calibri"/>
      <family val="2"/>
    </font>
    <font>
      <i/>
      <sz val="10"/>
      <color theme="0"/>
      <name val="Calibri"/>
      <family val="2"/>
    </font>
    <font>
      <sz val="10"/>
      <color theme="0"/>
      <name val="Times"/>
    </font>
    <font>
      <sz val="10"/>
      <color theme="0"/>
      <name val="Arial"/>
      <family val="2"/>
    </font>
    <font>
      <sz val="14"/>
      <color theme="1"/>
      <name val="Calibri"/>
      <family val="2"/>
    </font>
    <font>
      <b/>
      <u/>
      <sz val="16"/>
      <color rgb="FF002060"/>
      <name val="Calibri"/>
      <family val="2"/>
    </font>
    <font>
      <u/>
      <sz val="16"/>
      <color rgb="FF002060"/>
      <name val="Calibri"/>
      <family val="2"/>
    </font>
    <font>
      <b/>
      <u/>
      <sz val="14"/>
      <color rgb="FF002060"/>
      <name val="Calibri"/>
      <family val="2"/>
    </font>
    <font>
      <u/>
      <sz val="14"/>
      <color rgb="FF002060"/>
      <name val="Calibri"/>
      <family val="2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 style="thick">
        <color theme="4"/>
      </right>
      <top/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hair">
        <color theme="4"/>
      </left>
      <right style="hair">
        <color theme="4"/>
      </right>
      <top style="hair">
        <color theme="4"/>
      </top>
      <bottom style="hair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/>
      <bottom style="thin">
        <color theme="0"/>
      </bottom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hair">
        <color theme="4"/>
      </left>
      <right style="hair">
        <color theme="4"/>
      </right>
      <top/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thick">
        <color theme="4"/>
      </right>
      <top style="medium">
        <color theme="0" tint="-0.34998626667073579"/>
      </top>
      <bottom/>
      <diagonal/>
    </border>
    <border>
      <left/>
      <right style="thick">
        <color theme="4"/>
      </right>
      <top style="medium">
        <color theme="0" tint="-0.34998626667073579"/>
      </top>
      <bottom/>
      <diagonal/>
    </border>
    <border>
      <left/>
      <right/>
      <top/>
      <bottom style="hair">
        <color auto="1"/>
      </bottom>
      <diagonal/>
    </border>
    <border>
      <left/>
      <right style="medium">
        <color theme="0" tint="-0.34998626667073579"/>
      </right>
      <top/>
      <bottom style="hair">
        <color auto="1"/>
      </bottom>
      <diagonal/>
    </border>
    <border>
      <left style="medium">
        <color theme="0" tint="-0.34998626667073579"/>
      </left>
      <right style="thin">
        <color auto="1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auto="1"/>
      </right>
      <top style="medium">
        <color theme="0" tint="-0.34998626667073579"/>
      </top>
      <bottom style="thin">
        <color auto="1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auto="1"/>
      </bottom>
      <diagonal/>
    </border>
    <border>
      <left/>
      <right style="thin">
        <color auto="1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thin">
        <color indexed="64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 tint="-0.34998626667073579"/>
      </right>
      <top style="medium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theme="0" tint="-0.34998626667073579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thin">
        <color indexed="64"/>
      </right>
      <top style="thin">
        <color indexed="64"/>
      </top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 style="thin">
        <color indexed="64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thin">
        <color indexed="64"/>
      </right>
      <top/>
      <bottom style="medium">
        <color theme="0" tint="-0.34998626667073579"/>
      </bottom>
      <diagonal/>
    </border>
    <border>
      <left style="thin">
        <color auto="1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/>
      <bottom style="medium">
        <color theme="0" tint="-0.34998626667073579"/>
      </bottom>
      <diagonal/>
    </border>
  </borders>
  <cellStyleXfs count="83">
    <xf numFmtId="0" fontId="0" fillId="0" borderId="0"/>
    <xf numFmtId="9" fontId="2" fillId="0" borderId="0" applyFont="0" applyFill="0" applyBorder="0" applyAlignment="0" applyProtection="0"/>
    <xf numFmtId="0" fontId="4" fillId="0" borderId="0"/>
    <xf numFmtId="0" fontId="5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8" fontId="11" fillId="4" borderId="7"/>
    <xf numFmtId="168" fontId="15" fillId="5" borderId="13"/>
    <xf numFmtId="172" fontId="5" fillId="0" borderId="0" applyFont="0" applyFill="0" applyBorder="0" applyAlignment="0" applyProtection="0"/>
    <xf numFmtId="175" fontId="11" fillId="4" borderId="7"/>
    <xf numFmtId="9" fontId="2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/>
    <xf numFmtId="0" fontId="1" fillId="0" borderId="0">
      <alignment vertical="center"/>
    </xf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9" fillId="8" borderId="6"/>
    <xf numFmtId="4" fontId="9" fillId="8" borderId="14">
      <alignment horizontal="right"/>
    </xf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2" fillId="33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4" borderId="0" applyNumberFormat="0" applyBorder="0" applyAlignment="0" applyProtection="0"/>
    <xf numFmtId="0" fontId="2" fillId="38" borderId="0" applyNumberFormat="0" applyBorder="0" applyAlignment="0" applyProtection="0"/>
    <xf numFmtId="0" fontId="35" fillId="19" borderId="0" applyNumberFormat="0" applyBorder="0" applyAlignment="0" applyProtection="0"/>
    <xf numFmtId="0" fontId="35" fillId="23" borderId="0" applyNumberFormat="0" applyBorder="0" applyAlignment="0" applyProtection="0"/>
    <xf numFmtId="0" fontId="35" fillId="27" borderId="0" applyNumberFormat="0" applyBorder="0" applyAlignment="0" applyProtection="0"/>
    <xf numFmtId="0" fontId="35" fillId="31" borderId="0" applyNumberFormat="0" applyBorder="0" applyAlignment="0" applyProtection="0"/>
    <xf numFmtId="0" fontId="35" fillId="35" borderId="0" applyNumberFormat="0" applyBorder="0" applyAlignment="0" applyProtection="0"/>
    <xf numFmtId="0" fontId="35" fillId="39" borderId="0" applyNumberFormat="0" applyBorder="0" applyAlignment="0" applyProtection="0"/>
    <xf numFmtId="0" fontId="35" fillId="16" borderId="0" applyNumberFormat="0" applyBorder="0" applyAlignment="0" applyProtection="0"/>
    <xf numFmtId="0" fontId="35" fillId="20" borderId="0" applyNumberFormat="0" applyBorder="0" applyAlignment="0" applyProtection="0"/>
    <xf numFmtId="0" fontId="35" fillId="24" borderId="0" applyNumberFormat="0" applyBorder="0" applyAlignment="0" applyProtection="0"/>
    <xf numFmtId="0" fontId="35" fillId="28" borderId="0" applyNumberFormat="0" applyBorder="0" applyAlignment="0" applyProtection="0"/>
    <xf numFmtId="0" fontId="35" fillId="32" borderId="0" applyNumberFormat="0" applyBorder="0" applyAlignment="0" applyProtection="0"/>
    <xf numFmtId="0" fontId="35" fillId="36" borderId="0" applyNumberFormat="0" applyBorder="0" applyAlignment="0" applyProtection="0"/>
    <xf numFmtId="0" fontId="27" fillId="10" borderId="0" applyNumberFormat="0" applyBorder="0" applyAlignment="0" applyProtection="0"/>
    <xf numFmtId="0" fontId="20" fillId="40" borderId="0"/>
    <xf numFmtId="0" fontId="31" fillId="13" borderId="19" applyNumberFormat="0" applyAlignment="0" applyProtection="0"/>
    <xf numFmtId="0" fontId="33" fillId="14" borderId="22" applyNumberFormat="0" applyAlignment="0" applyProtection="0"/>
    <xf numFmtId="0" fontId="34" fillId="0" borderId="0" applyNumberFormat="0" applyFill="0" applyBorder="0" applyAlignment="0" applyProtection="0"/>
    <xf numFmtId="0" fontId="21" fillId="40" borderId="15">
      <alignment horizontal="right"/>
    </xf>
    <xf numFmtId="0" fontId="26" fillId="9" borderId="0" applyNumberFormat="0" applyBorder="0" applyAlignment="0" applyProtection="0"/>
    <xf numFmtId="0" fontId="23" fillId="0" borderId="16" applyNumberFormat="0" applyFill="0" applyAlignment="0" applyProtection="0"/>
    <xf numFmtId="0" fontId="24" fillId="0" borderId="17" applyNumberFormat="0" applyFill="0" applyAlignment="0" applyProtection="0"/>
    <xf numFmtId="0" fontId="25" fillId="0" borderId="18" applyNumberFormat="0" applyFill="0" applyAlignment="0" applyProtection="0"/>
    <xf numFmtId="0" fontId="25" fillId="0" borderId="0" applyNumberFormat="0" applyFill="0" applyBorder="0" applyAlignment="0" applyProtection="0"/>
    <xf numFmtId="0" fontId="29" fillId="12" borderId="19" applyNumberFormat="0" applyAlignment="0" applyProtection="0"/>
    <xf numFmtId="0" fontId="32" fillId="0" borderId="21" applyNumberFormat="0" applyFill="0" applyAlignment="0" applyProtection="0"/>
    <xf numFmtId="0" fontId="28" fillId="11" borderId="0" applyNumberFormat="0" applyBorder="0" applyAlignment="0" applyProtection="0"/>
    <xf numFmtId="0" fontId="2" fillId="15" borderId="23" applyNumberFormat="0" applyFont="0" applyAlignment="0" applyProtection="0"/>
    <xf numFmtId="0" fontId="30" fillId="13" borderId="20" applyNumberFormat="0" applyAlignment="0" applyProtection="0"/>
    <xf numFmtId="0" fontId="22" fillId="0" borderId="0" applyNumberFormat="0" applyFill="0" applyBorder="0" applyAlignment="0" applyProtection="0"/>
    <xf numFmtId="0" fontId="3" fillId="0" borderId="24" applyNumberFormat="0" applyFill="0" applyAlignment="0" applyProtection="0"/>
    <xf numFmtId="0" fontId="8" fillId="0" borderId="0" applyNumberFormat="0" applyFill="0" applyBorder="0" applyAlignment="0" applyProtection="0"/>
    <xf numFmtId="0" fontId="29" fillId="12" borderId="19" applyNumberFormat="0" applyAlignment="0" applyProtection="0"/>
    <xf numFmtId="0" fontId="36" fillId="40" borderId="2" applyNumberFormat="0" applyProtection="0">
      <alignment horizontal="left" vertical="center" readingOrder="1"/>
    </xf>
    <xf numFmtId="0" fontId="37" fillId="8" borderId="0" applyNumberFormat="0" applyBorder="0" applyProtection="0">
      <alignment horizontal="center"/>
    </xf>
    <xf numFmtId="0" fontId="21" fillId="40" borderId="3">
      <alignment horizontal="left"/>
    </xf>
    <xf numFmtId="0" fontId="21" fillId="40" borderId="3">
      <alignment horizontal="right"/>
    </xf>
    <xf numFmtId="0" fontId="21" fillId="40" borderId="15">
      <alignment horizontal="left"/>
    </xf>
    <xf numFmtId="170" fontId="9" fillId="8" borderId="14">
      <alignment horizontal="right"/>
    </xf>
    <xf numFmtId="170" fontId="9" fillId="41" borderId="14">
      <alignment horizontal="right"/>
    </xf>
    <xf numFmtId="0" fontId="38" fillId="8" borderId="6"/>
    <xf numFmtId="170" fontId="10" fillId="8" borderId="14">
      <alignment horizontal="right"/>
    </xf>
    <xf numFmtId="170" fontId="10" fillId="41" borderId="14">
      <alignment horizontal="right"/>
    </xf>
    <xf numFmtId="3" fontId="9" fillId="8" borderId="14">
      <alignment horizontal="right"/>
    </xf>
    <xf numFmtId="3" fontId="9" fillId="41" borderId="14">
      <alignment horizontal="right"/>
    </xf>
    <xf numFmtId="4" fontId="9" fillId="41" borderId="14">
      <alignment horizontal="right"/>
    </xf>
    <xf numFmtId="3" fontId="10" fillId="8" borderId="14">
      <alignment horizontal="right"/>
    </xf>
    <xf numFmtId="3" fontId="10" fillId="41" borderId="14">
      <alignment horizontal="right"/>
    </xf>
    <xf numFmtId="4" fontId="10" fillId="8" borderId="14">
      <alignment horizontal="right"/>
    </xf>
    <xf numFmtId="4" fontId="10" fillId="41" borderId="14">
      <alignment horizontal="right"/>
    </xf>
    <xf numFmtId="0" fontId="15" fillId="42" borderId="8" applyNumberFormat="0" applyAlignment="0" applyProtection="0"/>
    <xf numFmtId="0" fontId="39" fillId="8" borderId="6"/>
    <xf numFmtId="170" fontId="15" fillId="8" borderId="14">
      <alignment horizontal="right"/>
    </xf>
    <xf numFmtId="4" fontId="15" fillId="8" borderId="14">
      <alignment horizontal="right"/>
    </xf>
  </cellStyleXfs>
  <cellXfs count="651">
    <xf numFmtId="0" fontId="0" fillId="0" borderId="0" xfId="0"/>
    <xf numFmtId="0" fontId="16" fillId="0" borderId="0" xfId="0" applyFont="1"/>
    <xf numFmtId="10" fontId="16" fillId="0" borderId="0" xfId="1" applyNumberFormat="1" applyFont="1"/>
    <xf numFmtId="10" fontId="16" fillId="0" borderId="0" xfId="0" applyNumberFormat="1" applyFont="1"/>
    <xf numFmtId="176" fontId="4" fillId="0" borderId="0" xfId="0" applyNumberFormat="1" applyFont="1" applyFill="1" applyBorder="1"/>
    <xf numFmtId="0" fontId="19" fillId="0" borderId="0" xfId="0" applyFont="1" applyAlignment="1">
      <alignment horizontal="right"/>
    </xf>
    <xf numFmtId="0" fontId="9" fillId="8" borderId="6" xfId="16" applyNumberFormat="1" applyFont="1" applyFill="1" applyBorder="1" applyAlignment="1" applyProtection="1"/>
    <xf numFmtId="10" fontId="16" fillId="7" borderId="0" xfId="1" applyNumberFormat="1" applyFont="1" applyFill="1"/>
    <xf numFmtId="0" fontId="20" fillId="40" borderId="0" xfId="43" applyNumberFormat="1" applyFont="1" applyFill="1" applyBorder="1" applyAlignment="1" applyProtection="1"/>
    <xf numFmtId="0" fontId="36" fillId="40" borderId="2" xfId="62" applyFont="1" applyFill="1" applyBorder="1" applyAlignment="1">
      <alignment horizontal="left" vertical="center" readingOrder="1"/>
    </xf>
    <xf numFmtId="0" fontId="37" fillId="8" borderId="0" xfId="63" applyFont="1" applyFill="1" applyAlignment="1">
      <alignment horizontal="center"/>
    </xf>
    <xf numFmtId="0" fontId="21" fillId="40" borderId="3" xfId="64" applyNumberFormat="1" applyFont="1" applyFill="1" applyBorder="1" applyAlignment="1" applyProtection="1">
      <alignment horizontal="left"/>
    </xf>
    <xf numFmtId="0" fontId="21" fillId="40" borderId="3" xfId="65" applyNumberFormat="1" applyFont="1" applyFill="1" applyBorder="1" applyAlignment="1" applyProtection="1">
      <alignment horizontal="right"/>
    </xf>
    <xf numFmtId="0" fontId="21" fillId="40" borderId="15" xfId="66">
      <alignment horizontal="left"/>
    </xf>
    <xf numFmtId="0" fontId="21" fillId="40" borderId="15" xfId="47" applyNumberFormat="1" applyFont="1" applyFill="1" applyBorder="1" applyAlignment="1" applyProtection="1">
      <alignment horizontal="right"/>
    </xf>
    <xf numFmtId="170" fontId="9" fillId="8" borderId="14" xfId="67" applyNumberFormat="1" applyFont="1" applyFill="1" applyBorder="1" applyAlignment="1" applyProtection="1">
      <alignment horizontal="right"/>
    </xf>
    <xf numFmtId="170" fontId="9" fillId="41" borderId="14" xfId="68" applyNumberFormat="1" applyFont="1" applyFill="1" applyBorder="1" applyAlignment="1" applyProtection="1">
      <alignment horizontal="right"/>
    </xf>
    <xf numFmtId="0" fontId="38" fillId="8" borderId="6" xfId="69" applyNumberFormat="1" applyFont="1" applyFill="1" applyBorder="1" applyAlignment="1" applyProtection="1"/>
    <xf numFmtId="170" fontId="10" fillId="8" borderId="14" xfId="70" applyNumberFormat="1" applyFont="1" applyFill="1" applyBorder="1" applyAlignment="1" applyProtection="1">
      <alignment horizontal="right"/>
    </xf>
    <xf numFmtId="170" fontId="10" fillId="41" borderId="14" xfId="71" applyNumberFormat="1" applyFont="1" applyFill="1" applyBorder="1" applyAlignment="1" applyProtection="1">
      <alignment horizontal="right"/>
    </xf>
    <xf numFmtId="3" fontId="9" fillId="8" borderId="14" xfId="72" applyNumberFormat="1" applyFont="1" applyFill="1" applyBorder="1" applyAlignment="1" applyProtection="1">
      <alignment horizontal="right"/>
    </xf>
    <xf numFmtId="3" fontId="9" fillId="41" borderId="14" xfId="73" applyNumberFormat="1" applyFont="1" applyFill="1" applyBorder="1" applyAlignment="1" applyProtection="1">
      <alignment horizontal="right"/>
    </xf>
    <xf numFmtId="4" fontId="9" fillId="8" borderId="14" xfId="17" applyNumberFormat="1" applyFont="1" applyFill="1" applyBorder="1" applyAlignment="1" applyProtection="1">
      <alignment horizontal="right"/>
    </xf>
    <xf numFmtId="4" fontId="9" fillId="41" borderId="14" xfId="74" applyNumberFormat="1" applyFont="1" applyFill="1" applyBorder="1" applyAlignment="1" applyProtection="1">
      <alignment horizontal="right"/>
    </xf>
    <xf numFmtId="3" fontId="10" fillId="8" borderId="14" xfId="75" applyNumberFormat="1" applyFont="1" applyFill="1" applyBorder="1" applyAlignment="1" applyProtection="1">
      <alignment horizontal="right"/>
    </xf>
    <xf numFmtId="3" fontId="10" fillId="41" borderId="14" xfId="76" applyNumberFormat="1" applyFont="1" applyFill="1" applyBorder="1" applyAlignment="1" applyProtection="1">
      <alignment horizontal="right"/>
    </xf>
    <xf numFmtId="4" fontId="10" fillId="8" borderId="14" xfId="77" applyNumberFormat="1" applyFont="1" applyFill="1" applyBorder="1" applyAlignment="1" applyProtection="1">
      <alignment horizontal="right"/>
    </xf>
    <xf numFmtId="4" fontId="10" fillId="41" borderId="14" xfId="78" applyNumberFormat="1" applyFont="1" applyFill="1" applyBorder="1" applyAlignment="1" applyProtection="1">
      <alignment horizontal="right"/>
    </xf>
    <xf numFmtId="0" fontId="15" fillId="42" borderId="8" xfId="79" applyFont="1" applyFill="1" applyBorder="1"/>
    <xf numFmtId="0" fontId="39" fillId="8" borderId="6" xfId="80" applyNumberFormat="1" applyFont="1" applyFill="1" applyBorder="1" applyAlignment="1" applyProtection="1"/>
    <xf numFmtId="170" fontId="15" fillId="8" borderId="14" xfId="81" applyNumberFormat="1" applyFont="1" applyFill="1" applyBorder="1" applyAlignment="1" applyProtection="1">
      <alignment horizontal="right"/>
    </xf>
    <xf numFmtId="0" fontId="0" fillId="5" borderId="0" xfId="0" applyFill="1"/>
    <xf numFmtId="0" fontId="0" fillId="43" borderId="0" xfId="0" applyFill="1"/>
    <xf numFmtId="0" fontId="0" fillId="44" borderId="0" xfId="0" applyFill="1"/>
    <xf numFmtId="0" fontId="8" fillId="44" borderId="0" xfId="0" applyFont="1" applyFill="1"/>
    <xf numFmtId="0" fontId="0" fillId="45" borderId="0" xfId="0" applyFill="1"/>
    <xf numFmtId="0" fontId="0" fillId="46" borderId="0" xfId="0" applyFill="1"/>
    <xf numFmtId="0" fontId="41" fillId="0" borderId="0" xfId="0" applyFont="1"/>
    <xf numFmtId="168" fontId="46" fillId="0" borderId="0" xfId="0" applyNumberFormat="1" applyFont="1" applyFill="1" applyBorder="1"/>
    <xf numFmtId="0" fontId="41" fillId="0" borderId="0" xfId="0" applyFont="1" applyFill="1"/>
    <xf numFmtId="168" fontId="47" fillId="0" borderId="0" xfId="0" applyNumberFormat="1" applyFont="1" applyFill="1" applyBorder="1"/>
    <xf numFmtId="0" fontId="49" fillId="7" borderId="0" xfId="0" applyFont="1" applyFill="1" applyAlignment="1">
      <alignment horizontal="center"/>
    </xf>
    <xf numFmtId="1" fontId="48" fillId="7" borderId="0" xfId="0" applyNumberFormat="1" applyFont="1" applyFill="1" applyAlignment="1">
      <alignment horizontal="center"/>
    </xf>
    <xf numFmtId="0" fontId="40" fillId="7" borderId="0" xfId="0" applyFont="1" applyFill="1" applyBorder="1" applyAlignment="1">
      <alignment horizontal="center"/>
    </xf>
    <xf numFmtId="9" fontId="46" fillId="0" borderId="0" xfId="1" applyFont="1" applyFill="1" applyBorder="1"/>
    <xf numFmtId="0" fontId="48" fillId="0" borderId="0" xfId="0" applyFont="1"/>
    <xf numFmtId="0" fontId="40" fillId="7" borderId="0" xfId="0" applyFont="1" applyFill="1" applyAlignment="1">
      <alignment horizontal="center"/>
    </xf>
    <xf numFmtId="1" fontId="41" fillId="7" borderId="0" xfId="0" applyNumberFormat="1" applyFont="1" applyFill="1" applyAlignment="1">
      <alignment horizontal="center"/>
    </xf>
    <xf numFmtId="170" fontId="50" fillId="0" borderId="0" xfId="0" applyNumberFormat="1" applyFont="1" applyBorder="1"/>
    <xf numFmtId="9" fontId="48" fillId="0" borderId="0" xfId="1" applyFont="1"/>
    <xf numFmtId="0" fontId="41" fillId="0" borderId="0" xfId="0" applyFont="1" applyBorder="1"/>
    <xf numFmtId="9" fontId="41" fillId="0" borderId="0" xfId="0" applyNumberFormat="1" applyFont="1" applyBorder="1"/>
    <xf numFmtId="0" fontId="48" fillId="0" borderId="9" xfId="0" applyFont="1" applyBorder="1"/>
    <xf numFmtId="0" fontId="48" fillId="0" borderId="1" xfId="0" applyFont="1" applyBorder="1"/>
    <xf numFmtId="176" fontId="48" fillId="0" borderId="0" xfId="0" applyNumberFormat="1" applyFont="1" applyBorder="1"/>
    <xf numFmtId="176" fontId="48" fillId="0" borderId="10" xfId="0" applyNumberFormat="1" applyFont="1" applyBorder="1"/>
    <xf numFmtId="10" fontId="41" fillId="0" borderId="0" xfId="1" applyNumberFormat="1" applyFont="1"/>
    <xf numFmtId="0" fontId="41" fillId="0" borderId="10" xfId="0" applyFont="1" applyBorder="1"/>
    <xf numFmtId="0" fontId="41" fillId="0" borderId="6" xfId="0" applyFont="1" applyBorder="1"/>
    <xf numFmtId="168" fontId="48" fillId="0" borderId="0" xfId="0" applyNumberFormat="1" applyFont="1" applyBorder="1"/>
    <xf numFmtId="168" fontId="48" fillId="0" borderId="6" xfId="0" applyNumberFormat="1" applyFont="1" applyBorder="1"/>
    <xf numFmtId="168" fontId="50" fillId="0" borderId="0" xfId="0" applyNumberFormat="1" applyFont="1" applyBorder="1"/>
    <xf numFmtId="168" fontId="50" fillId="0" borderId="10" xfId="0" applyNumberFormat="1" applyFont="1" applyBorder="1"/>
    <xf numFmtId="168" fontId="50" fillId="0" borderId="6" xfId="0" applyNumberFormat="1" applyFont="1" applyBorder="1"/>
    <xf numFmtId="10" fontId="48" fillId="0" borderId="10" xfId="0" applyNumberFormat="1" applyFont="1" applyBorder="1"/>
    <xf numFmtId="0" fontId="51" fillId="0" borderId="0" xfId="0" applyFont="1"/>
    <xf numFmtId="9" fontId="49" fillId="0" borderId="0" xfId="1" applyFont="1" applyBorder="1"/>
    <xf numFmtId="9" fontId="48" fillId="0" borderId="0" xfId="0" applyNumberFormat="1" applyFont="1"/>
    <xf numFmtId="0" fontId="51" fillId="0" borderId="0" xfId="0" applyFont="1" applyProtection="1"/>
    <xf numFmtId="9" fontId="41" fillId="0" borderId="0" xfId="0" applyNumberFormat="1" applyFont="1"/>
    <xf numFmtId="0" fontId="40" fillId="47" borderId="0" xfId="0" applyFont="1" applyFill="1" applyBorder="1" applyAlignment="1">
      <alignment horizontal="left"/>
    </xf>
    <xf numFmtId="0" fontId="40" fillId="47" borderId="0" xfId="0" applyFont="1" applyFill="1" applyAlignment="1">
      <alignment horizontal="center" wrapText="1"/>
    </xf>
    <xf numFmtId="0" fontId="42" fillId="47" borderId="0" xfId="0" applyFont="1" applyFill="1" applyBorder="1" applyAlignment="1">
      <alignment horizontal="left"/>
    </xf>
    <xf numFmtId="0" fontId="42" fillId="47" borderId="0" xfId="0" applyFont="1" applyFill="1" applyAlignment="1">
      <alignment horizontal="center" wrapText="1"/>
    </xf>
    <xf numFmtId="0" fontId="40" fillId="47" borderId="4" xfId="0" applyFont="1" applyFill="1" applyBorder="1" applyAlignment="1">
      <alignment horizontal="centerContinuous" wrapText="1"/>
    </xf>
    <xf numFmtId="0" fontId="40" fillId="47" borderId="5" xfId="0" applyFont="1" applyFill="1" applyBorder="1" applyAlignment="1">
      <alignment horizontal="centerContinuous" wrapText="1"/>
    </xf>
    <xf numFmtId="166" fontId="43" fillId="47" borderId="0" xfId="0" applyNumberFormat="1" applyFont="1" applyFill="1" applyBorder="1" applyAlignment="1">
      <alignment horizontal="left"/>
    </xf>
    <xf numFmtId="166" fontId="43" fillId="47" borderId="0" xfId="0" applyNumberFormat="1" applyFont="1" applyFill="1"/>
    <xf numFmtId="167" fontId="43" fillId="47" borderId="0" xfId="0" applyNumberFormat="1" applyFont="1" applyFill="1"/>
    <xf numFmtId="0" fontId="40" fillId="7" borderId="0" xfId="0" applyFont="1" applyFill="1" applyAlignment="1" applyProtection="1">
      <alignment horizontal="center" wrapText="1"/>
    </xf>
    <xf numFmtId="9" fontId="41" fillId="0" borderId="0" xfId="1" applyFont="1"/>
    <xf numFmtId="0" fontId="52" fillId="0" borderId="0" xfId="0" applyFont="1"/>
    <xf numFmtId="0" fontId="37" fillId="0" borderId="0" xfId="0" applyFont="1" applyBorder="1" applyAlignment="1">
      <alignment horizontal="center"/>
    </xf>
    <xf numFmtId="10" fontId="37" fillId="0" borderId="0" xfId="0" applyNumberFormat="1" applyFont="1" applyBorder="1" applyAlignment="1">
      <alignment horizontal="center"/>
    </xf>
    <xf numFmtId="0" fontId="41" fillId="7" borderId="0" xfId="0" applyFont="1" applyFill="1"/>
    <xf numFmtId="0" fontId="54" fillId="7" borderId="0" xfId="0" applyFont="1" applyFill="1"/>
    <xf numFmtId="0" fontId="41" fillId="7" borderId="0" xfId="0" applyFont="1" applyFill="1" applyAlignment="1"/>
    <xf numFmtId="0" fontId="41" fillId="7" borderId="8" xfId="0" applyFont="1" applyFill="1" applyBorder="1"/>
    <xf numFmtId="0" fontId="47" fillId="7" borderId="0" xfId="16" applyNumberFormat="1" applyFont="1" applyFill="1" applyBorder="1" applyAlignment="1" applyProtection="1">
      <alignment horizontal="left" vertical="top" wrapText="1"/>
    </xf>
    <xf numFmtId="0" fontId="49" fillId="7" borderId="0" xfId="0" applyFont="1" applyFill="1"/>
    <xf numFmtId="0" fontId="41" fillId="7" borderId="0" xfId="0" applyFont="1" applyFill="1" applyBorder="1"/>
    <xf numFmtId="3" fontId="41" fillId="7" borderId="0" xfId="0" applyNumberFormat="1" applyFont="1" applyFill="1" applyBorder="1"/>
    <xf numFmtId="0" fontId="41" fillId="7" borderId="1" xfId="0" applyFont="1" applyFill="1" applyBorder="1"/>
    <xf numFmtId="0" fontId="54" fillId="7" borderId="1" xfId="0" applyFont="1" applyFill="1" applyBorder="1"/>
    <xf numFmtId="4" fontId="41" fillId="7" borderId="0" xfId="0" applyNumberFormat="1" applyFont="1" applyFill="1" applyBorder="1"/>
    <xf numFmtId="0" fontId="49" fillId="7" borderId="0" xfId="0" applyFont="1" applyFill="1" applyBorder="1"/>
    <xf numFmtId="0" fontId="43" fillId="47" borderId="0" xfId="0" applyFont="1" applyFill="1" applyBorder="1" applyAlignment="1">
      <alignment horizontal="center"/>
    </xf>
    <xf numFmtId="0" fontId="12" fillId="47" borderId="0" xfId="0" applyFont="1" applyFill="1" applyBorder="1" applyAlignment="1">
      <alignment horizontal="left"/>
    </xf>
    <xf numFmtId="0" fontId="12" fillId="47" borderId="0" xfId="0" applyFont="1" applyFill="1" applyAlignment="1">
      <alignment horizontal="center" wrapText="1"/>
    </xf>
    <xf numFmtId="0" fontId="13" fillId="47" borderId="0" xfId="0" applyFont="1" applyFill="1" applyBorder="1" applyAlignment="1">
      <alignment horizontal="left"/>
    </xf>
    <xf numFmtId="0" fontId="13" fillId="47" borderId="0" xfId="0" applyFont="1" applyFill="1" applyAlignment="1">
      <alignment horizontal="center" wrapText="1"/>
    </xf>
    <xf numFmtId="0" fontId="12" fillId="47" borderId="4" xfId="0" applyFont="1" applyFill="1" applyBorder="1" applyAlignment="1">
      <alignment horizontal="centerContinuous" wrapText="1"/>
    </xf>
    <xf numFmtId="166" fontId="14" fillId="47" borderId="0" xfId="0" applyNumberFormat="1" applyFont="1" applyFill="1" applyBorder="1" applyAlignment="1">
      <alignment horizontal="left"/>
    </xf>
    <xf numFmtId="166" fontId="14" fillId="47" borderId="0" xfId="0" applyNumberFormat="1" applyFont="1" applyFill="1"/>
    <xf numFmtId="167" fontId="14" fillId="47" borderId="0" xfId="0" applyNumberFormat="1" applyFont="1" applyFill="1"/>
    <xf numFmtId="0" fontId="58" fillId="0" borderId="0" xfId="3" applyFont="1" applyAlignment="1">
      <alignment horizontal="centerContinuous"/>
    </xf>
    <xf numFmtId="0" fontId="58" fillId="0" borderId="0" xfId="3" applyFont="1"/>
    <xf numFmtId="0" fontId="37" fillId="0" borderId="0" xfId="3" applyFont="1"/>
    <xf numFmtId="0" fontId="45" fillId="0" borderId="0" xfId="3" applyFont="1"/>
    <xf numFmtId="2" fontId="59" fillId="0" borderId="0" xfId="3" applyNumberFormat="1" applyFont="1"/>
    <xf numFmtId="2" fontId="37" fillId="0" borderId="0" xfId="3" applyNumberFormat="1" applyFont="1"/>
    <xf numFmtId="2" fontId="60" fillId="0" borderId="0" xfId="3" applyNumberFormat="1" applyFont="1"/>
    <xf numFmtId="2" fontId="37" fillId="0" borderId="0" xfId="3" quotePrefix="1" applyNumberFormat="1" applyFont="1"/>
    <xf numFmtId="10" fontId="59" fillId="0" borderId="0" xfId="1" applyNumberFormat="1" applyFont="1"/>
    <xf numFmtId="9" fontId="59" fillId="0" borderId="0" xfId="1" applyFont="1"/>
    <xf numFmtId="9" fontId="37" fillId="0" borderId="0" xfId="1" applyFont="1"/>
    <xf numFmtId="0" fontId="61" fillId="0" borderId="0" xfId="3" applyFont="1"/>
    <xf numFmtId="0" fontId="53" fillId="0" borderId="0" xfId="3" applyFont="1"/>
    <xf numFmtId="0" fontId="44" fillId="0" borderId="0" xfId="3" applyFont="1"/>
    <xf numFmtId="172" fontId="37" fillId="0" borderId="0" xfId="8" applyFont="1" applyBorder="1"/>
    <xf numFmtId="0" fontId="41" fillId="0" borderId="0" xfId="0" applyFont="1" applyFill="1" applyAlignment="1">
      <alignment horizontal="center"/>
    </xf>
    <xf numFmtId="168" fontId="46" fillId="0" borderId="6" xfId="0" applyNumberFormat="1" applyFont="1" applyFill="1" applyBorder="1"/>
    <xf numFmtId="0" fontId="41" fillId="0" borderId="0" xfId="0" applyFont="1" applyFill="1" applyBorder="1"/>
    <xf numFmtId="0" fontId="41" fillId="0" borderId="14" xfId="0" applyFont="1" applyFill="1" applyBorder="1"/>
    <xf numFmtId="0" fontId="41" fillId="7" borderId="0" xfId="0" applyFont="1" applyFill="1" applyBorder="1" applyAlignment="1">
      <alignment horizontal="center"/>
    </xf>
    <xf numFmtId="0" fontId="43" fillId="7" borderId="0" xfId="0" applyFont="1" applyFill="1" applyBorder="1" applyAlignment="1">
      <alignment horizontal="centerContinuous" wrapText="1"/>
    </xf>
    <xf numFmtId="167" fontId="43" fillId="7" borderId="0" xfId="0" applyNumberFormat="1" applyFont="1" applyFill="1" applyBorder="1"/>
    <xf numFmtId="0" fontId="40" fillId="7" borderId="0" xfId="0" applyFont="1" applyFill="1" applyBorder="1" applyAlignment="1">
      <alignment horizontal="centerContinuous" wrapText="1"/>
    </xf>
    <xf numFmtId="168" fontId="46" fillId="7" borderId="0" xfId="0" applyNumberFormat="1" applyFont="1" applyFill="1" applyBorder="1"/>
    <xf numFmtId="175" fontId="48" fillId="7" borderId="0" xfId="1" applyNumberFormat="1" applyFont="1" applyFill="1" applyBorder="1"/>
    <xf numFmtId="175" fontId="62" fillId="7" borderId="0" xfId="9" applyFont="1" applyFill="1" applyBorder="1"/>
    <xf numFmtId="175" fontId="62" fillId="7" borderId="0" xfId="9" applyFont="1" applyFill="1" applyBorder="1" applyAlignment="1">
      <alignment horizontal="right"/>
    </xf>
    <xf numFmtId="10" fontId="48" fillId="7" borderId="0" xfId="1" applyNumberFormat="1" applyFont="1" applyFill="1" applyBorder="1"/>
    <xf numFmtId="166" fontId="43" fillId="7" borderId="0" xfId="0" applyNumberFormat="1" applyFont="1" applyFill="1"/>
    <xf numFmtId="0" fontId="41" fillId="7" borderId="0" xfId="0" applyFont="1" applyFill="1" applyBorder="1" applyAlignment="1">
      <alignment horizontal="left"/>
    </xf>
    <xf numFmtId="9" fontId="41" fillId="7" borderId="0" xfId="1" applyNumberFormat="1" applyFont="1" applyFill="1"/>
    <xf numFmtId="9" fontId="41" fillId="7" borderId="0" xfId="1" applyFont="1" applyFill="1"/>
    <xf numFmtId="168" fontId="63" fillId="7" borderId="0" xfId="0" applyNumberFormat="1" applyFont="1" applyFill="1" applyBorder="1"/>
    <xf numFmtId="168" fontId="46" fillId="0" borderId="0" xfId="0" applyNumberFormat="1" applyFont="1" applyFill="1"/>
    <xf numFmtId="168" fontId="44" fillId="0" borderId="0" xfId="0" applyNumberFormat="1" applyFont="1" applyFill="1" applyBorder="1" applyAlignment="1">
      <alignment vertical="center"/>
    </xf>
    <xf numFmtId="168" fontId="41" fillId="0" borderId="0" xfId="0" applyNumberFormat="1" applyFont="1"/>
    <xf numFmtId="168" fontId="37" fillId="0" borderId="0" xfId="6" applyNumberFormat="1" applyFont="1" applyFill="1" applyBorder="1"/>
    <xf numFmtId="168" fontId="37" fillId="0" borderId="0" xfId="0" applyNumberFormat="1" applyFont="1" applyFill="1" applyBorder="1"/>
    <xf numFmtId="168" fontId="37" fillId="0" borderId="10" xfId="0" applyNumberFormat="1" applyFont="1" applyFill="1" applyBorder="1"/>
    <xf numFmtId="168" fontId="64" fillId="0" borderId="0" xfId="0" applyNumberFormat="1" applyFont="1" applyFill="1" applyBorder="1"/>
    <xf numFmtId="169" fontId="64" fillId="0" borderId="0" xfId="1" applyNumberFormat="1" applyFont="1" applyFill="1" applyBorder="1"/>
    <xf numFmtId="169" fontId="41" fillId="0" borderId="0" xfId="0" applyNumberFormat="1" applyFont="1"/>
    <xf numFmtId="168" fontId="65" fillId="0" borderId="0" xfId="0" applyNumberFormat="1" applyFont="1" applyFill="1" applyBorder="1"/>
    <xf numFmtId="168" fontId="66" fillId="0" borderId="0" xfId="0" applyNumberFormat="1" applyFont="1" applyFill="1" applyBorder="1"/>
    <xf numFmtId="168" fontId="63" fillId="0" borderId="0" xfId="0" applyNumberFormat="1" applyFont="1" applyFill="1" applyBorder="1"/>
    <xf numFmtId="175" fontId="62" fillId="0" borderId="0" xfId="9" applyFont="1" applyFill="1" applyBorder="1"/>
    <xf numFmtId="175" fontId="48" fillId="0" borderId="0" xfId="9" applyFont="1" applyFill="1" applyBorder="1"/>
    <xf numFmtId="168" fontId="48" fillId="0" borderId="0" xfId="0" applyNumberFormat="1" applyFont="1" applyFill="1" applyBorder="1"/>
    <xf numFmtId="0" fontId="40" fillId="0" borderId="0" xfId="0" applyFont="1" applyFill="1" applyAlignment="1">
      <alignment horizontal="center" wrapText="1"/>
    </xf>
    <xf numFmtId="0" fontId="40" fillId="0" borderId="0" xfId="0" applyFont="1" applyFill="1" applyAlignment="1">
      <alignment horizontal="left"/>
    </xf>
    <xf numFmtId="0" fontId="42" fillId="47" borderId="0" xfId="0" applyFont="1" applyFill="1" applyBorder="1" applyAlignment="1">
      <alignment horizontal="center" wrapText="1"/>
    </xf>
    <xf numFmtId="0" fontId="40" fillId="47" borderId="26" xfId="0" applyFont="1" applyFill="1" applyBorder="1" applyAlignment="1">
      <alignment horizontal="left"/>
    </xf>
    <xf numFmtId="0" fontId="40" fillId="47" borderId="27" xfId="0" applyFont="1" applyFill="1" applyBorder="1" applyAlignment="1">
      <alignment horizontal="center" wrapText="1"/>
    </xf>
    <xf numFmtId="0" fontId="40" fillId="47" borderId="28" xfId="0" applyFont="1" applyFill="1" applyBorder="1" applyAlignment="1">
      <alignment horizontal="center" wrapText="1"/>
    </xf>
    <xf numFmtId="0" fontId="42" fillId="47" borderId="29" xfId="0" applyFont="1" applyFill="1" applyBorder="1" applyAlignment="1">
      <alignment horizontal="left"/>
    </xf>
    <xf numFmtId="0" fontId="40" fillId="47" borderId="30" xfId="0" applyFont="1" applyFill="1" applyBorder="1" applyAlignment="1">
      <alignment horizontal="centerContinuous" wrapText="1"/>
    </xf>
    <xf numFmtId="166" fontId="43" fillId="47" borderId="31" xfId="0" applyNumberFormat="1" applyFont="1" applyFill="1" applyBorder="1" applyAlignment="1">
      <alignment horizontal="left"/>
    </xf>
    <xf numFmtId="166" fontId="43" fillId="47" borderId="32" xfId="0" applyNumberFormat="1" applyFont="1" applyFill="1" applyBorder="1"/>
    <xf numFmtId="167" fontId="43" fillId="47" borderId="32" xfId="0" applyNumberFormat="1" applyFont="1" applyFill="1" applyBorder="1"/>
    <xf numFmtId="166" fontId="43" fillId="47" borderId="33" xfId="0" applyNumberFormat="1" applyFont="1" applyFill="1" applyBorder="1"/>
    <xf numFmtId="168" fontId="47" fillId="0" borderId="25" xfId="0" applyNumberFormat="1" applyFont="1" applyFill="1" applyBorder="1"/>
    <xf numFmtId="168" fontId="70" fillId="47" borderId="25" xfId="0" applyNumberFormat="1" applyFont="1" applyFill="1" applyBorder="1"/>
    <xf numFmtId="168" fontId="40" fillId="47" borderId="25" xfId="0" applyNumberFormat="1" applyFont="1" applyFill="1" applyBorder="1"/>
    <xf numFmtId="168" fontId="73" fillId="0" borderId="25" xfId="6" applyFont="1" applyFill="1" applyBorder="1"/>
    <xf numFmtId="168" fontId="74" fillId="0" borderId="25" xfId="0" applyNumberFormat="1" applyFont="1" applyFill="1" applyBorder="1"/>
    <xf numFmtId="168" fontId="73" fillId="0" borderId="25" xfId="0" applyNumberFormat="1" applyFont="1" applyFill="1" applyBorder="1"/>
    <xf numFmtId="0" fontId="40" fillId="47" borderId="29" xfId="0" applyFont="1" applyFill="1" applyBorder="1" applyAlignment="1">
      <alignment horizontal="left"/>
    </xf>
    <xf numFmtId="0" fontId="40" fillId="47" borderId="0" xfId="0" applyFont="1" applyFill="1" applyBorder="1" applyAlignment="1">
      <alignment horizontal="center" wrapText="1"/>
    </xf>
    <xf numFmtId="166" fontId="40" fillId="47" borderId="31" xfId="0" applyNumberFormat="1" applyFont="1" applyFill="1" applyBorder="1" applyAlignment="1">
      <alignment horizontal="left"/>
    </xf>
    <xf numFmtId="166" fontId="40" fillId="47" borderId="32" xfId="0" applyNumberFormat="1" applyFont="1" applyFill="1" applyBorder="1"/>
    <xf numFmtId="167" fontId="40" fillId="47" borderId="32" xfId="0" applyNumberFormat="1" applyFont="1" applyFill="1" applyBorder="1"/>
    <xf numFmtId="166" fontId="40" fillId="47" borderId="33" xfId="0" applyNumberFormat="1" applyFont="1" applyFill="1" applyBorder="1"/>
    <xf numFmtId="168" fontId="67" fillId="47" borderId="35" xfId="0" applyNumberFormat="1" applyFont="1" applyFill="1" applyBorder="1" applyAlignment="1">
      <alignment vertical="center"/>
    </xf>
    <xf numFmtId="168" fontId="67" fillId="47" borderId="36" xfId="0" applyNumberFormat="1" applyFont="1" applyFill="1" applyBorder="1" applyAlignment="1">
      <alignment vertical="center"/>
    </xf>
    <xf numFmtId="168" fontId="68" fillId="47" borderId="36" xfId="0" applyNumberFormat="1" applyFont="1" applyFill="1" applyBorder="1" applyAlignment="1">
      <alignment vertical="center"/>
    </xf>
    <xf numFmtId="168" fontId="68" fillId="47" borderId="37" xfId="0" applyNumberFormat="1" applyFont="1" applyFill="1" applyBorder="1" applyAlignment="1">
      <alignment vertical="center"/>
    </xf>
    <xf numFmtId="168" fontId="47" fillId="0" borderId="35" xfId="0" applyNumberFormat="1" applyFont="1" applyFill="1" applyBorder="1"/>
    <xf numFmtId="168" fontId="47" fillId="0" borderId="36" xfId="0" applyNumberFormat="1" applyFont="1" applyFill="1" applyBorder="1"/>
    <xf numFmtId="168" fontId="47" fillId="0" borderId="37" xfId="0" applyNumberFormat="1" applyFont="1" applyFill="1" applyBorder="1"/>
    <xf numFmtId="168" fontId="46" fillId="0" borderId="29" xfId="0" applyNumberFormat="1" applyFont="1" applyFill="1" applyBorder="1"/>
    <xf numFmtId="168" fontId="46" fillId="0" borderId="38" xfId="0" applyNumberFormat="1" applyFont="1" applyFill="1" applyBorder="1"/>
    <xf numFmtId="168" fontId="47" fillId="0" borderId="38" xfId="0" applyNumberFormat="1" applyFont="1" applyFill="1" applyBorder="1"/>
    <xf numFmtId="168" fontId="71" fillId="0" borderId="29" xfId="0" applyNumberFormat="1" applyFont="1" applyFill="1" applyBorder="1"/>
    <xf numFmtId="168" fontId="72" fillId="0" borderId="29" xfId="0" applyNumberFormat="1" applyFont="1" applyFill="1" applyBorder="1"/>
    <xf numFmtId="168" fontId="73" fillId="0" borderId="34" xfId="6" applyFont="1" applyFill="1" applyBorder="1"/>
    <xf numFmtId="168" fontId="73" fillId="0" borderId="0" xfId="0" applyNumberFormat="1" applyFont="1" applyFill="1" applyBorder="1"/>
    <xf numFmtId="168" fontId="74" fillId="0" borderId="0" xfId="0" applyNumberFormat="1" applyFont="1" applyFill="1" applyBorder="1"/>
    <xf numFmtId="0" fontId="40" fillId="47" borderId="26" xfId="0" applyFont="1" applyFill="1" applyBorder="1" applyAlignment="1">
      <alignment horizontal="centerContinuous" wrapText="1"/>
    </xf>
    <xf numFmtId="167" fontId="40" fillId="47" borderId="25" xfId="0" applyNumberFormat="1" applyFont="1" applyFill="1" applyBorder="1" applyAlignment="1">
      <alignment horizontal="center"/>
    </xf>
    <xf numFmtId="0" fontId="40" fillId="47" borderId="27" xfId="0" applyFont="1" applyFill="1" applyBorder="1" applyAlignment="1">
      <alignment horizontal="centerContinuous" wrapText="1"/>
    </xf>
    <xf numFmtId="0" fontId="40" fillId="47" borderId="28" xfId="0" applyFont="1" applyFill="1" applyBorder="1" applyAlignment="1">
      <alignment horizontal="centerContinuous" wrapText="1"/>
    </xf>
    <xf numFmtId="0" fontId="40" fillId="47" borderId="39" xfId="0" applyFont="1" applyFill="1" applyBorder="1" applyAlignment="1">
      <alignment horizontal="centerContinuous" wrapText="1"/>
    </xf>
    <xf numFmtId="166" fontId="40" fillId="47" borderId="25" xfId="0" applyNumberFormat="1" applyFont="1" applyFill="1" applyBorder="1" applyAlignment="1">
      <alignment horizontal="center"/>
    </xf>
    <xf numFmtId="0" fontId="40" fillId="47" borderId="40" xfId="0" applyFont="1" applyFill="1" applyBorder="1" applyAlignment="1">
      <alignment horizontal="centerContinuous" wrapText="1"/>
    </xf>
    <xf numFmtId="0" fontId="40" fillId="47" borderId="35" xfId="0" applyFont="1" applyFill="1" applyBorder="1"/>
    <xf numFmtId="167" fontId="40" fillId="47" borderId="36" xfId="0" applyNumberFormat="1" applyFont="1" applyFill="1" applyBorder="1"/>
    <xf numFmtId="166" fontId="40" fillId="47" borderId="36" xfId="0" applyNumberFormat="1" applyFont="1" applyFill="1" applyBorder="1"/>
    <xf numFmtId="166" fontId="40" fillId="47" borderId="37" xfId="0" applyNumberFormat="1" applyFont="1" applyFill="1" applyBorder="1"/>
    <xf numFmtId="0" fontId="43" fillId="47" borderId="25" xfId="0" applyFont="1" applyFill="1" applyBorder="1"/>
    <xf numFmtId="0" fontId="70" fillId="47" borderId="25" xfId="0" applyFont="1" applyFill="1" applyBorder="1" applyAlignment="1">
      <alignment horizontal="left"/>
    </xf>
    <xf numFmtId="0" fontId="70" fillId="47" borderId="25" xfId="0" quotePrefix="1" applyFont="1" applyFill="1" applyBorder="1" applyAlignment="1">
      <alignment horizontal="left"/>
    </xf>
    <xf numFmtId="0" fontId="37" fillId="0" borderId="25" xfId="0" applyFont="1" applyFill="1" applyBorder="1"/>
    <xf numFmtId="168" fontId="63" fillId="0" borderId="29" xfId="0" applyNumberFormat="1" applyFont="1" applyFill="1" applyBorder="1"/>
    <xf numFmtId="0" fontId="41" fillId="0" borderId="29" xfId="0" applyFont="1" applyFill="1" applyBorder="1"/>
    <xf numFmtId="0" fontId="41" fillId="0" borderId="38" xfId="0" applyFont="1" applyFill="1" applyBorder="1"/>
    <xf numFmtId="168" fontId="73" fillId="0" borderId="36" xfId="0" applyNumberFormat="1" applyFont="1" applyFill="1" applyBorder="1"/>
    <xf numFmtId="168" fontId="73" fillId="0" borderId="37" xfId="0" applyNumberFormat="1" applyFont="1" applyFill="1" applyBorder="1"/>
    <xf numFmtId="168" fontId="63" fillId="6" borderId="25" xfId="7" applyFont="1" applyFill="1" applyBorder="1"/>
    <xf numFmtId="168" fontId="63" fillId="6" borderId="41" xfId="7" applyFont="1" applyFill="1" applyBorder="1"/>
    <xf numFmtId="168" fontId="63" fillId="0" borderId="25" xfId="7" applyFont="1" applyFill="1" applyBorder="1"/>
    <xf numFmtId="168" fontId="63" fillId="0" borderId="42" xfId="7" applyFont="1" applyFill="1" applyBorder="1"/>
    <xf numFmtId="168" fontId="46" fillId="0" borderId="35" xfId="0" applyNumberFormat="1" applyFont="1" applyFill="1" applyBorder="1"/>
    <xf numFmtId="168" fontId="46" fillId="0" borderId="37" xfId="0" applyNumberFormat="1" applyFont="1" applyFill="1" applyBorder="1"/>
    <xf numFmtId="168" fontId="68" fillId="47" borderId="35" xfId="0" applyNumberFormat="1" applyFont="1" applyFill="1" applyBorder="1"/>
    <xf numFmtId="168" fontId="68" fillId="47" borderId="37" xfId="0" applyNumberFormat="1" applyFont="1" applyFill="1" applyBorder="1"/>
    <xf numFmtId="168" fontId="43" fillId="47" borderId="35" xfId="0" applyNumberFormat="1" applyFont="1" applyFill="1" applyBorder="1"/>
    <xf numFmtId="168" fontId="43" fillId="47" borderId="37" xfId="0" applyNumberFormat="1" applyFont="1" applyFill="1" applyBorder="1"/>
    <xf numFmtId="168" fontId="69" fillId="47" borderId="35" xfId="0" applyNumberFormat="1" applyFont="1" applyFill="1" applyBorder="1"/>
    <xf numFmtId="168" fontId="69" fillId="47" borderId="37" xfId="0" applyNumberFormat="1" applyFont="1" applyFill="1" applyBorder="1"/>
    <xf numFmtId="168" fontId="37" fillId="0" borderId="25" xfId="6" applyNumberFormat="1" applyFont="1" applyFill="1" applyBorder="1"/>
    <xf numFmtId="168" fontId="37" fillId="0" borderId="25" xfId="0" applyNumberFormat="1" applyFont="1" applyFill="1" applyBorder="1"/>
    <xf numFmtId="168" fontId="37" fillId="0" borderId="43" xfId="0" applyNumberFormat="1" applyFont="1" applyFill="1" applyBorder="1"/>
    <xf numFmtId="168" fontId="45" fillId="0" borderId="25" xfId="0" applyNumberFormat="1" applyFont="1" applyFill="1" applyBorder="1"/>
    <xf numFmtId="168" fontId="45" fillId="0" borderId="43" xfId="0" applyNumberFormat="1" applyFont="1" applyFill="1" applyBorder="1"/>
    <xf numFmtId="169" fontId="59" fillId="0" borderId="25" xfId="1" applyNumberFormat="1" applyFont="1" applyFill="1" applyBorder="1"/>
    <xf numFmtId="169" fontId="64" fillId="0" borderId="25" xfId="1" applyNumberFormat="1" applyFont="1" applyFill="1" applyBorder="1"/>
    <xf numFmtId="169" fontId="59" fillId="0" borderId="43" xfId="1" applyNumberFormat="1" applyFont="1" applyFill="1" applyBorder="1"/>
    <xf numFmtId="169" fontId="59" fillId="0" borderId="45" xfId="1" applyNumberFormat="1" applyFont="1" applyFill="1" applyBorder="1"/>
    <xf numFmtId="169" fontId="64" fillId="0" borderId="45" xfId="1" applyNumberFormat="1" applyFont="1" applyFill="1" applyBorder="1"/>
    <xf numFmtId="169" fontId="59" fillId="0" borderId="44" xfId="1" applyNumberFormat="1" applyFont="1" applyFill="1" applyBorder="1"/>
    <xf numFmtId="168" fontId="46" fillId="0" borderId="36" xfId="0" applyNumberFormat="1" applyFont="1" applyFill="1" applyBorder="1"/>
    <xf numFmtId="0" fontId="43" fillId="47" borderId="35" xfId="16" applyNumberFormat="1" applyFont="1" applyFill="1" applyBorder="1" applyAlignment="1" applyProtection="1"/>
    <xf numFmtId="168" fontId="68" fillId="47" borderId="36" xfId="0" applyNumberFormat="1" applyFont="1" applyFill="1" applyBorder="1"/>
    <xf numFmtId="168" fontId="71" fillId="0" borderId="25" xfId="0" applyNumberFormat="1" applyFont="1" applyFill="1" applyBorder="1"/>
    <xf numFmtId="168" fontId="71" fillId="7" borderId="25" xfId="0" applyNumberFormat="1" applyFont="1" applyFill="1" applyBorder="1"/>
    <xf numFmtId="167" fontId="43" fillId="47" borderId="25" xfId="0" applyNumberFormat="1" applyFont="1" applyFill="1" applyBorder="1"/>
    <xf numFmtId="167" fontId="40" fillId="47" borderId="25" xfId="0" applyNumberFormat="1" applyFont="1" applyFill="1" applyBorder="1"/>
    <xf numFmtId="0" fontId="40" fillId="47" borderId="25" xfId="0" applyFont="1" applyFill="1" applyBorder="1" applyAlignment="1">
      <alignment horizontal="centerContinuous" wrapText="1"/>
    </xf>
    <xf numFmtId="0" fontId="40" fillId="47" borderId="25" xfId="0" applyFont="1" applyFill="1" applyBorder="1" applyAlignment="1">
      <alignment horizontal="center" wrapText="1"/>
    </xf>
    <xf numFmtId="0" fontId="41" fillId="0" borderId="0" xfId="0" applyFont="1" applyFill="1" applyBorder="1" applyAlignment="1">
      <alignment horizontal="center"/>
    </xf>
    <xf numFmtId="0" fontId="41" fillId="0" borderId="14" xfId="0" applyFont="1" applyBorder="1"/>
    <xf numFmtId="167" fontId="43" fillId="47" borderId="35" xfId="0" applyNumberFormat="1" applyFont="1" applyFill="1" applyBorder="1"/>
    <xf numFmtId="167" fontId="43" fillId="47" borderId="36" xfId="0" applyNumberFormat="1" applyFont="1" applyFill="1" applyBorder="1"/>
    <xf numFmtId="167" fontId="43" fillId="47" borderId="37" xfId="0" applyNumberFormat="1" applyFont="1" applyFill="1" applyBorder="1"/>
    <xf numFmtId="168" fontId="71" fillId="0" borderId="0" xfId="0" applyNumberFormat="1" applyFont="1" applyFill="1" applyBorder="1"/>
    <xf numFmtId="0" fontId="70" fillId="47" borderId="25" xfId="0" applyFont="1" applyFill="1" applyBorder="1"/>
    <xf numFmtId="9" fontId="41" fillId="0" borderId="25" xfId="1" applyFont="1" applyBorder="1"/>
    <xf numFmtId="0" fontId="41" fillId="0" borderId="25" xfId="0" applyFont="1" applyBorder="1"/>
    <xf numFmtId="0" fontId="41" fillId="0" borderId="36" xfId="0" applyFont="1" applyBorder="1"/>
    <xf numFmtId="0" fontId="41" fillId="0" borderId="36" xfId="0" applyFont="1" applyFill="1" applyBorder="1"/>
    <xf numFmtId="0" fontId="41" fillId="0" borderId="35" xfId="0" applyFont="1" applyBorder="1"/>
    <xf numFmtId="0" fontId="41" fillId="0" borderId="37" xfId="0" applyFont="1" applyBorder="1"/>
    <xf numFmtId="0" fontId="41" fillId="0" borderId="37" xfId="0" applyFont="1" applyFill="1" applyBorder="1"/>
    <xf numFmtId="168" fontId="70" fillId="47" borderId="35" xfId="0" applyNumberFormat="1" applyFont="1" applyFill="1" applyBorder="1"/>
    <xf numFmtId="168" fontId="70" fillId="0" borderId="35" xfId="0" applyNumberFormat="1" applyFont="1" applyFill="1" applyBorder="1"/>
    <xf numFmtId="168" fontId="40" fillId="47" borderId="35" xfId="0" applyNumberFormat="1" applyFont="1" applyFill="1" applyBorder="1"/>
    <xf numFmtId="0" fontId="70" fillId="47" borderId="35" xfId="0" applyFont="1" applyFill="1" applyBorder="1"/>
    <xf numFmtId="9" fontId="41" fillId="0" borderId="25" xfId="0" applyNumberFormat="1" applyFont="1" applyBorder="1"/>
    <xf numFmtId="0" fontId="41" fillId="47" borderId="25" xfId="0" applyFont="1" applyFill="1" applyBorder="1"/>
    <xf numFmtId="9" fontId="41" fillId="0" borderId="25" xfId="1" applyFont="1" applyBorder="1" applyAlignment="1">
      <alignment horizontal="center"/>
    </xf>
    <xf numFmtId="9" fontId="41" fillId="0" borderId="25" xfId="1" applyFont="1" applyFill="1" applyBorder="1" applyAlignment="1">
      <alignment horizontal="center"/>
    </xf>
    <xf numFmtId="0" fontId="41" fillId="0" borderId="36" xfId="0" applyFont="1" applyBorder="1" applyAlignment="1">
      <alignment horizontal="center"/>
    </xf>
    <xf numFmtId="0" fontId="41" fillId="0" borderId="36" xfId="0" applyFont="1" applyFill="1" applyBorder="1" applyAlignment="1">
      <alignment horizontal="center"/>
    </xf>
    <xf numFmtId="0" fontId="41" fillId="0" borderId="37" xfId="0" applyFont="1" applyBorder="1" applyAlignment="1">
      <alignment horizontal="center"/>
    </xf>
    <xf numFmtId="0" fontId="41" fillId="0" borderId="25" xfId="0" applyFont="1" applyBorder="1" applyAlignment="1">
      <alignment horizontal="center"/>
    </xf>
    <xf numFmtId="0" fontId="41" fillId="0" borderId="25" xfId="0" applyFont="1" applyFill="1" applyBorder="1" applyAlignment="1">
      <alignment horizontal="center"/>
    </xf>
    <xf numFmtId="9" fontId="41" fillId="0" borderId="48" xfId="1" applyFont="1" applyBorder="1" applyAlignment="1">
      <alignment horizontal="center"/>
    </xf>
    <xf numFmtId="9" fontId="41" fillId="0" borderId="48" xfId="1" applyFont="1" applyFill="1" applyBorder="1" applyAlignment="1">
      <alignment horizontal="center"/>
    </xf>
    <xf numFmtId="0" fontId="41" fillId="0" borderId="46" xfId="0" applyFont="1" applyBorder="1" applyAlignment="1">
      <alignment horizontal="center"/>
    </xf>
    <xf numFmtId="0" fontId="41" fillId="0" borderId="26" xfId="0" applyFont="1" applyBorder="1" applyAlignment="1">
      <alignment horizontal="center"/>
    </xf>
    <xf numFmtId="0" fontId="41" fillId="0" borderId="27" xfId="0" applyFont="1" applyBorder="1" applyAlignment="1">
      <alignment horizontal="center"/>
    </xf>
    <xf numFmtId="0" fontId="41" fillId="0" borderId="27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9" fontId="40" fillId="47" borderId="25" xfId="0" applyNumberFormat="1" applyFont="1" applyFill="1" applyBorder="1" applyAlignment="1">
      <alignment horizontal="center"/>
    </xf>
    <xf numFmtId="9" fontId="41" fillId="0" borderId="10" xfId="0" applyNumberFormat="1" applyFont="1" applyBorder="1" applyAlignment="1">
      <alignment horizontal="center"/>
    </xf>
    <xf numFmtId="9" fontId="41" fillId="0" borderId="25" xfId="0" applyNumberFormat="1" applyFont="1" applyBorder="1" applyAlignment="1">
      <alignment horizontal="center"/>
    </xf>
    <xf numFmtId="9" fontId="41" fillId="0" borderId="47" xfId="0" applyNumberFormat="1" applyFont="1" applyBorder="1" applyAlignment="1">
      <alignment horizontal="center"/>
    </xf>
    <xf numFmtId="9" fontId="41" fillId="0" borderId="14" xfId="0" applyNumberFormat="1" applyFont="1" applyBorder="1" applyAlignment="1">
      <alignment horizontal="center"/>
    </xf>
    <xf numFmtId="9" fontId="49" fillId="7" borderId="10" xfId="0" applyNumberFormat="1" applyFont="1" applyFill="1" applyBorder="1" applyAlignment="1">
      <alignment horizontal="center"/>
    </xf>
    <xf numFmtId="175" fontId="76" fillId="0" borderId="25" xfId="9" applyFont="1" applyFill="1" applyBorder="1" applyAlignment="1">
      <alignment horizontal="center"/>
    </xf>
    <xf numFmtId="0" fontId="41" fillId="0" borderId="0" xfId="0" applyFont="1" applyBorder="1" applyAlignment="1">
      <alignment horizontal="center"/>
    </xf>
    <xf numFmtId="9" fontId="41" fillId="0" borderId="0" xfId="1" applyFont="1" applyBorder="1" applyAlignment="1">
      <alignment horizontal="center"/>
    </xf>
    <xf numFmtId="9" fontId="41" fillId="0" borderId="0" xfId="0" applyNumberFormat="1" applyFont="1" applyBorder="1" applyAlignment="1">
      <alignment horizontal="center"/>
    </xf>
    <xf numFmtId="0" fontId="41" fillId="0" borderId="14" xfId="0" applyFont="1" applyFill="1" applyBorder="1" applyAlignment="1">
      <alignment horizontal="center"/>
    </xf>
    <xf numFmtId="0" fontId="41" fillId="0" borderId="8" xfId="0" applyFont="1" applyBorder="1" applyAlignment="1">
      <alignment horizontal="center"/>
    </xf>
    <xf numFmtId="9" fontId="41" fillId="0" borderId="8" xfId="1" applyFont="1" applyBorder="1" applyAlignment="1">
      <alignment horizontal="center"/>
    </xf>
    <xf numFmtId="9" fontId="41" fillId="0" borderId="8" xfId="0" applyNumberFormat="1" applyFont="1" applyBorder="1" applyAlignment="1">
      <alignment horizontal="center"/>
    </xf>
    <xf numFmtId="9" fontId="41" fillId="0" borderId="12" xfId="0" applyNumberFormat="1" applyFont="1" applyBorder="1" applyAlignment="1">
      <alignment horizontal="center"/>
    </xf>
    <xf numFmtId="0" fontId="41" fillId="0" borderId="3" xfId="0" applyFont="1" applyFill="1" applyBorder="1" applyAlignment="1">
      <alignment horizontal="center"/>
    </xf>
    <xf numFmtId="9" fontId="41" fillId="0" borderId="36" xfId="1" applyFont="1" applyBorder="1" applyAlignment="1">
      <alignment horizontal="center"/>
    </xf>
    <xf numFmtId="9" fontId="41" fillId="0" borderId="36" xfId="0" applyNumberFormat="1" applyFont="1" applyBorder="1" applyAlignment="1">
      <alignment horizontal="center"/>
    </xf>
    <xf numFmtId="9" fontId="41" fillId="0" borderId="46" xfId="0" applyNumberFormat="1" applyFont="1" applyBorder="1" applyAlignment="1">
      <alignment horizontal="center"/>
    </xf>
    <xf numFmtId="0" fontId="41" fillId="0" borderId="49" xfId="0" applyFont="1" applyFill="1" applyBorder="1" applyAlignment="1">
      <alignment horizontal="center"/>
    </xf>
    <xf numFmtId="0" fontId="41" fillId="0" borderId="6" xfId="0" applyFont="1" applyBorder="1" applyAlignment="1">
      <alignment horizontal="center"/>
    </xf>
    <xf numFmtId="9" fontId="41" fillId="0" borderId="6" xfId="0" applyNumberFormat="1" applyFont="1" applyBorder="1" applyAlignment="1">
      <alignment horizontal="center"/>
    </xf>
    <xf numFmtId="175" fontId="76" fillId="0" borderId="14" xfId="9" applyFont="1" applyFill="1" applyBorder="1" applyAlignment="1">
      <alignment horizontal="center"/>
    </xf>
    <xf numFmtId="0" fontId="58" fillId="0" borderId="26" xfId="3" applyFont="1" applyBorder="1" applyAlignment="1">
      <alignment horizontal="centerContinuous"/>
    </xf>
    <xf numFmtId="0" fontId="58" fillId="0" borderId="27" xfId="3" applyFont="1" applyBorder="1" applyAlignment="1">
      <alignment horizontal="centerContinuous"/>
    </xf>
    <xf numFmtId="0" fontId="58" fillId="0" borderId="28" xfId="3" applyFont="1" applyBorder="1" applyAlignment="1">
      <alignment horizontal="centerContinuous"/>
    </xf>
    <xf numFmtId="0" fontId="45" fillId="0" borderId="26" xfId="3" applyFont="1" applyBorder="1"/>
    <xf numFmtId="0" fontId="45" fillId="0" borderId="27" xfId="3" applyFont="1" applyBorder="1"/>
    <xf numFmtId="0" fontId="45" fillId="0" borderId="28" xfId="3" applyFont="1" applyBorder="1"/>
    <xf numFmtId="0" fontId="37" fillId="0" borderId="29" xfId="3" applyFont="1" applyBorder="1"/>
    <xf numFmtId="0" fontId="37" fillId="0" borderId="0" xfId="3" applyFont="1" applyBorder="1"/>
    <xf numFmtId="0" fontId="37" fillId="0" borderId="38" xfId="3" applyFont="1" applyBorder="1"/>
    <xf numFmtId="0" fontId="53" fillId="0" borderId="29" xfId="3" applyFont="1" applyBorder="1"/>
    <xf numFmtId="0" fontId="53" fillId="0" borderId="0" xfId="3" applyFont="1" applyBorder="1"/>
    <xf numFmtId="0" fontId="53" fillId="0" borderId="38" xfId="3" applyFont="1" applyBorder="1"/>
    <xf numFmtId="0" fontId="44" fillId="0" borderId="29" xfId="3" applyFont="1" applyBorder="1"/>
    <xf numFmtId="0" fontId="44" fillId="0" borderId="0" xfId="3" applyFont="1" applyBorder="1"/>
    <xf numFmtId="0" fontId="44" fillId="0" borderId="38" xfId="3" applyFont="1" applyBorder="1"/>
    <xf numFmtId="0" fontId="45" fillId="0" borderId="29" xfId="3" applyFont="1" applyBorder="1"/>
    <xf numFmtId="0" fontId="45" fillId="0" borderId="0" xfId="3" applyFont="1" applyBorder="1"/>
    <xf numFmtId="0" fontId="45" fillId="0" borderId="38" xfId="3" applyFont="1" applyBorder="1"/>
    <xf numFmtId="0" fontId="37" fillId="0" borderId="31" xfId="3" applyFont="1" applyBorder="1"/>
    <xf numFmtId="0" fontId="37" fillId="0" borderId="32" xfId="3" applyFont="1" applyBorder="1"/>
    <xf numFmtId="0" fontId="37" fillId="0" borderId="33" xfId="3" applyFont="1" applyBorder="1"/>
    <xf numFmtId="167" fontId="43" fillId="47" borderId="26" xfId="0" applyNumberFormat="1" applyFont="1" applyFill="1" applyBorder="1"/>
    <xf numFmtId="167" fontId="43" fillId="47" borderId="27" xfId="0" applyNumberFormat="1" applyFont="1" applyFill="1" applyBorder="1"/>
    <xf numFmtId="167" fontId="43" fillId="47" borderId="28" xfId="0" applyNumberFormat="1" applyFont="1" applyFill="1" applyBorder="1"/>
    <xf numFmtId="167" fontId="43" fillId="47" borderId="31" xfId="0" applyNumberFormat="1" applyFont="1" applyFill="1" applyBorder="1"/>
    <xf numFmtId="167" fontId="43" fillId="47" borderId="33" xfId="0" applyNumberFormat="1" applyFont="1" applyFill="1" applyBorder="1"/>
    <xf numFmtId="2" fontId="37" fillId="0" borderId="25" xfId="3" applyNumberFormat="1" applyFont="1" applyBorder="1" applyAlignment="1">
      <alignment horizontal="center"/>
    </xf>
    <xf numFmtId="2" fontId="37" fillId="0" borderId="25" xfId="3" applyNumberFormat="1" applyFont="1" applyBorder="1"/>
    <xf numFmtId="1" fontId="37" fillId="0" borderId="25" xfId="3" applyNumberFormat="1" applyFont="1" applyBorder="1" applyAlignment="1">
      <alignment horizontal="center"/>
    </xf>
    <xf numFmtId="172" fontId="37" fillId="0" borderId="25" xfId="8" applyFont="1" applyBorder="1"/>
    <xf numFmtId="164" fontId="37" fillId="0" borderId="25" xfId="3" applyNumberFormat="1" applyFont="1" applyBorder="1"/>
    <xf numFmtId="2" fontId="43" fillId="47" borderId="35" xfId="3" applyNumberFormat="1" applyFont="1" applyFill="1" applyBorder="1"/>
    <xf numFmtId="2" fontId="43" fillId="47" borderId="36" xfId="3" applyNumberFormat="1" applyFont="1" applyFill="1" applyBorder="1"/>
    <xf numFmtId="10" fontId="43" fillId="47" borderId="37" xfId="1" applyNumberFormat="1" applyFont="1" applyFill="1" applyBorder="1"/>
    <xf numFmtId="2" fontId="43" fillId="47" borderId="31" xfId="3" applyNumberFormat="1" applyFont="1" applyFill="1" applyBorder="1"/>
    <xf numFmtId="2" fontId="43" fillId="47" borderId="32" xfId="3" applyNumberFormat="1" applyFont="1" applyFill="1" applyBorder="1"/>
    <xf numFmtId="10" fontId="43" fillId="47" borderId="33" xfId="1" applyNumberFormat="1" applyFont="1" applyFill="1" applyBorder="1"/>
    <xf numFmtId="164" fontId="68" fillId="47" borderId="48" xfId="3" applyNumberFormat="1" applyFont="1" applyFill="1" applyBorder="1"/>
    <xf numFmtId="172" fontId="68" fillId="47" borderId="38" xfId="8" applyFont="1" applyFill="1" applyBorder="1"/>
    <xf numFmtId="173" fontId="37" fillId="0" borderId="25" xfId="8" applyNumberFormat="1" applyFont="1" applyBorder="1"/>
    <xf numFmtId="174" fontId="68" fillId="47" borderId="55" xfId="8" applyNumberFormat="1" applyFont="1" applyFill="1" applyBorder="1"/>
    <xf numFmtId="0" fontId="68" fillId="47" borderId="25" xfId="3" applyFont="1" applyFill="1" applyBorder="1" applyAlignment="1">
      <alignment horizontal="center"/>
    </xf>
    <xf numFmtId="2" fontId="37" fillId="0" borderId="44" xfId="3" applyNumberFormat="1" applyFont="1" applyBorder="1" applyAlignment="1">
      <alignment horizontal="center"/>
    </xf>
    <xf numFmtId="2" fontId="37" fillId="0" borderId="51" xfId="3" applyNumberFormat="1" applyFont="1" applyBorder="1" applyAlignment="1">
      <alignment horizontal="center"/>
    </xf>
    <xf numFmtId="1" fontId="37" fillId="0" borderId="50" xfId="3" applyNumberFormat="1" applyFont="1" applyBorder="1" applyAlignment="1">
      <alignment horizontal="center"/>
    </xf>
    <xf numFmtId="2" fontId="68" fillId="47" borderId="52" xfId="3" applyNumberFormat="1" applyFont="1" applyFill="1" applyBorder="1" applyAlignment="1">
      <alignment horizontal="center"/>
    </xf>
    <xf numFmtId="1" fontId="37" fillId="0" borderId="53" xfId="3" applyNumberFormat="1" applyFont="1" applyBorder="1" applyAlignment="1">
      <alignment horizontal="center"/>
    </xf>
    <xf numFmtId="2" fontId="68" fillId="47" borderId="54" xfId="3" applyNumberFormat="1" applyFont="1" applyFill="1" applyBorder="1" applyAlignment="1">
      <alignment horizontal="center"/>
    </xf>
    <xf numFmtId="2" fontId="37" fillId="0" borderId="25" xfId="3" applyNumberFormat="1" applyFont="1" applyBorder="1" applyAlignment="1">
      <alignment horizontal="centerContinuous"/>
    </xf>
    <xf numFmtId="2" fontId="37" fillId="0" borderId="48" xfId="3" applyNumberFormat="1" applyFont="1" applyBorder="1" applyAlignment="1">
      <alignment horizontal="center"/>
    </xf>
    <xf numFmtId="0" fontId="77" fillId="0" borderId="0" xfId="3" applyFont="1"/>
    <xf numFmtId="0" fontId="37" fillId="0" borderId="25" xfId="3" applyFont="1" applyBorder="1" applyAlignment="1">
      <alignment horizontal="center"/>
    </xf>
    <xf numFmtId="174" fontId="68" fillId="47" borderId="25" xfId="3" applyNumberFormat="1" applyFont="1" applyFill="1" applyBorder="1" applyAlignment="1">
      <alignment horizontal="center"/>
    </xf>
    <xf numFmtId="10" fontId="37" fillId="48" borderId="25" xfId="3" applyNumberFormat="1" applyFont="1" applyFill="1" applyBorder="1" applyAlignment="1">
      <alignment horizontal="center"/>
    </xf>
    <xf numFmtId="172" fontId="37" fillId="48" borderId="25" xfId="8" applyFont="1" applyFill="1" applyBorder="1"/>
    <xf numFmtId="0" fontId="37" fillId="48" borderId="25" xfId="3" applyFont="1" applyFill="1" applyBorder="1" applyAlignment="1">
      <alignment horizontal="center"/>
    </xf>
    <xf numFmtId="0" fontId="37" fillId="0" borderId="25" xfId="3" applyFont="1" applyBorder="1"/>
    <xf numFmtId="174" fontId="37" fillId="48" borderId="25" xfId="3" applyNumberFormat="1" applyFont="1" applyFill="1" applyBorder="1"/>
    <xf numFmtId="172" fontId="37" fillId="48" borderId="25" xfId="3" applyNumberFormat="1" applyFont="1" applyFill="1" applyBorder="1"/>
    <xf numFmtId="171" fontId="43" fillId="47" borderId="32" xfId="0" applyNumberFormat="1" applyFont="1" applyFill="1" applyBorder="1"/>
    <xf numFmtId="0" fontId="41" fillId="0" borderId="29" xfId="0" applyFont="1" applyBorder="1"/>
    <xf numFmtId="0" fontId="41" fillId="0" borderId="38" xfId="0" applyFont="1" applyBorder="1"/>
    <xf numFmtId="168" fontId="71" fillId="0" borderId="38" xfId="0" applyNumberFormat="1" applyFont="1" applyFill="1" applyBorder="1"/>
    <xf numFmtId="168" fontId="41" fillId="0" borderId="0" xfId="0" applyNumberFormat="1" applyFont="1" applyBorder="1"/>
    <xf numFmtId="168" fontId="72" fillId="0" borderId="25" xfId="0" applyNumberFormat="1" applyFont="1" applyFill="1" applyBorder="1"/>
    <xf numFmtId="0" fontId="49" fillId="0" borderId="35" xfId="0" applyFont="1" applyBorder="1"/>
    <xf numFmtId="168" fontId="72" fillId="4" borderId="25" xfId="0" applyNumberFormat="1" applyFont="1" applyFill="1" applyBorder="1"/>
    <xf numFmtId="0" fontId="41" fillId="4" borderId="25" xfId="0" applyFont="1" applyFill="1" applyBorder="1"/>
    <xf numFmtId="168" fontId="71" fillId="4" borderId="25" xfId="0" applyNumberFormat="1" applyFont="1" applyFill="1" applyBorder="1"/>
    <xf numFmtId="9" fontId="71" fillId="0" borderId="25" xfId="1" applyFont="1" applyFill="1" applyBorder="1"/>
    <xf numFmtId="0" fontId="49" fillId="0" borderId="25" xfId="0" applyFont="1" applyFill="1" applyBorder="1"/>
    <xf numFmtId="2" fontId="41" fillId="4" borderId="25" xfId="0" applyNumberFormat="1" applyFont="1" applyFill="1" applyBorder="1"/>
    <xf numFmtId="2" fontId="49" fillId="0" borderId="25" xfId="0" applyNumberFormat="1" applyFont="1" applyFill="1" applyBorder="1"/>
    <xf numFmtId="170" fontId="41" fillId="0" borderId="25" xfId="0" applyNumberFormat="1" applyFont="1" applyBorder="1"/>
    <xf numFmtId="168" fontId="41" fillId="0" borderId="25" xfId="0" applyNumberFormat="1" applyFont="1" applyBorder="1"/>
    <xf numFmtId="3" fontId="41" fillId="0" borderId="25" xfId="0" applyNumberFormat="1" applyFont="1" applyBorder="1"/>
    <xf numFmtId="170" fontId="49" fillId="0" borderId="25" xfId="0" applyNumberFormat="1" applyFont="1" applyBorder="1"/>
    <xf numFmtId="170" fontId="49" fillId="4" borderId="25" xfId="0" applyNumberFormat="1" applyFont="1" applyFill="1" applyBorder="1" applyAlignment="1">
      <alignment horizontal="right"/>
    </xf>
    <xf numFmtId="0" fontId="41" fillId="0" borderId="35" xfId="0" applyFont="1" applyFill="1" applyBorder="1"/>
    <xf numFmtId="168" fontId="78" fillId="47" borderId="36" xfId="0" applyNumberFormat="1" applyFont="1" applyFill="1" applyBorder="1" applyAlignment="1">
      <alignment vertical="center"/>
    </xf>
    <xf numFmtId="168" fontId="70" fillId="47" borderId="36" xfId="0" applyNumberFormat="1" applyFont="1" applyFill="1" applyBorder="1" applyAlignment="1">
      <alignment vertical="center"/>
    </xf>
    <xf numFmtId="168" fontId="70" fillId="47" borderId="37" xfId="0" applyNumberFormat="1" applyFont="1" applyFill="1" applyBorder="1" applyAlignment="1">
      <alignment vertical="center"/>
    </xf>
    <xf numFmtId="168" fontId="40" fillId="47" borderId="36" xfId="0" applyNumberFormat="1" applyFont="1" applyFill="1" applyBorder="1"/>
    <xf numFmtId="168" fontId="70" fillId="47" borderId="26" xfId="0" applyNumberFormat="1" applyFont="1" applyFill="1" applyBorder="1"/>
    <xf numFmtId="0" fontId="70" fillId="47" borderId="27" xfId="0" applyFont="1" applyFill="1" applyBorder="1"/>
    <xf numFmtId="0" fontId="70" fillId="47" borderId="36" xfId="0" applyFont="1" applyFill="1" applyBorder="1"/>
    <xf numFmtId="0" fontId="41" fillId="47" borderId="36" xfId="0" applyFont="1" applyFill="1" applyBorder="1"/>
    <xf numFmtId="168" fontId="70" fillId="47" borderId="31" xfId="0" applyNumberFormat="1" applyFont="1" applyFill="1" applyBorder="1"/>
    <xf numFmtId="0" fontId="70" fillId="47" borderId="32" xfId="0" applyFont="1" applyFill="1" applyBorder="1"/>
    <xf numFmtId="0" fontId="40" fillId="47" borderId="0" xfId="0" applyFont="1" applyFill="1" applyBorder="1" applyAlignment="1">
      <alignment horizontal="centerContinuous" wrapText="1"/>
    </xf>
    <xf numFmtId="0" fontId="41" fillId="4" borderId="48" xfId="0" applyFont="1" applyFill="1" applyBorder="1" applyAlignment="1">
      <alignment horizontal="center"/>
    </xf>
    <xf numFmtId="0" fontId="41" fillId="4" borderId="56" xfId="0" applyFont="1" applyFill="1" applyBorder="1"/>
    <xf numFmtId="168" fontId="45" fillId="4" borderId="56" xfId="0" applyNumberFormat="1" applyFont="1" applyFill="1" applyBorder="1" applyAlignment="1">
      <alignment vertical="center"/>
    </xf>
    <xf numFmtId="168" fontId="75" fillId="4" borderId="56" xfId="0" applyNumberFormat="1" applyFont="1" applyFill="1" applyBorder="1" applyAlignment="1">
      <alignment vertical="center"/>
    </xf>
    <xf numFmtId="0" fontId="41" fillId="4" borderId="55" xfId="0" applyFont="1" applyFill="1" applyBorder="1"/>
    <xf numFmtId="1" fontId="48" fillId="7" borderId="29" xfId="0" applyNumberFormat="1" applyFont="1" applyFill="1" applyBorder="1" applyAlignment="1">
      <alignment horizontal="center"/>
    </xf>
    <xf numFmtId="1" fontId="48" fillId="7" borderId="38" xfId="0" applyNumberFormat="1" applyFont="1" applyFill="1" applyBorder="1" applyAlignment="1">
      <alignment horizontal="center"/>
    </xf>
    <xf numFmtId="0" fontId="40" fillId="47" borderId="35" xfId="0" applyFont="1" applyFill="1" applyBorder="1" applyAlignment="1">
      <alignment horizontal="center"/>
    </xf>
    <xf numFmtId="1" fontId="40" fillId="47" borderId="37" xfId="0" applyNumberFormat="1" applyFont="1" applyFill="1" applyBorder="1" applyAlignment="1">
      <alignment horizontal="center"/>
    </xf>
    <xf numFmtId="10" fontId="41" fillId="7" borderId="25" xfId="0" applyNumberFormat="1" applyFont="1" applyFill="1" applyBorder="1" applyAlignment="1">
      <alignment horizontal="center"/>
    </xf>
    <xf numFmtId="0" fontId="40" fillId="47" borderId="28" xfId="0" applyFont="1" applyFill="1" applyBorder="1" applyAlignment="1">
      <alignment horizontal="center"/>
    </xf>
    <xf numFmtId="0" fontId="40" fillId="47" borderId="25" xfId="0" applyFont="1" applyFill="1" applyBorder="1"/>
    <xf numFmtId="10" fontId="40" fillId="47" borderId="25" xfId="0" applyNumberFormat="1" applyFont="1" applyFill="1" applyBorder="1"/>
    <xf numFmtId="0" fontId="40" fillId="47" borderId="37" xfId="0" applyFont="1" applyFill="1" applyBorder="1"/>
    <xf numFmtId="176" fontId="41" fillId="0" borderId="0" xfId="0" applyNumberFormat="1" applyFont="1" applyBorder="1"/>
    <xf numFmtId="167" fontId="40" fillId="0" borderId="25" xfId="0" applyNumberFormat="1" applyFont="1" applyFill="1" applyBorder="1"/>
    <xf numFmtId="176" fontId="41" fillId="0" borderId="25" xfId="0" applyNumberFormat="1" applyFont="1" applyBorder="1"/>
    <xf numFmtId="176" fontId="41" fillId="0" borderId="38" xfId="0" applyNumberFormat="1" applyFont="1" applyBorder="1"/>
    <xf numFmtId="168" fontId="41" fillId="0" borderId="10" xfId="0" applyNumberFormat="1" applyFont="1" applyBorder="1"/>
    <xf numFmtId="168" fontId="41" fillId="0" borderId="6" xfId="0" applyNumberFormat="1" applyFont="1" applyBorder="1"/>
    <xf numFmtId="0" fontId="49" fillId="0" borderId="6" xfId="0" applyFont="1" applyBorder="1"/>
    <xf numFmtId="0" fontId="49" fillId="0" borderId="0" xfId="0" applyFont="1" applyBorder="1"/>
    <xf numFmtId="168" fontId="49" fillId="0" borderId="0" xfId="0" applyNumberFormat="1" applyFont="1" applyBorder="1"/>
    <xf numFmtId="168" fontId="49" fillId="0" borderId="10" xfId="0" applyNumberFormat="1" applyFont="1" applyBorder="1"/>
    <xf numFmtId="168" fontId="49" fillId="0" borderId="6" xfId="0" applyNumberFormat="1" applyFont="1" applyBorder="1"/>
    <xf numFmtId="0" fontId="49" fillId="0" borderId="25" xfId="0" applyFont="1" applyBorder="1"/>
    <xf numFmtId="168" fontId="49" fillId="0" borderId="25" xfId="0" applyNumberFormat="1" applyFont="1" applyBorder="1"/>
    <xf numFmtId="9" fontId="49" fillId="0" borderId="25" xfId="1" applyFont="1" applyBorder="1"/>
    <xf numFmtId="10" fontId="41" fillId="0" borderId="25" xfId="0" applyNumberFormat="1" applyFont="1" applyBorder="1"/>
    <xf numFmtId="10" fontId="49" fillId="0" borderId="25" xfId="1" applyNumberFormat="1" applyFont="1" applyBorder="1"/>
    <xf numFmtId="0" fontId="70" fillId="47" borderId="37" xfId="0" applyFont="1" applyFill="1" applyBorder="1"/>
    <xf numFmtId="176" fontId="70" fillId="47" borderId="37" xfId="0" applyNumberFormat="1" applyFont="1" applyFill="1" applyBorder="1"/>
    <xf numFmtId="0" fontId="40" fillId="47" borderId="31" xfId="0" applyFont="1" applyFill="1" applyBorder="1"/>
    <xf numFmtId="0" fontId="40" fillId="47" borderId="32" xfId="0" applyFont="1" applyFill="1" applyBorder="1"/>
    <xf numFmtId="0" fontId="40" fillId="47" borderId="33" xfId="0" applyFont="1" applyFill="1" applyBorder="1"/>
    <xf numFmtId="0" fontId="40" fillId="47" borderId="36" xfId="0" applyFont="1" applyFill="1" applyBorder="1"/>
    <xf numFmtId="168" fontId="57" fillId="4" borderId="56" xfId="0" applyNumberFormat="1" applyFont="1" applyFill="1" applyBorder="1" applyAlignment="1">
      <alignment vertical="center"/>
    </xf>
    <xf numFmtId="0" fontId="40" fillId="47" borderId="37" xfId="0" applyFont="1" applyFill="1" applyBorder="1" applyAlignment="1">
      <alignment horizontal="right"/>
    </xf>
    <xf numFmtId="10" fontId="49" fillId="0" borderId="37" xfId="0" applyNumberFormat="1" applyFont="1" applyBorder="1"/>
    <xf numFmtId="10" fontId="49" fillId="0" borderId="37" xfId="1" applyNumberFormat="1" applyFont="1" applyBorder="1"/>
    <xf numFmtId="0" fontId="37" fillId="7" borderId="25" xfId="3" applyFont="1" applyFill="1" applyBorder="1"/>
    <xf numFmtId="0" fontId="70" fillId="47" borderId="6" xfId="0" applyFont="1" applyFill="1" applyBorder="1"/>
    <xf numFmtId="0" fontId="70" fillId="47" borderId="0" xfId="0" applyFont="1" applyFill="1" applyBorder="1"/>
    <xf numFmtId="170" fontId="75" fillId="7" borderId="25" xfId="0" applyNumberFormat="1" applyFont="1" applyFill="1" applyBorder="1"/>
    <xf numFmtId="170" fontId="75" fillId="2" borderId="25" xfId="0" applyNumberFormat="1" applyFont="1" applyFill="1" applyBorder="1"/>
    <xf numFmtId="0" fontId="68" fillId="47" borderId="6" xfId="0" applyFont="1" applyFill="1" applyBorder="1"/>
    <xf numFmtId="0" fontId="68" fillId="47" borderId="9" xfId="0" applyFont="1" applyFill="1" applyBorder="1"/>
    <xf numFmtId="0" fontId="68" fillId="47" borderId="1" xfId="0" applyFont="1" applyFill="1" applyBorder="1"/>
    <xf numFmtId="0" fontId="68" fillId="47" borderId="0" xfId="0" applyFont="1" applyFill="1" applyBorder="1"/>
    <xf numFmtId="0" fontId="43" fillId="47" borderId="0" xfId="0" applyFont="1" applyFill="1" applyBorder="1"/>
    <xf numFmtId="0" fontId="81" fillId="47" borderId="0" xfId="0" applyFont="1" applyFill="1"/>
    <xf numFmtId="0" fontId="14" fillId="47" borderId="0" xfId="0" applyFont="1" applyFill="1"/>
    <xf numFmtId="166" fontId="43" fillId="47" borderId="26" xfId="0" applyNumberFormat="1" applyFont="1" applyFill="1" applyBorder="1"/>
    <xf numFmtId="0" fontId="43" fillId="47" borderId="29" xfId="0" applyFont="1" applyFill="1" applyBorder="1"/>
    <xf numFmtId="0" fontId="82" fillId="0" borderId="0" xfId="0" applyFont="1"/>
    <xf numFmtId="0" fontId="83" fillId="0" borderId="0" xfId="0" applyFont="1"/>
    <xf numFmtId="0" fontId="84" fillId="0" borderId="0" xfId="0" applyFont="1"/>
    <xf numFmtId="0" fontId="85" fillId="0" borderId="0" xfId="0" applyFont="1"/>
    <xf numFmtId="0" fontId="86" fillId="0" borderId="0" xfId="0" applyFont="1"/>
    <xf numFmtId="166" fontId="43" fillId="47" borderId="37" xfId="0" applyNumberFormat="1" applyFont="1" applyFill="1" applyBorder="1" applyAlignment="1">
      <alignment horizontal="center"/>
    </xf>
    <xf numFmtId="170" fontId="50" fillId="7" borderId="25" xfId="0" applyNumberFormat="1" applyFont="1" applyFill="1" applyBorder="1" applyAlignment="1">
      <alignment horizontal="center"/>
    </xf>
    <xf numFmtId="10" fontId="47" fillId="7" borderId="25" xfId="1" applyNumberFormat="1" applyFont="1" applyFill="1" applyBorder="1" applyAlignment="1">
      <alignment horizontal="center"/>
    </xf>
    <xf numFmtId="0" fontId="43" fillId="47" borderId="26" xfId="0" applyFont="1" applyFill="1" applyBorder="1" applyAlignment="1">
      <alignment horizontal="left"/>
    </xf>
    <xf numFmtId="0" fontId="43" fillId="47" borderId="27" xfId="0" applyFont="1" applyFill="1" applyBorder="1" applyAlignment="1">
      <alignment horizontal="center"/>
    </xf>
    <xf numFmtId="0" fontId="43" fillId="47" borderId="28" xfId="0" applyFont="1" applyFill="1" applyBorder="1" applyAlignment="1">
      <alignment horizontal="center"/>
    </xf>
    <xf numFmtId="0" fontId="43" fillId="47" borderId="29" xfId="0" applyFont="1" applyFill="1" applyBorder="1" applyAlignment="1">
      <alignment horizontal="center"/>
    </xf>
    <xf numFmtId="0" fontId="43" fillId="47" borderId="38" xfId="0" applyFont="1" applyFill="1" applyBorder="1" applyAlignment="1">
      <alignment horizontal="center"/>
    </xf>
    <xf numFmtId="0" fontId="43" fillId="47" borderId="31" xfId="0" applyFont="1" applyFill="1" applyBorder="1" applyAlignment="1">
      <alignment horizontal="center"/>
    </xf>
    <xf numFmtId="178" fontId="48" fillId="7" borderId="25" xfId="0" applyNumberFormat="1" applyFont="1" applyFill="1" applyBorder="1" applyAlignment="1">
      <alignment horizontal="center"/>
    </xf>
    <xf numFmtId="178" fontId="50" fillId="4" borderId="25" xfId="0" applyNumberFormat="1" applyFont="1" applyFill="1" applyBorder="1" applyAlignment="1">
      <alignment horizontal="center"/>
    </xf>
    <xf numFmtId="178" fontId="50" fillId="3" borderId="25" xfId="0" applyNumberFormat="1" applyFont="1" applyFill="1" applyBorder="1" applyAlignment="1">
      <alignment horizontal="center"/>
    </xf>
    <xf numFmtId="178" fontId="48" fillId="7" borderId="37" xfId="0" applyNumberFormat="1" applyFont="1" applyFill="1" applyBorder="1" applyAlignment="1">
      <alignment horizontal="center"/>
    </xf>
    <xf numFmtId="178" fontId="68" fillId="47" borderId="25" xfId="0" applyNumberFormat="1" applyFont="1" applyFill="1" applyBorder="1" applyAlignment="1">
      <alignment horizontal="center"/>
    </xf>
    <xf numFmtId="10" fontId="68" fillId="47" borderId="25" xfId="0" applyNumberFormat="1" applyFont="1" applyFill="1" applyBorder="1" applyAlignment="1">
      <alignment horizontal="center"/>
    </xf>
    <xf numFmtId="10" fontId="43" fillId="47" borderId="25" xfId="0" applyNumberFormat="1" applyFont="1" applyFill="1" applyBorder="1" applyAlignment="1">
      <alignment horizontal="center"/>
    </xf>
    <xf numFmtId="0" fontId="70" fillId="0" borderId="36" xfId="0" applyFont="1" applyFill="1" applyBorder="1"/>
    <xf numFmtId="170" fontId="40" fillId="0" borderId="36" xfId="0" applyNumberFormat="1" applyFont="1" applyFill="1" applyBorder="1"/>
    <xf numFmtId="176" fontId="46" fillId="0" borderId="25" xfId="0" applyNumberFormat="1" applyFont="1" applyFill="1" applyBorder="1"/>
    <xf numFmtId="176" fontId="48" fillId="0" borderId="25" xfId="0" applyNumberFormat="1" applyFont="1" applyBorder="1"/>
    <xf numFmtId="0" fontId="48" fillId="47" borderId="35" xfId="0" applyFont="1" applyFill="1" applyBorder="1"/>
    <xf numFmtId="0" fontId="48" fillId="47" borderId="36" xfId="0" applyFont="1" applyFill="1" applyBorder="1"/>
    <xf numFmtId="0" fontId="48" fillId="47" borderId="37" xfId="0" applyFont="1" applyFill="1" applyBorder="1"/>
    <xf numFmtId="0" fontId="68" fillId="47" borderId="43" xfId="0" applyFont="1" applyFill="1" applyBorder="1"/>
    <xf numFmtId="0" fontId="48" fillId="47" borderId="47" xfId="0" applyFont="1" applyFill="1" applyBorder="1"/>
    <xf numFmtId="0" fontId="48" fillId="47" borderId="58" xfId="0" applyFont="1" applyFill="1" applyBorder="1"/>
    <xf numFmtId="0" fontId="68" fillId="47" borderId="25" xfId="0" applyFont="1" applyFill="1" applyBorder="1" applyAlignment="1">
      <alignment horizontal="center"/>
    </xf>
    <xf numFmtId="178" fontId="48" fillId="7" borderId="25" xfId="0" applyNumberFormat="1" applyFont="1" applyFill="1" applyBorder="1" applyAlignment="1"/>
    <xf numFmtId="0" fontId="48" fillId="7" borderId="25" xfId="0" applyFont="1" applyFill="1" applyBorder="1" applyAlignment="1">
      <alignment horizontal="center"/>
    </xf>
    <xf numFmtId="0" fontId="55" fillId="7" borderId="0" xfId="16" applyNumberFormat="1" applyFont="1" applyFill="1" applyBorder="1" applyAlignment="1" applyProtection="1">
      <alignment horizontal="right" vertical="top" wrapText="1"/>
    </xf>
    <xf numFmtId="0" fontId="43" fillId="47" borderId="25" xfId="16" applyNumberFormat="1" applyFont="1" applyFill="1" applyBorder="1" applyAlignment="1" applyProtection="1">
      <alignment horizontal="left" vertical="top" wrapText="1"/>
    </xf>
    <xf numFmtId="0" fontId="54" fillId="47" borderId="25" xfId="0" applyFont="1" applyFill="1" applyBorder="1"/>
    <xf numFmtId="2" fontId="41" fillId="7" borderId="25" xfId="0" applyNumberFormat="1" applyFont="1" applyFill="1" applyBorder="1" applyAlignment="1">
      <alignment horizontal="center"/>
    </xf>
    <xf numFmtId="2" fontId="54" fillId="7" borderId="25" xfId="0" applyNumberFormat="1" applyFont="1" applyFill="1" applyBorder="1" applyAlignment="1">
      <alignment horizontal="center"/>
    </xf>
    <xf numFmtId="4" fontId="46" fillId="7" borderId="25" xfId="17" applyNumberFormat="1" applyFont="1" applyFill="1" applyBorder="1" applyAlignment="1" applyProtection="1">
      <alignment horizontal="center"/>
    </xf>
    <xf numFmtId="4" fontId="37" fillId="7" borderId="25" xfId="17" applyNumberFormat="1" applyFont="1" applyFill="1" applyBorder="1" applyAlignment="1" applyProtection="1">
      <alignment horizontal="center"/>
    </xf>
    <xf numFmtId="4" fontId="47" fillId="7" borderId="25" xfId="17" applyNumberFormat="1" applyFont="1" applyFill="1" applyBorder="1" applyAlignment="1" applyProtection="1">
      <alignment horizontal="center"/>
    </xf>
    <xf numFmtId="0" fontId="41" fillId="7" borderId="1" xfId="0" applyFont="1" applyFill="1" applyBorder="1" applyAlignment="1">
      <alignment horizontal="center"/>
    </xf>
    <xf numFmtId="0" fontId="41" fillId="7" borderId="11" xfId="0" applyFont="1" applyFill="1" applyBorder="1" applyAlignment="1">
      <alignment horizontal="center"/>
    </xf>
    <xf numFmtId="0" fontId="43" fillId="47" borderId="25" xfId="16" applyNumberFormat="1" applyFont="1" applyFill="1" applyBorder="1" applyAlignment="1" applyProtection="1">
      <alignment horizontal="center" vertical="top" wrapText="1"/>
    </xf>
    <xf numFmtId="3" fontId="41" fillId="7" borderId="25" xfId="0" applyNumberFormat="1" applyFont="1" applyFill="1" applyBorder="1"/>
    <xf numFmtId="3" fontId="41" fillId="7" borderId="25" xfId="0" applyNumberFormat="1" applyFont="1" applyFill="1" applyBorder="1" applyAlignment="1">
      <alignment horizontal="center"/>
    </xf>
    <xf numFmtId="3" fontId="56" fillId="7" borderId="25" xfId="0" applyNumberFormat="1" applyFont="1" applyFill="1" applyBorder="1" applyAlignment="1">
      <alignment horizontal="center"/>
    </xf>
    <xf numFmtId="0" fontId="41" fillId="7" borderId="32" xfId="0" applyFont="1" applyFill="1" applyBorder="1"/>
    <xf numFmtId="0" fontId="43" fillId="47" borderId="35" xfId="0" applyFont="1" applyFill="1" applyBorder="1"/>
    <xf numFmtId="0" fontId="68" fillId="47" borderId="36" xfId="0" applyFont="1" applyFill="1" applyBorder="1"/>
    <xf numFmtId="0" fontId="40" fillId="47" borderId="25" xfId="16" applyNumberFormat="1" applyFont="1" applyFill="1" applyBorder="1" applyAlignment="1" applyProtection="1">
      <alignment horizontal="center" vertical="top" wrapText="1"/>
    </xf>
    <xf numFmtId="0" fontId="49" fillId="7" borderId="27" xfId="0" applyFont="1" applyFill="1" applyBorder="1"/>
    <xf numFmtId="0" fontId="49" fillId="7" borderId="28" xfId="0" applyFont="1" applyFill="1" applyBorder="1"/>
    <xf numFmtId="0" fontId="49" fillId="7" borderId="38" xfId="0" applyFont="1" applyFill="1" applyBorder="1"/>
    <xf numFmtId="0" fontId="41" fillId="7" borderId="33" xfId="0" applyFont="1" applyFill="1" applyBorder="1"/>
    <xf numFmtId="3" fontId="49" fillId="7" borderId="35" xfId="0" applyNumberFormat="1" applyFont="1" applyFill="1" applyBorder="1"/>
    <xf numFmtId="0" fontId="49" fillId="7" borderId="37" xfId="0" applyFont="1" applyFill="1" applyBorder="1"/>
    <xf numFmtId="0" fontId="70" fillId="47" borderId="26" xfId="0" applyFont="1" applyFill="1" applyBorder="1"/>
    <xf numFmtId="0" fontId="40" fillId="47" borderId="25" xfId="0" applyFont="1" applyFill="1" applyBorder="1" applyAlignment="1">
      <alignment horizontal="center"/>
    </xf>
    <xf numFmtId="3" fontId="57" fillId="7" borderId="25" xfId="0" applyNumberFormat="1" applyFont="1" applyFill="1" applyBorder="1" applyAlignment="1">
      <alignment horizontal="center"/>
    </xf>
    <xf numFmtId="0" fontId="41" fillId="7" borderId="25" xfId="0" applyFont="1" applyFill="1" applyBorder="1"/>
    <xf numFmtId="0" fontId="41" fillId="0" borderId="27" xfId="0" applyFont="1" applyBorder="1"/>
    <xf numFmtId="0" fontId="41" fillId="0" borderId="28" xfId="0" applyFont="1" applyBorder="1"/>
    <xf numFmtId="0" fontId="70" fillId="47" borderId="29" xfId="0" applyFont="1" applyFill="1" applyBorder="1"/>
    <xf numFmtId="0" fontId="41" fillId="0" borderId="32" xfId="0" applyFont="1" applyBorder="1"/>
    <xf numFmtId="0" fontId="70" fillId="47" borderId="28" xfId="0" applyFont="1" applyFill="1" applyBorder="1"/>
    <xf numFmtId="0" fontId="70" fillId="47" borderId="25" xfId="0" applyFont="1" applyFill="1" applyBorder="1" applyAlignment="1">
      <alignment horizontal="center"/>
    </xf>
    <xf numFmtId="2" fontId="41" fillId="0" borderId="25" xfId="0" applyNumberFormat="1" applyFont="1" applyBorder="1"/>
    <xf numFmtId="10" fontId="41" fillId="0" borderId="25" xfId="1" applyNumberFormat="1" applyFont="1" applyBorder="1"/>
    <xf numFmtId="0" fontId="68" fillId="47" borderId="38" xfId="0" applyFont="1" applyFill="1" applyBorder="1"/>
    <xf numFmtId="0" fontId="79" fillId="47" borderId="25" xfId="0" applyFont="1" applyFill="1" applyBorder="1" applyAlignment="1">
      <alignment horizontal="center"/>
    </xf>
    <xf numFmtId="0" fontId="37" fillId="0" borderId="25" xfId="0" applyFont="1" applyBorder="1" applyAlignment="1">
      <alignment horizontal="center"/>
    </xf>
    <xf numFmtId="10" fontId="37" fillId="0" borderId="25" xfId="4" applyNumberFormat="1" applyFont="1" applyBorder="1" applyAlignment="1">
      <alignment horizontal="center"/>
    </xf>
    <xf numFmtId="9" fontId="37" fillId="0" borderId="25" xfId="0" applyNumberFormat="1" applyFont="1" applyBorder="1" applyAlignment="1">
      <alignment horizontal="center"/>
    </xf>
    <xf numFmtId="10" fontId="37" fillId="0" borderId="25" xfId="0" applyNumberFormat="1" applyFont="1" applyBorder="1" applyAlignment="1">
      <alignment horizontal="center"/>
    </xf>
    <xf numFmtId="0" fontId="68" fillId="47" borderId="31" xfId="0" applyFont="1" applyFill="1" applyBorder="1" applyAlignment="1">
      <alignment horizontal="center"/>
    </xf>
    <xf numFmtId="0" fontId="68" fillId="47" borderId="32" xfId="0" applyFont="1" applyFill="1" applyBorder="1" applyAlignment="1">
      <alignment horizontal="center"/>
    </xf>
    <xf numFmtId="0" fontId="79" fillId="47" borderId="57" xfId="0" applyFont="1" applyFill="1" applyBorder="1" applyAlignment="1">
      <alignment horizontal="centerContinuous"/>
    </xf>
    <xf numFmtId="0" fontId="68" fillId="47" borderId="59" xfId="0" applyFont="1" applyFill="1" applyBorder="1" applyAlignment="1">
      <alignment horizontal="centerContinuous"/>
    </xf>
    <xf numFmtId="0" fontId="68" fillId="47" borderId="37" xfId="0" applyFont="1" applyFill="1" applyBorder="1"/>
    <xf numFmtId="0" fontId="41" fillId="0" borderId="33" xfId="0" applyFont="1" applyBorder="1"/>
    <xf numFmtId="181" fontId="70" fillId="47" borderId="25" xfId="0" applyNumberFormat="1" applyFont="1" applyFill="1" applyBorder="1"/>
    <xf numFmtId="0" fontId="70" fillId="47" borderId="56" xfId="0" applyFont="1" applyFill="1" applyBorder="1"/>
    <xf numFmtId="3" fontId="41" fillId="0" borderId="25" xfId="0" applyNumberFormat="1" applyFont="1" applyBorder="1" applyAlignment="1">
      <alignment horizontal="center"/>
    </xf>
    <xf numFmtId="2" fontId="41" fillId="0" borderId="25" xfId="0" applyNumberFormat="1" applyFont="1" applyBorder="1" applyAlignment="1">
      <alignment horizontal="center"/>
    </xf>
    <xf numFmtId="10" fontId="41" fillId="0" borderId="25" xfId="1" applyNumberFormat="1" applyFont="1" applyBorder="1" applyAlignment="1">
      <alignment horizontal="center"/>
    </xf>
    <xf numFmtId="10" fontId="41" fillId="0" borderId="25" xfId="0" applyNumberFormat="1" applyFont="1" applyBorder="1" applyAlignment="1">
      <alignment horizontal="center"/>
    </xf>
    <xf numFmtId="180" fontId="41" fillId="0" borderId="25" xfId="1" applyNumberFormat="1" applyFont="1" applyBorder="1" applyAlignment="1">
      <alignment horizontal="center"/>
    </xf>
    <xf numFmtId="179" fontId="41" fillId="0" borderId="25" xfId="0" applyNumberFormat="1" applyFont="1" applyBorder="1" applyAlignment="1">
      <alignment horizontal="center"/>
    </xf>
    <xf numFmtId="175" fontId="41" fillId="0" borderId="25" xfId="1" applyNumberFormat="1" applyFont="1" applyBorder="1" applyAlignment="1">
      <alignment horizontal="center"/>
    </xf>
    <xf numFmtId="10" fontId="41" fillId="2" borderId="25" xfId="0" applyNumberFormat="1" applyFont="1" applyFill="1" applyBorder="1"/>
    <xf numFmtId="9" fontId="41" fillId="4" borderId="25" xfId="0" applyNumberFormat="1" applyFont="1" applyFill="1" applyBorder="1" applyAlignment="1">
      <alignment horizontal="center"/>
    </xf>
    <xf numFmtId="9" fontId="41" fillId="4" borderId="25" xfId="1" applyFont="1" applyFill="1" applyBorder="1" applyAlignment="1">
      <alignment horizontal="center"/>
    </xf>
    <xf numFmtId="3" fontId="41" fillId="4" borderId="25" xfId="0" applyNumberFormat="1" applyFont="1" applyFill="1" applyBorder="1" applyAlignment="1">
      <alignment horizontal="center"/>
    </xf>
    <xf numFmtId="0" fontId="41" fillId="4" borderId="25" xfId="0" applyFont="1" applyFill="1" applyBorder="1" applyAlignment="1">
      <alignment horizontal="center"/>
    </xf>
    <xf numFmtId="2" fontId="41" fillId="4" borderId="25" xfId="0" applyNumberFormat="1" applyFont="1" applyFill="1" applyBorder="1" applyAlignment="1">
      <alignment horizontal="center"/>
    </xf>
    <xf numFmtId="10" fontId="41" fillId="4" borderId="25" xfId="1" applyNumberFormat="1" applyFont="1" applyFill="1" applyBorder="1" applyAlignment="1">
      <alignment horizontal="center"/>
    </xf>
    <xf numFmtId="10" fontId="41" fillId="4" borderId="25" xfId="0" applyNumberFormat="1" applyFont="1" applyFill="1" applyBorder="1" applyAlignment="1">
      <alignment horizontal="center"/>
    </xf>
    <xf numFmtId="167" fontId="43" fillId="47" borderId="32" xfId="0" applyNumberFormat="1" applyFont="1" applyFill="1" applyBorder="1" applyAlignment="1">
      <alignment horizontal="right"/>
    </xf>
    <xf numFmtId="0" fontId="68" fillId="47" borderId="29" xfId="0" applyFont="1" applyFill="1" applyBorder="1"/>
    <xf numFmtId="168" fontId="48" fillId="0" borderId="38" xfId="0" applyNumberFormat="1" applyFont="1" applyBorder="1"/>
    <xf numFmtId="168" fontId="46" fillId="0" borderId="25" xfId="0" applyNumberFormat="1" applyFont="1" applyFill="1" applyBorder="1"/>
    <xf numFmtId="170" fontId="48" fillId="0" borderId="25" xfId="0" applyNumberFormat="1" applyFont="1" applyBorder="1"/>
    <xf numFmtId="168" fontId="48" fillId="0" borderId="25" xfId="0" applyNumberFormat="1" applyFont="1" applyBorder="1"/>
    <xf numFmtId="0" fontId="41" fillId="0" borderId="33" xfId="0" applyFont="1" applyFill="1" applyBorder="1"/>
    <xf numFmtId="0" fontId="41" fillId="0" borderId="0" xfId="0" applyFont="1" applyBorder="1" applyAlignment="1">
      <alignment horizontal="right"/>
    </xf>
    <xf numFmtId="0" fontId="41" fillId="0" borderId="38" xfId="0" applyFont="1" applyBorder="1" applyAlignment="1">
      <alignment horizontal="right"/>
    </xf>
    <xf numFmtId="0" fontId="41" fillId="0" borderId="26" xfId="0" applyFont="1" applyBorder="1" applyAlignment="1">
      <alignment horizontal="right"/>
    </xf>
    <xf numFmtId="0" fontId="41" fillId="0" borderId="27" xfId="0" applyFont="1" applyBorder="1" applyAlignment="1">
      <alignment horizontal="right"/>
    </xf>
    <xf numFmtId="0" fontId="41" fillId="0" borderId="28" xfId="0" applyFont="1" applyBorder="1" applyAlignment="1">
      <alignment horizontal="right"/>
    </xf>
    <xf numFmtId="0" fontId="41" fillId="0" borderId="35" xfId="0" applyFont="1" applyFill="1" applyBorder="1" applyAlignment="1">
      <alignment horizontal="right"/>
    </xf>
    <xf numFmtId="0" fontId="41" fillId="0" borderId="36" xfId="0" applyFont="1" applyFill="1" applyBorder="1" applyAlignment="1">
      <alignment horizontal="right"/>
    </xf>
    <xf numFmtId="0" fontId="41" fillId="0" borderId="37" xfId="0" applyFont="1" applyFill="1" applyBorder="1" applyAlignment="1">
      <alignment horizontal="right"/>
    </xf>
    <xf numFmtId="0" fontId="41" fillId="0" borderId="32" xfId="0" applyFont="1" applyFill="1" applyBorder="1" applyAlignment="1">
      <alignment horizontal="right"/>
    </xf>
    <xf numFmtId="0" fontId="43" fillId="47" borderId="37" xfId="0" applyFont="1" applyFill="1" applyBorder="1"/>
    <xf numFmtId="0" fontId="68" fillId="47" borderId="35" xfId="0" applyFont="1" applyFill="1" applyBorder="1"/>
    <xf numFmtId="168" fontId="40" fillId="47" borderId="35" xfId="0" applyNumberFormat="1" applyFont="1" applyFill="1" applyBorder="1" applyAlignment="1">
      <alignment vertical="center"/>
    </xf>
    <xf numFmtId="168" fontId="40" fillId="47" borderId="36" xfId="0" applyNumberFormat="1" applyFont="1" applyFill="1" applyBorder="1" applyAlignment="1">
      <alignment vertical="center"/>
    </xf>
    <xf numFmtId="168" fontId="75" fillId="4" borderId="48" xfId="0" applyNumberFormat="1" applyFont="1" applyFill="1" applyBorder="1" applyAlignment="1">
      <alignment vertical="center"/>
    </xf>
    <xf numFmtId="168" fontId="40" fillId="47" borderId="37" xfId="0" applyNumberFormat="1" applyFont="1" applyFill="1" applyBorder="1"/>
    <xf numFmtId="168" fontId="72" fillId="0" borderId="25" xfId="0" applyNumberFormat="1" applyFont="1" applyFill="1" applyBorder="1" applyAlignment="1">
      <alignment horizontal="right"/>
    </xf>
    <xf numFmtId="168" fontId="72" fillId="4" borderId="25" xfId="0" applyNumberFormat="1" applyFont="1" applyFill="1" applyBorder="1" applyAlignment="1">
      <alignment horizontal="right"/>
    </xf>
    <xf numFmtId="0" fontId="41" fillId="0" borderId="0" xfId="0" applyFont="1" applyFill="1" applyBorder="1" applyAlignment="1">
      <alignment horizontal="right"/>
    </xf>
    <xf numFmtId="0" fontId="41" fillId="4" borderId="48" xfId="0" applyFont="1" applyFill="1" applyBorder="1" applyAlignment="1">
      <alignment horizontal="right"/>
    </xf>
    <xf numFmtId="0" fontId="41" fillId="0" borderId="38" xfId="0" applyFont="1" applyFill="1" applyBorder="1" applyAlignment="1">
      <alignment horizontal="right"/>
    </xf>
    <xf numFmtId="168" fontId="71" fillId="0" borderId="25" xfId="0" applyNumberFormat="1" applyFont="1" applyFill="1" applyBorder="1" applyAlignment="1">
      <alignment horizontal="right"/>
    </xf>
    <xf numFmtId="168" fontId="71" fillId="4" borderId="0" xfId="0" applyNumberFormat="1" applyFont="1" applyFill="1" applyBorder="1" applyAlignment="1">
      <alignment horizontal="right"/>
    </xf>
    <xf numFmtId="168" fontId="71" fillId="4" borderId="25" xfId="0" applyNumberFormat="1" applyFont="1" applyFill="1" applyBorder="1" applyAlignment="1">
      <alignment horizontal="right"/>
    </xf>
    <xf numFmtId="0" fontId="41" fillId="4" borderId="28" xfId="0" applyFont="1" applyFill="1" applyBorder="1" applyAlignment="1">
      <alignment horizontal="right"/>
    </xf>
    <xf numFmtId="9" fontId="41" fillId="0" borderId="25" xfId="1" applyFont="1" applyBorder="1" applyAlignment="1">
      <alignment horizontal="right"/>
    </xf>
    <xf numFmtId="9" fontId="71" fillId="0" borderId="25" xfId="1" applyFont="1" applyFill="1" applyBorder="1" applyAlignment="1">
      <alignment horizontal="right"/>
    </xf>
    <xf numFmtId="0" fontId="49" fillId="0" borderId="25" xfId="0" applyFont="1" applyFill="1" applyBorder="1" applyAlignment="1">
      <alignment horizontal="right"/>
    </xf>
    <xf numFmtId="2" fontId="41" fillId="4" borderId="25" xfId="0" applyNumberFormat="1" applyFont="1" applyFill="1" applyBorder="1" applyAlignment="1">
      <alignment horizontal="right"/>
    </xf>
    <xf numFmtId="2" fontId="49" fillId="0" borderId="25" xfId="0" applyNumberFormat="1" applyFont="1" applyFill="1" applyBorder="1" applyAlignment="1">
      <alignment horizontal="right"/>
    </xf>
    <xf numFmtId="0" fontId="41" fillId="0" borderId="37" xfId="0" applyFont="1" applyBorder="1" applyAlignment="1">
      <alignment horizontal="right"/>
    </xf>
    <xf numFmtId="0" fontId="41" fillId="4" borderId="25" xfId="0" applyFont="1" applyFill="1" applyBorder="1" applyAlignment="1">
      <alignment horizontal="right"/>
    </xf>
    <xf numFmtId="170" fontId="41" fillId="0" borderId="25" xfId="0" applyNumberFormat="1" applyFont="1" applyBorder="1" applyAlignment="1">
      <alignment horizontal="right"/>
    </xf>
    <xf numFmtId="168" fontId="41" fillId="0" borderId="25" xfId="0" applyNumberFormat="1" applyFont="1" applyBorder="1" applyAlignment="1">
      <alignment horizontal="right"/>
    </xf>
    <xf numFmtId="168" fontId="72" fillId="4" borderId="0" xfId="0" applyNumberFormat="1" applyFont="1" applyFill="1" applyBorder="1" applyAlignment="1">
      <alignment horizontal="right"/>
    </xf>
    <xf numFmtId="3" fontId="41" fillId="0" borderId="25" xfId="0" applyNumberFormat="1" applyFont="1" applyBorder="1" applyAlignment="1">
      <alignment horizontal="right"/>
    </xf>
    <xf numFmtId="0" fontId="41" fillId="4" borderId="55" xfId="0" applyFont="1" applyFill="1" applyBorder="1" applyAlignment="1">
      <alignment horizontal="right"/>
    </xf>
    <xf numFmtId="170" fontId="49" fillId="0" borderId="25" xfId="0" applyNumberFormat="1" applyFont="1" applyBorder="1" applyAlignment="1">
      <alignment horizontal="right"/>
    </xf>
    <xf numFmtId="170" fontId="49" fillId="4" borderId="55" xfId="0" applyNumberFormat="1" applyFont="1" applyFill="1" applyBorder="1" applyAlignment="1">
      <alignment horizontal="right"/>
    </xf>
    <xf numFmtId="170" fontId="49" fillId="0" borderId="36" xfId="0" applyNumberFormat="1" applyFont="1" applyFill="1" applyBorder="1" applyAlignment="1">
      <alignment horizontal="right"/>
    </xf>
    <xf numFmtId="170" fontId="49" fillId="0" borderId="37" xfId="0" applyNumberFormat="1" applyFont="1" applyFill="1" applyBorder="1" applyAlignment="1">
      <alignment horizontal="right"/>
    </xf>
    <xf numFmtId="170" fontId="49" fillId="0" borderId="25" xfId="0" applyNumberFormat="1" applyFont="1" applyFill="1" applyBorder="1" applyAlignment="1">
      <alignment horizontal="right"/>
    </xf>
    <xf numFmtId="170" fontId="49" fillId="2" borderId="25" xfId="0" applyNumberFormat="1" applyFont="1" applyFill="1" applyBorder="1" applyAlignment="1">
      <alignment horizontal="right"/>
    </xf>
    <xf numFmtId="176" fontId="41" fillId="0" borderId="35" xfId="0" applyNumberFormat="1" applyFont="1" applyBorder="1"/>
    <xf numFmtId="176" fontId="41" fillId="0" borderId="36" xfId="0" applyNumberFormat="1" applyFont="1" applyBorder="1"/>
    <xf numFmtId="176" fontId="41" fillId="0" borderId="37" xfId="0" applyNumberFormat="1" applyFont="1" applyBorder="1"/>
    <xf numFmtId="176" fontId="41" fillId="0" borderId="10" xfId="0" applyNumberFormat="1" applyFont="1" applyBorder="1"/>
    <xf numFmtId="176" fontId="71" fillId="0" borderId="25" xfId="0" applyNumberFormat="1" applyFont="1" applyFill="1" applyBorder="1"/>
    <xf numFmtId="168" fontId="50" fillId="0" borderId="38" xfId="0" applyNumberFormat="1" applyFont="1" applyBorder="1"/>
    <xf numFmtId="0" fontId="43" fillId="47" borderId="36" xfId="0" applyFont="1" applyFill="1" applyBorder="1"/>
    <xf numFmtId="168" fontId="50" fillId="0" borderId="25" xfId="0" applyNumberFormat="1" applyFont="1" applyBorder="1"/>
    <xf numFmtId="10" fontId="48" fillId="0" borderId="25" xfId="0" applyNumberFormat="1" applyFont="1" applyBorder="1"/>
    <xf numFmtId="166" fontId="43" fillId="47" borderId="25" xfId="0" applyNumberFormat="1" applyFont="1" applyFill="1" applyBorder="1"/>
    <xf numFmtId="0" fontId="40" fillId="47" borderId="25" xfId="0" applyFont="1" applyFill="1" applyBorder="1" applyAlignment="1">
      <alignment horizontal="right"/>
    </xf>
    <xf numFmtId="10" fontId="49" fillId="0" borderId="25" xfId="0" applyNumberFormat="1" applyFont="1" applyBorder="1"/>
    <xf numFmtId="10" fontId="41" fillId="49" borderId="25" xfId="0" applyNumberFormat="1" applyFont="1" applyFill="1" applyBorder="1"/>
    <xf numFmtId="1" fontId="40" fillId="47" borderId="25" xfId="0" applyNumberFormat="1" applyFont="1" applyFill="1" applyBorder="1" applyAlignment="1">
      <alignment horizontal="center"/>
    </xf>
    <xf numFmtId="0" fontId="49" fillId="7" borderId="0" xfId="0" applyFont="1" applyFill="1" applyAlignment="1">
      <alignment horizontal="left"/>
    </xf>
    <xf numFmtId="0" fontId="0" fillId="7" borderId="0" xfId="0" applyFill="1"/>
    <xf numFmtId="0" fontId="88" fillId="7" borderId="0" xfId="0" applyFont="1" applyFill="1"/>
    <xf numFmtId="0" fontId="8" fillId="7" borderId="0" xfId="0" applyFont="1" applyFill="1"/>
    <xf numFmtId="0" fontId="0" fillId="50" borderId="0" xfId="0" applyFont="1" applyFill="1"/>
    <xf numFmtId="0" fontId="0" fillId="50" borderId="0" xfId="0" applyFill="1"/>
    <xf numFmtId="0" fontId="89" fillId="7" borderId="0" xfId="0" applyFont="1" applyFill="1"/>
    <xf numFmtId="4" fontId="15" fillId="8" borderId="14" xfId="82" applyNumberFormat="1" applyFont="1" applyFill="1" applyBorder="1" applyAlignment="1" applyProtection="1">
      <alignment horizontal="right"/>
    </xf>
    <xf numFmtId="10" fontId="4" fillId="0" borderId="25" xfId="1" applyNumberFormat="1" applyFont="1" applyFill="1" applyBorder="1"/>
    <xf numFmtId="10" fontId="16" fillId="0" borderId="25" xfId="1" applyNumberFormat="1" applyFont="1" applyBorder="1"/>
    <xf numFmtId="9" fontId="4" fillId="0" borderId="25" xfId="1" applyFont="1" applyFill="1" applyBorder="1"/>
    <xf numFmtId="9" fontId="16" fillId="0" borderId="25" xfId="1" applyFont="1" applyBorder="1"/>
    <xf numFmtId="175" fontId="62" fillId="0" borderId="25" xfId="9" applyFont="1" applyFill="1" applyBorder="1" applyAlignment="1">
      <alignment horizontal="right"/>
    </xf>
    <xf numFmtId="175" fontId="62" fillId="0" borderId="25" xfId="9" applyFont="1" applyFill="1" applyBorder="1"/>
    <xf numFmtId="175" fontId="48" fillId="0" borderId="25" xfId="9" applyFont="1" applyFill="1" applyBorder="1"/>
    <xf numFmtId="168" fontId="37" fillId="47" borderId="36" xfId="0" applyNumberFormat="1" applyFont="1" applyFill="1" applyBorder="1" applyAlignment="1">
      <alignment vertical="center"/>
    </xf>
    <xf numFmtId="168" fontId="37" fillId="47" borderId="37" xfId="0" applyNumberFormat="1" applyFont="1" applyFill="1" applyBorder="1" applyAlignment="1">
      <alignment vertical="center"/>
    </xf>
    <xf numFmtId="175" fontId="62" fillId="0" borderId="37" xfId="9" applyFont="1" applyFill="1" applyBorder="1" applyAlignment="1">
      <alignment horizontal="right"/>
    </xf>
    <xf numFmtId="175" fontId="62" fillId="0" borderId="37" xfId="9" applyFont="1" applyFill="1" applyBorder="1"/>
    <xf numFmtId="168" fontId="44" fillId="47" borderId="26" xfId="0" applyNumberFormat="1" applyFont="1" applyFill="1" applyBorder="1" applyAlignment="1">
      <alignment vertical="center"/>
    </xf>
    <xf numFmtId="168" fontId="44" fillId="47" borderId="28" xfId="0" applyNumberFormat="1" applyFont="1" applyFill="1" applyBorder="1" applyAlignment="1">
      <alignment vertical="center"/>
    </xf>
    <xf numFmtId="168" fontId="43" fillId="47" borderId="29" xfId="0" applyNumberFormat="1" applyFont="1" applyFill="1" applyBorder="1"/>
    <xf numFmtId="168" fontId="47" fillId="47" borderId="38" xfId="0" applyNumberFormat="1" applyFont="1" applyFill="1" applyBorder="1"/>
    <xf numFmtId="168" fontId="68" fillId="47" borderId="29" xfId="0" applyNumberFormat="1" applyFont="1" applyFill="1" applyBorder="1"/>
    <xf numFmtId="168" fontId="46" fillId="47" borderId="38" xfId="0" applyNumberFormat="1" applyFont="1" applyFill="1" applyBorder="1"/>
    <xf numFmtId="168" fontId="68" fillId="47" borderId="31" xfId="0" applyNumberFormat="1" applyFont="1" applyFill="1" applyBorder="1"/>
    <xf numFmtId="168" fontId="46" fillId="47" borderId="33" xfId="0" applyNumberFormat="1" applyFont="1" applyFill="1" applyBorder="1"/>
    <xf numFmtId="168" fontId="48" fillId="0" borderId="38" xfId="0" applyNumberFormat="1" applyFont="1" applyFill="1" applyBorder="1"/>
    <xf numFmtId="175" fontId="48" fillId="0" borderId="38" xfId="9" applyFont="1" applyFill="1" applyBorder="1"/>
    <xf numFmtId="0" fontId="40" fillId="47" borderId="0" xfId="0" applyFont="1" applyFill="1" applyBorder="1"/>
    <xf numFmtId="0" fontId="70" fillId="0" borderId="35" xfId="0" applyFont="1" applyFill="1" applyBorder="1"/>
    <xf numFmtId="4" fontId="70" fillId="0" borderId="0" xfId="0" applyNumberFormat="1" applyFont="1"/>
    <xf numFmtId="182" fontId="68" fillId="0" borderId="0" xfId="0" applyNumberFormat="1" applyFont="1"/>
    <xf numFmtId="0" fontId="73" fillId="0" borderId="0" xfId="0" applyFont="1"/>
    <xf numFmtId="0" fontId="87" fillId="7" borderId="0" xfId="0" applyFont="1" applyFill="1"/>
    <xf numFmtId="167" fontId="43" fillId="47" borderId="32" xfId="0" applyNumberFormat="1" applyFont="1" applyFill="1" applyBorder="1" applyAlignment="1">
      <alignment horizontal="center"/>
    </xf>
    <xf numFmtId="2" fontId="68" fillId="47" borderId="29" xfId="3" applyNumberFormat="1" applyFont="1" applyFill="1" applyBorder="1" applyAlignment="1">
      <alignment horizontal="left"/>
    </xf>
    <xf numFmtId="2" fontId="68" fillId="47" borderId="0" xfId="3" applyNumberFormat="1" applyFont="1" applyFill="1" applyBorder="1" applyAlignment="1">
      <alignment horizontal="left"/>
    </xf>
    <xf numFmtId="0" fontId="42" fillId="47" borderId="26" xfId="0" applyFont="1" applyFill="1" applyBorder="1" applyAlignment="1">
      <alignment horizontal="center" vertical="center"/>
    </xf>
    <xf numFmtId="0" fontId="42" fillId="47" borderId="27" xfId="0" applyFont="1" applyFill="1" applyBorder="1" applyAlignment="1">
      <alignment horizontal="center" vertical="center"/>
    </xf>
    <xf numFmtId="0" fontId="42" fillId="47" borderId="28" xfId="0" applyFont="1" applyFill="1" applyBorder="1" applyAlignment="1">
      <alignment horizontal="center" vertical="center"/>
    </xf>
    <xf numFmtId="0" fontId="42" fillId="47" borderId="31" xfId="0" applyFont="1" applyFill="1" applyBorder="1" applyAlignment="1">
      <alignment horizontal="center" vertical="center"/>
    </xf>
    <xf numFmtId="0" fontId="42" fillId="47" borderId="32" xfId="0" applyFont="1" applyFill="1" applyBorder="1" applyAlignment="1">
      <alignment horizontal="center" vertical="center"/>
    </xf>
    <xf numFmtId="0" fontId="42" fillId="47" borderId="33" xfId="0" applyFont="1" applyFill="1" applyBorder="1" applyAlignment="1">
      <alignment horizontal="center" vertical="center"/>
    </xf>
  </cellXfs>
  <cellStyles count="83">
    <cellStyle name="20% - Accent1 2" xfId="18" xr:uid="{00000000-0005-0000-0000-000041000000}"/>
    <cellStyle name="20% - Accent2 2" xfId="19" xr:uid="{00000000-0005-0000-0000-000042000000}"/>
    <cellStyle name="20% - Accent3 2" xfId="20" xr:uid="{00000000-0005-0000-0000-000043000000}"/>
    <cellStyle name="20% - Accent4 2" xfId="21" xr:uid="{00000000-0005-0000-0000-000044000000}"/>
    <cellStyle name="20% - Accent5 2" xfId="22" xr:uid="{00000000-0005-0000-0000-000045000000}"/>
    <cellStyle name="20% - Accent6 2" xfId="23" xr:uid="{00000000-0005-0000-0000-000046000000}"/>
    <cellStyle name="40% - Accent1 2" xfId="24" xr:uid="{00000000-0005-0000-0000-000047000000}"/>
    <cellStyle name="40% - Accent2 2" xfId="25" xr:uid="{00000000-0005-0000-0000-000048000000}"/>
    <cellStyle name="40% - Accent3 2" xfId="26" xr:uid="{00000000-0005-0000-0000-000049000000}"/>
    <cellStyle name="40% - Accent4 2" xfId="27" xr:uid="{00000000-0005-0000-0000-00004A000000}"/>
    <cellStyle name="40% - Accent5 2" xfId="28" xr:uid="{00000000-0005-0000-0000-00004B000000}"/>
    <cellStyle name="40% - Accent6 2" xfId="29" xr:uid="{00000000-0005-0000-0000-00004C000000}"/>
    <cellStyle name="60% - Accent1 2" xfId="30" xr:uid="{00000000-0005-0000-0000-00004D000000}"/>
    <cellStyle name="60% - Accent2 2" xfId="31" xr:uid="{00000000-0005-0000-0000-00004E000000}"/>
    <cellStyle name="60% - Accent3 2" xfId="32" xr:uid="{00000000-0005-0000-0000-00004F000000}"/>
    <cellStyle name="60% - Accent4 2" xfId="33" xr:uid="{00000000-0005-0000-0000-000050000000}"/>
    <cellStyle name="60% - Accent5 2" xfId="34" xr:uid="{00000000-0005-0000-0000-000051000000}"/>
    <cellStyle name="60% - Accent6 2" xfId="35" xr:uid="{00000000-0005-0000-0000-000052000000}"/>
    <cellStyle name="Accent1 2" xfId="36" xr:uid="{00000000-0005-0000-0000-000053000000}"/>
    <cellStyle name="Accent2 2" xfId="37" xr:uid="{00000000-0005-0000-0000-000054000000}"/>
    <cellStyle name="Accent3 2" xfId="38" xr:uid="{00000000-0005-0000-0000-000055000000}"/>
    <cellStyle name="Accent4 2" xfId="39" xr:uid="{00000000-0005-0000-0000-000056000000}"/>
    <cellStyle name="Accent5 2" xfId="40" xr:uid="{00000000-0005-0000-0000-000057000000}"/>
    <cellStyle name="Accent6 2" xfId="41" xr:uid="{00000000-0005-0000-0000-000058000000}"/>
    <cellStyle name="Bad 2" xfId="42" xr:uid="{00000000-0005-0000-0000-000059000000}"/>
    <cellStyle name="blp_column_header" xfId="43" xr:uid="{00000000-0005-0000-0000-000019000000}"/>
    <cellStyle name="blp_title_header_row_left" xfId="62" xr:uid="{C079BBAD-4CDB-4DD2-8225-13E15FB9956A}"/>
    <cellStyle name="Calculation 2" xfId="44" xr:uid="{00000000-0005-0000-0000-00005C000000}"/>
    <cellStyle name="Check" xfId="7" xr:uid="{00000000-0005-0000-0000-000000000000}"/>
    <cellStyle name="Check Cell 2" xfId="45" xr:uid="{00000000-0005-0000-0000-00005D000000}"/>
    <cellStyle name="Comma 2" xfId="11" xr:uid="{00000000-0005-0000-0000-000001000000}"/>
    <cellStyle name="Explanatory Text 2" xfId="46" xr:uid="{00000000-0005-0000-0000-00005E000000}"/>
    <cellStyle name="fa_column_header_bottom" xfId="47" xr:uid="{00000000-0005-0000-0000-00001E000000}"/>
    <cellStyle name="fa_column_header_bottom_left" xfId="66" xr:uid="{61571CCA-B09B-447C-A876-C355EF5CF12C}"/>
    <cellStyle name="fa_column_header_empty" xfId="63" xr:uid="{6BA19BFF-3E5B-4473-9EF1-52052FEF10EB}"/>
    <cellStyle name="fa_column_header_top" xfId="65" xr:uid="{B92A1F81-C48C-41D9-AF9E-2212AF63BC5F}"/>
    <cellStyle name="fa_column_header_top_left" xfId="64" xr:uid="{64AC6996-246E-4A0A-9EE1-AEA13B43938B}"/>
    <cellStyle name="fa_data_bold_0_grouped" xfId="72" xr:uid="{AF3F7B6B-5E4B-4E17-BBD9-B079379C7C14}"/>
    <cellStyle name="fa_data_bold_1_grouped" xfId="67" xr:uid="{E7F365A1-53EF-4607-98E1-FB26C661CAB6}"/>
    <cellStyle name="fa_data_bold_2_grouped" xfId="17" xr:uid="{00000000-0005-0000-0000-000002000000}"/>
    <cellStyle name="fa_data_current_bold_0_grouped" xfId="73" xr:uid="{A7ED8C4B-8C47-4CBC-8C46-A469132ADDD3}"/>
    <cellStyle name="fa_data_current_bold_1_grouped" xfId="68" xr:uid="{6BEE3863-B557-4514-B14D-FD23DEA39771}"/>
    <cellStyle name="fa_data_current_bold_2_grouped" xfId="74" xr:uid="{780AD20C-E4A8-4A5A-BC96-384F91044A5B}"/>
    <cellStyle name="fa_data_current_standard_0_grouped" xfId="76" xr:uid="{13CDFF10-1D45-4568-9144-3E8FA2E393DC}"/>
    <cellStyle name="fa_data_current_standard_1_grouped" xfId="71" xr:uid="{4D891F3A-367C-45BB-83BF-252F4BEADEC0}"/>
    <cellStyle name="fa_data_current_standard_2_grouped" xfId="78" xr:uid="{D42D8E1B-6DC2-406D-BF9C-C333E4AC2F4D}"/>
    <cellStyle name="fa_data_italic_1_grouped" xfId="81" xr:uid="{012A2442-13DA-46ED-8971-11A2797E50E8}"/>
    <cellStyle name="fa_data_italic_2_grouped" xfId="82" xr:uid="{99C60964-8703-4AA0-809F-97137B9FCD97}"/>
    <cellStyle name="fa_data_standard_0_grouped" xfId="75" xr:uid="{7B1E253D-2093-4528-B919-76802810608C}"/>
    <cellStyle name="fa_data_standard_1_grouped" xfId="70" xr:uid="{7FF08A26-F743-4A3C-B89C-E68D7411D7BF}"/>
    <cellStyle name="fa_data_standard_2_grouped" xfId="77" xr:uid="{2349FFD6-BCAE-4FDF-8669-EC72210B03BE}"/>
    <cellStyle name="fa_footer_italic" xfId="79" xr:uid="{37E1DF4F-EECC-4A7E-BD23-7620720DF424}"/>
    <cellStyle name="fa_row_header_bold" xfId="16" xr:uid="{00000000-0005-0000-0000-000003000000}"/>
    <cellStyle name="fa_row_header_italic" xfId="80" xr:uid="{009004EB-485B-4394-AB05-15568A7AA5CF}"/>
    <cellStyle name="fa_row_header_standard" xfId="69" xr:uid="{47171ED9-7E0C-4A5B-B078-A72C9322891C}"/>
    <cellStyle name="Good 2" xfId="48" xr:uid="{00000000-0005-0000-0000-000077000000}"/>
    <cellStyle name="Heading 1 2" xfId="49" xr:uid="{00000000-0005-0000-0000-000078000000}"/>
    <cellStyle name="Heading 2 2" xfId="50" xr:uid="{00000000-0005-0000-0000-000079000000}"/>
    <cellStyle name="Heading 3 2" xfId="51" xr:uid="{00000000-0005-0000-0000-00007A000000}"/>
    <cellStyle name="Heading 4 2" xfId="52" xr:uid="{00000000-0005-0000-0000-00007B000000}"/>
    <cellStyle name="Input - comma" xfId="6" xr:uid="{00000000-0005-0000-0000-000004000000}"/>
    <cellStyle name="Input - percentage" xfId="9" xr:uid="{00000000-0005-0000-0000-000005000000}"/>
    <cellStyle name="Input 2" xfId="53" xr:uid="{00000000-0005-0000-0000-00007C000000}"/>
    <cellStyle name="Input 3" xfId="61" xr:uid="{00000000-0005-0000-0000-000084000000}"/>
    <cellStyle name="Linked Cell 2" xfId="54" xr:uid="{00000000-0005-0000-0000-00007D000000}"/>
    <cellStyle name="Monétaire 2" xfId="5" xr:uid="{00000000-0005-0000-0000-000007000000}"/>
    <cellStyle name="Monétaire 4" xfId="8" xr:uid="{00000000-0005-0000-0000-000008000000}"/>
    <cellStyle name="Neutral 2" xfId="55" xr:uid="{00000000-0005-0000-0000-00007E000000}"/>
    <cellStyle name="Normal 2" xfId="3" xr:uid="{00000000-0005-0000-0000-00000A000000}"/>
    <cellStyle name="Normal 3" xfId="12" xr:uid="{00000000-0005-0000-0000-00000B000000}"/>
    <cellStyle name="Note 2" xfId="56" xr:uid="{00000000-0005-0000-0000-00007F000000}"/>
    <cellStyle name="Output 2" xfId="57" xr:uid="{00000000-0005-0000-0000-000080000000}"/>
    <cellStyle name="Percent 2" xfId="13" xr:uid="{00000000-0005-0000-0000-00000C000000}"/>
    <cellStyle name="Percent 3" xfId="14" xr:uid="{00000000-0005-0000-0000-00000D000000}"/>
    <cellStyle name="Pourcentage 2" xfId="4" xr:uid="{00000000-0005-0000-0000-00000F000000}"/>
    <cellStyle name="Prozent" xfId="1" builtinId="5"/>
    <cellStyle name="Standard" xfId="0" builtinId="0"/>
    <cellStyle name="Title 2" xfId="58" xr:uid="{00000000-0005-0000-0000-000081000000}"/>
    <cellStyle name="Total 2" xfId="59" xr:uid="{00000000-0005-0000-0000-000082000000}"/>
    <cellStyle name="Warning Text 2" xfId="60" xr:uid="{00000000-0005-0000-0000-000083000000}"/>
    <cellStyle name="常规 3" xfId="2" xr:uid="{00000000-0005-0000-0000-000010000000}"/>
    <cellStyle name="常规 4" xfId="15" xr:uid="{00000000-0005-0000-0000-000011000000}"/>
    <cellStyle name="百分比 2" xfId="10" xr:uid="{00000000-0005-0000-0000-000012000000}"/>
  </cellStyles>
  <dxfs count="3">
    <dxf>
      <font>
        <color rgb="FF006100"/>
      </font>
      <fill>
        <patternFill>
          <bgColor rgb="FFC6EFCE"/>
        </patternFill>
      </fill>
    </dxf>
    <dxf>
      <border>
        <left/>
        <right/>
        <top/>
        <bottom/>
      </border>
    </dxf>
    <dxf>
      <fill>
        <patternFill>
          <bgColor theme="9"/>
        </patternFill>
      </fill>
    </dxf>
  </dxfs>
  <tableStyles count="0" defaultTableStyle="TableStyleMedium2" defaultPivotStyle="PivotStyleLight16"/>
  <colors>
    <mruColors>
      <color rgb="FF8DB4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SG&amp;A</a:t>
            </a:r>
            <a:r>
              <a:rPr lang="fr-FR" baseline="0"/>
              <a:t> Regression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yVal>
            <c:numRef>
              <c:f>'3.1 Assumption'!$E$13:$I$13</c:f>
              <c:numCache>
                <c:formatCode>0.0%</c:formatCode>
                <c:ptCount val="5"/>
                <c:pt idx="0">
                  <c:v>0.22744210806494544</c:v>
                </c:pt>
                <c:pt idx="1">
                  <c:v>0.27179770623186406</c:v>
                </c:pt>
                <c:pt idx="2">
                  <c:v>0.303013698630137</c:v>
                </c:pt>
                <c:pt idx="3">
                  <c:v>0.3926962295470714</c:v>
                </c:pt>
                <c:pt idx="4">
                  <c:v>0.39696422117817132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32-46E7-8A51-4AC07F180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388928"/>
        <c:axId val="432253184"/>
      </c:scatterChart>
      <c:valAx>
        <c:axId val="43338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2253184"/>
        <c:crosses val="autoZero"/>
        <c:crossBetween val="midCat"/>
      </c:valAx>
      <c:valAx>
        <c:axId val="43225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3388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COGS Regression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yVal>
            <c:numRef>
              <c:f>'3.1 Assumption'!$E$12:$I$12</c:f>
              <c:numCache>
                <c:formatCode>0.0%</c:formatCode>
                <c:ptCount val="5"/>
                <c:pt idx="0">
                  <c:v>0.41136545115783868</c:v>
                </c:pt>
                <c:pt idx="1">
                  <c:v>0.40237667541799088</c:v>
                </c:pt>
                <c:pt idx="2">
                  <c:v>0.32383561643835618</c:v>
                </c:pt>
                <c:pt idx="3">
                  <c:v>0.2281242589518615</c:v>
                </c:pt>
                <c:pt idx="4">
                  <c:v>0.21525117455728227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38-4C04-95CD-D4BE00867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685824"/>
        <c:axId val="432687360"/>
      </c:scatterChart>
      <c:valAx>
        <c:axId val="432685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2687360"/>
        <c:crosses val="autoZero"/>
        <c:crossBetween val="midCat"/>
      </c:valAx>
      <c:valAx>
        <c:axId val="43268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2685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NC-WC</a:t>
            </a:r>
          </a:p>
          <a:p>
            <a:pPr>
              <a:defRPr/>
            </a:pPr>
            <a:r>
              <a:rPr lang="fr-FR"/>
              <a:t> Regression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yVal>
            <c:numRef>
              <c:f>'3.1 Assumption'!$E$18:$I$18</c:f>
              <c:numCache>
                <c:formatCode>0.0%</c:formatCode>
                <c:ptCount val="5"/>
                <c:pt idx="0">
                  <c:v>0.30862390204950757</c:v>
                </c:pt>
                <c:pt idx="1">
                  <c:v>0.33093823407489292</c:v>
                </c:pt>
                <c:pt idx="2">
                  <c:v>0.23744292237442921</c:v>
                </c:pt>
                <c:pt idx="3">
                  <c:v>0.14322978420678206</c:v>
                </c:pt>
                <c:pt idx="4">
                  <c:v>0.13501987712323815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FC-464C-8B53-C7A690073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685824"/>
        <c:axId val="432687360"/>
      </c:scatterChart>
      <c:valAx>
        <c:axId val="432685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2687360"/>
        <c:crosses val="autoZero"/>
        <c:crossBetween val="midCat"/>
      </c:valAx>
      <c:valAx>
        <c:axId val="43268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2685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SG&amp;A</a:t>
            </a:r>
            <a:r>
              <a:rPr lang="fr-FR" baseline="0"/>
              <a:t> Regression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yVal>
            <c:numRef>
              <c:f>'3.1 Assumption'!$E$13:$I$13</c:f>
              <c:numCache>
                <c:formatCode>0.0%</c:formatCode>
                <c:ptCount val="5"/>
                <c:pt idx="0">
                  <c:v>0.22744210806494544</c:v>
                </c:pt>
                <c:pt idx="1">
                  <c:v>0.27179770623186406</c:v>
                </c:pt>
                <c:pt idx="2">
                  <c:v>0.303013698630137</c:v>
                </c:pt>
                <c:pt idx="3">
                  <c:v>0.3926962295470714</c:v>
                </c:pt>
                <c:pt idx="4">
                  <c:v>0.39696422117817132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C2-4CDA-B544-B4200888D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388928"/>
        <c:axId val="432253184"/>
      </c:scatterChart>
      <c:valAx>
        <c:axId val="43338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2253184"/>
        <c:crosses val="autoZero"/>
        <c:crossBetween val="midCat"/>
      </c:valAx>
      <c:valAx>
        <c:axId val="43225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3388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COGS Regression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yVal>
            <c:numRef>
              <c:f>'3.1 Assumption'!$E$12:$I$12</c:f>
              <c:numCache>
                <c:formatCode>0.0%</c:formatCode>
                <c:ptCount val="5"/>
                <c:pt idx="0">
                  <c:v>0.41136545115783868</c:v>
                </c:pt>
                <c:pt idx="1">
                  <c:v>0.40237667541799088</c:v>
                </c:pt>
                <c:pt idx="2">
                  <c:v>0.32383561643835618</c:v>
                </c:pt>
                <c:pt idx="3">
                  <c:v>0.2281242589518615</c:v>
                </c:pt>
                <c:pt idx="4">
                  <c:v>0.21525117455728227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48-4A46-BB73-ECDFB6193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685824"/>
        <c:axId val="432687360"/>
      </c:scatterChart>
      <c:valAx>
        <c:axId val="432685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2687360"/>
        <c:crosses val="autoZero"/>
        <c:crossBetween val="midCat"/>
      </c:valAx>
      <c:valAx>
        <c:axId val="43268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2685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NC-WC</a:t>
            </a:r>
          </a:p>
          <a:p>
            <a:pPr>
              <a:defRPr/>
            </a:pPr>
            <a:r>
              <a:rPr lang="fr-FR"/>
              <a:t> Regression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yVal>
            <c:numRef>
              <c:f>'3.1 Assumption'!$E$18:$I$18</c:f>
              <c:numCache>
                <c:formatCode>0.0%</c:formatCode>
                <c:ptCount val="5"/>
                <c:pt idx="0">
                  <c:v>0.30862390204950757</c:v>
                </c:pt>
                <c:pt idx="1">
                  <c:v>0.33093823407489292</c:v>
                </c:pt>
                <c:pt idx="2">
                  <c:v>0.23744292237442921</c:v>
                </c:pt>
                <c:pt idx="3">
                  <c:v>0.14322978420678206</c:v>
                </c:pt>
                <c:pt idx="4">
                  <c:v>0.13501987712323815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3C-48AF-A0A6-4FBA8C2C6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685824"/>
        <c:axId val="432687360"/>
      </c:scatterChart>
      <c:valAx>
        <c:axId val="432685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2687360"/>
        <c:crosses val="autoZero"/>
        <c:crossBetween val="midCat"/>
      </c:valAx>
      <c:valAx>
        <c:axId val="43268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2685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Cost</a:t>
            </a:r>
            <a:r>
              <a:rPr lang="fr-FR" baseline="0"/>
              <a:t> structure of comparable companies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5.6316532876554692E-2"/>
          <c:y val="0.16065776882725341"/>
          <c:w val="0.9147620340560878"/>
          <c:h val="0.6843145260600611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'3.5 Value of Control Inputs'!$I$17</c:f>
              <c:strCache>
                <c:ptCount val="1"/>
                <c:pt idx="0">
                  <c:v>Minimum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4.3243314370430115E-2"/>
                  <c:y val="-3.874604956110895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BB8-4477-ACEE-6860519003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'3.5 Value of Control Inputs'!$H$18:$H$24</c:f>
              <c:strCache>
                <c:ptCount val="7"/>
                <c:pt idx="0">
                  <c:v>COGS as % of sales</c:v>
                </c:pt>
                <c:pt idx="1">
                  <c:v>SG&amp;A as % of sales</c:v>
                </c:pt>
                <c:pt idx="2">
                  <c:v>R&amp;D as % of sales</c:v>
                </c:pt>
                <c:pt idx="3">
                  <c:v>NC-WC as % of sales</c:v>
                </c:pt>
                <c:pt idx="4">
                  <c:v>Capex as % of sales</c:v>
                </c:pt>
                <c:pt idx="5">
                  <c:v>EBITDA% margin</c:v>
                </c:pt>
                <c:pt idx="6">
                  <c:v>EBIT% margin</c:v>
                </c:pt>
              </c:strCache>
            </c:strRef>
          </c:cat>
          <c:val>
            <c:numRef>
              <c:f>'3.5 Value of Control Inputs'!$I$18:$I$24</c:f>
              <c:numCache>
                <c:formatCode>0%</c:formatCode>
                <c:ptCount val="7"/>
                <c:pt idx="0">
                  <c:v>0.18715200000000001</c:v>
                </c:pt>
                <c:pt idx="1">
                  <c:v>0.25009146339999999</c:v>
                </c:pt>
                <c:pt idx="2">
                  <c:v>8.9183382249999998E-2</c:v>
                </c:pt>
                <c:pt idx="3">
                  <c:v>-0.17712792569999999</c:v>
                </c:pt>
                <c:pt idx="4">
                  <c:v>5.6874409299999998E-2</c:v>
                </c:pt>
                <c:pt idx="5">
                  <c:v>0.27</c:v>
                </c:pt>
                <c:pt idx="6">
                  <c:v>0.19800000000000001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B8-4477-ACEE-68605190038D}"/>
            </c:ext>
          </c:extLst>
        </c:ser>
        <c:ser>
          <c:idx val="1"/>
          <c:order val="1"/>
          <c:tx>
            <c:strRef>
              <c:f>'3.5 Value of Control Inputs'!$M$17</c:f>
              <c:strCache>
                <c:ptCount val="1"/>
                <c:pt idx="0">
                  <c:v>Maximum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'3.5 Value of Control Inputs'!$H$18:$H$24</c:f>
              <c:strCache>
                <c:ptCount val="7"/>
                <c:pt idx="0">
                  <c:v>COGS as % of sales</c:v>
                </c:pt>
                <c:pt idx="1">
                  <c:v>SG&amp;A as % of sales</c:v>
                </c:pt>
                <c:pt idx="2">
                  <c:v>R&amp;D as % of sales</c:v>
                </c:pt>
                <c:pt idx="3">
                  <c:v>NC-WC as % of sales</c:v>
                </c:pt>
                <c:pt idx="4">
                  <c:v>Capex as % of sales</c:v>
                </c:pt>
                <c:pt idx="5">
                  <c:v>EBITDA% margin</c:v>
                </c:pt>
                <c:pt idx="6">
                  <c:v>EBIT% margin</c:v>
                </c:pt>
              </c:strCache>
            </c:strRef>
          </c:cat>
          <c:val>
            <c:numRef>
              <c:f>'3.5 Value of Control Inputs'!$M$18:$M$24</c:f>
              <c:numCache>
                <c:formatCode>0%</c:formatCode>
                <c:ptCount val="7"/>
                <c:pt idx="0">
                  <c:v>0.4757910508</c:v>
                </c:pt>
                <c:pt idx="1">
                  <c:v>0.32230478839999999</c:v>
                </c:pt>
                <c:pt idx="2">
                  <c:v>0.19813610549999999</c:v>
                </c:pt>
                <c:pt idx="3">
                  <c:v>0.2046868</c:v>
                </c:pt>
                <c:pt idx="4">
                  <c:v>0.13760923350000001</c:v>
                </c:pt>
                <c:pt idx="5">
                  <c:v>0.36299999999999999</c:v>
                </c:pt>
                <c:pt idx="6">
                  <c:v>0.32300000000000001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B8-4477-ACEE-686051900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571060632"/>
        <c:axId val="571057680"/>
      </c:barChart>
      <c:valAx>
        <c:axId val="571057680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71060632"/>
        <c:crosses val="autoZero"/>
        <c:crossBetween val="between"/>
      </c:valAx>
      <c:catAx>
        <c:axId val="571060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710576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69264599023053"/>
          <c:y val="0.9182686752267295"/>
          <c:w val="0.20614708019538955"/>
          <c:h val="8.17313247732704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Expected Growth EPS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'5.1 Free Cash Flow'!$C$82</c:f>
              <c:strCache>
                <c:ptCount val="1"/>
                <c:pt idx="0">
                  <c:v>EPS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6649606299212597E-2"/>
                  <c:y val="-2.819444444444446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'5.1 Free Cash Flow'!$F$81:$J$81</c:f>
              <c:numCache>
                <c:formatCode>0"A"</c:formatCode>
                <c:ptCount val="5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</c:numCache>
            </c:numRef>
          </c:xVal>
          <c:yVal>
            <c:numRef>
              <c:f>'5.1 Free Cash Flow'!$F$82:$J$82</c:f>
              <c:numCache>
                <c:formatCode>General</c:formatCode>
                <c:ptCount val="5"/>
                <c:pt idx="0">
                  <c:v>1.25</c:v>
                </c:pt>
                <c:pt idx="1">
                  <c:v>0.93</c:v>
                </c:pt>
                <c:pt idx="2">
                  <c:v>1.1499999999999999</c:v>
                </c:pt>
                <c:pt idx="3">
                  <c:v>1.17</c:v>
                </c:pt>
                <c:pt idx="4">
                  <c:v>1.44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9B-4807-BBCD-60575C78E662}"/>
            </c:ext>
          </c:extLst>
        </c:ser>
        <c:ser>
          <c:idx val="1"/>
          <c:order val="1"/>
          <c:tx>
            <c:strRef>
              <c:f>'5.1 Free Cash Flow'!$C$83</c:f>
              <c:strCache>
                <c:ptCount val="1"/>
                <c:pt idx="0">
                  <c:v>ln(EPS)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9962160979877518E-2"/>
                  <c:y val="-4.771471274424030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'5.1 Free Cash Flow'!$F$81:$J$81</c:f>
              <c:numCache>
                <c:formatCode>0"A"</c:formatCode>
                <c:ptCount val="5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</c:numCache>
            </c:numRef>
          </c:xVal>
          <c:yVal>
            <c:numRef>
              <c:f>'5.1 Free Cash Flow'!$F$83:$J$83</c:f>
              <c:numCache>
                <c:formatCode>General</c:formatCode>
                <c:ptCount val="5"/>
                <c:pt idx="0">
                  <c:v>0.22314355131420976</c:v>
                </c:pt>
                <c:pt idx="1">
                  <c:v>-7.2570692834835374E-2</c:v>
                </c:pt>
                <c:pt idx="2">
                  <c:v>0.13976194237515863</c:v>
                </c:pt>
                <c:pt idx="3">
                  <c:v>0.15700374880966469</c:v>
                </c:pt>
                <c:pt idx="4">
                  <c:v>0.36464311358790924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9B-4807-BBCD-60575C78E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432640"/>
        <c:axId val="434431104"/>
      </c:scatterChart>
      <c:valAx>
        <c:axId val="434432640"/>
        <c:scaling>
          <c:orientation val="minMax"/>
        </c:scaling>
        <c:delete val="0"/>
        <c:axPos val="b"/>
        <c:numFmt formatCode="0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4431104"/>
        <c:crosses val="autoZero"/>
        <c:crossBetween val="midCat"/>
      </c:valAx>
      <c:valAx>
        <c:axId val="43443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4432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Book Value of Capital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635608048993876"/>
                  <c:y val="-3.87386993292505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yVal>
            <c:numRef>
              <c:f>'5.1 Free Cash Flow'!$F$57:$J$57</c:f>
              <c:numCache>
                <c:formatCode>General</c:formatCode>
                <c:ptCount val="5"/>
                <c:pt idx="0">
                  <c:v>7809</c:v>
                </c:pt>
                <c:pt idx="1">
                  <c:v>12314</c:v>
                </c:pt>
                <c:pt idx="2">
                  <c:v>19139</c:v>
                </c:pt>
                <c:pt idx="3">
                  <c:v>16220</c:v>
                </c:pt>
                <c:pt idx="4">
                  <c:v>15472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C7-45D9-A931-1AE71BA4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403008"/>
        <c:axId val="433404544"/>
      </c:scatterChart>
      <c:valAx>
        <c:axId val="433403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3404544"/>
        <c:crosses val="autoZero"/>
        <c:crossBetween val="midCat"/>
      </c:valAx>
      <c:valAx>
        <c:axId val="43340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3403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>
                <a:effectLst/>
              </a:rPr>
              <a:t>Accumulated depreciation &amp; impairment</a:t>
            </a:r>
            <a:r>
              <a:rPr lang="fr-FR" sz="1400" b="0" i="0" u="none" strike="noStrike" baseline="0"/>
              <a:t>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1293263342082239"/>
                  <c:y val="8.340624088655584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yVal>
            <c:numRef>
              <c:f>'5.1 Free Cash Flow'!$F$68:$J$68</c:f>
              <c:numCache>
                <c:formatCode>#,##0.0_);\ \(#,##0.0\);\-</c:formatCode>
                <c:ptCount val="5"/>
                <c:pt idx="0">
                  <c:v>-2320</c:v>
                </c:pt>
                <c:pt idx="1">
                  <c:v>-4933</c:v>
                </c:pt>
                <c:pt idx="2">
                  <c:v>-3403</c:v>
                </c:pt>
                <c:pt idx="3">
                  <c:v>-3392</c:v>
                </c:pt>
                <c:pt idx="4">
                  <c:v>-4005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A2-4222-B643-DF0607FAB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356224"/>
        <c:axId val="434357760"/>
      </c:scatterChart>
      <c:valAx>
        <c:axId val="43435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4357760"/>
        <c:crosses val="autoZero"/>
        <c:crossBetween val="midCat"/>
      </c:valAx>
      <c:valAx>
        <c:axId val="43435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\ \(#,##0.0\);\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435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Book</a:t>
            </a:r>
            <a:r>
              <a:rPr lang="fr-FR" baseline="0"/>
              <a:t> Value of Asset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683530183727034"/>
                  <c:y val="-1.43055555555555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yVal>
            <c:numRef>
              <c:f>'5.1 Free Cash Flow'!$F$67:$J$67</c:f>
              <c:numCache>
                <c:formatCode>#,##0.0_);\ \(#,##0.0\);\-</c:formatCode>
                <c:ptCount val="5"/>
                <c:pt idx="0">
                  <c:v>10847</c:v>
                </c:pt>
                <c:pt idx="1">
                  <c:v>11150</c:v>
                </c:pt>
                <c:pt idx="2">
                  <c:v>13844</c:v>
                </c:pt>
                <c:pt idx="3">
                  <c:v>12893</c:v>
                </c:pt>
                <c:pt idx="4">
                  <c:v>12298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C7-412E-8F42-C871CE3E2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617152"/>
        <c:axId val="433618944"/>
      </c:scatterChart>
      <c:valAx>
        <c:axId val="43361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3618944"/>
        <c:crosses val="autoZero"/>
        <c:crossBetween val="midCat"/>
      </c:valAx>
      <c:valAx>
        <c:axId val="43361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\ \(#,##0.0\);\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3617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Valuation</a:t>
            </a:r>
            <a:r>
              <a:rPr lang="fr-FR" baseline="0"/>
              <a:t> Sensitivities on EV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('5.2 Sensitivity Analysis'!$I$22,'5.2 Sensitivity Analysis'!$I$24)</c:f>
              <c:numCache>
                <c:formatCode>0.0</c:formatCode>
                <c:ptCount val="2"/>
                <c:pt idx="0">
                  <c:v>-761.09035133131692</c:v>
                </c:pt>
                <c:pt idx="1">
                  <c:v>-237.89035133131983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4C-4363-B9A3-1747537DCA8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('5.2 Sensitivity Analysis'!$I$23,'5.2 Sensitivity Analysis'!$I$25)</c:f>
              <c:numCache>
                <c:formatCode>0.0</c:formatCode>
                <c:ptCount val="2"/>
                <c:pt idx="0">
                  <c:v>802.70964866867871</c:v>
                </c:pt>
                <c:pt idx="1">
                  <c:v>247.00964866868162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4C-4363-B9A3-1747537DC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646205496"/>
        <c:axId val="646208776"/>
      </c:barChart>
      <c:catAx>
        <c:axId val="646205496"/>
        <c:scaling>
          <c:orientation val="minMax"/>
        </c:scaling>
        <c:delete val="1"/>
        <c:axPos val="l"/>
        <c:majorTickMark val="none"/>
        <c:minorTickMark val="none"/>
        <c:tickLblPos val="nextTo"/>
        <c:crossAx val="646208776"/>
        <c:crosses val="autoZero"/>
        <c:auto val="1"/>
        <c:lblAlgn val="ctr"/>
        <c:lblOffset val="100"/>
        <c:noMultiLvlLbl val="0"/>
      </c:catAx>
      <c:valAx>
        <c:axId val="64620877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46205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EV/Sales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'5.3 Multiples'!$B$11:$B$15</c:f>
              <c:strCache>
                <c:ptCount val="5"/>
                <c:pt idx="0">
                  <c:v>Abbott Laboratories (ABT US) - Adj Highlights</c:v>
                </c:pt>
                <c:pt idx="1">
                  <c:v>Bristol-Myers Squibb (BMY US) - Adj Highlights</c:v>
                </c:pt>
                <c:pt idx="2">
                  <c:v>Schering-Plough (SGP US) - Adj Highlights</c:v>
                </c:pt>
                <c:pt idx="3">
                  <c:v>Wyeth LLC (WYE US) - Adj Highlights</c:v>
                </c:pt>
                <c:pt idx="4">
                  <c:v>Eli Lilly &amp; Co (LLY US) - Adj Highlights</c:v>
                </c:pt>
              </c:strCache>
            </c:strRef>
          </c:cat>
          <c:val>
            <c:numRef>
              <c:f>'5.3 Multiples'!$D$11:$D$15</c:f>
              <c:numCache>
                <c:formatCode>#,##0.00</c:formatCode>
                <c:ptCount val="5"/>
                <c:pt idx="0">
                  <c:v>5.73</c:v>
                </c:pt>
                <c:pt idx="1">
                  <c:v>2.4500000000000002</c:v>
                </c:pt>
                <c:pt idx="2">
                  <c:v>2.2999999999999998</c:v>
                </c:pt>
                <c:pt idx="3">
                  <c:v>6.25</c:v>
                </c:pt>
                <c:pt idx="4">
                  <c:v>7.62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B-4F87-8F64-9CDCD584A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7206992"/>
        <c:axId val="437207320"/>
      </c:barChart>
      <c:catAx>
        <c:axId val="43720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7207320"/>
        <c:crosses val="autoZero"/>
        <c:auto val="1"/>
        <c:lblAlgn val="ctr"/>
        <c:lblOffset val="100"/>
        <c:noMultiLvlLbl val="0"/>
      </c:catAx>
      <c:valAx>
        <c:axId val="437207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720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EV/EBITDA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'5.3 Multiples'!$B$11:$B$15</c:f>
              <c:strCache>
                <c:ptCount val="5"/>
                <c:pt idx="0">
                  <c:v>Abbott Laboratories (ABT US) - Adj Highlights</c:v>
                </c:pt>
                <c:pt idx="1">
                  <c:v>Bristol-Myers Squibb (BMY US) - Adj Highlights</c:v>
                </c:pt>
                <c:pt idx="2">
                  <c:v>Schering-Plough (SGP US) - Adj Highlights</c:v>
                </c:pt>
                <c:pt idx="3">
                  <c:v>Wyeth LLC (WYE US) - Adj Highlights</c:v>
                </c:pt>
                <c:pt idx="4">
                  <c:v>Eli Lilly &amp; Co (LLY US) - Adj Highlights</c:v>
                </c:pt>
              </c:strCache>
            </c:strRef>
          </c:cat>
          <c:val>
            <c:numRef>
              <c:f>'5.3 Multiples'!$E$11:$E$15</c:f>
              <c:numCache>
                <c:formatCode>#,##0.00</c:formatCode>
                <c:ptCount val="5"/>
                <c:pt idx="0">
                  <c:v>21.23</c:v>
                </c:pt>
                <c:pt idx="1">
                  <c:v>16.89</c:v>
                </c:pt>
                <c:pt idx="2">
                  <c:v>15.51</c:v>
                </c:pt>
                <c:pt idx="3">
                  <c:v>20.350000000000001</c:v>
                </c:pt>
                <c:pt idx="4">
                  <c:v>21.01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A1-4B42-AC9C-7895C6A4D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2774560"/>
        <c:axId val="432770952"/>
      </c:barChart>
      <c:catAx>
        <c:axId val="43277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2770952"/>
        <c:crosses val="autoZero"/>
        <c:auto val="1"/>
        <c:lblAlgn val="ctr"/>
        <c:lblOffset val="100"/>
        <c:noMultiLvlLbl val="0"/>
      </c:catAx>
      <c:valAx>
        <c:axId val="432770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2774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EV/EBITDA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'5.3 Multiples'!$B$11:$B$15</c:f>
              <c:strCache>
                <c:ptCount val="5"/>
                <c:pt idx="0">
                  <c:v>Abbott Laboratories (ABT US) - Adj Highlights</c:v>
                </c:pt>
                <c:pt idx="1">
                  <c:v>Bristol-Myers Squibb (BMY US) - Adj Highlights</c:v>
                </c:pt>
                <c:pt idx="2">
                  <c:v>Schering-Plough (SGP US) - Adj Highlights</c:v>
                </c:pt>
                <c:pt idx="3">
                  <c:v>Wyeth LLC (WYE US) - Adj Highlights</c:v>
                </c:pt>
                <c:pt idx="4">
                  <c:v>Eli Lilly &amp; Co (LLY US) - Adj Highlights</c:v>
                </c:pt>
              </c:strCache>
            </c:strRef>
          </c:cat>
          <c:val>
            <c:numRef>
              <c:f>'5.3 Multiples'!$F$11:$F$15</c:f>
              <c:numCache>
                <c:formatCode>#,##0.00</c:formatCode>
                <c:ptCount val="5"/>
                <c:pt idx="0">
                  <c:v>28.92</c:v>
                </c:pt>
                <c:pt idx="1">
                  <c:v>19.28</c:v>
                </c:pt>
                <c:pt idx="2">
                  <c:v>17.21</c:v>
                </c:pt>
                <c:pt idx="3">
                  <c:v>23.7</c:v>
                </c:pt>
                <c:pt idx="4">
                  <c:v>23.57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EF-4A29-A008-FB67DCDEE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5350744"/>
        <c:axId val="535351072"/>
      </c:barChart>
      <c:catAx>
        <c:axId val="535350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35351072"/>
        <c:crosses val="autoZero"/>
        <c:auto val="1"/>
        <c:lblAlgn val="ctr"/>
        <c:lblOffset val="100"/>
        <c:noMultiLvlLbl val="0"/>
      </c:catAx>
      <c:valAx>
        <c:axId val="53535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35350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'5.3 Multiples'!$I$8</c:f>
              <c:strCache>
                <c:ptCount val="1"/>
                <c:pt idx="0">
                  <c:v>Minimum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'5.3 Multiples'!$H$9:$H$12</c:f>
              <c:strCache>
                <c:ptCount val="4"/>
                <c:pt idx="0">
                  <c:v>EV/Sales</c:v>
                </c:pt>
                <c:pt idx="1">
                  <c:v>EV/EBITDA</c:v>
                </c:pt>
                <c:pt idx="2">
                  <c:v>EV/EBIT</c:v>
                </c:pt>
                <c:pt idx="3">
                  <c:v>DCF</c:v>
                </c:pt>
              </c:strCache>
            </c:strRef>
          </c:cat>
          <c:val>
            <c:numRef>
              <c:f>'5.3 Multiples'!$I$9:$I$12</c:f>
              <c:numCache>
                <c:formatCode>#,##0</c:formatCode>
                <c:ptCount val="4"/>
                <c:pt idx="0">
                  <c:v>31820499.999999996</c:v>
                </c:pt>
                <c:pt idx="1">
                  <c:v>48112020</c:v>
                </c:pt>
                <c:pt idx="2">
                  <c:v>42870110</c:v>
                </c:pt>
                <c:pt idx="3">
                  <c:v>48037038.211063869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77-4356-ABC2-027665C9FDF2}"/>
            </c:ext>
          </c:extLst>
        </c:ser>
        <c:ser>
          <c:idx val="1"/>
          <c:order val="1"/>
          <c:tx>
            <c:strRef>
              <c:f>'5.3 Multiples'!$J$8</c:f>
              <c:strCache>
                <c:ptCount val="1"/>
                <c:pt idx="0">
                  <c:v>25th percentile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'5.3 Multiples'!$H$9:$H$12</c:f>
              <c:strCache>
                <c:ptCount val="4"/>
                <c:pt idx="0">
                  <c:v>EV/Sales</c:v>
                </c:pt>
                <c:pt idx="1">
                  <c:v>EV/EBITDA</c:v>
                </c:pt>
                <c:pt idx="2">
                  <c:v>EV/EBIT</c:v>
                </c:pt>
                <c:pt idx="3">
                  <c:v>DCF</c:v>
                </c:pt>
              </c:strCache>
            </c:strRef>
          </c:cat>
          <c:val>
            <c:numRef>
              <c:f>'5.3 Multiples'!$J$9:$J$12</c:f>
              <c:numCache>
                <c:formatCode>#,##0</c:formatCode>
                <c:ptCount val="4"/>
                <c:pt idx="0">
                  <c:v>2075250.0000000037</c:v>
                </c:pt>
                <c:pt idx="1">
                  <c:v>4280760</c:v>
                </c:pt>
                <c:pt idx="2">
                  <c:v>5156370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77-4356-ABC2-027665C9FDF2}"/>
            </c:ext>
          </c:extLst>
        </c:ser>
        <c:ser>
          <c:idx val="2"/>
          <c:order val="2"/>
          <c:tx>
            <c:strRef>
              <c:f>'5.3 Multiples'!$K$8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'5.3 Multiples'!$H$9:$H$12</c:f>
              <c:strCache>
                <c:ptCount val="4"/>
                <c:pt idx="0">
                  <c:v>EV/Sales</c:v>
                </c:pt>
                <c:pt idx="1">
                  <c:v>EV/EBITDA</c:v>
                </c:pt>
                <c:pt idx="2">
                  <c:v>EV/EBIT</c:v>
                </c:pt>
                <c:pt idx="3">
                  <c:v>DCF</c:v>
                </c:pt>
              </c:strCache>
            </c:strRef>
          </c:cat>
          <c:val>
            <c:numRef>
              <c:f>'5.3 Multiples'!$K$9:$K$12</c:f>
              <c:numCache>
                <c:formatCode>#,##0</c:formatCode>
                <c:ptCount val="4"/>
                <c:pt idx="0">
                  <c:v>45378800</c:v>
                </c:pt>
                <c:pt idx="1">
                  <c:v>10732920.000000007</c:v>
                </c:pt>
                <c:pt idx="2">
                  <c:v>10686390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77-4356-ABC2-027665C9FDF2}"/>
            </c:ext>
          </c:extLst>
        </c:ser>
        <c:ser>
          <c:idx val="3"/>
          <c:order val="3"/>
          <c:tx>
            <c:strRef>
              <c:f>'5.3 Multiples'!$L$8</c:f>
              <c:strCache>
                <c:ptCount val="1"/>
                <c:pt idx="0">
                  <c:v>75th percentile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'5.3 Multiples'!$H$9:$H$12</c:f>
              <c:strCache>
                <c:ptCount val="4"/>
                <c:pt idx="0">
                  <c:v>EV/Sales</c:v>
                </c:pt>
                <c:pt idx="1">
                  <c:v>EV/EBITDA</c:v>
                </c:pt>
                <c:pt idx="2">
                  <c:v>EV/EBIT</c:v>
                </c:pt>
                <c:pt idx="3">
                  <c:v>DCF</c:v>
                </c:pt>
              </c:strCache>
            </c:strRef>
          </c:cat>
          <c:val>
            <c:numRef>
              <c:f>'5.3 Multiples'!$L$9:$L$12</c:f>
              <c:numCache>
                <c:formatCode>#,##0</c:formatCode>
                <c:ptCount val="4"/>
                <c:pt idx="0">
                  <c:v>16671175</c:v>
                </c:pt>
                <c:pt idx="1">
                  <c:v>2388539.9999999925</c:v>
                </c:pt>
                <c:pt idx="2">
                  <c:v>6825340.0000000075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77-4356-ABC2-027665C9FDF2}"/>
            </c:ext>
          </c:extLst>
        </c:ser>
        <c:ser>
          <c:idx val="4"/>
          <c:order val="4"/>
          <c:tx>
            <c:strRef>
              <c:f>'5.3 Multiples'!$M$8</c:f>
              <c:strCache>
                <c:ptCount val="1"/>
                <c:pt idx="0">
                  <c:v>Maximum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'5.3 Multiples'!$H$9:$H$12</c:f>
              <c:strCache>
                <c:ptCount val="4"/>
                <c:pt idx="0">
                  <c:v>EV/Sales</c:v>
                </c:pt>
                <c:pt idx="1">
                  <c:v>EV/EBITDA</c:v>
                </c:pt>
                <c:pt idx="2">
                  <c:v>EV/EBIT</c:v>
                </c:pt>
                <c:pt idx="3">
                  <c:v>DCF</c:v>
                </c:pt>
              </c:strCache>
            </c:strRef>
          </c:cat>
          <c:val>
            <c:numRef>
              <c:f>'5.3 Multiples'!$M$9:$M$12</c:f>
              <c:numCache>
                <c:formatCode>#,##0</c:formatCode>
                <c:ptCount val="4"/>
                <c:pt idx="0">
                  <c:v>9476975</c:v>
                </c:pt>
                <c:pt idx="1">
                  <c:v>341220</c:v>
                </c:pt>
                <c:pt idx="2">
                  <c:v>6501509.9999999925</c:v>
                </c:pt>
                <c:pt idx="3">
                  <c:v>73370975.652845114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77-4356-ABC2-027665C9F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9454584"/>
        <c:axId val="549455896"/>
      </c:barChart>
      <c:catAx>
        <c:axId val="549454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49455896"/>
        <c:crosses val="autoZero"/>
        <c:auto val="1"/>
        <c:lblAlgn val="ctr"/>
        <c:lblOffset val="100"/>
        <c:noMultiLvlLbl val="0"/>
      </c:catAx>
      <c:valAx>
        <c:axId val="549455896"/>
        <c:scaling>
          <c:orientation val="minMax"/>
          <c:min val="-2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49454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Expected Growth EPS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'5.5 Value of Control'!$D$84</c:f>
              <c:strCache>
                <c:ptCount val="1"/>
                <c:pt idx="0">
                  <c:v>EPS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6649606299212597E-2"/>
                  <c:y val="-2.819444444444446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'5.5 Value of Control'!$G$83:$K$83</c:f>
              <c:numCache>
                <c:formatCode>0"A"</c:formatCode>
                <c:ptCount val="5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</c:numCache>
            </c:numRef>
          </c:xVal>
          <c:yVal>
            <c:numRef>
              <c:f>'5.5 Value of Control'!$G$84:$K$84</c:f>
              <c:numCache>
                <c:formatCode>General</c:formatCode>
                <c:ptCount val="5"/>
                <c:pt idx="0">
                  <c:v>1.25</c:v>
                </c:pt>
                <c:pt idx="1">
                  <c:v>0.93</c:v>
                </c:pt>
                <c:pt idx="2">
                  <c:v>1.1499999999999999</c:v>
                </c:pt>
                <c:pt idx="3">
                  <c:v>1.17</c:v>
                </c:pt>
                <c:pt idx="4">
                  <c:v>1.44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59-4CDA-86AB-9BC80BE1A2DF}"/>
            </c:ext>
          </c:extLst>
        </c:ser>
        <c:ser>
          <c:idx val="1"/>
          <c:order val="1"/>
          <c:tx>
            <c:strRef>
              <c:f>'5.5 Value of Control'!$D$85</c:f>
              <c:strCache>
                <c:ptCount val="1"/>
                <c:pt idx="0">
                  <c:v>ln(EPS)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9962160979877518E-2"/>
                  <c:y val="-4.771471274424030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'5.5 Value of Control'!$G$83:$K$83</c:f>
              <c:numCache>
                <c:formatCode>0"A"</c:formatCode>
                <c:ptCount val="5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</c:numCache>
            </c:numRef>
          </c:xVal>
          <c:yVal>
            <c:numRef>
              <c:f>'5.5 Value of Control'!$G$85:$K$85</c:f>
              <c:numCache>
                <c:formatCode>General</c:formatCode>
                <c:ptCount val="5"/>
                <c:pt idx="0">
                  <c:v>0.22314355131420976</c:v>
                </c:pt>
                <c:pt idx="1">
                  <c:v>-7.2570692834835374E-2</c:v>
                </c:pt>
                <c:pt idx="2">
                  <c:v>0.13976194237515863</c:v>
                </c:pt>
                <c:pt idx="3">
                  <c:v>0.15700374880966469</c:v>
                </c:pt>
                <c:pt idx="4">
                  <c:v>0.36464311358790924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59-4CDA-86AB-9BC80BE1A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432640"/>
        <c:axId val="434431104"/>
      </c:scatterChart>
      <c:valAx>
        <c:axId val="434432640"/>
        <c:scaling>
          <c:orientation val="minMax"/>
        </c:scaling>
        <c:delete val="0"/>
        <c:axPos val="b"/>
        <c:numFmt formatCode="0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4431104"/>
        <c:crosses val="autoZero"/>
        <c:crossBetween val="midCat"/>
      </c:valAx>
      <c:valAx>
        <c:axId val="43443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4432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Book Value of Capital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635608048993876"/>
                  <c:y val="-3.87386993292505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yVal>
            <c:numRef>
              <c:f>'5.5 Value of Control'!$G$58:$K$58</c:f>
              <c:numCache>
                <c:formatCode>General</c:formatCode>
                <c:ptCount val="5"/>
                <c:pt idx="0">
                  <c:v>7809</c:v>
                </c:pt>
                <c:pt idx="1">
                  <c:v>12314</c:v>
                </c:pt>
                <c:pt idx="2">
                  <c:v>19139</c:v>
                </c:pt>
                <c:pt idx="3">
                  <c:v>16220</c:v>
                </c:pt>
                <c:pt idx="4">
                  <c:v>15472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E7-4335-A505-EE3B82C10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403008"/>
        <c:axId val="433404544"/>
      </c:scatterChart>
      <c:valAx>
        <c:axId val="433403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3404544"/>
        <c:crosses val="autoZero"/>
        <c:crossBetween val="midCat"/>
      </c:valAx>
      <c:valAx>
        <c:axId val="43340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3403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>
                <a:effectLst/>
              </a:rPr>
              <a:t>Accumulated depreciation &amp; impairment</a:t>
            </a:r>
            <a:r>
              <a:rPr lang="fr-FR" sz="1400" b="0" i="0" u="none" strike="noStrike" baseline="0"/>
              <a:t>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1293263342082239"/>
                  <c:y val="8.340624088655584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yVal>
            <c:numRef>
              <c:f>'5.5 Value of Control'!$G$69:$K$69</c:f>
              <c:numCache>
                <c:formatCode>#,##0.0_);\ \(#,##0.0\);\-</c:formatCode>
                <c:ptCount val="5"/>
                <c:pt idx="0">
                  <c:v>-2320</c:v>
                </c:pt>
                <c:pt idx="1">
                  <c:v>-4933</c:v>
                </c:pt>
                <c:pt idx="2">
                  <c:v>-3403</c:v>
                </c:pt>
                <c:pt idx="3">
                  <c:v>-3392</c:v>
                </c:pt>
                <c:pt idx="4">
                  <c:v>-4005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70-4D00-BE1D-165806424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356224"/>
        <c:axId val="434357760"/>
      </c:scatterChart>
      <c:valAx>
        <c:axId val="43435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4357760"/>
        <c:crosses val="autoZero"/>
        <c:crossBetween val="midCat"/>
      </c:valAx>
      <c:valAx>
        <c:axId val="43435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\ \(#,##0.0\);\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435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Book</a:t>
            </a:r>
            <a:r>
              <a:rPr lang="fr-FR" baseline="0"/>
              <a:t> Value of Asset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683530183727034"/>
                  <c:y val="-1.43055555555555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yVal>
            <c:numRef>
              <c:f>'5.5 Value of Control'!$G$68:$K$68</c:f>
              <c:numCache>
                <c:formatCode>#,##0.0_);\ \(#,##0.0\);\-</c:formatCode>
                <c:ptCount val="5"/>
                <c:pt idx="0">
                  <c:v>10847</c:v>
                </c:pt>
                <c:pt idx="1">
                  <c:v>11150</c:v>
                </c:pt>
                <c:pt idx="2">
                  <c:v>13844</c:v>
                </c:pt>
                <c:pt idx="3">
                  <c:v>12893</c:v>
                </c:pt>
                <c:pt idx="4">
                  <c:v>12298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16-4A69-840D-9FBA2284C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617152"/>
        <c:axId val="433618944"/>
      </c:scatterChart>
      <c:valAx>
        <c:axId val="43361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3618944"/>
        <c:crosses val="autoZero"/>
        <c:crossBetween val="midCat"/>
      </c:valAx>
      <c:valAx>
        <c:axId val="43361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\ \(#,##0.0\);\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3617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image" Target="../media/image3.png"/><Relationship Id="rId4" Type="http://schemas.openxmlformats.org/officeDocument/2006/relationships/chart" Target="../charts/chart11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12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image" Target="../media/image3.png"/><Relationship Id="rId4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5" Type="http://schemas.openxmlformats.org/officeDocument/2006/relationships/image" Target="../media/image3.png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7</xdr:row>
      <xdr:rowOff>114300</xdr:rowOff>
    </xdr:from>
    <xdr:to>
      <xdr:col>4</xdr:col>
      <xdr:colOff>152400</xdr:colOff>
      <xdr:row>13</xdr:row>
      <xdr:rowOff>161925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65638F9-715C-4981-BC02-8F6CC21F2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1428750"/>
          <a:ext cx="2228850" cy="1133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247650</xdr:colOff>
      <xdr:row>5</xdr:row>
      <xdr:rowOff>152400</xdr:rowOff>
    </xdr:from>
    <xdr:to>
      <xdr:col>7</xdr:col>
      <xdr:colOff>338138</xdr:colOff>
      <xdr:row>15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6B6F537-1C7A-47FA-8165-0D645CE00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0" y="1104900"/>
          <a:ext cx="2033588" cy="1809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</xdr:colOff>
      <xdr:row>0</xdr:row>
      <xdr:rowOff>4762</xdr:rowOff>
    </xdr:from>
    <xdr:to>
      <xdr:col>2</xdr:col>
      <xdr:colOff>446948</xdr:colOff>
      <xdr:row>3</xdr:row>
      <xdr:rowOff>176211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B89406-0471-498F-B86D-0E9125633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" y="4762"/>
          <a:ext cx="1728061" cy="700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134553</xdr:colOff>
      <xdr:row>4</xdr:row>
      <xdr:rowOff>9524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118AF3-450D-409B-A853-5BE460DBE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3328" cy="7143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52386</xdr:rowOff>
    </xdr:from>
    <xdr:to>
      <xdr:col>0</xdr:col>
      <xdr:colOff>1301007</xdr:colOff>
      <xdr:row>2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379B19-11AA-408E-ACC0-8CC1B22BD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52386"/>
          <a:ext cx="1234332" cy="500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369665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03CDA5-104F-4BA1-82C8-0A3279202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98440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66115</xdr:colOff>
      <xdr:row>26</xdr:row>
      <xdr:rowOff>120465</xdr:rowOff>
    </xdr:from>
    <xdr:to>
      <xdr:col>15</xdr:col>
      <xdr:colOff>66115</xdr:colOff>
      <xdr:row>43</xdr:row>
      <xdr:rowOff>55471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565897</xdr:colOff>
      <xdr:row>27</xdr:row>
      <xdr:rowOff>22909</xdr:rowOff>
    </xdr:from>
    <xdr:to>
      <xdr:col>7</xdr:col>
      <xdr:colOff>565898</xdr:colOff>
      <xdr:row>41</xdr:row>
      <xdr:rowOff>91639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28014</xdr:colOff>
      <xdr:row>44</xdr:row>
      <xdr:rowOff>39220</xdr:rowOff>
    </xdr:from>
    <xdr:to>
      <xdr:col>8</xdr:col>
      <xdr:colOff>28016</xdr:colOff>
      <xdr:row>58</xdr:row>
      <xdr:rowOff>107950</xdr:rowOff>
    </xdr:to>
    <xdr:graphicFrame macro="">
      <xdr:nvGraphicFramePr>
        <xdr:cNvPr id="5" name="Graphique 3">
          <a:extLst>
            <a:ext uri="{FF2B5EF4-FFF2-40B4-BE49-F238E27FC236}">
              <a16:creationId xmlns:a16="http://schemas.microsoft.com/office/drawing/2014/main" id="{3A02301B-C06A-4C62-B689-7F8B4E172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66115</xdr:colOff>
      <xdr:row>26</xdr:row>
      <xdr:rowOff>120465</xdr:rowOff>
    </xdr:from>
    <xdr:to>
      <xdr:col>15</xdr:col>
      <xdr:colOff>66115</xdr:colOff>
      <xdr:row>43</xdr:row>
      <xdr:rowOff>55471</xdr:rowOff>
    </xdr:to>
    <xdr:graphicFrame macro="">
      <xdr:nvGraphicFramePr>
        <xdr:cNvPr id="6" name="Graphique 1">
          <a:extLst>
            <a:ext uri="{FF2B5EF4-FFF2-40B4-BE49-F238E27FC236}">
              <a16:creationId xmlns:a16="http://schemas.microsoft.com/office/drawing/2014/main" id="{E21F47D7-7B7C-49F2-8C81-EF2B04972D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565897</xdr:colOff>
      <xdr:row>27</xdr:row>
      <xdr:rowOff>22909</xdr:rowOff>
    </xdr:from>
    <xdr:to>
      <xdr:col>8</xdr:col>
      <xdr:colOff>565898</xdr:colOff>
      <xdr:row>41</xdr:row>
      <xdr:rowOff>91639</xdr:rowOff>
    </xdr:to>
    <xdr:graphicFrame macro="">
      <xdr:nvGraphicFramePr>
        <xdr:cNvPr id="7" name="Graphique 3">
          <a:extLst>
            <a:ext uri="{FF2B5EF4-FFF2-40B4-BE49-F238E27FC236}">
              <a16:creationId xmlns:a16="http://schemas.microsoft.com/office/drawing/2014/main" id="{BA10B650-E500-4B99-A73C-C3C0217CF5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28014</xdr:colOff>
      <xdr:row>44</xdr:row>
      <xdr:rowOff>39220</xdr:rowOff>
    </xdr:from>
    <xdr:to>
      <xdr:col>9</xdr:col>
      <xdr:colOff>0</xdr:colOff>
      <xdr:row>58</xdr:row>
      <xdr:rowOff>107950</xdr:rowOff>
    </xdr:to>
    <xdr:graphicFrame macro="">
      <xdr:nvGraphicFramePr>
        <xdr:cNvPr id="8" name="Graphique 3">
          <a:extLst>
            <a:ext uri="{FF2B5EF4-FFF2-40B4-BE49-F238E27FC236}">
              <a16:creationId xmlns:a16="http://schemas.microsoft.com/office/drawing/2014/main" id="{2A7237AF-6DCD-4B54-969F-3591759B5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84045</xdr:colOff>
      <xdr:row>1</xdr:row>
      <xdr:rowOff>140074</xdr:rowOff>
    </xdr:from>
    <xdr:to>
      <xdr:col>0</xdr:col>
      <xdr:colOff>1151185</xdr:colOff>
      <xdr:row>4</xdr:row>
      <xdr:rowOff>44825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90AFDC-2C27-4336-B9E9-52CF82B98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45" y="319368"/>
          <a:ext cx="1067140" cy="4515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88899</xdr:rowOff>
    </xdr:from>
    <xdr:to>
      <xdr:col>0</xdr:col>
      <xdr:colOff>1169504</xdr:colOff>
      <xdr:row>2</xdr:row>
      <xdr:rowOff>186266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A0C4F1-B3D8-4E4D-966D-612101FE7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899"/>
          <a:ext cx="1169504" cy="4868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185738</xdr:colOff>
      <xdr:row>0</xdr:row>
      <xdr:rowOff>128588</xdr:rowOff>
    </xdr:from>
    <xdr:to>
      <xdr:col>0</xdr:col>
      <xdr:colOff>1420070</xdr:colOff>
      <xdr:row>3</xdr:row>
      <xdr:rowOff>38101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F421E6-7AA9-424A-85FF-9D84A7F47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8" y="128588"/>
          <a:ext cx="1234332" cy="500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80962</xdr:colOff>
      <xdr:row>0</xdr:row>
      <xdr:rowOff>71437</xdr:rowOff>
    </xdr:from>
    <xdr:to>
      <xdr:col>0</xdr:col>
      <xdr:colOff>1315294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5CF4C9-F57A-4710-AA5F-7393AA6FD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" y="71437"/>
          <a:ext cx="1234332" cy="500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281668</xdr:colOff>
      <xdr:row>27</xdr:row>
      <xdr:rowOff>123266</xdr:rowOff>
    </xdr:from>
    <xdr:to>
      <xdr:col>7</xdr:col>
      <xdr:colOff>1680882</xdr:colOff>
      <xdr:row>44</xdr:row>
      <xdr:rowOff>168090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EF9CF8F-7148-4FFE-907A-056BB418C2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106456</xdr:colOff>
      <xdr:row>1</xdr:row>
      <xdr:rowOff>106455</xdr:rowOff>
    </xdr:from>
    <xdr:to>
      <xdr:col>0</xdr:col>
      <xdr:colOff>1340788</xdr:colOff>
      <xdr:row>4</xdr:row>
      <xdr:rowOff>41742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74B207-CBA2-44A0-AAF5-08335DEB6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456" y="280147"/>
          <a:ext cx="1234332" cy="500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809624</xdr:colOff>
      <xdr:row>0</xdr:row>
      <xdr:rowOff>9525</xdr:rowOff>
    </xdr:from>
    <xdr:to>
      <xdr:col>5</xdr:col>
      <xdr:colOff>106280</xdr:colOff>
      <xdr:row>4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C73DA4B-CE8B-4C1D-B026-979F2FF1A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399" y="9525"/>
          <a:ext cx="1739819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142875</xdr:rowOff>
    </xdr:from>
    <xdr:to>
      <xdr:col>1</xdr:col>
      <xdr:colOff>3702</xdr:colOff>
      <xdr:row>3</xdr:row>
      <xdr:rowOff>58103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3F8028-D997-454C-B028-9C2D08A59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42875"/>
          <a:ext cx="1234332" cy="500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90487</xdr:colOff>
      <xdr:row>1</xdr:row>
      <xdr:rowOff>28575</xdr:rowOff>
    </xdr:from>
    <xdr:to>
      <xdr:col>0</xdr:col>
      <xdr:colOff>1324819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B62430-6F18-4B33-885A-884EF9EBB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" y="247650"/>
          <a:ext cx="1234332" cy="500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99287</xdr:colOff>
      <xdr:row>3</xdr:row>
      <xdr:rowOff>171449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250C9A-1C5E-4826-9202-D1B0A5809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28062" cy="700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31749</xdr:colOff>
      <xdr:row>83</xdr:row>
      <xdr:rowOff>80434</xdr:rowOff>
    </xdr:from>
    <xdr:to>
      <xdr:col>7</xdr:col>
      <xdr:colOff>752474</xdr:colOff>
      <xdr:row>98</xdr:row>
      <xdr:rowOff>124884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481853</xdr:colOff>
      <xdr:row>48</xdr:row>
      <xdr:rowOff>29136</xdr:rowOff>
    </xdr:from>
    <xdr:to>
      <xdr:col>21</xdr:col>
      <xdr:colOff>257735</xdr:colOff>
      <xdr:row>76</xdr:row>
      <xdr:rowOff>15689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347382</xdr:colOff>
      <xdr:row>48</xdr:row>
      <xdr:rowOff>40341</xdr:rowOff>
    </xdr:from>
    <xdr:to>
      <xdr:col>27</xdr:col>
      <xdr:colOff>347382</xdr:colOff>
      <xdr:row>74</xdr:row>
      <xdr:rowOff>38099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414618</xdr:colOff>
      <xdr:row>48</xdr:row>
      <xdr:rowOff>40342</xdr:rowOff>
    </xdr:from>
    <xdr:to>
      <xdr:col>33</xdr:col>
      <xdr:colOff>414618</xdr:colOff>
      <xdr:row>65</xdr:row>
      <xdr:rowOff>60512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71438</xdr:colOff>
      <xdr:row>0</xdr:row>
      <xdr:rowOff>95250</xdr:rowOff>
    </xdr:from>
    <xdr:to>
      <xdr:col>0</xdr:col>
      <xdr:colOff>1305770</xdr:colOff>
      <xdr:row>2</xdr:row>
      <xdr:rowOff>154782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B98FDCF-D5F1-46E8-A92E-580AF94BB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8" y="95250"/>
          <a:ext cx="1234332" cy="500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25</xdr:row>
      <xdr:rowOff>169545</xdr:rowOff>
    </xdr:from>
    <xdr:to>
      <xdr:col>5</xdr:col>
      <xdr:colOff>874395</xdr:colOff>
      <xdr:row>40</xdr:row>
      <xdr:rowOff>70485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123825</xdr:colOff>
      <xdr:row>0</xdr:row>
      <xdr:rowOff>61913</xdr:rowOff>
    </xdr:from>
    <xdr:to>
      <xdr:col>0</xdr:col>
      <xdr:colOff>1358157</xdr:colOff>
      <xdr:row>2</xdr:row>
      <xdr:rowOff>156211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8DC815-BE5B-46F9-B9CC-8C12CCFC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61913"/>
          <a:ext cx="1234332" cy="500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1463040</xdr:colOff>
      <xdr:row>82</xdr:row>
      <xdr:rowOff>40494</xdr:rowOff>
    </xdr:from>
    <xdr:to>
      <xdr:col>5</xdr:col>
      <xdr:colOff>457200</xdr:colOff>
      <xdr:row>97</xdr:row>
      <xdr:rowOff>40493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1447800</xdr:colOff>
      <xdr:row>49</xdr:row>
      <xdr:rowOff>103600</xdr:rowOff>
    </xdr:from>
    <xdr:to>
      <xdr:col>5</xdr:col>
      <xdr:colOff>956310</xdr:colOff>
      <xdr:row>64</xdr:row>
      <xdr:rowOff>103600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1457325</xdr:colOff>
      <xdr:row>66</xdr:row>
      <xdr:rowOff>44546</xdr:rowOff>
    </xdr:from>
    <xdr:to>
      <xdr:col>5</xdr:col>
      <xdr:colOff>965835</xdr:colOff>
      <xdr:row>81</xdr:row>
      <xdr:rowOff>44546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583097</xdr:colOff>
      <xdr:row>16</xdr:row>
      <xdr:rowOff>188844</xdr:rowOff>
    </xdr:from>
    <xdr:to>
      <xdr:col>12</xdr:col>
      <xdr:colOff>960783</xdr:colOff>
      <xdr:row>29</xdr:row>
      <xdr:rowOff>175592</xdr:rowOff>
    </xdr:to>
    <xdr:graphicFrame macro="">
      <xdr:nvGraphicFramePr>
        <xdr:cNvPr id="8" name="Diagramm 12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95249</xdr:colOff>
      <xdr:row>1</xdr:row>
      <xdr:rowOff>68036</xdr:rowOff>
    </xdr:from>
    <xdr:to>
      <xdr:col>0</xdr:col>
      <xdr:colOff>1329581</xdr:colOff>
      <xdr:row>4</xdr:row>
      <xdr:rowOff>78242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EE87D64-DEC6-4813-BEED-AF9D6D211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49" y="244929"/>
          <a:ext cx="1234332" cy="500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130969</xdr:colOff>
      <xdr:row>0</xdr:row>
      <xdr:rowOff>172641</xdr:rowOff>
    </xdr:from>
    <xdr:to>
      <xdr:col>0</xdr:col>
      <xdr:colOff>1717964</xdr:colOff>
      <xdr:row>4</xdr:row>
      <xdr:rowOff>53578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4E5DD7-6DE1-40D4-80DA-80A56BE37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9" y="172641"/>
          <a:ext cx="1586995" cy="6429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12699</xdr:colOff>
      <xdr:row>86</xdr:row>
      <xdr:rowOff>70909</xdr:rowOff>
    </xdr:from>
    <xdr:to>
      <xdr:col>8</xdr:col>
      <xdr:colOff>400049</xdr:colOff>
      <xdr:row>101</xdr:row>
      <xdr:rowOff>115359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FA10158-509A-4915-AD98-58B022452E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43703</xdr:colOff>
      <xdr:row>51</xdr:row>
      <xdr:rowOff>95811</xdr:rowOff>
    </xdr:from>
    <xdr:to>
      <xdr:col>25</xdr:col>
      <xdr:colOff>57710</xdr:colOff>
      <xdr:row>79</xdr:row>
      <xdr:rowOff>101414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5688ABF-8732-4EF4-9304-C2E603CCD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23532</xdr:colOff>
      <xdr:row>21</xdr:row>
      <xdr:rowOff>21291</xdr:rowOff>
    </xdr:from>
    <xdr:to>
      <xdr:col>25</xdr:col>
      <xdr:colOff>23532</xdr:colOff>
      <xdr:row>50</xdr:row>
      <xdr:rowOff>19049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E5E1FA15-96D0-4826-8B8D-574C50F283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33618</xdr:colOff>
      <xdr:row>81</xdr:row>
      <xdr:rowOff>2242</xdr:rowOff>
    </xdr:from>
    <xdr:to>
      <xdr:col>25</xdr:col>
      <xdr:colOff>33618</xdr:colOff>
      <xdr:row>98</xdr:row>
      <xdr:rowOff>22412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75D79F55-793E-41E2-AE66-EABD1670A1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190499</xdr:colOff>
      <xdr:row>0</xdr:row>
      <xdr:rowOff>129268</xdr:rowOff>
    </xdr:from>
    <xdr:to>
      <xdr:col>1</xdr:col>
      <xdr:colOff>301750</xdr:colOff>
      <xdr:row>4</xdr:row>
      <xdr:rowOff>65315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8E8346-9637-42E2-85B7-6FC0B8CED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99" y="129268"/>
          <a:ext cx="1776765" cy="719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dministrator/Desktop/EVA/terminal-multipl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Luka%20T/Downloads/170401-EBS-Operating-Model-Lecture-1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Documents%20and%20Settings/Administrator/My%20Documents/M&amp;A%20Mod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Acc-Dil"/>
      <sheetName val="Contrib"/>
      <sheetName val="PPR"/>
      <sheetName val="S&amp;U"/>
      <sheetName val="GAAP"/>
      <sheetName val="PF BS"/>
      <sheetName val="PF P&amp;L"/>
      <sheetName val="Buyer P&amp;L"/>
      <sheetName val="Target P&amp;L"/>
      <sheetName val="DCF"/>
    </sheetNames>
    <sheetDataSet>
      <sheetData sheetId="0">
        <row r="7">
          <cell r="T7">
            <v>3</v>
          </cell>
        </row>
        <row r="8">
          <cell r="H8" t="str">
            <v>BuyerCo</v>
          </cell>
          <cell r="L8" t="str">
            <v>TargetCo</v>
          </cell>
          <cell r="T8">
            <v>0.4</v>
          </cell>
        </row>
        <row r="11">
          <cell r="J11">
            <v>31.75</v>
          </cell>
          <cell r="N11">
            <v>12.81</v>
          </cell>
          <cell r="T11">
            <v>1</v>
          </cell>
        </row>
        <row r="12">
          <cell r="T12">
            <v>0</v>
          </cell>
        </row>
        <row r="13">
          <cell r="T13">
            <v>0</v>
          </cell>
        </row>
        <row r="16">
          <cell r="T16">
            <v>0.06</v>
          </cell>
        </row>
        <row r="20">
          <cell r="T20">
            <v>0.02</v>
          </cell>
        </row>
        <row r="21">
          <cell r="T21">
            <v>100</v>
          </cell>
        </row>
        <row r="24">
          <cell r="T24">
            <v>30</v>
          </cell>
        </row>
        <row r="28">
          <cell r="T28">
            <v>1</v>
          </cell>
        </row>
        <row r="32">
          <cell r="H32">
            <v>39355</v>
          </cell>
        </row>
        <row r="39">
          <cell r="T39">
            <v>0.13768115942028988</v>
          </cell>
        </row>
        <row r="40">
          <cell r="T40" t="str">
            <v>FY</v>
          </cell>
        </row>
        <row r="41">
          <cell r="T41" t="str">
            <v>Cash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Assumptions"/>
      <sheetName val="Income Statement"/>
      <sheetName val="Balance Sheet"/>
      <sheetName val="Cash Flow Statement"/>
      <sheetName val="LBO Control"/>
      <sheetName val="LBO Model"/>
      <sheetName val="DCF Model"/>
    </sheetNames>
    <sheetDataSet>
      <sheetData sheetId="0">
        <row r="5">
          <cell r="D5" t="str">
            <v>Project EBS</v>
          </cell>
        </row>
        <row r="9">
          <cell r="D9" t="str">
            <v>€m</v>
          </cell>
        </row>
        <row r="11">
          <cell r="D11">
            <v>2017</v>
          </cell>
        </row>
        <row r="13">
          <cell r="D13">
            <v>1</v>
          </cell>
        </row>
      </sheetData>
      <sheetData sheetId="1">
        <row r="15">
          <cell r="F15">
            <v>68</v>
          </cell>
        </row>
      </sheetData>
      <sheetData sheetId="2">
        <row r="7">
          <cell r="F7">
            <v>936.47600000000011</v>
          </cell>
        </row>
      </sheetData>
      <sheetData sheetId="3">
        <row r="13">
          <cell r="D13">
            <v>262.8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Merger --&gt;&gt;"/>
      <sheetName val="Contribution"/>
      <sheetName val="Acc-Dil"/>
      <sheetName val="PPR"/>
      <sheetName val="S&amp;U"/>
      <sheetName val="GAAP"/>
      <sheetName val="Pro Forma --&gt;&gt;"/>
      <sheetName val="BS"/>
      <sheetName val="IS"/>
      <sheetName val="Inputs --&gt;&gt;"/>
      <sheetName val="Acquirer"/>
      <sheetName val="Target"/>
      <sheetName val="Valuation --&gt;&gt;"/>
      <sheetName val="LBO"/>
      <sheetName val="D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34">
          <cell r="AF34">
            <v>2.7799999999999998E-2</v>
          </cell>
        </row>
      </sheetData>
      <sheetData sheetId="15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0C2E9-1F77-48A4-91C5-34B99E58233F}">
  <dimension ref="B2:K28"/>
  <sheetViews>
    <sheetView tabSelected="1" zoomScale="90" zoomScaleNormal="90" workbookViewId="0">
      <selection activeCell="K21" sqref="K21"/>
    </sheetView>
  </sheetViews>
  <sheetFormatPr baseColWidth="10" defaultColWidth="9" defaultRowHeight="15"/>
  <cols>
    <col min="1" max="16384" width="9" style="608"/>
  </cols>
  <sheetData>
    <row r="2" spans="2:11" ht="29">
      <c r="B2" s="641" t="s">
        <v>732</v>
      </c>
      <c r="C2" s="641"/>
      <c r="D2" s="641"/>
      <c r="E2" s="641"/>
      <c r="F2" s="641"/>
      <c r="G2" s="641"/>
      <c r="H2" s="641"/>
      <c r="I2" s="641"/>
      <c r="J2" s="641"/>
      <c r="K2" s="641"/>
    </row>
    <row r="4" spans="2:11" ht="19">
      <c r="B4" s="609" t="s">
        <v>733</v>
      </c>
    </row>
    <row r="5" spans="2:11" ht="19">
      <c r="B5" s="609"/>
    </row>
    <row r="6" spans="2:11">
      <c r="B6" s="613" t="s">
        <v>738</v>
      </c>
    </row>
    <row r="7" spans="2:11">
      <c r="B7"/>
    </row>
    <row r="15" spans="2:11">
      <c r="E15"/>
    </row>
    <row r="17" spans="2:11">
      <c r="B17" s="608" t="s">
        <v>734</v>
      </c>
    </row>
    <row r="18" spans="2:11">
      <c r="J18" s="610"/>
      <c r="K18" s="610"/>
    </row>
    <row r="19" spans="2:11">
      <c r="B19" s="611" t="s">
        <v>735</v>
      </c>
      <c r="C19" s="611"/>
      <c r="D19" s="612"/>
      <c r="E19" s="612"/>
      <c r="F19" s="612"/>
      <c r="G19" s="612"/>
      <c r="J19" s="610"/>
      <c r="K19" s="610"/>
    </row>
    <row r="20" spans="2:11">
      <c r="J20" s="610"/>
      <c r="K20" s="610"/>
    </row>
    <row r="21" spans="2:11">
      <c r="J21" s="610"/>
      <c r="K21" s="610"/>
    </row>
    <row r="22" spans="2:11">
      <c r="J22" s="610"/>
      <c r="K22" s="610"/>
    </row>
    <row r="23" spans="2:11">
      <c r="J23" s="610"/>
      <c r="K23" s="610"/>
    </row>
    <row r="24" spans="2:11">
      <c r="J24" s="610"/>
      <c r="K24" s="610"/>
    </row>
    <row r="25" spans="2:11">
      <c r="B25" s="608" t="s">
        <v>736</v>
      </c>
      <c r="J25" s="610"/>
      <c r="K25" s="610"/>
    </row>
    <row r="26" spans="2:11">
      <c r="B26" s="608" t="s">
        <v>737</v>
      </c>
      <c r="J26" s="610"/>
      <c r="K26" s="610"/>
    </row>
    <row r="27" spans="2:11">
      <c r="J27" s="610"/>
      <c r="K27" s="610"/>
    </row>
    <row r="28" spans="2:11">
      <c r="J28" s="610"/>
      <c r="K28" s="610"/>
    </row>
  </sheetData>
  <mergeCells count="1">
    <mergeCell ref="B2:K2"/>
  </mergeCells>
  <phoneticPr fontId="17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B6A05-77D5-4C77-9CD0-83A128CFA4C3}">
  <sheetPr>
    <tabColor theme="2" tint="-0.249977111117893"/>
  </sheetPr>
  <dimension ref="A1"/>
  <sheetViews>
    <sheetView workbookViewId="0">
      <selection activeCell="C10" sqref="C10"/>
    </sheetView>
  </sheetViews>
  <sheetFormatPr baseColWidth="10" defaultColWidth="9.1640625" defaultRowHeight="15"/>
  <cols>
    <col min="1" max="16384" width="9.1640625" style="31"/>
  </cols>
  <sheetData/>
  <phoneticPr fontId="17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39953-7540-4CE8-8AFF-6A51C1582ECB}">
  <sheetPr>
    <tabColor theme="2" tint="-0.249977111117893"/>
  </sheetPr>
  <dimension ref="A1:R61"/>
  <sheetViews>
    <sheetView zoomScale="55" zoomScaleNormal="55" workbookViewId="0">
      <selection activeCell="A2" sqref="A2"/>
    </sheetView>
  </sheetViews>
  <sheetFormatPr baseColWidth="10" defaultColWidth="9" defaultRowHeight="15"/>
  <cols>
    <col min="1" max="1" width="35.1640625" style="608" customWidth="1"/>
    <col min="2" max="2" width="0" style="608" hidden="1" customWidth="1"/>
    <col min="3" max="18" width="11.83203125" style="608" customWidth="1"/>
    <col min="19" max="16384" width="9" style="608"/>
  </cols>
  <sheetData>
    <row r="1" spans="1:18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ht="20">
      <c r="A2" s="9" t="s">
        <v>612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18">
      <c r="A4" s="11" t="s">
        <v>405</v>
      </c>
      <c r="B4" s="11"/>
      <c r="C4" s="12" t="s">
        <v>406</v>
      </c>
      <c r="D4" s="12" t="s">
        <v>407</v>
      </c>
      <c r="E4" s="12" t="s">
        <v>408</v>
      </c>
      <c r="F4" s="12" t="s">
        <v>409</v>
      </c>
      <c r="G4" s="12" t="s">
        <v>410</v>
      </c>
      <c r="H4" s="12" t="s">
        <v>411</v>
      </c>
      <c r="I4" s="12" t="s">
        <v>412</v>
      </c>
      <c r="J4" s="12" t="s">
        <v>413</v>
      </c>
      <c r="K4" s="12" t="s">
        <v>414</v>
      </c>
      <c r="L4" s="12" t="s">
        <v>415</v>
      </c>
      <c r="M4" s="12" t="s">
        <v>416</v>
      </c>
      <c r="N4" s="12" t="s">
        <v>417</v>
      </c>
      <c r="O4" s="12" t="s">
        <v>418</v>
      </c>
      <c r="P4" s="12" t="s">
        <v>419</v>
      </c>
      <c r="Q4" s="12" t="s">
        <v>420</v>
      </c>
      <c r="R4" s="12" t="s">
        <v>421</v>
      </c>
    </row>
    <row r="5" spans="1:18">
      <c r="A5" s="13" t="s">
        <v>422</v>
      </c>
      <c r="B5" s="13"/>
      <c r="C5" s="14" t="s">
        <v>423</v>
      </c>
      <c r="D5" s="14" t="s">
        <v>424</v>
      </c>
      <c r="E5" s="14" t="s">
        <v>425</v>
      </c>
      <c r="F5" s="14" t="s">
        <v>426</v>
      </c>
      <c r="G5" s="14" t="s">
        <v>427</v>
      </c>
      <c r="H5" s="14" t="s">
        <v>428</v>
      </c>
      <c r="I5" s="14" t="s">
        <v>429</v>
      </c>
      <c r="J5" s="14" t="s">
        <v>430</v>
      </c>
      <c r="K5" s="14" t="s">
        <v>431</v>
      </c>
      <c r="L5" s="14" t="s">
        <v>432</v>
      </c>
      <c r="M5" s="14" t="s">
        <v>433</v>
      </c>
      <c r="N5" s="14" t="s">
        <v>434</v>
      </c>
      <c r="O5" s="14" t="s">
        <v>435</v>
      </c>
      <c r="P5" s="14" t="s">
        <v>436</v>
      </c>
      <c r="Q5" s="14" t="s">
        <v>437</v>
      </c>
      <c r="R5" s="14" t="s">
        <v>438</v>
      </c>
    </row>
    <row r="6" spans="1:18">
      <c r="A6" s="6" t="s">
        <v>35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</row>
    <row r="7" spans="1:18">
      <c r="A7" s="17" t="s">
        <v>613</v>
      </c>
      <c r="B7" s="17" t="s">
        <v>614</v>
      </c>
      <c r="C7" s="18">
        <v>180</v>
      </c>
      <c r="D7" s="18">
        <v>203</v>
      </c>
      <c r="E7" s="18">
        <v>198</v>
      </c>
      <c r="F7" s="18">
        <v>183</v>
      </c>
      <c r="G7" s="18">
        <v>189</v>
      </c>
      <c r="H7" s="18">
        <v>729</v>
      </c>
      <c r="I7" s="18">
        <v>273</v>
      </c>
      <c r="J7" s="18">
        <v>507</v>
      </c>
      <c r="K7" s="18">
        <v>297</v>
      </c>
      <c r="L7" s="18">
        <v>166</v>
      </c>
      <c r="M7" s="18">
        <v>134</v>
      </c>
      <c r="N7" s="18">
        <v>89</v>
      </c>
      <c r="O7" s="18">
        <v>1600</v>
      </c>
      <c r="P7" s="18">
        <v>2035</v>
      </c>
      <c r="Q7" s="18">
        <v>1276</v>
      </c>
      <c r="R7" s="18">
        <v>2241</v>
      </c>
    </row>
    <row r="8" spans="1:18">
      <c r="A8" s="17" t="s">
        <v>615</v>
      </c>
      <c r="B8" s="17" t="s">
        <v>616</v>
      </c>
      <c r="C8" s="18">
        <v>43</v>
      </c>
      <c r="D8" s="18">
        <v>18</v>
      </c>
      <c r="E8" s="18">
        <v>55</v>
      </c>
      <c r="F8" s="18">
        <v>21</v>
      </c>
      <c r="G8" s="18" t="s">
        <v>464</v>
      </c>
      <c r="H8" s="18" t="s">
        <v>464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138</v>
      </c>
      <c r="P8" s="18">
        <v>35</v>
      </c>
      <c r="Q8" s="18">
        <v>119</v>
      </c>
      <c r="R8" s="18">
        <v>469</v>
      </c>
    </row>
    <row r="9" spans="1:18">
      <c r="A9" s="17" t="s">
        <v>617</v>
      </c>
      <c r="B9" s="17" t="s">
        <v>618</v>
      </c>
      <c r="C9" s="18">
        <v>1209</v>
      </c>
      <c r="D9" s="18">
        <v>1234</v>
      </c>
      <c r="E9" s="18">
        <v>1309</v>
      </c>
      <c r="F9" s="18">
        <v>1498</v>
      </c>
      <c r="G9" s="18">
        <v>1594</v>
      </c>
      <c r="H9" s="18">
        <v>1405</v>
      </c>
      <c r="I9" s="18">
        <v>1445</v>
      </c>
      <c r="J9" s="18">
        <v>1530</v>
      </c>
      <c r="K9" s="18">
        <v>1629</v>
      </c>
      <c r="L9" s="18">
        <v>1515</v>
      </c>
      <c r="M9" s="18">
        <v>1823</v>
      </c>
      <c r="N9" s="18">
        <v>2119</v>
      </c>
      <c r="O9" s="18">
        <v>4131</v>
      </c>
      <c r="P9" s="18">
        <v>2510</v>
      </c>
      <c r="Q9" s="18">
        <v>2433</v>
      </c>
      <c r="R9" s="18">
        <v>2457</v>
      </c>
    </row>
    <row r="10" spans="1:18">
      <c r="A10" s="17" t="s">
        <v>619</v>
      </c>
      <c r="B10" s="17" t="s">
        <v>620</v>
      </c>
      <c r="C10" s="18">
        <v>1081</v>
      </c>
      <c r="D10" s="18">
        <v>1170</v>
      </c>
      <c r="E10" s="18">
        <v>1197</v>
      </c>
      <c r="F10" s="18">
        <v>1270</v>
      </c>
      <c r="G10" s="18">
        <v>1349</v>
      </c>
      <c r="H10" s="18">
        <v>1156</v>
      </c>
      <c r="I10" s="18">
        <v>1224</v>
      </c>
      <c r="J10" s="18">
        <v>1212</v>
      </c>
      <c r="K10" s="18">
        <v>1368</v>
      </c>
      <c r="L10" s="18">
        <v>1183</v>
      </c>
      <c r="M10" s="18">
        <v>1374</v>
      </c>
      <c r="N10" s="18">
        <v>1722</v>
      </c>
      <c r="O10" s="18">
        <v>2905</v>
      </c>
      <c r="P10" s="18">
        <v>1519</v>
      </c>
      <c r="Q10" s="18">
        <v>1683</v>
      </c>
      <c r="R10" s="18">
        <v>2177</v>
      </c>
    </row>
    <row r="11" spans="1:18">
      <c r="A11" s="17" t="s">
        <v>621</v>
      </c>
      <c r="B11" s="17" t="s">
        <v>622</v>
      </c>
      <c r="C11" s="18">
        <v>490</v>
      </c>
      <c r="D11" s="18">
        <v>472</v>
      </c>
      <c r="E11" s="18">
        <v>489</v>
      </c>
      <c r="F11" s="18">
        <v>541</v>
      </c>
      <c r="G11" s="18">
        <v>579</v>
      </c>
      <c r="H11" s="18">
        <v>770</v>
      </c>
      <c r="I11" s="18">
        <v>730</v>
      </c>
      <c r="J11" s="18">
        <v>634</v>
      </c>
      <c r="K11" s="18">
        <v>1011</v>
      </c>
      <c r="L11" s="18">
        <v>1476</v>
      </c>
      <c r="M11" s="18">
        <v>935</v>
      </c>
      <c r="N11" s="18">
        <v>1265</v>
      </c>
      <c r="O11" s="18">
        <v>1908</v>
      </c>
      <c r="P11" s="18">
        <v>2139</v>
      </c>
      <c r="Q11" s="18">
        <v>2152</v>
      </c>
      <c r="R11" s="18">
        <v>1936</v>
      </c>
    </row>
    <row r="12" spans="1:18">
      <c r="A12" s="6" t="s">
        <v>623</v>
      </c>
      <c r="B12" s="6" t="s">
        <v>624</v>
      </c>
      <c r="C12" s="15">
        <v>3003</v>
      </c>
      <c r="D12" s="15">
        <v>3097</v>
      </c>
      <c r="E12" s="15">
        <v>3248</v>
      </c>
      <c r="F12" s="15">
        <v>3513</v>
      </c>
      <c r="G12" s="15">
        <v>3711</v>
      </c>
      <c r="H12" s="15">
        <v>4060</v>
      </c>
      <c r="I12" s="15">
        <v>3672</v>
      </c>
      <c r="J12" s="15">
        <v>3883</v>
      </c>
      <c r="K12" s="15">
        <v>4305</v>
      </c>
      <c r="L12" s="15">
        <v>4340</v>
      </c>
      <c r="M12" s="15">
        <v>4266</v>
      </c>
      <c r="N12" s="15">
        <v>5195</v>
      </c>
      <c r="O12" s="15">
        <v>10682</v>
      </c>
      <c r="P12" s="15">
        <v>8238</v>
      </c>
      <c r="Q12" s="15">
        <v>7663</v>
      </c>
      <c r="R12" s="15">
        <v>9280</v>
      </c>
    </row>
    <row r="13" spans="1:18">
      <c r="A13" s="17" t="s">
        <v>625</v>
      </c>
      <c r="B13" s="17" t="s">
        <v>626</v>
      </c>
      <c r="C13" s="18">
        <v>240</v>
      </c>
      <c r="D13" s="18">
        <v>205</v>
      </c>
      <c r="E13" s="18">
        <v>204</v>
      </c>
      <c r="F13" s="18">
        <v>248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476</v>
      </c>
      <c r="P13" s="18">
        <v>349</v>
      </c>
      <c r="Q13" s="18">
        <v>288</v>
      </c>
      <c r="R13" s="18">
        <v>287</v>
      </c>
    </row>
    <row r="14" spans="1:18">
      <c r="A14" s="17" t="s">
        <v>627</v>
      </c>
      <c r="B14" s="17" t="s">
        <v>628</v>
      </c>
      <c r="C14" s="18">
        <v>3076</v>
      </c>
      <c r="D14" s="18">
        <v>3146</v>
      </c>
      <c r="E14" s="18">
        <v>3173</v>
      </c>
      <c r="F14" s="18">
        <v>3492</v>
      </c>
      <c r="G14" s="18">
        <v>3191</v>
      </c>
      <c r="H14" s="18">
        <v>3005</v>
      </c>
      <c r="I14" s="18">
        <v>2802</v>
      </c>
      <c r="J14" s="18">
        <v>2817</v>
      </c>
      <c r="K14" s="18">
        <v>2832</v>
      </c>
      <c r="L14" s="18">
        <v>2095</v>
      </c>
      <c r="M14" s="18">
        <v>2400</v>
      </c>
      <c r="N14" s="18">
        <v>2865</v>
      </c>
      <c r="O14" s="18">
        <v>6825</v>
      </c>
      <c r="P14" s="18">
        <v>4512</v>
      </c>
      <c r="Q14" s="18">
        <v>4856</v>
      </c>
      <c r="R14" s="18">
        <v>5683</v>
      </c>
    </row>
    <row r="15" spans="1:18">
      <c r="A15" s="29" t="s">
        <v>629</v>
      </c>
      <c r="B15" s="29" t="s">
        <v>630</v>
      </c>
      <c r="C15" s="30">
        <v>6730</v>
      </c>
      <c r="D15" s="30">
        <v>6926</v>
      </c>
      <c r="E15" s="30">
        <v>6937</v>
      </c>
      <c r="F15" s="30">
        <v>7620</v>
      </c>
      <c r="G15" s="30">
        <v>7510</v>
      </c>
      <c r="H15" s="30">
        <v>7602</v>
      </c>
      <c r="I15" s="30">
        <v>7382</v>
      </c>
      <c r="J15" s="30">
        <v>7555</v>
      </c>
      <c r="K15" s="30">
        <v>7237</v>
      </c>
      <c r="L15" s="30">
        <v>4428</v>
      </c>
      <c r="M15" s="30">
        <v>4701</v>
      </c>
      <c r="N15" s="30">
        <v>5185</v>
      </c>
      <c r="O15" s="30">
        <v>11758</v>
      </c>
      <c r="P15" s="30">
        <v>7915</v>
      </c>
      <c r="Q15" s="30">
        <v>8248</v>
      </c>
      <c r="R15" s="30">
        <v>9688</v>
      </c>
    </row>
    <row r="16" spans="1:18">
      <c r="A16" s="29" t="s">
        <v>631</v>
      </c>
      <c r="B16" s="29" t="s">
        <v>632</v>
      </c>
      <c r="C16" s="30">
        <v>3654</v>
      </c>
      <c r="D16" s="30">
        <v>3780</v>
      </c>
      <c r="E16" s="30">
        <v>3764</v>
      </c>
      <c r="F16" s="30">
        <v>4128</v>
      </c>
      <c r="G16" s="30">
        <v>4319</v>
      </c>
      <c r="H16" s="30">
        <v>4597</v>
      </c>
      <c r="I16" s="30">
        <v>4580</v>
      </c>
      <c r="J16" s="30">
        <v>4738</v>
      </c>
      <c r="K16" s="30">
        <v>4405</v>
      </c>
      <c r="L16" s="30">
        <v>2333</v>
      </c>
      <c r="M16" s="30">
        <v>2301</v>
      </c>
      <c r="N16" s="30">
        <v>2320</v>
      </c>
      <c r="O16" s="30">
        <v>4933</v>
      </c>
      <c r="P16" s="30">
        <v>3403</v>
      </c>
      <c r="Q16" s="30">
        <v>3392</v>
      </c>
      <c r="R16" s="30">
        <v>4005</v>
      </c>
    </row>
    <row r="17" spans="1:18">
      <c r="A17" s="17" t="s">
        <v>633</v>
      </c>
      <c r="B17" s="17" t="s">
        <v>634</v>
      </c>
      <c r="C17" s="18">
        <v>2136</v>
      </c>
      <c r="D17" s="18">
        <v>2013</v>
      </c>
      <c r="E17" s="18">
        <v>1979</v>
      </c>
      <c r="F17" s="18">
        <v>1983</v>
      </c>
      <c r="G17" s="18">
        <v>2325</v>
      </c>
      <c r="H17" s="18">
        <v>2020</v>
      </c>
      <c r="I17" s="18">
        <v>2166</v>
      </c>
      <c r="J17" s="18">
        <v>2191</v>
      </c>
      <c r="K17" s="18">
        <v>3474</v>
      </c>
      <c r="L17" s="18">
        <v>4802</v>
      </c>
      <c r="M17" s="18">
        <v>4108</v>
      </c>
      <c r="N17" s="18">
        <v>8325</v>
      </c>
      <c r="O17" s="18">
        <v>9211</v>
      </c>
      <c r="P17" s="18">
        <v>9678</v>
      </c>
      <c r="Q17" s="18">
        <v>9570</v>
      </c>
      <c r="R17" s="18">
        <v>3267</v>
      </c>
    </row>
    <row r="18" spans="1:18">
      <c r="A18" s="6" t="s">
        <v>635</v>
      </c>
      <c r="B18" s="6" t="s">
        <v>636</v>
      </c>
      <c r="C18" s="15">
        <v>5452</v>
      </c>
      <c r="D18" s="15">
        <v>5364</v>
      </c>
      <c r="E18" s="15">
        <v>5356</v>
      </c>
      <c r="F18" s="15">
        <v>5723</v>
      </c>
      <c r="G18" s="15">
        <v>5516</v>
      </c>
      <c r="H18" s="15">
        <v>5025</v>
      </c>
      <c r="I18" s="15">
        <v>4968</v>
      </c>
      <c r="J18" s="15">
        <v>5008</v>
      </c>
      <c r="K18" s="15">
        <v>6306</v>
      </c>
      <c r="L18" s="15">
        <v>6897</v>
      </c>
      <c r="M18" s="15">
        <v>6508</v>
      </c>
      <c r="N18" s="15">
        <v>11190</v>
      </c>
      <c r="O18" s="15">
        <v>16512</v>
      </c>
      <c r="P18" s="15">
        <v>14539</v>
      </c>
      <c r="Q18" s="15">
        <v>14714</v>
      </c>
      <c r="R18" s="15">
        <v>9237</v>
      </c>
    </row>
    <row r="19" spans="1:18">
      <c r="A19" s="6" t="s">
        <v>637</v>
      </c>
      <c r="B19" s="6" t="s">
        <v>638</v>
      </c>
      <c r="C19" s="15">
        <v>8455</v>
      </c>
      <c r="D19" s="15">
        <v>8461</v>
      </c>
      <c r="E19" s="15">
        <v>8604</v>
      </c>
      <c r="F19" s="15">
        <v>9236</v>
      </c>
      <c r="G19" s="15">
        <v>9227</v>
      </c>
      <c r="H19" s="15">
        <v>9085</v>
      </c>
      <c r="I19" s="15">
        <v>8640</v>
      </c>
      <c r="J19" s="15">
        <v>8891</v>
      </c>
      <c r="K19" s="15">
        <v>10611</v>
      </c>
      <c r="L19" s="15">
        <v>11237</v>
      </c>
      <c r="M19" s="15">
        <v>10774</v>
      </c>
      <c r="N19" s="15">
        <v>16385</v>
      </c>
      <c r="O19" s="15">
        <v>27194</v>
      </c>
      <c r="P19" s="15">
        <v>22777</v>
      </c>
      <c r="Q19" s="15">
        <v>22377</v>
      </c>
      <c r="R19" s="15">
        <v>18517</v>
      </c>
    </row>
    <row r="20" spans="1:18">
      <c r="A20" s="6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</row>
    <row r="21" spans="1:18">
      <c r="A21" s="6" t="s">
        <v>639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</row>
    <row r="22" spans="1:18">
      <c r="A22" s="17" t="s">
        <v>640</v>
      </c>
      <c r="B22" s="17" t="s">
        <v>641</v>
      </c>
      <c r="C22" s="18">
        <v>527</v>
      </c>
      <c r="D22" s="18">
        <v>545</v>
      </c>
      <c r="E22" s="18">
        <v>514</v>
      </c>
      <c r="F22" s="18">
        <v>584</v>
      </c>
      <c r="G22" s="18">
        <v>530</v>
      </c>
      <c r="H22" s="18">
        <v>525</v>
      </c>
      <c r="I22" s="18">
        <v>538</v>
      </c>
      <c r="J22" s="18">
        <v>629</v>
      </c>
      <c r="K22" s="18">
        <v>648</v>
      </c>
      <c r="L22" s="18">
        <v>479</v>
      </c>
      <c r="M22" s="18">
        <v>480</v>
      </c>
      <c r="N22" s="18">
        <v>823</v>
      </c>
      <c r="O22" s="18">
        <v>1272</v>
      </c>
      <c r="P22" s="18">
        <v>836</v>
      </c>
      <c r="Q22" s="18">
        <v>1048</v>
      </c>
      <c r="R22" s="18">
        <v>780</v>
      </c>
    </row>
    <row r="23" spans="1:18">
      <c r="A23" s="17" t="s">
        <v>642</v>
      </c>
      <c r="B23" s="17" t="s">
        <v>643</v>
      </c>
      <c r="C23" s="18">
        <v>539</v>
      </c>
      <c r="D23" s="18">
        <v>556</v>
      </c>
      <c r="E23" s="18">
        <v>505</v>
      </c>
      <c r="F23" s="18">
        <v>582</v>
      </c>
      <c r="G23" s="18">
        <v>335</v>
      </c>
      <c r="H23" s="18">
        <v>257</v>
      </c>
      <c r="I23" s="18">
        <v>223</v>
      </c>
      <c r="J23" s="18">
        <v>312</v>
      </c>
      <c r="K23" s="18">
        <v>365</v>
      </c>
      <c r="L23" s="18">
        <v>654</v>
      </c>
      <c r="M23" s="18">
        <v>1726</v>
      </c>
      <c r="N23" s="18">
        <v>1069</v>
      </c>
      <c r="O23" s="18">
        <v>1992</v>
      </c>
      <c r="P23" s="18">
        <v>675</v>
      </c>
      <c r="Q23" s="18">
        <v>470</v>
      </c>
      <c r="R23" s="18">
        <v>854</v>
      </c>
    </row>
    <row r="24" spans="1:18">
      <c r="A24" s="17" t="s">
        <v>644</v>
      </c>
      <c r="B24" s="17" t="s">
        <v>645</v>
      </c>
      <c r="C24" s="18">
        <v>734</v>
      </c>
      <c r="D24" s="18">
        <v>879</v>
      </c>
      <c r="E24" s="18">
        <v>903</v>
      </c>
      <c r="F24" s="18">
        <v>1024</v>
      </c>
      <c r="G24" s="18">
        <v>1310</v>
      </c>
      <c r="H24" s="18">
        <v>1766</v>
      </c>
      <c r="I24" s="18">
        <v>1534</v>
      </c>
      <c r="J24" s="18">
        <v>1494</v>
      </c>
      <c r="K24" s="18">
        <v>1799</v>
      </c>
      <c r="L24" s="18">
        <v>2268</v>
      </c>
      <c r="M24" s="18">
        <v>1333</v>
      </c>
      <c r="N24" s="18">
        <v>1888</v>
      </c>
      <c r="O24" s="18">
        <v>3910</v>
      </c>
      <c r="P24" s="18">
        <v>3555</v>
      </c>
      <c r="Q24" s="18">
        <v>3471</v>
      </c>
      <c r="R24" s="18">
        <v>3346</v>
      </c>
    </row>
    <row r="25" spans="1:18">
      <c r="A25" s="6" t="s">
        <v>646</v>
      </c>
      <c r="B25" s="6" t="s">
        <v>647</v>
      </c>
      <c r="C25" s="15">
        <v>1800</v>
      </c>
      <c r="D25" s="15">
        <v>1980</v>
      </c>
      <c r="E25" s="15">
        <v>1922</v>
      </c>
      <c r="F25" s="15">
        <v>2190</v>
      </c>
      <c r="G25" s="15">
        <v>2175</v>
      </c>
      <c r="H25" s="15">
        <v>2548</v>
      </c>
      <c r="I25" s="15">
        <v>2295</v>
      </c>
      <c r="J25" s="15">
        <v>2435</v>
      </c>
      <c r="K25" s="15">
        <v>2812</v>
      </c>
      <c r="L25" s="15">
        <v>3401</v>
      </c>
      <c r="M25" s="15">
        <v>3539</v>
      </c>
      <c r="N25" s="15">
        <v>3780</v>
      </c>
      <c r="O25" s="15">
        <v>7174</v>
      </c>
      <c r="P25" s="15">
        <v>5066</v>
      </c>
      <c r="Q25" s="15">
        <v>4989</v>
      </c>
      <c r="R25" s="15">
        <v>4980</v>
      </c>
    </row>
    <row r="26" spans="1:18">
      <c r="A26" s="17" t="s">
        <v>648</v>
      </c>
      <c r="B26" s="17" t="s">
        <v>649</v>
      </c>
      <c r="C26" s="18">
        <v>1564</v>
      </c>
      <c r="D26" s="18">
        <v>1408</v>
      </c>
      <c r="E26" s="18">
        <v>1471</v>
      </c>
      <c r="F26" s="18">
        <v>1652</v>
      </c>
      <c r="G26" s="18">
        <v>1871</v>
      </c>
      <c r="H26" s="18">
        <v>1423</v>
      </c>
      <c r="I26" s="18">
        <v>1502</v>
      </c>
      <c r="J26" s="18">
        <v>1405</v>
      </c>
      <c r="K26" s="18">
        <v>1667</v>
      </c>
      <c r="L26" s="18">
        <v>1608</v>
      </c>
      <c r="M26" s="18">
        <v>1979</v>
      </c>
      <c r="N26" s="18">
        <v>6259</v>
      </c>
      <c r="O26" s="18">
        <v>6236</v>
      </c>
      <c r="P26" s="18">
        <v>3624</v>
      </c>
      <c r="Q26" s="18">
        <v>2612</v>
      </c>
      <c r="R26" s="18">
        <v>2585</v>
      </c>
    </row>
    <row r="27" spans="1:18">
      <c r="A27" s="17" t="s">
        <v>650</v>
      </c>
      <c r="B27" s="17" t="s">
        <v>651</v>
      </c>
      <c r="C27" s="18">
        <v>1190</v>
      </c>
      <c r="D27" s="18">
        <v>1273</v>
      </c>
      <c r="E27" s="18">
        <v>1270</v>
      </c>
      <c r="F27" s="18">
        <v>1305</v>
      </c>
      <c r="G27" s="18">
        <v>1527</v>
      </c>
      <c r="H27" s="18">
        <v>2109</v>
      </c>
      <c r="I27" s="18">
        <v>1988</v>
      </c>
      <c r="J27" s="18">
        <v>2103</v>
      </c>
      <c r="K27" s="18">
        <v>2400</v>
      </c>
      <c r="L27" s="18">
        <v>2538</v>
      </c>
      <c r="M27" s="18">
        <v>1152</v>
      </c>
      <c r="N27" s="18">
        <v>1360</v>
      </c>
      <c r="O27" s="18">
        <v>2873</v>
      </c>
      <c r="P27" s="18">
        <v>2166</v>
      </c>
      <c r="Q27" s="18">
        <v>2386</v>
      </c>
      <c r="R27" s="18">
        <v>2969</v>
      </c>
    </row>
    <row r="28" spans="1:18">
      <c r="A28" s="6" t="s">
        <v>652</v>
      </c>
      <c r="B28" s="6" t="s">
        <v>653</v>
      </c>
      <c r="C28" s="15">
        <v>2754</v>
      </c>
      <c r="D28" s="15">
        <v>2681</v>
      </c>
      <c r="E28" s="15">
        <v>2741</v>
      </c>
      <c r="F28" s="15">
        <v>2957</v>
      </c>
      <c r="G28" s="15">
        <v>3398</v>
      </c>
      <c r="H28" s="15">
        <v>3532</v>
      </c>
      <c r="I28" s="15">
        <v>3490</v>
      </c>
      <c r="J28" s="15">
        <v>3508</v>
      </c>
      <c r="K28" s="15">
        <v>4067</v>
      </c>
      <c r="L28" s="15">
        <v>4146</v>
      </c>
      <c r="M28" s="15">
        <v>3131</v>
      </c>
      <c r="N28" s="15">
        <v>7619</v>
      </c>
      <c r="O28" s="15">
        <v>9109</v>
      </c>
      <c r="P28" s="15">
        <v>5790</v>
      </c>
      <c r="Q28" s="15">
        <v>4998</v>
      </c>
      <c r="R28" s="15">
        <v>5554</v>
      </c>
    </row>
    <row r="29" spans="1:18">
      <c r="A29" s="6" t="s">
        <v>654</v>
      </c>
      <c r="B29" s="6" t="s">
        <v>655</v>
      </c>
      <c r="C29" s="15">
        <v>4554</v>
      </c>
      <c r="D29" s="15">
        <v>4661</v>
      </c>
      <c r="E29" s="15">
        <v>4663</v>
      </c>
      <c r="F29" s="15">
        <v>5147</v>
      </c>
      <c r="G29" s="15">
        <v>5573</v>
      </c>
      <c r="H29" s="15">
        <v>6080</v>
      </c>
      <c r="I29" s="15">
        <v>5785</v>
      </c>
      <c r="J29" s="15">
        <v>5943</v>
      </c>
      <c r="K29" s="15">
        <v>6879</v>
      </c>
      <c r="L29" s="15">
        <v>7547</v>
      </c>
      <c r="M29" s="15">
        <v>6670</v>
      </c>
      <c r="N29" s="15">
        <v>11399</v>
      </c>
      <c r="O29" s="15">
        <v>16283</v>
      </c>
      <c r="P29" s="15">
        <v>10856</v>
      </c>
      <c r="Q29" s="15">
        <v>9987</v>
      </c>
      <c r="R29" s="15">
        <v>10534</v>
      </c>
    </row>
    <row r="30" spans="1:18">
      <c r="A30" s="17" t="s">
        <v>656</v>
      </c>
      <c r="B30" s="17" t="s">
        <v>657</v>
      </c>
      <c r="C30" s="18" t="s">
        <v>464</v>
      </c>
      <c r="D30" s="18" t="s">
        <v>464</v>
      </c>
      <c r="E30" s="18" t="s">
        <v>464</v>
      </c>
      <c r="F30" s="18" t="s">
        <v>464</v>
      </c>
      <c r="G30" s="18" t="s">
        <v>464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270</v>
      </c>
      <c r="P30" s="18">
        <v>263</v>
      </c>
      <c r="Q30" s="18">
        <v>258</v>
      </c>
      <c r="R30" s="18">
        <v>247</v>
      </c>
    </row>
    <row r="31" spans="1:18">
      <c r="A31" s="17" t="s">
        <v>658</v>
      </c>
      <c r="B31" s="17" t="s">
        <v>659</v>
      </c>
      <c r="C31" s="18" t="s">
        <v>464</v>
      </c>
      <c r="D31" s="18" t="s">
        <v>464</v>
      </c>
      <c r="E31" s="18" t="s">
        <v>464</v>
      </c>
      <c r="F31" s="18" t="s">
        <v>464</v>
      </c>
      <c r="G31" s="18" t="s">
        <v>464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</row>
    <row r="32" spans="1:18">
      <c r="A32" s="17" t="s">
        <v>660</v>
      </c>
      <c r="B32" s="17" t="s">
        <v>661</v>
      </c>
      <c r="C32" s="18">
        <v>1036</v>
      </c>
      <c r="D32" s="18">
        <v>1038</v>
      </c>
      <c r="E32" s="18">
        <v>1041</v>
      </c>
      <c r="F32" s="18">
        <v>1043</v>
      </c>
      <c r="G32" s="18">
        <v>1055</v>
      </c>
      <c r="H32" s="18">
        <v>1149</v>
      </c>
      <c r="I32" s="18">
        <v>1155</v>
      </c>
      <c r="J32" s="18">
        <v>1178</v>
      </c>
      <c r="K32" s="18">
        <v>1231</v>
      </c>
      <c r="L32" s="18">
        <v>1709</v>
      </c>
      <c r="M32" s="18">
        <v>1965</v>
      </c>
      <c r="N32" s="18">
        <v>3083</v>
      </c>
      <c r="O32" s="18">
        <v>4722</v>
      </c>
      <c r="P32" s="18">
        <v>5667</v>
      </c>
      <c r="Q32" s="18">
        <v>6469</v>
      </c>
      <c r="R32" s="18">
        <v>6626</v>
      </c>
    </row>
    <row r="33" spans="1:18">
      <c r="A33" s="17" t="s">
        <v>662</v>
      </c>
      <c r="B33" s="17" t="s">
        <v>663</v>
      </c>
      <c r="C33" s="18">
        <v>2865</v>
      </c>
      <c r="D33" s="18">
        <v>2762</v>
      </c>
      <c r="E33" s="18">
        <v>2900</v>
      </c>
      <c r="F33" s="18">
        <v>3046</v>
      </c>
      <c r="G33" s="18">
        <v>2599</v>
      </c>
      <c r="H33" s="18">
        <v>1856</v>
      </c>
      <c r="I33" s="18">
        <v>1700</v>
      </c>
      <c r="J33" s="18">
        <v>1770</v>
      </c>
      <c r="K33" s="18">
        <v>2501</v>
      </c>
      <c r="L33" s="18">
        <v>1981</v>
      </c>
      <c r="M33" s="18">
        <v>2139</v>
      </c>
      <c r="N33" s="18">
        <v>1903</v>
      </c>
      <c r="O33" s="18">
        <v>5919</v>
      </c>
      <c r="P33" s="18">
        <v>5991</v>
      </c>
      <c r="Q33" s="18">
        <v>5663</v>
      </c>
      <c r="R33" s="18">
        <v>1110</v>
      </c>
    </row>
    <row r="34" spans="1:18">
      <c r="A34" s="6" t="s">
        <v>664</v>
      </c>
      <c r="B34" s="6" t="s">
        <v>665</v>
      </c>
      <c r="C34" s="15">
        <v>3901</v>
      </c>
      <c r="D34" s="15">
        <v>3800</v>
      </c>
      <c r="E34" s="15">
        <v>3941</v>
      </c>
      <c r="F34" s="15">
        <v>4089</v>
      </c>
      <c r="G34" s="15">
        <v>3654</v>
      </c>
      <c r="H34" s="15">
        <v>3005</v>
      </c>
      <c r="I34" s="15">
        <v>2855</v>
      </c>
      <c r="J34" s="15">
        <v>2948</v>
      </c>
      <c r="K34" s="15">
        <v>3732</v>
      </c>
      <c r="L34" s="15">
        <v>3690</v>
      </c>
      <c r="M34" s="15">
        <v>4104</v>
      </c>
      <c r="N34" s="15">
        <v>4986</v>
      </c>
      <c r="O34" s="15">
        <v>10911</v>
      </c>
      <c r="P34" s="15">
        <v>11921</v>
      </c>
      <c r="Q34" s="15">
        <v>12390</v>
      </c>
      <c r="R34" s="15">
        <v>7983</v>
      </c>
    </row>
    <row r="35" spans="1:18">
      <c r="A35" s="6" t="s">
        <v>666</v>
      </c>
      <c r="B35" s="6" t="s">
        <v>667</v>
      </c>
      <c r="C35" s="15">
        <v>8455</v>
      </c>
      <c r="D35" s="15">
        <v>8461</v>
      </c>
      <c r="E35" s="15">
        <v>8604</v>
      </c>
      <c r="F35" s="15">
        <v>9236</v>
      </c>
      <c r="G35" s="15">
        <v>9227</v>
      </c>
      <c r="H35" s="15">
        <v>9085</v>
      </c>
      <c r="I35" s="15">
        <v>8640</v>
      </c>
      <c r="J35" s="15">
        <v>8891</v>
      </c>
      <c r="K35" s="15">
        <v>10611</v>
      </c>
      <c r="L35" s="15">
        <v>11237</v>
      </c>
      <c r="M35" s="15">
        <v>10774</v>
      </c>
      <c r="N35" s="15">
        <v>16385</v>
      </c>
      <c r="O35" s="15">
        <v>27194</v>
      </c>
      <c r="P35" s="15">
        <v>22777</v>
      </c>
      <c r="Q35" s="15">
        <v>22377</v>
      </c>
      <c r="R35" s="15">
        <v>18517</v>
      </c>
    </row>
    <row r="36" spans="1:18">
      <c r="A36" s="6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</row>
    <row r="37" spans="1:18">
      <c r="A37" s="6" t="s">
        <v>497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</row>
    <row r="38" spans="1:18">
      <c r="A38" s="17" t="s">
        <v>498</v>
      </c>
      <c r="B38" s="17" t="s">
        <v>499</v>
      </c>
      <c r="C38" s="24" t="s">
        <v>500</v>
      </c>
      <c r="D38" s="24" t="s">
        <v>500</v>
      </c>
      <c r="E38" s="24" t="s">
        <v>500</v>
      </c>
      <c r="F38" s="24" t="s">
        <v>500</v>
      </c>
      <c r="G38" s="24" t="s">
        <v>500</v>
      </c>
      <c r="H38" s="24" t="s">
        <v>500</v>
      </c>
      <c r="I38" s="24" t="s">
        <v>500</v>
      </c>
      <c r="J38" s="24" t="s">
        <v>500</v>
      </c>
      <c r="K38" s="24" t="s">
        <v>500</v>
      </c>
      <c r="L38" s="24" t="s">
        <v>500</v>
      </c>
      <c r="M38" s="24" t="s">
        <v>500</v>
      </c>
      <c r="N38" s="24" t="s">
        <v>500</v>
      </c>
      <c r="O38" s="24" t="s">
        <v>500</v>
      </c>
      <c r="P38" s="24" t="s">
        <v>500</v>
      </c>
      <c r="Q38" s="24" t="s">
        <v>500</v>
      </c>
      <c r="R38" s="24" t="s">
        <v>500</v>
      </c>
    </row>
    <row r="39" spans="1:18">
      <c r="A39" s="17" t="s">
        <v>668</v>
      </c>
      <c r="B39" s="17" t="s">
        <v>669</v>
      </c>
      <c r="C39" s="18">
        <v>740</v>
      </c>
      <c r="D39" s="18">
        <v>690</v>
      </c>
      <c r="E39" s="18">
        <v>660</v>
      </c>
      <c r="F39" s="18">
        <v>630</v>
      </c>
      <c r="G39" s="18">
        <v>614.63744999999994</v>
      </c>
      <c r="H39" s="18">
        <v>602.31998499999997</v>
      </c>
      <c r="I39" s="18">
        <v>579.87999000000002</v>
      </c>
      <c r="J39" s="18">
        <v>557.67502000000002</v>
      </c>
      <c r="K39" s="18">
        <v>589.07501000000002</v>
      </c>
      <c r="L39" s="18">
        <v>584.37597700000003</v>
      </c>
      <c r="M39" s="18">
        <v>595.28497300000004</v>
      </c>
      <c r="N39" s="18">
        <v>629.294983</v>
      </c>
      <c r="O39" s="18">
        <v>1284</v>
      </c>
      <c r="P39" s="18">
        <v>1299.8000489999999</v>
      </c>
      <c r="Q39" s="18">
        <v>1297.259033</v>
      </c>
      <c r="R39" s="18">
        <v>1295.751953</v>
      </c>
    </row>
    <row r="40" spans="1:18">
      <c r="A40" s="17" t="s">
        <v>670</v>
      </c>
      <c r="B40" s="17" t="s">
        <v>671</v>
      </c>
      <c r="C40" s="18">
        <v>81.000004000000004</v>
      </c>
      <c r="D40" s="18">
        <v>133.99999600000001</v>
      </c>
      <c r="E40" s="18">
        <v>161.00000399999999</v>
      </c>
      <c r="F40" s="18">
        <v>192.99999</v>
      </c>
      <c r="G40" s="18">
        <v>207.33352500000001</v>
      </c>
      <c r="H40" s="18">
        <v>219.65</v>
      </c>
      <c r="I40" s="18">
        <v>242.08999499999999</v>
      </c>
      <c r="J40" s="18">
        <v>264.295005</v>
      </c>
      <c r="K40" s="18">
        <v>244.62</v>
      </c>
      <c r="L40" s="18">
        <v>237.595001</v>
      </c>
      <c r="M40" s="18">
        <v>226.68600499999999</v>
      </c>
      <c r="N40" s="18">
        <v>217.63200399999999</v>
      </c>
      <c r="O40" s="18" t="s">
        <v>464</v>
      </c>
      <c r="P40" s="18" t="s">
        <v>464</v>
      </c>
      <c r="Q40" s="18" t="s">
        <v>464</v>
      </c>
      <c r="R40" s="18" t="s">
        <v>464</v>
      </c>
    </row>
    <row r="41" spans="1:18">
      <c r="A41" s="17" t="s">
        <v>672</v>
      </c>
      <c r="B41" s="17" t="s">
        <v>673</v>
      </c>
      <c r="C41" s="18">
        <v>517</v>
      </c>
      <c r="D41" s="18">
        <v>952</v>
      </c>
      <c r="E41" s="18">
        <v>1244</v>
      </c>
      <c r="F41" s="18">
        <v>1563</v>
      </c>
      <c r="G41" s="18">
        <v>1797</v>
      </c>
      <c r="H41" s="18">
        <v>2029</v>
      </c>
      <c r="I41" s="18">
        <v>2348</v>
      </c>
      <c r="J41" s="18">
        <v>2744</v>
      </c>
      <c r="K41" s="18">
        <v>2550</v>
      </c>
      <c r="L41" s="18">
        <v>2661</v>
      </c>
      <c r="M41" s="18">
        <v>2570</v>
      </c>
      <c r="N41" s="18">
        <v>2508</v>
      </c>
      <c r="O41" s="18">
        <v>2432</v>
      </c>
      <c r="P41" s="18">
        <v>2003</v>
      </c>
      <c r="Q41" s="18">
        <v>2789</v>
      </c>
      <c r="R41" s="18">
        <v>3257</v>
      </c>
    </row>
    <row r="42" spans="1:18">
      <c r="A42" s="17" t="s">
        <v>674</v>
      </c>
      <c r="B42" s="17" t="s">
        <v>675</v>
      </c>
      <c r="C42" s="18" t="s">
        <v>464</v>
      </c>
      <c r="D42" s="18" t="s">
        <v>464</v>
      </c>
      <c r="E42" s="18" t="s">
        <v>464</v>
      </c>
      <c r="F42" s="18" t="s">
        <v>464</v>
      </c>
      <c r="G42" s="18" t="s">
        <v>464</v>
      </c>
      <c r="H42" s="18" t="s">
        <v>464</v>
      </c>
      <c r="I42" s="18" t="s">
        <v>464</v>
      </c>
      <c r="J42" s="18" t="s">
        <v>464</v>
      </c>
      <c r="K42" s="18" t="s">
        <v>464</v>
      </c>
      <c r="L42" s="18" t="s">
        <v>464</v>
      </c>
      <c r="M42" s="18" t="s">
        <v>464</v>
      </c>
      <c r="N42" s="18" t="s">
        <v>464</v>
      </c>
      <c r="O42" s="18">
        <v>1578</v>
      </c>
      <c r="P42" s="18">
        <v>1511</v>
      </c>
      <c r="Q42" s="18">
        <v>996</v>
      </c>
      <c r="R42" s="18">
        <v>1213</v>
      </c>
    </row>
    <row r="43" spans="1:18">
      <c r="A43" s="17" t="s">
        <v>676</v>
      </c>
      <c r="B43" s="17" t="s">
        <v>677</v>
      </c>
      <c r="C43" s="18" t="s">
        <v>464</v>
      </c>
      <c r="D43" s="18" t="s">
        <v>464</v>
      </c>
      <c r="E43" s="18" t="s">
        <v>464</v>
      </c>
      <c r="F43" s="18" t="s">
        <v>464</v>
      </c>
      <c r="G43" s="18" t="s">
        <v>464</v>
      </c>
      <c r="H43" s="18" t="s">
        <v>464</v>
      </c>
      <c r="I43" s="18" t="s">
        <v>464</v>
      </c>
      <c r="J43" s="18" t="s">
        <v>464</v>
      </c>
      <c r="K43" s="18" t="s">
        <v>464</v>
      </c>
      <c r="L43" s="18" t="s">
        <v>464</v>
      </c>
      <c r="M43" s="18" t="s">
        <v>464</v>
      </c>
      <c r="N43" s="18" t="s">
        <v>464</v>
      </c>
      <c r="O43" s="18" t="s">
        <v>464</v>
      </c>
      <c r="P43" s="18">
        <v>1041</v>
      </c>
      <c r="Q43" s="18">
        <v>675</v>
      </c>
      <c r="R43" s="18">
        <v>696</v>
      </c>
    </row>
    <row r="44" spans="1:18">
      <c r="A44" s="17" t="s">
        <v>678</v>
      </c>
      <c r="B44" s="17" t="s">
        <v>679</v>
      </c>
      <c r="C44" s="18" t="s">
        <v>464</v>
      </c>
      <c r="D44" s="18" t="s">
        <v>464</v>
      </c>
      <c r="E44" s="18" t="s">
        <v>464</v>
      </c>
      <c r="F44" s="18" t="s">
        <v>464</v>
      </c>
      <c r="G44" s="18" t="s">
        <v>464</v>
      </c>
      <c r="H44" s="18" t="s">
        <v>464</v>
      </c>
      <c r="I44" s="18" t="s">
        <v>464</v>
      </c>
      <c r="J44" s="18" t="s">
        <v>464</v>
      </c>
      <c r="K44" s="18" t="s">
        <v>464</v>
      </c>
      <c r="L44" s="18" t="s">
        <v>464</v>
      </c>
      <c r="M44" s="18" t="s">
        <v>464</v>
      </c>
      <c r="N44" s="18" t="s">
        <v>464</v>
      </c>
      <c r="O44" s="18">
        <v>0</v>
      </c>
      <c r="P44" s="18">
        <v>0</v>
      </c>
      <c r="Q44" s="18">
        <v>0</v>
      </c>
      <c r="R44" s="18">
        <v>0</v>
      </c>
    </row>
    <row r="45" spans="1:18">
      <c r="A45" s="17" t="s">
        <v>680</v>
      </c>
      <c r="B45" s="17" t="s">
        <v>681</v>
      </c>
      <c r="C45" s="18" t="s">
        <v>464</v>
      </c>
      <c r="D45" s="18" t="s">
        <v>464</v>
      </c>
      <c r="E45" s="18" t="s">
        <v>464</v>
      </c>
      <c r="F45" s="18" t="s">
        <v>464</v>
      </c>
      <c r="G45" s="18" t="s">
        <v>464</v>
      </c>
      <c r="H45" s="18" t="s">
        <v>464</v>
      </c>
      <c r="I45" s="18" t="s">
        <v>464</v>
      </c>
      <c r="J45" s="18" t="s">
        <v>464</v>
      </c>
      <c r="K45" s="18" t="s">
        <v>464</v>
      </c>
      <c r="L45" s="18" t="s">
        <v>464</v>
      </c>
      <c r="M45" s="18" t="s">
        <v>464</v>
      </c>
      <c r="N45" s="18" t="s">
        <v>464</v>
      </c>
      <c r="O45" s="18">
        <v>0</v>
      </c>
      <c r="P45" s="18">
        <v>0</v>
      </c>
      <c r="Q45" s="18">
        <v>0</v>
      </c>
      <c r="R45" s="18">
        <v>0</v>
      </c>
    </row>
    <row r="46" spans="1:18">
      <c r="A46" s="17" t="s">
        <v>682</v>
      </c>
      <c r="B46" s="17" t="s">
        <v>683</v>
      </c>
      <c r="C46" s="18" t="s">
        <v>464</v>
      </c>
      <c r="D46" s="18" t="s">
        <v>464</v>
      </c>
      <c r="E46" s="18" t="s">
        <v>464</v>
      </c>
      <c r="F46" s="18" t="s">
        <v>464</v>
      </c>
      <c r="G46" s="18" t="s">
        <v>464</v>
      </c>
      <c r="H46" s="18" t="s">
        <v>464</v>
      </c>
      <c r="I46" s="18" t="s">
        <v>464</v>
      </c>
      <c r="J46" s="18" t="s">
        <v>464</v>
      </c>
      <c r="K46" s="18" t="s">
        <v>464</v>
      </c>
      <c r="L46" s="18" t="s">
        <v>464</v>
      </c>
      <c r="M46" s="18" t="s">
        <v>464</v>
      </c>
      <c r="N46" s="18" t="s">
        <v>464</v>
      </c>
      <c r="O46" s="18">
        <v>0</v>
      </c>
      <c r="P46" s="18">
        <v>0</v>
      </c>
      <c r="Q46" s="18">
        <v>0</v>
      </c>
      <c r="R46" s="18">
        <v>0</v>
      </c>
    </row>
    <row r="47" spans="1:18">
      <c r="A47" s="17" t="s">
        <v>684</v>
      </c>
      <c r="B47" s="17" t="s">
        <v>685</v>
      </c>
      <c r="C47" s="18" t="s">
        <v>464</v>
      </c>
      <c r="D47" s="18" t="s">
        <v>464</v>
      </c>
      <c r="E47" s="18" t="s">
        <v>464</v>
      </c>
      <c r="F47" s="18" t="s">
        <v>464</v>
      </c>
      <c r="G47" s="18" t="s">
        <v>464</v>
      </c>
      <c r="H47" s="18" t="s">
        <v>464</v>
      </c>
      <c r="I47" s="18" t="s">
        <v>464</v>
      </c>
      <c r="J47" s="18" t="s">
        <v>464</v>
      </c>
      <c r="K47" s="18" t="s">
        <v>464</v>
      </c>
      <c r="L47" s="18" t="s">
        <v>464</v>
      </c>
      <c r="M47" s="18" t="s">
        <v>464</v>
      </c>
      <c r="N47" s="18" t="s">
        <v>464</v>
      </c>
      <c r="O47" s="18">
        <v>17.950001</v>
      </c>
      <c r="P47" s="18">
        <v>15.286</v>
      </c>
      <c r="Q47" s="18">
        <v>26.841999000000001</v>
      </c>
      <c r="R47" s="18">
        <v>33.297001000000002</v>
      </c>
    </row>
    <row r="48" spans="1:18">
      <c r="A48" s="17" t="s">
        <v>686</v>
      </c>
      <c r="B48" s="17" t="s">
        <v>687</v>
      </c>
      <c r="C48" s="18" t="s">
        <v>464</v>
      </c>
      <c r="D48" s="18" t="s">
        <v>464</v>
      </c>
      <c r="E48" s="18" t="s">
        <v>464</v>
      </c>
      <c r="F48" s="18" t="s">
        <v>464</v>
      </c>
      <c r="G48" s="18" t="s">
        <v>464</v>
      </c>
      <c r="H48" s="18" t="s">
        <v>464</v>
      </c>
      <c r="I48" s="18" t="s">
        <v>464</v>
      </c>
      <c r="J48" s="18" t="s">
        <v>464</v>
      </c>
      <c r="K48" s="18" t="s">
        <v>464</v>
      </c>
      <c r="L48" s="18" t="s">
        <v>464</v>
      </c>
      <c r="M48" s="18" t="s">
        <v>464</v>
      </c>
      <c r="N48" s="18" t="s">
        <v>464</v>
      </c>
      <c r="O48" s="18">
        <v>129.89300499999999</v>
      </c>
      <c r="P48" s="18">
        <v>103.318001</v>
      </c>
      <c r="Q48" s="18">
        <v>117.971001</v>
      </c>
      <c r="R48" s="18">
        <v>134.98100299999999</v>
      </c>
    </row>
    <row r="49" spans="1:18">
      <c r="A49" s="17" t="s">
        <v>688</v>
      </c>
      <c r="B49" s="17" t="s">
        <v>689</v>
      </c>
      <c r="C49" s="18">
        <v>1880</v>
      </c>
      <c r="D49" s="18">
        <v>1743</v>
      </c>
      <c r="E49" s="18">
        <v>1723</v>
      </c>
      <c r="F49" s="18">
        <v>2030</v>
      </c>
      <c r="G49" s="18">
        <v>2017</v>
      </c>
      <c r="H49" s="18">
        <v>951</v>
      </c>
      <c r="I49" s="18">
        <v>1452</v>
      </c>
      <c r="J49" s="18">
        <v>1210</v>
      </c>
      <c r="K49" s="18">
        <v>1735</v>
      </c>
      <c r="L49" s="18">
        <v>2096</v>
      </c>
      <c r="M49" s="18">
        <v>3571</v>
      </c>
      <c r="N49" s="18">
        <v>7239</v>
      </c>
      <c r="O49" s="18">
        <v>6490</v>
      </c>
      <c r="P49" s="18">
        <v>2229</v>
      </c>
      <c r="Q49" s="18">
        <v>1687</v>
      </c>
      <c r="R49" s="18">
        <v>729</v>
      </c>
    </row>
    <row r="50" spans="1:18">
      <c r="A50" s="17" t="s">
        <v>690</v>
      </c>
      <c r="B50" s="17" t="s">
        <v>691</v>
      </c>
      <c r="C50" s="26">
        <v>48.192771</v>
      </c>
      <c r="D50" s="26">
        <v>45.868420999999998</v>
      </c>
      <c r="E50" s="26">
        <v>43.719867999999998</v>
      </c>
      <c r="F50" s="26">
        <v>49.645389999999999</v>
      </c>
      <c r="G50" s="26">
        <v>55.199781000000002</v>
      </c>
      <c r="H50" s="26">
        <v>31.647255000000001</v>
      </c>
      <c r="I50" s="26">
        <v>50.858144000000003</v>
      </c>
      <c r="J50" s="26">
        <v>41.044775999999999</v>
      </c>
      <c r="K50" s="26">
        <v>46.489818</v>
      </c>
      <c r="L50" s="26">
        <v>56.802168000000002</v>
      </c>
      <c r="M50" s="26">
        <v>87.012670999999997</v>
      </c>
      <c r="N50" s="26">
        <v>145.186522</v>
      </c>
      <c r="O50" s="26">
        <v>59.481256999999999</v>
      </c>
      <c r="P50" s="26">
        <v>18.698096</v>
      </c>
      <c r="Q50" s="26">
        <v>13.615819</v>
      </c>
      <c r="R50" s="26">
        <v>9.1319049999999997</v>
      </c>
    </row>
    <row r="51" spans="1:18">
      <c r="A51" s="17" t="s">
        <v>692</v>
      </c>
      <c r="B51" s="17" t="s">
        <v>693</v>
      </c>
      <c r="C51" s="26" t="s">
        <v>464</v>
      </c>
      <c r="D51" s="26" t="s">
        <v>464</v>
      </c>
      <c r="E51" s="26" t="s">
        <v>464</v>
      </c>
      <c r="F51" s="26" t="s">
        <v>464</v>
      </c>
      <c r="G51" s="26" t="s">
        <v>464</v>
      </c>
      <c r="H51" s="26" t="s">
        <v>464</v>
      </c>
      <c r="I51" s="26" t="s">
        <v>464</v>
      </c>
      <c r="J51" s="26" t="s">
        <v>464</v>
      </c>
      <c r="K51" s="26" t="s">
        <v>464</v>
      </c>
      <c r="L51" s="26" t="s">
        <v>464</v>
      </c>
      <c r="M51" s="26">
        <v>15.96321</v>
      </c>
      <c r="N51" s="26">
        <v>-2.6566999999999998</v>
      </c>
      <c r="O51" s="26">
        <v>22.642302999999998</v>
      </c>
      <c r="P51" s="26">
        <v>47.363188999999998</v>
      </c>
      <c r="Q51" s="26">
        <v>50.919804999999997</v>
      </c>
      <c r="R51" s="26">
        <v>36.485213000000002</v>
      </c>
    </row>
    <row r="52" spans="1:18">
      <c r="A52" s="17" t="s">
        <v>694</v>
      </c>
      <c r="B52" s="17" t="s">
        <v>695</v>
      </c>
      <c r="C52" s="26">
        <v>1.6683330000000001</v>
      </c>
      <c r="D52" s="26">
        <v>1.564141</v>
      </c>
      <c r="E52" s="26">
        <v>1.6899059999999999</v>
      </c>
      <c r="F52" s="26">
        <v>1.6041099999999999</v>
      </c>
      <c r="G52" s="26">
        <v>1.706207</v>
      </c>
      <c r="H52" s="26">
        <v>1.593407</v>
      </c>
      <c r="I52" s="26">
        <v>1.6</v>
      </c>
      <c r="J52" s="26">
        <v>1.5946610000000001</v>
      </c>
      <c r="K52" s="26">
        <v>1.530939</v>
      </c>
      <c r="L52" s="26">
        <v>1.276095</v>
      </c>
      <c r="M52" s="26">
        <v>1.205425</v>
      </c>
      <c r="N52" s="26">
        <v>1.374339</v>
      </c>
      <c r="O52" s="26">
        <v>1.488988</v>
      </c>
      <c r="P52" s="26">
        <v>1.6261350000000001</v>
      </c>
      <c r="Q52" s="26">
        <v>1.535979</v>
      </c>
      <c r="R52" s="26">
        <v>1.8634539999999999</v>
      </c>
    </row>
    <row r="53" spans="1:18">
      <c r="A53" s="17" t="s">
        <v>696</v>
      </c>
      <c r="B53" s="17" t="s">
        <v>697</v>
      </c>
      <c r="C53" s="26" t="s">
        <v>464</v>
      </c>
      <c r="D53" s="26">
        <v>97.997463999999994</v>
      </c>
      <c r="E53" s="26">
        <v>101.07616299999999</v>
      </c>
      <c r="F53" s="26">
        <v>104.012857</v>
      </c>
      <c r="G53" s="26">
        <v>133.020995</v>
      </c>
      <c r="H53" s="26">
        <v>124.94036800000001</v>
      </c>
      <c r="I53" s="26">
        <v>119.108639</v>
      </c>
      <c r="J53" s="26">
        <v>114.034364</v>
      </c>
      <c r="K53" s="26">
        <v>112.225522</v>
      </c>
      <c r="L53" s="26">
        <v>182.037567</v>
      </c>
      <c r="M53" s="26">
        <v>178.718221</v>
      </c>
      <c r="N53" s="26">
        <v>220.49547899999999</v>
      </c>
      <c r="O53" s="26">
        <v>169.39819900000001</v>
      </c>
      <c r="P53" s="26">
        <v>119.411698</v>
      </c>
      <c r="Q53" s="26">
        <v>152.001046</v>
      </c>
      <c r="R53" s="26">
        <v>199.29504700000001</v>
      </c>
    </row>
    <row r="54" spans="1:18">
      <c r="A54" s="17" t="s">
        <v>698</v>
      </c>
      <c r="B54" s="17" t="s">
        <v>699</v>
      </c>
      <c r="C54" s="18" t="s">
        <v>464</v>
      </c>
      <c r="D54" s="18" t="s">
        <v>464</v>
      </c>
      <c r="E54" s="18" t="s">
        <v>464</v>
      </c>
      <c r="F54" s="18" t="s">
        <v>464</v>
      </c>
      <c r="G54" s="18" t="s">
        <v>464</v>
      </c>
      <c r="H54" s="18" t="s">
        <v>464</v>
      </c>
      <c r="I54" s="18" t="s">
        <v>464</v>
      </c>
      <c r="J54" s="18" t="s">
        <v>464</v>
      </c>
      <c r="K54" s="18" t="s">
        <v>464</v>
      </c>
      <c r="L54" s="18" t="s">
        <v>464</v>
      </c>
      <c r="M54" s="18">
        <v>390</v>
      </c>
      <c r="N54" s="18">
        <v>224</v>
      </c>
      <c r="O54" s="18">
        <v>1794</v>
      </c>
      <c r="P54" s="18">
        <v>1415</v>
      </c>
      <c r="Q54" s="18">
        <v>1662</v>
      </c>
      <c r="R54" s="18">
        <v>2224</v>
      </c>
    </row>
    <row r="55" spans="1:18">
      <c r="A55" s="17" t="s">
        <v>700</v>
      </c>
      <c r="B55" s="17" t="s">
        <v>701</v>
      </c>
      <c r="C55" s="18" t="s">
        <v>464</v>
      </c>
      <c r="D55" s="18" t="s">
        <v>464</v>
      </c>
      <c r="E55" s="18" t="s">
        <v>464</v>
      </c>
      <c r="F55" s="18" t="s">
        <v>464</v>
      </c>
      <c r="G55" s="18" t="s">
        <v>464</v>
      </c>
      <c r="H55" s="18" t="s">
        <v>464</v>
      </c>
      <c r="I55" s="18" t="s">
        <v>464</v>
      </c>
      <c r="J55" s="18" t="s">
        <v>464</v>
      </c>
      <c r="K55" s="18" t="s">
        <v>464</v>
      </c>
      <c r="L55" s="18" t="s">
        <v>464</v>
      </c>
      <c r="M55" s="18">
        <v>265</v>
      </c>
      <c r="N55" s="18">
        <v>469</v>
      </c>
      <c r="O55" s="18" t="s">
        <v>464</v>
      </c>
      <c r="P55" s="18" t="s">
        <v>464</v>
      </c>
      <c r="Q55" s="18" t="s">
        <v>464</v>
      </c>
      <c r="R55" s="18" t="s">
        <v>464</v>
      </c>
    </row>
    <row r="56" spans="1:18">
      <c r="A56" s="17" t="s">
        <v>702</v>
      </c>
      <c r="B56" s="17" t="s">
        <v>703</v>
      </c>
      <c r="C56" s="18" t="s">
        <v>464</v>
      </c>
      <c r="D56" s="18" t="s">
        <v>464</v>
      </c>
      <c r="E56" s="18" t="s">
        <v>464</v>
      </c>
      <c r="F56" s="18" t="s">
        <v>464</v>
      </c>
      <c r="G56" s="18" t="s">
        <v>464</v>
      </c>
      <c r="H56" s="18" t="s">
        <v>464</v>
      </c>
      <c r="I56" s="18" t="s">
        <v>464</v>
      </c>
      <c r="J56" s="18" t="s">
        <v>464</v>
      </c>
      <c r="K56" s="18" t="s">
        <v>464</v>
      </c>
      <c r="L56" s="18" t="s">
        <v>464</v>
      </c>
      <c r="M56" s="18">
        <v>762</v>
      </c>
      <c r="N56" s="18">
        <v>1064</v>
      </c>
      <c r="O56" s="18">
        <v>1281</v>
      </c>
      <c r="P56" s="18">
        <v>289</v>
      </c>
      <c r="Q56" s="18">
        <v>202</v>
      </c>
      <c r="R56" s="18">
        <v>182</v>
      </c>
    </row>
    <row r="57" spans="1:18">
      <c r="A57" s="17" t="s">
        <v>704</v>
      </c>
      <c r="B57" s="17" t="s">
        <v>705</v>
      </c>
      <c r="C57" s="18" t="s">
        <v>464</v>
      </c>
      <c r="D57" s="18" t="s">
        <v>464</v>
      </c>
      <c r="E57" s="18" t="s">
        <v>464</v>
      </c>
      <c r="F57" s="18" t="s">
        <v>464</v>
      </c>
      <c r="G57" s="18" t="s">
        <v>464</v>
      </c>
      <c r="H57" s="18" t="s">
        <v>464</v>
      </c>
      <c r="I57" s="18" t="s">
        <v>464</v>
      </c>
      <c r="J57" s="18" t="s">
        <v>464</v>
      </c>
      <c r="K57" s="18" t="s">
        <v>464</v>
      </c>
      <c r="L57" s="18" t="s">
        <v>464</v>
      </c>
      <c r="M57" s="18" t="s">
        <v>464</v>
      </c>
      <c r="N57" s="18">
        <v>-35</v>
      </c>
      <c r="O57" s="18">
        <v>-170</v>
      </c>
      <c r="P57" s="18">
        <v>-185</v>
      </c>
      <c r="Q57" s="18">
        <v>-180</v>
      </c>
      <c r="R57" s="18">
        <v>-229</v>
      </c>
    </row>
    <row r="58" spans="1:18">
      <c r="A58" s="17" t="s">
        <v>706</v>
      </c>
      <c r="B58" s="17" t="s">
        <v>707</v>
      </c>
      <c r="C58" s="18" t="s">
        <v>464</v>
      </c>
      <c r="D58" s="18" t="s">
        <v>464</v>
      </c>
      <c r="E58" s="18" t="s">
        <v>464</v>
      </c>
      <c r="F58" s="18" t="s">
        <v>464</v>
      </c>
      <c r="G58" s="18" t="s">
        <v>464</v>
      </c>
      <c r="H58" s="18" t="s">
        <v>464</v>
      </c>
      <c r="I58" s="18" t="s">
        <v>464</v>
      </c>
      <c r="J58" s="18" t="s">
        <v>464</v>
      </c>
      <c r="K58" s="18" t="s">
        <v>464</v>
      </c>
      <c r="L58" s="18" t="s">
        <v>464</v>
      </c>
      <c r="M58" s="18" t="s">
        <v>464</v>
      </c>
      <c r="N58" s="18" t="s">
        <v>464</v>
      </c>
      <c r="O58" s="18" t="s">
        <v>464</v>
      </c>
      <c r="P58" s="18">
        <v>10781</v>
      </c>
      <c r="Q58" s="18">
        <v>11586</v>
      </c>
      <c r="R58" s="18">
        <v>6950</v>
      </c>
    </row>
    <row r="59" spans="1:18">
      <c r="A59" s="17" t="s">
        <v>41</v>
      </c>
      <c r="B59" s="17" t="s">
        <v>708</v>
      </c>
      <c r="C59" s="18" t="s">
        <v>464</v>
      </c>
      <c r="D59" s="18" t="s">
        <v>464</v>
      </c>
      <c r="E59" s="18" t="s">
        <v>464</v>
      </c>
      <c r="F59" s="18" t="s">
        <v>464</v>
      </c>
      <c r="G59" s="18" t="s">
        <v>464</v>
      </c>
      <c r="H59" s="18" t="s">
        <v>464</v>
      </c>
      <c r="I59" s="18" t="s">
        <v>464</v>
      </c>
      <c r="J59" s="18" t="s">
        <v>464</v>
      </c>
      <c r="K59" s="18" t="s">
        <v>464</v>
      </c>
      <c r="L59" s="18" t="s">
        <v>464</v>
      </c>
      <c r="M59" s="18">
        <v>0</v>
      </c>
      <c r="N59" s="18">
        <v>0</v>
      </c>
      <c r="O59" s="18">
        <v>4402</v>
      </c>
      <c r="P59" s="18">
        <v>1279</v>
      </c>
      <c r="Q59" s="18">
        <v>1059</v>
      </c>
      <c r="R59" s="18">
        <v>1150</v>
      </c>
    </row>
    <row r="60" spans="1:18">
      <c r="A60" s="17" t="s">
        <v>709</v>
      </c>
      <c r="B60" s="17" t="s">
        <v>710</v>
      </c>
      <c r="C60" s="26">
        <v>49734</v>
      </c>
      <c r="D60" s="26">
        <v>45635</v>
      </c>
      <c r="E60" s="26">
        <v>42179</v>
      </c>
      <c r="F60" s="26">
        <v>41081</v>
      </c>
      <c r="G60" s="26">
        <v>39281</v>
      </c>
      <c r="H60" s="26">
        <v>33797</v>
      </c>
      <c r="I60" s="26">
        <v>30019</v>
      </c>
      <c r="J60" s="26">
        <v>29354</v>
      </c>
      <c r="K60" s="26">
        <v>28500</v>
      </c>
      <c r="L60" s="26">
        <v>28000</v>
      </c>
      <c r="M60" s="26">
        <v>21900</v>
      </c>
      <c r="N60" s="26">
        <v>31800</v>
      </c>
      <c r="O60" s="26">
        <v>29900</v>
      </c>
      <c r="P60" s="26">
        <v>59000</v>
      </c>
      <c r="Q60" s="26">
        <v>59600</v>
      </c>
      <c r="R60" s="26">
        <v>43000</v>
      </c>
    </row>
    <row r="61" spans="1:18">
      <c r="A61" s="28" t="s">
        <v>525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</row>
  </sheetData>
  <phoneticPr fontId="1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4AD89-EDEE-4E0D-9EEC-4EDD9A62FC3F}">
  <sheetPr>
    <tabColor theme="2" tint="-0.249977111117893"/>
  </sheetPr>
  <dimension ref="A1:S52"/>
  <sheetViews>
    <sheetView zoomScale="55" zoomScaleNormal="55" workbookViewId="0">
      <selection activeCell="F14" sqref="F14"/>
    </sheetView>
  </sheetViews>
  <sheetFormatPr baseColWidth="10" defaultColWidth="9" defaultRowHeight="15"/>
  <cols>
    <col min="1" max="1" width="35.1640625" style="608" customWidth="1"/>
    <col min="2" max="2" width="0" style="608" hidden="1" customWidth="1"/>
    <col min="3" max="19" width="11.83203125" style="608" customWidth="1"/>
    <col min="20" max="16384" width="9" style="608"/>
  </cols>
  <sheetData>
    <row r="1" spans="1:19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20">
      <c r="A2" s="9" t="s">
        <v>404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spans="1:19">
      <c r="A4" s="11" t="s">
        <v>405</v>
      </c>
      <c r="B4" s="11"/>
      <c r="C4" s="12" t="s">
        <v>406</v>
      </c>
      <c r="D4" s="12" t="s">
        <v>407</v>
      </c>
      <c r="E4" s="12" t="s">
        <v>408</v>
      </c>
      <c r="F4" s="12" t="s">
        <v>409</v>
      </c>
      <c r="G4" s="12" t="s">
        <v>410</v>
      </c>
      <c r="H4" s="12" t="s">
        <v>411</v>
      </c>
      <c r="I4" s="12" t="s">
        <v>412</v>
      </c>
      <c r="J4" s="12" t="s">
        <v>413</v>
      </c>
      <c r="K4" s="12" t="s">
        <v>414</v>
      </c>
      <c r="L4" s="12" t="s">
        <v>415</v>
      </c>
      <c r="M4" s="12" t="s">
        <v>416</v>
      </c>
      <c r="N4" s="12" t="s">
        <v>417</v>
      </c>
      <c r="O4" s="12" t="s">
        <v>418</v>
      </c>
      <c r="P4" s="12" t="s">
        <v>419</v>
      </c>
      <c r="Q4" s="12" t="s">
        <v>420</v>
      </c>
      <c r="R4" s="12" t="s">
        <v>421</v>
      </c>
      <c r="S4" s="12" t="s">
        <v>88</v>
      </c>
    </row>
    <row r="5" spans="1:19">
      <c r="A5" s="13" t="s">
        <v>422</v>
      </c>
      <c r="B5" s="13"/>
      <c r="C5" s="14" t="s">
        <v>423</v>
      </c>
      <c r="D5" s="14" t="s">
        <v>424</v>
      </c>
      <c r="E5" s="14" t="s">
        <v>425</v>
      </c>
      <c r="F5" s="14" t="s">
        <v>426</v>
      </c>
      <c r="G5" s="14" t="s">
        <v>427</v>
      </c>
      <c r="H5" s="14" t="s">
        <v>428</v>
      </c>
      <c r="I5" s="14" t="s">
        <v>429</v>
      </c>
      <c r="J5" s="14" t="s">
        <v>430</v>
      </c>
      <c r="K5" s="14" t="s">
        <v>431</v>
      </c>
      <c r="L5" s="14" t="s">
        <v>432</v>
      </c>
      <c r="M5" s="14" t="s">
        <v>433</v>
      </c>
      <c r="N5" s="14" t="s">
        <v>434</v>
      </c>
      <c r="O5" s="14" t="s">
        <v>435</v>
      </c>
      <c r="P5" s="14" t="s">
        <v>436</v>
      </c>
      <c r="Q5" s="14" t="s">
        <v>437</v>
      </c>
      <c r="R5" s="14" t="s">
        <v>438</v>
      </c>
      <c r="S5" s="14" t="s">
        <v>439</v>
      </c>
    </row>
    <row r="6" spans="1:19">
      <c r="A6" s="6" t="s">
        <v>440</v>
      </c>
      <c r="B6" s="6" t="s">
        <v>441</v>
      </c>
      <c r="C6" s="15">
        <v>7639</v>
      </c>
      <c r="D6" s="15">
        <v>8293</v>
      </c>
      <c r="E6" s="15">
        <v>8681</v>
      </c>
      <c r="F6" s="15">
        <v>8995</v>
      </c>
      <c r="G6" s="15">
        <v>7936</v>
      </c>
      <c r="H6" s="15">
        <v>7763</v>
      </c>
      <c r="I6" s="15">
        <v>7902</v>
      </c>
      <c r="J6" s="15">
        <v>8272</v>
      </c>
      <c r="K6" s="15">
        <v>8962</v>
      </c>
      <c r="L6" s="15">
        <v>6348</v>
      </c>
      <c r="M6" s="15">
        <v>7514</v>
      </c>
      <c r="N6" s="15">
        <v>7237</v>
      </c>
      <c r="O6" s="15">
        <v>16425</v>
      </c>
      <c r="P6" s="15">
        <v>12651</v>
      </c>
      <c r="Q6" s="15">
        <v>13835</v>
      </c>
      <c r="R6" s="15">
        <v>13993</v>
      </c>
      <c r="S6" s="16"/>
    </row>
    <row r="7" spans="1:19">
      <c r="A7" s="17" t="s">
        <v>442</v>
      </c>
      <c r="B7" s="17" t="s">
        <v>443</v>
      </c>
      <c r="C7" s="18">
        <v>4755</v>
      </c>
      <c r="D7" s="18">
        <v>4972</v>
      </c>
      <c r="E7" s="18">
        <v>5035</v>
      </c>
      <c r="F7" s="18">
        <v>5366</v>
      </c>
      <c r="G7" s="18">
        <v>4519</v>
      </c>
      <c r="H7" s="18">
        <v>4710</v>
      </c>
      <c r="I7" s="18">
        <v>4564</v>
      </c>
      <c r="J7" s="18">
        <v>4774</v>
      </c>
      <c r="K7" s="18">
        <v>5109</v>
      </c>
      <c r="L7" s="18">
        <v>2684</v>
      </c>
      <c r="M7" s="18">
        <v>3091</v>
      </c>
      <c r="N7" s="18">
        <v>2912</v>
      </c>
      <c r="O7" s="18">
        <v>5319</v>
      </c>
      <c r="P7" s="18">
        <v>2886</v>
      </c>
      <c r="Q7" s="18">
        <v>2978</v>
      </c>
      <c r="R7" s="18">
        <v>3077</v>
      </c>
      <c r="S7" s="19"/>
    </row>
    <row r="8" spans="1:19">
      <c r="A8" s="6" t="s">
        <v>444</v>
      </c>
      <c r="B8" s="6" t="s">
        <v>445</v>
      </c>
      <c r="C8" s="15">
        <v>2884</v>
      </c>
      <c r="D8" s="15">
        <v>3321</v>
      </c>
      <c r="E8" s="15">
        <v>3646</v>
      </c>
      <c r="F8" s="15">
        <v>3629</v>
      </c>
      <c r="G8" s="15">
        <v>3417</v>
      </c>
      <c r="H8" s="15">
        <v>3053</v>
      </c>
      <c r="I8" s="15">
        <v>3338</v>
      </c>
      <c r="J8" s="15">
        <v>3498</v>
      </c>
      <c r="K8" s="15">
        <v>3853</v>
      </c>
      <c r="L8" s="15">
        <v>3664</v>
      </c>
      <c r="M8" s="15">
        <v>4423</v>
      </c>
      <c r="N8" s="15">
        <v>4325</v>
      </c>
      <c r="O8" s="15">
        <v>11106</v>
      </c>
      <c r="P8" s="15">
        <v>9765</v>
      </c>
      <c r="Q8" s="15">
        <v>10857</v>
      </c>
      <c r="R8" s="15">
        <v>10916</v>
      </c>
      <c r="S8" s="16"/>
    </row>
    <row r="9" spans="1:19">
      <c r="A9" s="17" t="s">
        <v>446</v>
      </c>
      <c r="B9" s="17" t="s">
        <v>447</v>
      </c>
      <c r="C9" s="18">
        <v>2182</v>
      </c>
      <c r="D9" s="18">
        <v>2366</v>
      </c>
      <c r="E9" s="18">
        <v>2568</v>
      </c>
      <c r="F9" s="18">
        <v>2720</v>
      </c>
      <c r="G9" s="18">
        <v>2485</v>
      </c>
      <c r="H9" s="18">
        <v>2559</v>
      </c>
      <c r="I9" s="18">
        <v>2523</v>
      </c>
      <c r="J9" s="18">
        <v>2535</v>
      </c>
      <c r="K9" s="18">
        <v>2712</v>
      </c>
      <c r="L9" s="18">
        <v>2713</v>
      </c>
      <c r="M9" s="18">
        <v>3240</v>
      </c>
      <c r="N9" s="18">
        <v>3723</v>
      </c>
      <c r="O9" s="18">
        <v>8937</v>
      </c>
      <c r="P9" s="18">
        <v>7766</v>
      </c>
      <c r="Q9" s="18">
        <v>8366</v>
      </c>
      <c r="R9" s="18">
        <v>8538</v>
      </c>
      <c r="S9" s="19"/>
    </row>
    <row r="10" spans="1:19">
      <c r="A10" s="6" t="s">
        <v>448</v>
      </c>
      <c r="B10" s="6" t="s">
        <v>449</v>
      </c>
      <c r="C10" s="15">
        <v>702</v>
      </c>
      <c r="D10" s="15">
        <v>955</v>
      </c>
      <c r="E10" s="15">
        <v>1078</v>
      </c>
      <c r="F10" s="15">
        <v>909</v>
      </c>
      <c r="G10" s="15">
        <v>932</v>
      </c>
      <c r="H10" s="15">
        <v>494</v>
      </c>
      <c r="I10" s="15">
        <v>815</v>
      </c>
      <c r="J10" s="15">
        <v>963</v>
      </c>
      <c r="K10" s="15">
        <v>1141</v>
      </c>
      <c r="L10" s="15">
        <v>951</v>
      </c>
      <c r="M10" s="15">
        <v>1183</v>
      </c>
      <c r="N10" s="15">
        <v>602</v>
      </c>
      <c r="O10" s="15">
        <v>2169</v>
      </c>
      <c r="P10" s="15">
        <v>1999</v>
      </c>
      <c r="Q10" s="15">
        <v>2491</v>
      </c>
      <c r="R10" s="15">
        <v>2378</v>
      </c>
      <c r="S10" s="16"/>
    </row>
    <row r="11" spans="1:19">
      <c r="A11" s="17" t="s">
        <v>450</v>
      </c>
      <c r="B11" s="17" t="s">
        <v>451</v>
      </c>
      <c r="C11" s="18">
        <v>172</v>
      </c>
      <c r="D11" s="18">
        <v>174</v>
      </c>
      <c r="E11" s="18">
        <v>182</v>
      </c>
      <c r="F11" s="18">
        <v>179</v>
      </c>
      <c r="G11" s="18">
        <v>166</v>
      </c>
      <c r="H11" s="18">
        <v>169</v>
      </c>
      <c r="I11" s="18">
        <v>129</v>
      </c>
      <c r="J11" s="18">
        <v>131</v>
      </c>
      <c r="K11" s="18">
        <v>190</v>
      </c>
      <c r="L11" s="18">
        <v>119</v>
      </c>
      <c r="M11" s="18">
        <v>170</v>
      </c>
      <c r="N11" s="18">
        <v>210</v>
      </c>
      <c r="O11" s="18">
        <v>408</v>
      </c>
      <c r="P11" s="18">
        <v>182</v>
      </c>
      <c r="Q11" s="18">
        <v>255</v>
      </c>
      <c r="R11" s="18">
        <v>154</v>
      </c>
      <c r="S11" s="19"/>
    </row>
    <row r="12" spans="1:19">
      <c r="A12" s="17" t="s">
        <v>452</v>
      </c>
      <c r="B12" s="17" t="s">
        <v>453</v>
      </c>
      <c r="C12" s="18">
        <v>11</v>
      </c>
      <c r="D12" s="18">
        <v>20</v>
      </c>
      <c r="E12" s="18">
        <v>31</v>
      </c>
      <c r="F12" s="18">
        <v>45</v>
      </c>
      <c r="G12" s="18">
        <v>10</v>
      </c>
      <c r="H12" s="18">
        <v>39</v>
      </c>
      <c r="I12" s="18">
        <v>6</v>
      </c>
      <c r="J12" s="18">
        <v>23</v>
      </c>
      <c r="K12" s="18">
        <v>9</v>
      </c>
      <c r="L12" s="18">
        <v>6</v>
      </c>
      <c r="M12" s="18">
        <v>68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9"/>
    </row>
    <row r="13" spans="1:19">
      <c r="A13" s="17" t="s">
        <v>454</v>
      </c>
      <c r="B13" s="17" t="s">
        <v>455</v>
      </c>
      <c r="C13" s="18">
        <v>-154</v>
      </c>
      <c r="D13" s="18">
        <v>-132</v>
      </c>
      <c r="E13" s="18">
        <v>-150</v>
      </c>
      <c r="F13" s="18">
        <v>-124</v>
      </c>
      <c r="G13" s="18">
        <v>402</v>
      </c>
      <c r="H13" s="18">
        <v>460</v>
      </c>
      <c r="I13" s="18">
        <v>-49</v>
      </c>
      <c r="J13" s="18">
        <v>-86</v>
      </c>
      <c r="K13" s="18">
        <v>-145</v>
      </c>
      <c r="L13" s="18">
        <v>273</v>
      </c>
      <c r="M13" s="18">
        <v>579</v>
      </c>
      <c r="N13" s="18">
        <v>477</v>
      </c>
      <c r="O13" s="18">
        <v>-137</v>
      </c>
      <c r="P13" s="18">
        <v>777</v>
      </c>
      <c r="Q13" s="18">
        <v>645</v>
      </c>
      <c r="R13" s="18">
        <v>-1082</v>
      </c>
      <c r="S13" s="19"/>
    </row>
    <row r="14" spans="1:19">
      <c r="A14" s="6" t="s">
        <v>456</v>
      </c>
      <c r="B14" s="6" t="s">
        <v>457</v>
      </c>
      <c r="C14" s="15">
        <v>673</v>
      </c>
      <c r="D14" s="15">
        <v>893</v>
      </c>
      <c r="E14" s="15">
        <v>1015</v>
      </c>
      <c r="F14" s="15">
        <v>809</v>
      </c>
      <c r="G14" s="15">
        <v>354</v>
      </c>
      <c r="H14" s="15">
        <v>-174</v>
      </c>
      <c r="I14" s="15">
        <v>729</v>
      </c>
      <c r="J14" s="15">
        <v>895</v>
      </c>
      <c r="K14" s="15">
        <v>1087</v>
      </c>
      <c r="L14" s="15">
        <v>553</v>
      </c>
      <c r="M14" s="15">
        <v>366</v>
      </c>
      <c r="N14" s="15">
        <v>-85</v>
      </c>
      <c r="O14" s="15">
        <v>1898</v>
      </c>
      <c r="P14" s="15">
        <v>1040</v>
      </c>
      <c r="Q14" s="15">
        <v>1591</v>
      </c>
      <c r="R14" s="15">
        <v>3306</v>
      </c>
      <c r="S14" s="16"/>
    </row>
    <row r="15" spans="1:19">
      <c r="A15" s="17" t="s">
        <v>458</v>
      </c>
      <c r="B15" s="17" t="s">
        <v>459</v>
      </c>
      <c r="C15" s="18">
        <v>237</v>
      </c>
      <c r="D15" s="18">
        <v>302</v>
      </c>
      <c r="E15" s="18">
        <v>336</v>
      </c>
      <c r="F15" s="18">
        <v>263</v>
      </c>
      <c r="G15" s="18">
        <v>116</v>
      </c>
      <c r="H15" s="18">
        <v>-48</v>
      </c>
      <c r="I15" s="18">
        <v>235</v>
      </c>
      <c r="J15" s="18">
        <v>273</v>
      </c>
      <c r="K15" s="18">
        <v>348</v>
      </c>
      <c r="L15" s="18">
        <v>140</v>
      </c>
      <c r="M15" s="18">
        <v>72</v>
      </c>
      <c r="N15" s="18">
        <v>46</v>
      </c>
      <c r="O15" s="18">
        <v>592</v>
      </c>
      <c r="P15" s="18">
        <v>236</v>
      </c>
      <c r="Q15" s="18">
        <v>298</v>
      </c>
      <c r="R15" s="18">
        <v>869</v>
      </c>
      <c r="S15" s="19"/>
    </row>
    <row r="16" spans="1:19">
      <c r="A16" s="6" t="s">
        <v>460</v>
      </c>
      <c r="B16" s="6" t="s">
        <v>461</v>
      </c>
      <c r="C16" s="15">
        <v>436</v>
      </c>
      <c r="D16" s="15">
        <v>591</v>
      </c>
      <c r="E16" s="15">
        <v>679</v>
      </c>
      <c r="F16" s="15">
        <v>546</v>
      </c>
      <c r="G16" s="15">
        <v>238</v>
      </c>
      <c r="H16" s="15">
        <v>-126</v>
      </c>
      <c r="I16" s="15">
        <v>494</v>
      </c>
      <c r="J16" s="15">
        <v>622</v>
      </c>
      <c r="K16" s="15">
        <v>739</v>
      </c>
      <c r="L16" s="15">
        <v>413</v>
      </c>
      <c r="M16" s="15">
        <v>294</v>
      </c>
      <c r="N16" s="15">
        <v>-131</v>
      </c>
      <c r="O16" s="15">
        <v>1306</v>
      </c>
      <c r="P16" s="15">
        <v>804</v>
      </c>
      <c r="Q16" s="15">
        <v>1293</v>
      </c>
      <c r="R16" s="15">
        <v>2437</v>
      </c>
      <c r="S16" s="16"/>
    </row>
    <row r="17" spans="1:19">
      <c r="A17" s="17" t="s">
        <v>462</v>
      </c>
      <c r="B17" s="17" t="s">
        <v>463</v>
      </c>
      <c r="C17" s="18" t="s">
        <v>464</v>
      </c>
      <c r="D17" s="18" t="s">
        <v>464</v>
      </c>
      <c r="E17" s="18" t="s">
        <v>464</v>
      </c>
      <c r="F17" s="18" t="s">
        <v>464</v>
      </c>
      <c r="G17" s="18">
        <v>-58</v>
      </c>
      <c r="H17" s="18">
        <v>-38</v>
      </c>
      <c r="I17" s="18">
        <v>0</v>
      </c>
      <c r="J17" s="18">
        <v>0</v>
      </c>
      <c r="K17" s="18">
        <v>0</v>
      </c>
      <c r="L17" s="18">
        <v>28</v>
      </c>
      <c r="M17" s="18">
        <v>-176</v>
      </c>
      <c r="N17" s="18">
        <v>119</v>
      </c>
      <c r="O17" s="18">
        <v>-72</v>
      </c>
      <c r="P17" s="18">
        <v>87</v>
      </c>
      <c r="Q17" s="18">
        <v>-208</v>
      </c>
      <c r="R17" s="18">
        <v>1840</v>
      </c>
      <c r="S17" s="19"/>
    </row>
    <row r="18" spans="1:19">
      <c r="A18" s="17" t="s">
        <v>465</v>
      </c>
      <c r="B18" s="17" t="s">
        <v>466</v>
      </c>
      <c r="C18" s="18" t="s">
        <v>464</v>
      </c>
      <c r="D18" s="18" t="s">
        <v>464</v>
      </c>
      <c r="E18" s="18" t="s">
        <v>464</v>
      </c>
      <c r="F18" s="18" t="s">
        <v>464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9"/>
    </row>
    <row r="19" spans="1:19">
      <c r="A19" s="6" t="s">
        <v>467</v>
      </c>
      <c r="B19" s="6" t="s">
        <v>468</v>
      </c>
      <c r="C19" s="15">
        <v>436</v>
      </c>
      <c r="D19" s="15">
        <v>591</v>
      </c>
      <c r="E19" s="15">
        <v>679</v>
      </c>
      <c r="F19" s="15">
        <v>546</v>
      </c>
      <c r="G19" s="15">
        <v>296</v>
      </c>
      <c r="H19" s="15">
        <v>-88</v>
      </c>
      <c r="I19" s="15">
        <v>494</v>
      </c>
      <c r="J19" s="15">
        <v>622</v>
      </c>
      <c r="K19" s="15">
        <v>739</v>
      </c>
      <c r="L19" s="15">
        <v>385</v>
      </c>
      <c r="M19" s="15">
        <v>470</v>
      </c>
      <c r="N19" s="15">
        <v>-250</v>
      </c>
      <c r="O19" s="15">
        <v>1378</v>
      </c>
      <c r="P19" s="15">
        <v>717</v>
      </c>
      <c r="Q19" s="15">
        <v>1501</v>
      </c>
      <c r="R19" s="15">
        <v>597</v>
      </c>
      <c r="S19" s="16"/>
    </row>
    <row r="20" spans="1:19">
      <c r="A20" s="17" t="s">
        <v>469</v>
      </c>
      <c r="B20" s="17" t="s">
        <v>470</v>
      </c>
      <c r="C20" s="18" t="s">
        <v>464</v>
      </c>
      <c r="D20" s="18" t="s">
        <v>464</v>
      </c>
      <c r="E20" s="18" t="s">
        <v>464</v>
      </c>
      <c r="F20" s="18" t="s">
        <v>464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9"/>
    </row>
    <row r="21" spans="1:19">
      <c r="A21" s="17" t="s">
        <v>471</v>
      </c>
      <c r="B21" s="17" t="s">
        <v>472</v>
      </c>
      <c r="C21" s="18" t="s">
        <v>464</v>
      </c>
      <c r="D21" s="18" t="s">
        <v>464</v>
      </c>
      <c r="E21" s="18" t="s">
        <v>464</v>
      </c>
      <c r="F21" s="18" t="s">
        <v>464</v>
      </c>
      <c r="G21" s="18" t="s">
        <v>464</v>
      </c>
      <c r="H21" s="18" t="s">
        <v>464</v>
      </c>
      <c r="I21" s="18" t="s">
        <v>464</v>
      </c>
      <c r="J21" s="18" t="s">
        <v>464</v>
      </c>
      <c r="K21" s="18" t="s">
        <v>464</v>
      </c>
      <c r="L21" s="18" t="s">
        <v>464</v>
      </c>
      <c r="M21" s="18" t="s">
        <v>464</v>
      </c>
      <c r="N21" s="18" t="s">
        <v>464</v>
      </c>
      <c r="O21" s="18">
        <v>0</v>
      </c>
      <c r="P21" s="18">
        <v>0</v>
      </c>
      <c r="Q21" s="18">
        <v>0</v>
      </c>
      <c r="R21" s="18">
        <v>0</v>
      </c>
      <c r="S21" s="19"/>
    </row>
    <row r="22" spans="1:19">
      <c r="A22" s="6" t="s">
        <v>473</v>
      </c>
      <c r="B22" s="6" t="s">
        <v>474</v>
      </c>
      <c r="C22" s="15">
        <v>436</v>
      </c>
      <c r="D22" s="15">
        <v>591</v>
      </c>
      <c r="E22" s="15">
        <v>679</v>
      </c>
      <c r="F22" s="15">
        <v>546</v>
      </c>
      <c r="G22" s="15">
        <v>296</v>
      </c>
      <c r="H22" s="15">
        <v>-88</v>
      </c>
      <c r="I22" s="15">
        <v>494</v>
      </c>
      <c r="J22" s="15">
        <v>622</v>
      </c>
      <c r="K22" s="15">
        <v>739</v>
      </c>
      <c r="L22" s="15">
        <v>385</v>
      </c>
      <c r="M22" s="15">
        <v>470</v>
      </c>
      <c r="N22" s="15">
        <v>-250</v>
      </c>
      <c r="O22" s="15">
        <v>1378</v>
      </c>
      <c r="P22" s="15">
        <v>717</v>
      </c>
      <c r="Q22" s="15">
        <v>1501</v>
      </c>
      <c r="R22" s="15">
        <v>597</v>
      </c>
      <c r="S22" s="16"/>
    </row>
    <row r="23" spans="1:19">
      <c r="A23" s="6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1"/>
    </row>
    <row r="24" spans="1:19">
      <c r="A24" s="17" t="s">
        <v>475</v>
      </c>
      <c r="B24" s="17" t="s">
        <v>476</v>
      </c>
      <c r="C24" s="18" t="s">
        <v>464</v>
      </c>
      <c r="D24" s="18" t="s">
        <v>464</v>
      </c>
      <c r="E24" s="18" t="s">
        <v>464</v>
      </c>
      <c r="F24" s="18" t="s">
        <v>464</v>
      </c>
      <c r="G24" s="18" t="s">
        <v>464</v>
      </c>
      <c r="H24" s="18" t="s">
        <v>464</v>
      </c>
      <c r="I24" s="18" t="s">
        <v>464</v>
      </c>
      <c r="J24" s="18" t="s">
        <v>464</v>
      </c>
      <c r="K24" s="18" t="s">
        <v>464</v>
      </c>
      <c r="L24" s="18">
        <v>257</v>
      </c>
      <c r="M24" s="18">
        <v>684</v>
      </c>
      <c r="N24" s="18">
        <v>830</v>
      </c>
      <c r="O24" s="18">
        <v>61</v>
      </c>
      <c r="P24" s="18">
        <v>1080</v>
      </c>
      <c r="Q24" s="18">
        <v>947</v>
      </c>
      <c r="R24" s="18">
        <v>-616</v>
      </c>
      <c r="S24" s="19"/>
    </row>
    <row r="25" spans="1:19">
      <c r="A25" s="17" t="s">
        <v>477</v>
      </c>
      <c r="B25" s="17" t="s">
        <v>478</v>
      </c>
      <c r="C25" s="18" t="s">
        <v>464</v>
      </c>
      <c r="D25" s="18" t="s">
        <v>464</v>
      </c>
      <c r="E25" s="18" t="s">
        <v>464</v>
      </c>
      <c r="F25" s="18" t="s">
        <v>464</v>
      </c>
      <c r="G25" s="18" t="s">
        <v>464</v>
      </c>
      <c r="H25" s="18" t="s">
        <v>464</v>
      </c>
      <c r="I25" s="18" t="s">
        <v>464</v>
      </c>
      <c r="J25" s="18" t="s">
        <v>464</v>
      </c>
      <c r="K25" s="18" t="s">
        <v>464</v>
      </c>
      <c r="L25" s="18">
        <v>0</v>
      </c>
      <c r="M25" s="18">
        <v>-229</v>
      </c>
      <c r="N25" s="18" t="s">
        <v>464</v>
      </c>
      <c r="O25" s="18">
        <v>-3</v>
      </c>
      <c r="P25" s="18">
        <v>-357</v>
      </c>
      <c r="Q25" s="18">
        <v>-337</v>
      </c>
      <c r="R25" s="18">
        <v>232</v>
      </c>
      <c r="S25" s="19"/>
    </row>
    <row r="26" spans="1:19">
      <c r="A26" s="6" t="s">
        <v>479</v>
      </c>
      <c r="B26" s="6" t="s">
        <v>480</v>
      </c>
      <c r="C26" s="15">
        <v>436</v>
      </c>
      <c r="D26" s="15">
        <v>591</v>
      </c>
      <c r="E26" s="15">
        <v>679</v>
      </c>
      <c r="F26" s="15">
        <v>546</v>
      </c>
      <c r="G26" s="15">
        <v>238</v>
      </c>
      <c r="H26" s="15">
        <v>-126</v>
      </c>
      <c r="I26" s="15">
        <v>494</v>
      </c>
      <c r="J26" s="15">
        <v>622</v>
      </c>
      <c r="K26" s="15">
        <v>739</v>
      </c>
      <c r="L26" s="15">
        <v>670</v>
      </c>
      <c r="M26" s="15">
        <v>749</v>
      </c>
      <c r="N26" s="15">
        <v>699</v>
      </c>
      <c r="O26" s="15">
        <v>1364</v>
      </c>
      <c r="P26" s="15">
        <v>1527</v>
      </c>
      <c r="Q26" s="15">
        <v>1903</v>
      </c>
      <c r="R26" s="15">
        <v>2053</v>
      </c>
      <c r="S26" s="16"/>
    </row>
    <row r="27" spans="1:19">
      <c r="A27" s="6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1"/>
    </row>
    <row r="28" spans="1:19">
      <c r="A28" s="6" t="s">
        <v>481</v>
      </c>
      <c r="B28" s="6" t="s">
        <v>482</v>
      </c>
      <c r="C28" s="22" t="s">
        <v>464</v>
      </c>
      <c r="D28" s="22" t="s">
        <v>464</v>
      </c>
      <c r="E28" s="22" t="s">
        <v>464</v>
      </c>
      <c r="F28" s="22">
        <v>0.84599999999999997</v>
      </c>
      <c r="G28" s="22">
        <v>0.374</v>
      </c>
      <c r="H28" s="22">
        <v>-0.20399999999999999</v>
      </c>
      <c r="I28" s="22">
        <v>0.82</v>
      </c>
      <c r="J28" s="22">
        <v>1.0640000000000001</v>
      </c>
      <c r="K28" s="22">
        <v>1.272</v>
      </c>
      <c r="L28" s="22">
        <v>1.1399999999999999</v>
      </c>
      <c r="M28" s="22">
        <v>1.25</v>
      </c>
      <c r="N28" s="22">
        <v>0.93</v>
      </c>
      <c r="O28" s="22">
        <v>1.1499999999999999</v>
      </c>
      <c r="P28" s="22">
        <v>1.17</v>
      </c>
      <c r="Q28" s="22">
        <v>1.44</v>
      </c>
      <c r="R28" s="22">
        <v>1.59</v>
      </c>
      <c r="S28" s="23"/>
    </row>
    <row r="29" spans="1:19">
      <c r="A29" s="6" t="s">
        <v>483</v>
      </c>
      <c r="B29" s="6" t="s">
        <v>484</v>
      </c>
      <c r="C29" s="22">
        <v>0.56299999999999994</v>
      </c>
      <c r="D29" s="22">
        <v>0.82699999999999996</v>
      </c>
      <c r="E29" s="22">
        <v>1.0029999999999999</v>
      </c>
      <c r="F29" s="22">
        <v>0.84599999999999997</v>
      </c>
      <c r="G29" s="22">
        <v>0.374</v>
      </c>
      <c r="H29" s="22">
        <v>-0.20399999999999999</v>
      </c>
      <c r="I29" s="22">
        <v>0.82</v>
      </c>
      <c r="J29" s="22">
        <v>1.0640000000000001</v>
      </c>
      <c r="K29" s="22">
        <v>1.272</v>
      </c>
      <c r="L29" s="22">
        <v>0.71</v>
      </c>
      <c r="M29" s="22">
        <v>0.5</v>
      </c>
      <c r="N29" s="22">
        <v>-0.22</v>
      </c>
      <c r="O29" s="22">
        <v>1.04</v>
      </c>
      <c r="P29" s="22">
        <v>0.62</v>
      </c>
      <c r="Q29" s="22">
        <v>0.98</v>
      </c>
      <c r="R29" s="22">
        <v>1.88</v>
      </c>
      <c r="S29" s="23"/>
    </row>
    <row r="30" spans="1:19">
      <c r="A30" s="6" t="s">
        <v>485</v>
      </c>
      <c r="B30" s="6" t="s">
        <v>486</v>
      </c>
      <c r="C30" s="22">
        <v>0.56299999999999994</v>
      </c>
      <c r="D30" s="22">
        <v>0.82699999999999996</v>
      </c>
      <c r="E30" s="22">
        <v>1.0029999999999999</v>
      </c>
      <c r="F30" s="22">
        <v>0.84599999999999997</v>
      </c>
      <c r="G30" s="22">
        <v>0.46600000000000003</v>
      </c>
      <c r="H30" s="22">
        <v>-0.14199999999999999</v>
      </c>
      <c r="I30" s="22">
        <v>0.82</v>
      </c>
      <c r="J30" s="22">
        <v>1.0640000000000001</v>
      </c>
      <c r="K30" s="22">
        <v>1.272</v>
      </c>
      <c r="L30" s="22">
        <v>0.66</v>
      </c>
      <c r="M30" s="22">
        <v>0.8</v>
      </c>
      <c r="N30" s="22">
        <v>-0.41</v>
      </c>
      <c r="O30" s="22">
        <v>1.1000000000000001</v>
      </c>
      <c r="P30" s="22">
        <v>0.55000000000000004</v>
      </c>
      <c r="Q30" s="22">
        <v>1.1399999999999999</v>
      </c>
      <c r="R30" s="22">
        <v>0.45</v>
      </c>
      <c r="S30" s="23"/>
    </row>
    <row r="31" spans="1:19">
      <c r="A31" s="17" t="s">
        <v>487</v>
      </c>
      <c r="B31" s="17" t="s">
        <v>488</v>
      </c>
      <c r="C31" s="18">
        <v>775</v>
      </c>
      <c r="D31" s="18">
        <v>715</v>
      </c>
      <c r="E31" s="18">
        <v>676.99996899999996</v>
      </c>
      <c r="F31" s="18">
        <v>645.50003000000004</v>
      </c>
      <c r="G31" s="18">
        <v>635.62999500000001</v>
      </c>
      <c r="H31" s="18">
        <v>617.22</v>
      </c>
      <c r="I31" s="18">
        <v>601.89998500000002</v>
      </c>
      <c r="J31" s="18">
        <v>584.92500500000006</v>
      </c>
      <c r="K31" s="18">
        <v>580.63999000000001</v>
      </c>
      <c r="L31" s="18">
        <v>581.20001200000002</v>
      </c>
      <c r="M31" s="18">
        <v>590.20001200000002</v>
      </c>
      <c r="N31" s="18">
        <v>603.5</v>
      </c>
      <c r="O31" s="18">
        <v>1249</v>
      </c>
      <c r="P31" s="18">
        <v>1274</v>
      </c>
      <c r="Q31" s="18">
        <v>1298</v>
      </c>
      <c r="R31" s="18">
        <v>1293</v>
      </c>
      <c r="S31" s="19">
        <v>1293</v>
      </c>
    </row>
    <row r="32" spans="1:19">
      <c r="A32" s="6" t="s">
        <v>489</v>
      </c>
      <c r="B32" s="6" t="s">
        <v>490</v>
      </c>
      <c r="C32" s="22">
        <v>0.56299999999999994</v>
      </c>
      <c r="D32" s="22">
        <v>0.82699999999999996</v>
      </c>
      <c r="E32" s="22">
        <v>1.0029999999999999</v>
      </c>
      <c r="F32" s="22">
        <v>0.84599999999999997</v>
      </c>
      <c r="G32" s="22">
        <v>0.374</v>
      </c>
      <c r="H32" s="22">
        <v>-0.20399999999999999</v>
      </c>
      <c r="I32" s="22">
        <v>0.82</v>
      </c>
      <c r="J32" s="22">
        <v>1.0640000000000001</v>
      </c>
      <c r="K32" s="22">
        <v>1.272</v>
      </c>
      <c r="L32" s="22">
        <v>1.1200000000000001</v>
      </c>
      <c r="M32" s="22">
        <v>1.23</v>
      </c>
      <c r="N32" s="22">
        <v>0.93</v>
      </c>
      <c r="O32" s="22">
        <v>1.1200000000000001</v>
      </c>
      <c r="P32" s="22">
        <v>1.1599999999999999</v>
      </c>
      <c r="Q32" s="22">
        <v>1.43</v>
      </c>
      <c r="R32" s="22">
        <v>1.55</v>
      </c>
      <c r="S32" s="23"/>
    </row>
    <row r="33" spans="1:19">
      <c r="A33" s="6" t="s">
        <v>491</v>
      </c>
      <c r="B33" s="6" t="s">
        <v>492</v>
      </c>
      <c r="C33" s="22">
        <v>0.56299999999999994</v>
      </c>
      <c r="D33" s="22">
        <v>0.82699999999999996</v>
      </c>
      <c r="E33" s="22">
        <v>1.0029999999999999</v>
      </c>
      <c r="F33" s="22">
        <v>0.84599999999999997</v>
      </c>
      <c r="G33" s="22">
        <v>0.374</v>
      </c>
      <c r="H33" s="22">
        <v>-0.20399999999999999</v>
      </c>
      <c r="I33" s="22">
        <v>0.82</v>
      </c>
      <c r="J33" s="22">
        <v>1.0640000000000001</v>
      </c>
      <c r="K33" s="22">
        <v>1.272</v>
      </c>
      <c r="L33" s="22">
        <v>0.69</v>
      </c>
      <c r="M33" s="22">
        <v>0.48</v>
      </c>
      <c r="N33" s="22">
        <v>-0.22</v>
      </c>
      <c r="O33" s="22">
        <v>1.01</v>
      </c>
      <c r="P33" s="22">
        <v>0.61</v>
      </c>
      <c r="Q33" s="22">
        <v>0.97</v>
      </c>
      <c r="R33" s="22">
        <v>1.84</v>
      </c>
      <c r="S33" s="23"/>
    </row>
    <row r="34" spans="1:19">
      <c r="A34" s="6" t="s">
        <v>493</v>
      </c>
      <c r="B34" s="6" t="s">
        <v>494</v>
      </c>
      <c r="C34" s="22">
        <v>0.56299999999999994</v>
      </c>
      <c r="D34" s="22">
        <v>0.82699999999999996</v>
      </c>
      <c r="E34" s="22">
        <v>1.0029999999999999</v>
      </c>
      <c r="F34" s="22">
        <v>0.84599999999999997</v>
      </c>
      <c r="G34" s="22">
        <v>0.46600000000000003</v>
      </c>
      <c r="H34" s="22">
        <v>-0.14199999999999999</v>
      </c>
      <c r="I34" s="22">
        <v>0.82</v>
      </c>
      <c r="J34" s="22">
        <v>1.0640000000000001</v>
      </c>
      <c r="K34" s="22">
        <v>1.272</v>
      </c>
      <c r="L34" s="22">
        <v>0.64</v>
      </c>
      <c r="M34" s="22">
        <v>0.77</v>
      </c>
      <c r="N34" s="22">
        <v>-0.41</v>
      </c>
      <c r="O34" s="22">
        <v>1.07</v>
      </c>
      <c r="P34" s="22">
        <v>0.54</v>
      </c>
      <c r="Q34" s="22">
        <v>1.1200000000000001</v>
      </c>
      <c r="R34" s="22">
        <v>0.44</v>
      </c>
      <c r="S34" s="23"/>
    </row>
    <row r="35" spans="1:19">
      <c r="A35" s="17" t="s">
        <v>495</v>
      </c>
      <c r="B35" s="17" t="s">
        <v>496</v>
      </c>
      <c r="C35" s="18">
        <v>775</v>
      </c>
      <c r="D35" s="18">
        <v>715</v>
      </c>
      <c r="E35" s="18">
        <v>676.99996899999996</v>
      </c>
      <c r="F35" s="18">
        <v>645.50003000000004</v>
      </c>
      <c r="G35" s="18">
        <v>635.62999500000001</v>
      </c>
      <c r="H35" s="18">
        <v>617.22</v>
      </c>
      <c r="I35" s="18">
        <v>601.89998500000002</v>
      </c>
      <c r="J35" s="18">
        <v>584.92500500000006</v>
      </c>
      <c r="K35" s="18">
        <v>580.63999000000001</v>
      </c>
      <c r="L35" s="18">
        <v>598.90002400000003</v>
      </c>
      <c r="M35" s="18">
        <v>610.5</v>
      </c>
      <c r="N35" s="18">
        <v>603.5</v>
      </c>
      <c r="O35" s="18">
        <v>1284</v>
      </c>
      <c r="P35" s="18">
        <v>1307</v>
      </c>
      <c r="Q35" s="18">
        <v>1322</v>
      </c>
      <c r="R35" s="18">
        <v>1315</v>
      </c>
      <c r="S35" s="19">
        <v>1316</v>
      </c>
    </row>
    <row r="36" spans="1:19">
      <c r="A36" s="6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1"/>
    </row>
    <row r="37" spans="1:19">
      <c r="A37" s="6" t="s">
        <v>497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1"/>
    </row>
    <row r="38" spans="1:19">
      <c r="A38" s="17" t="s">
        <v>498</v>
      </c>
      <c r="B38" s="17" t="s">
        <v>499</v>
      </c>
      <c r="C38" s="24" t="s">
        <v>500</v>
      </c>
      <c r="D38" s="24" t="s">
        <v>500</v>
      </c>
      <c r="E38" s="24" t="s">
        <v>500</v>
      </c>
      <c r="F38" s="24" t="s">
        <v>500</v>
      </c>
      <c r="G38" s="24" t="s">
        <v>500</v>
      </c>
      <c r="H38" s="24" t="s">
        <v>500</v>
      </c>
      <c r="I38" s="24" t="s">
        <v>500</v>
      </c>
      <c r="J38" s="24" t="s">
        <v>500</v>
      </c>
      <c r="K38" s="24" t="s">
        <v>500</v>
      </c>
      <c r="L38" s="24" t="s">
        <v>500</v>
      </c>
      <c r="M38" s="24" t="s">
        <v>500</v>
      </c>
      <c r="N38" s="24" t="s">
        <v>500</v>
      </c>
      <c r="O38" s="24" t="s">
        <v>500</v>
      </c>
      <c r="P38" s="24" t="s">
        <v>500</v>
      </c>
      <c r="Q38" s="24" t="s">
        <v>500</v>
      </c>
      <c r="R38" s="24" t="s">
        <v>500</v>
      </c>
      <c r="S38" s="25"/>
    </row>
    <row r="39" spans="1:19">
      <c r="A39" s="17" t="s">
        <v>29</v>
      </c>
      <c r="B39" s="17" t="s">
        <v>29</v>
      </c>
      <c r="C39" s="18">
        <v>1381</v>
      </c>
      <c r="D39" s="18">
        <v>1658</v>
      </c>
      <c r="E39" s="18">
        <v>1768</v>
      </c>
      <c r="F39" s="18">
        <v>1648</v>
      </c>
      <c r="G39" s="18">
        <v>1683</v>
      </c>
      <c r="H39" s="18">
        <v>1259</v>
      </c>
      <c r="I39" s="18">
        <v>1387</v>
      </c>
      <c r="J39" s="18">
        <v>1524</v>
      </c>
      <c r="K39" s="18">
        <v>1739</v>
      </c>
      <c r="L39" s="18">
        <v>1374</v>
      </c>
      <c r="M39" s="18">
        <v>1670</v>
      </c>
      <c r="N39" s="18">
        <v>1120</v>
      </c>
      <c r="O39" s="18">
        <v>3314</v>
      </c>
      <c r="P39" s="18">
        <v>2632</v>
      </c>
      <c r="Q39" s="18">
        <v>3102</v>
      </c>
      <c r="R39" s="18">
        <v>2965</v>
      </c>
      <c r="S39" s="19"/>
    </row>
    <row r="40" spans="1:19">
      <c r="A40" s="17" t="s">
        <v>501</v>
      </c>
      <c r="B40" s="17" t="s">
        <v>502</v>
      </c>
      <c r="C40" s="26">
        <v>18.078282000000002</v>
      </c>
      <c r="D40" s="26">
        <v>19.992764999999999</v>
      </c>
      <c r="E40" s="26">
        <v>20.366316999999999</v>
      </c>
      <c r="F40" s="26">
        <v>18.321290000000001</v>
      </c>
      <c r="G40" s="26">
        <v>21.207156999999999</v>
      </c>
      <c r="H40" s="26">
        <v>16.217956999999998</v>
      </c>
      <c r="I40" s="26">
        <v>17.552517999999999</v>
      </c>
      <c r="J40" s="26">
        <v>18.423597999999998</v>
      </c>
      <c r="K40" s="26">
        <v>19.404150999999999</v>
      </c>
      <c r="L40" s="26">
        <v>21.644611999999999</v>
      </c>
      <c r="M40" s="26">
        <v>22.225180000000002</v>
      </c>
      <c r="N40" s="26">
        <v>15.476025999999999</v>
      </c>
      <c r="O40" s="26">
        <v>20.176559999999998</v>
      </c>
      <c r="P40" s="26">
        <v>20.804679</v>
      </c>
      <c r="Q40" s="26">
        <v>22.421395</v>
      </c>
      <c r="R40" s="26">
        <v>21.189166</v>
      </c>
      <c r="S40" s="27"/>
    </row>
    <row r="41" spans="1:19">
      <c r="A41" s="17" t="s">
        <v>503</v>
      </c>
      <c r="B41" s="17" t="s">
        <v>504</v>
      </c>
      <c r="C41" s="26">
        <v>37.753633000000001</v>
      </c>
      <c r="D41" s="26">
        <v>40.045822000000001</v>
      </c>
      <c r="E41" s="26">
        <v>41.999769999999998</v>
      </c>
      <c r="F41" s="26">
        <v>40.344636000000001</v>
      </c>
      <c r="G41" s="26">
        <v>43.056956</v>
      </c>
      <c r="H41" s="26">
        <v>39.327579999999998</v>
      </c>
      <c r="I41" s="26">
        <v>42.242469999999997</v>
      </c>
      <c r="J41" s="26">
        <v>42.287233999999998</v>
      </c>
      <c r="K41" s="26">
        <v>42.992635999999997</v>
      </c>
      <c r="L41" s="26">
        <v>57.718966999999999</v>
      </c>
      <c r="M41" s="26">
        <v>58.863455000000002</v>
      </c>
      <c r="N41" s="26">
        <v>59.762332000000001</v>
      </c>
      <c r="O41" s="26">
        <v>67.616438000000002</v>
      </c>
      <c r="P41" s="26">
        <v>77.187573999999998</v>
      </c>
      <c r="Q41" s="26">
        <v>78.474883000000005</v>
      </c>
      <c r="R41" s="26">
        <v>78.010434000000004</v>
      </c>
      <c r="S41" s="27"/>
    </row>
    <row r="42" spans="1:19">
      <c r="A42" s="17" t="s">
        <v>505</v>
      </c>
      <c r="B42" s="17" t="s">
        <v>506</v>
      </c>
      <c r="C42" s="26">
        <v>9.1896850000000008</v>
      </c>
      <c r="D42" s="26">
        <v>11.515736</v>
      </c>
      <c r="E42" s="26">
        <v>12.417923999999999</v>
      </c>
      <c r="F42" s="26">
        <v>10.105613999999999</v>
      </c>
      <c r="G42" s="26">
        <v>11.743952</v>
      </c>
      <c r="H42" s="26">
        <v>6.3635190000000001</v>
      </c>
      <c r="I42" s="26">
        <v>10.313845000000001</v>
      </c>
      <c r="J42" s="26">
        <v>11.641683</v>
      </c>
      <c r="K42" s="26">
        <v>12.731533000000001</v>
      </c>
      <c r="L42" s="26">
        <v>14.981096000000001</v>
      </c>
      <c r="M42" s="26">
        <v>15.743945</v>
      </c>
      <c r="N42" s="26">
        <v>8.3183640000000008</v>
      </c>
      <c r="O42" s="26">
        <v>13.205479</v>
      </c>
      <c r="P42" s="26">
        <v>15.801121999999999</v>
      </c>
      <c r="Q42" s="26">
        <v>18.00506</v>
      </c>
      <c r="R42" s="26">
        <v>16.994211</v>
      </c>
      <c r="S42" s="27"/>
    </row>
    <row r="43" spans="1:19">
      <c r="A43" s="17" t="s">
        <v>507</v>
      </c>
      <c r="B43" s="17" t="s">
        <v>508</v>
      </c>
      <c r="C43" s="26">
        <v>5.7075529999999999</v>
      </c>
      <c r="D43" s="26">
        <v>7.1264919999999998</v>
      </c>
      <c r="E43" s="26">
        <v>7.8216799999999997</v>
      </c>
      <c r="F43" s="26">
        <v>6.0700390000000004</v>
      </c>
      <c r="G43" s="26">
        <v>3.7298390000000001</v>
      </c>
      <c r="H43" s="26">
        <v>-1.1335820000000001</v>
      </c>
      <c r="I43" s="26">
        <v>6.251582</v>
      </c>
      <c r="J43" s="26">
        <v>7.519342</v>
      </c>
      <c r="K43" s="26">
        <v>8.245927</v>
      </c>
      <c r="L43" s="26">
        <v>6.064902</v>
      </c>
      <c r="M43" s="26">
        <v>6.2549910000000004</v>
      </c>
      <c r="N43" s="26">
        <v>-3.4544700000000002</v>
      </c>
      <c r="O43" s="26">
        <v>8.3896499999999996</v>
      </c>
      <c r="P43" s="26">
        <v>5.6675360000000001</v>
      </c>
      <c r="Q43" s="26">
        <v>10.849295</v>
      </c>
      <c r="R43" s="26">
        <v>4.266419</v>
      </c>
      <c r="S43" s="27"/>
    </row>
    <row r="44" spans="1:19">
      <c r="A44" s="17" t="s">
        <v>509</v>
      </c>
      <c r="B44" s="17" t="s">
        <v>510</v>
      </c>
      <c r="C44" s="26">
        <v>153597.136768</v>
      </c>
      <c r="D44" s="26">
        <v>181724.55352300001</v>
      </c>
      <c r="E44" s="26">
        <v>205813.31942399999</v>
      </c>
      <c r="F44" s="26">
        <v>218957.66899500001</v>
      </c>
      <c r="G44" s="26">
        <v>202031.51650900001</v>
      </c>
      <c r="H44" s="26">
        <v>229694.94333800001</v>
      </c>
      <c r="I44" s="26">
        <v>263233.28558600001</v>
      </c>
      <c r="J44" s="26">
        <v>281801.45806400001</v>
      </c>
      <c r="K44" s="26">
        <v>314456.14035100001</v>
      </c>
      <c r="L44" s="26">
        <v>226714.285714</v>
      </c>
      <c r="M44" s="26">
        <v>343105.02283099998</v>
      </c>
      <c r="N44" s="26">
        <v>227578.61635200001</v>
      </c>
      <c r="O44" s="26">
        <v>549331.10367900005</v>
      </c>
      <c r="P44" s="26">
        <v>214423.728814</v>
      </c>
      <c r="Q44" s="26">
        <v>232130.87248300001</v>
      </c>
      <c r="R44" s="26">
        <v>325418.604651</v>
      </c>
      <c r="S44" s="27"/>
    </row>
    <row r="45" spans="1:19">
      <c r="A45" s="17" t="s">
        <v>511</v>
      </c>
      <c r="B45" s="17" t="s">
        <v>512</v>
      </c>
      <c r="C45" s="26">
        <v>0.27500000000000002</v>
      </c>
      <c r="D45" s="26">
        <v>0.29499999999999998</v>
      </c>
      <c r="E45" s="26">
        <v>0.33</v>
      </c>
      <c r="F45" s="26">
        <v>0.33250000000000002</v>
      </c>
      <c r="G45" s="26">
        <v>0.40899999999999997</v>
      </c>
      <c r="H45" s="26">
        <v>0.44</v>
      </c>
      <c r="I45" s="26">
        <v>0.46</v>
      </c>
      <c r="J45" s="26">
        <v>0.49399999999999999</v>
      </c>
      <c r="K45" s="26">
        <v>0.54</v>
      </c>
      <c r="L45" s="26">
        <v>0.58799999999999997</v>
      </c>
      <c r="M45" s="26">
        <v>0.5</v>
      </c>
      <c r="N45" s="26">
        <v>0.12</v>
      </c>
      <c r="O45" s="26">
        <v>0.12</v>
      </c>
      <c r="P45" s="26">
        <v>0.40500000000000003</v>
      </c>
      <c r="Q45" s="26">
        <v>0.52500000000000002</v>
      </c>
      <c r="R45" s="26">
        <v>0.54</v>
      </c>
      <c r="S45" s="27"/>
    </row>
    <row r="46" spans="1:19">
      <c r="A46" s="17" t="s">
        <v>513</v>
      </c>
      <c r="B46" s="17" t="s">
        <v>514</v>
      </c>
      <c r="C46" s="18">
        <v>212</v>
      </c>
      <c r="D46" s="18">
        <v>211</v>
      </c>
      <c r="E46" s="18">
        <v>221</v>
      </c>
      <c r="F46" s="18">
        <v>242</v>
      </c>
      <c r="G46" s="18">
        <v>258</v>
      </c>
      <c r="H46" s="18">
        <v>268</v>
      </c>
      <c r="I46" s="18">
        <v>272</v>
      </c>
      <c r="J46" s="18">
        <v>286</v>
      </c>
      <c r="K46" s="18">
        <v>303</v>
      </c>
      <c r="L46" s="18">
        <v>342</v>
      </c>
      <c r="M46" s="18">
        <v>292</v>
      </c>
      <c r="N46" s="18">
        <v>73</v>
      </c>
      <c r="O46" s="18">
        <v>641</v>
      </c>
      <c r="P46" s="18">
        <v>622</v>
      </c>
      <c r="Q46" s="18">
        <v>651</v>
      </c>
      <c r="R46" s="18">
        <v>710.09997599999997</v>
      </c>
      <c r="S46" s="19"/>
    </row>
    <row r="47" spans="1:19">
      <c r="A47" s="17" t="s">
        <v>515</v>
      </c>
      <c r="B47" s="17" t="s">
        <v>516</v>
      </c>
      <c r="C47" s="18" t="s">
        <v>464</v>
      </c>
      <c r="D47" s="18" t="s">
        <v>464</v>
      </c>
      <c r="E47" s="18" t="s">
        <v>464</v>
      </c>
      <c r="F47" s="18" t="s">
        <v>464</v>
      </c>
      <c r="G47" s="18" t="s">
        <v>464</v>
      </c>
      <c r="H47" s="18" t="s">
        <v>464</v>
      </c>
      <c r="I47" s="18" t="s">
        <v>464</v>
      </c>
      <c r="J47" s="18" t="s">
        <v>464</v>
      </c>
      <c r="K47" s="18" t="s">
        <v>464</v>
      </c>
      <c r="L47" s="18" t="s">
        <v>464</v>
      </c>
      <c r="M47" s="18" t="s">
        <v>464</v>
      </c>
      <c r="N47" s="18" t="s">
        <v>464</v>
      </c>
      <c r="O47" s="18">
        <v>110</v>
      </c>
      <c r="P47" s="18">
        <v>124</v>
      </c>
      <c r="Q47" s="18">
        <v>110</v>
      </c>
      <c r="R47" s="18">
        <v>65</v>
      </c>
      <c r="S47" s="19"/>
    </row>
    <row r="48" spans="1:19">
      <c r="A48" s="17" t="s">
        <v>517</v>
      </c>
      <c r="B48" s="17" t="s">
        <v>518</v>
      </c>
      <c r="C48" s="18">
        <v>16</v>
      </c>
      <c r="D48" s="18">
        <v>19</v>
      </c>
      <c r="E48" s="18">
        <v>22</v>
      </c>
      <c r="F48" s="18">
        <v>29</v>
      </c>
      <c r="G48" s="18">
        <v>24</v>
      </c>
      <c r="H48" s="18">
        <v>16</v>
      </c>
      <c r="I48" s="18">
        <v>12</v>
      </c>
      <c r="J48" s="18">
        <v>10</v>
      </c>
      <c r="K48" s="18">
        <v>11</v>
      </c>
      <c r="L48" s="18">
        <v>9</v>
      </c>
      <c r="M48" s="18">
        <v>14</v>
      </c>
      <c r="N48" s="18">
        <v>14</v>
      </c>
      <c r="O48" s="18">
        <v>55</v>
      </c>
      <c r="P48" s="18">
        <v>63</v>
      </c>
      <c r="Q48" s="18" t="s">
        <v>464</v>
      </c>
      <c r="R48" s="18" t="s">
        <v>464</v>
      </c>
      <c r="S48" s="19"/>
    </row>
    <row r="49" spans="1:19">
      <c r="A49" s="17" t="s">
        <v>519</v>
      </c>
      <c r="B49" s="17" t="s">
        <v>520</v>
      </c>
      <c r="C49" s="18">
        <v>557</v>
      </c>
      <c r="D49" s="18">
        <v>575</v>
      </c>
      <c r="E49" s="18">
        <v>598</v>
      </c>
      <c r="F49" s="18">
        <v>612</v>
      </c>
      <c r="G49" s="18">
        <v>610</v>
      </c>
      <c r="H49" s="18">
        <v>651</v>
      </c>
      <c r="I49" s="18">
        <v>626</v>
      </c>
      <c r="J49" s="18">
        <v>609</v>
      </c>
      <c r="K49" s="18">
        <v>658</v>
      </c>
      <c r="L49" s="18">
        <v>702</v>
      </c>
      <c r="M49" s="18">
        <v>1044</v>
      </c>
      <c r="N49" s="18">
        <v>1238</v>
      </c>
      <c r="O49" s="18">
        <v>2815</v>
      </c>
      <c r="P49" s="18">
        <v>2165</v>
      </c>
      <c r="Q49" s="18">
        <v>2263</v>
      </c>
      <c r="R49" s="18">
        <v>2359</v>
      </c>
      <c r="S49" s="19"/>
    </row>
    <row r="50" spans="1:19">
      <c r="A50" s="17" t="s">
        <v>521</v>
      </c>
      <c r="B50" s="17" t="s">
        <v>522</v>
      </c>
      <c r="C50" s="18" t="s">
        <v>464</v>
      </c>
      <c r="D50" s="18" t="s">
        <v>464</v>
      </c>
      <c r="E50" s="18" t="s">
        <v>464</v>
      </c>
      <c r="F50" s="18" t="s">
        <v>464</v>
      </c>
      <c r="G50" s="18">
        <v>473</v>
      </c>
      <c r="H50" s="18">
        <v>393</v>
      </c>
      <c r="I50" s="18">
        <v>435</v>
      </c>
      <c r="J50" s="18">
        <v>399</v>
      </c>
      <c r="K50" s="18">
        <v>550</v>
      </c>
      <c r="L50" s="18">
        <v>177</v>
      </c>
      <c r="M50" s="18">
        <v>200</v>
      </c>
      <c r="N50" s="18">
        <v>150</v>
      </c>
      <c r="O50" s="18">
        <v>0</v>
      </c>
      <c r="P50" s="18">
        <v>0</v>
      </c>
      <c r="Q50" s="18">
        <v>0</v>
      </c>
      <c r="R50" s="18">
        <v>0</v>
      </c>
      <c r="S50" s="19"/>
    </row>
    <row r="51" spans="1:19">
      <c r="A51" s="17" t="s">
        <v>523</v>
      </c>
      <c r="B51" s="17" t="s">
        <v>524</v>
      </c>
      <c r="C51" s="18">
        <v>421</v>
      </c>
      <c r="D51" s="18">
        <v>435</v>
      </c>
      <c r="E51" s="18">
        <v>438</v>
      </c>
      <c r="F51" s="18">
        <v>465</v>
      </c>
      <c r="G51" s="18">
        <v>453</v>
      </c>
      <c r="H51" s="18">
        <v>473</v>
      </c>
      <c r="I51" s="18">
        <v>469</v>
      </c>
      <c r="J51" s="18">
        <v>442</v>
      </c>
      <c r="K51" s="18">
        <v>459</v>
      </c>
      <c r="L51" s="18">
        <v>276</v>
      </c>
      <c r="M51" s="18">
        <v>299</v>
      </c>
      <c r="N51" s="18">
        <v>269</v>
      </c>
      <c r="O51" s="18">
        <v>666</v>
      </c>
      <c r="P51" s="18">
        <v>728</v>
      </c>
      <c r="Q51" s="18" t="s">
        <v>464</v>
      </c>
      <c r="R51" s="18" t="s">
        <v>464</v>
      </c>
      <c r="S51" s="19"/>
    </row>
    <row r="52" spans="1:19">
      <c r="A52" s="28" t="s">
        <v>525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</row>
  </sheetData>
  <phoneticPr fontId="1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4445F-3B3E-4CF4-AF91-D3275A9F280A}">
  <sheetPr>
    <tabColor theme="2" tint="-0.249977111117893"/>
  </sheetPr>
  <dimension ref="A1:S45"/>
  <sheetViews>
    <sheetView zoomScale="55" zoomScaleNormal="55" workbookViewId="0">
      <selection activeCell="E21" sqref="E21"/>
    </sheetView>
  </sheetViews>
  <sheetFormatPr baseColWidth="10" defaultColWidth="9" defaultRowHeight="15"/>
  <cols>
    <col min="1" max="1" width="35.1640625" style="608" customWidth="1"/>
    <col min="2" max="2" width="0" style="608" hidden="1" customWidth="1"/>
    <col min="3" max="19" width="11.83203125" style="608" customWidth="1"/>
    <col min="20" max="16384" width="9" style="608"/>
  </cols>
  <sheetData>
    <row r="1" spans="1:19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20">
      <c r="A2" s="9" t="s">
        <v>584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spans="1:19">
      <c r="A4" s="11" t="s">
        <v>405</v>
      </c>
      <c r="B4" s="11"/>
      <c r="C4" s="12" t="s">
        <v>406</v>
      </c>
      <c r="D4" s="12" t="s">
        <v>407</v>
      </c>
      <c r="E4" s="12" t="s">
        <v>408</v>
      </c>
      <c r="F4" s="12" t="s">
        <v>409</v>
      </c>
      <c r="G4" s="12" t="s">
        <v>410</v>
      </c>
      <c r="H4" s="12" t="s">
        <v>411</v>
      </c>
      <c r="I4" s="12" t="s">
        <v>412</v>
      </c>
      <c r="J4" s="12" t="s">
        <v>413</v>
      </c>
      <c r="K4" s="12" t="s">
        <v>414</v>
      </c>
      <c r="L4" s="12" t="s">
        <v>415</v>
      </c>
      <c r="M4" s="12" t="s">
        <v>416</v>
      </c>
      <c r="N4" s="12" t="s">
        <v>417</v>
      </c>
      <c r="O4" s="12" t="s">
        <v>418</v>
      </c>
      <c r="P4" s="12" t="s">
        <v>419</v>
      </c>
      <c r="Q4" s="12" t="s">
        <v>420</v>
      </c>
      <c r="R4" s="12" t="s">
        <v>421</v>
      </c>
      <c r="S4" s="12" t="s">
        <v>88</v>
      </c>
    </row>
    <row r="5" spans="1:19">
      <c r="A5" s="13" t="s">
        <v>422</v>
      </c>
      <c r="B5" s="13"/>
      <c r="C5" s="14" t="s">
        <v>423</v>
      </c>
      <c r="D5" s="14" t="s">
        <v>424</v>
      </c>
      <c r="E5" s="14" t="s">
        <v>425</v>
      </c>
      <c r="F5" s="14" t="s">
        <v>426</v>
      </c>
      <c r="G5" s="14" t="s">
        <v>427</v>
      </c>
      <c r="H5" s="14" t="s">
        <v>428</v>
      </c>
      <c r="I5" s="14" t="s">
        <v>429</v>
      </c>
      <c r="J5" s="14" t="s">
        <v>430</v>
      </c>
      <c r="K5" s="14" t="s">
        <v>431</v>
      </c>
      <c r="L5" s="14" t="s">
        <v>432</v>
      </c>
      <c r="M5" s="14" t="s">
        <v>433</v>
      </c>
      <c r="N5" s="14" t="s">
        <v>434</v>
      </c>
      <c r="O5" s="14" t="s">
        <v>435</v>
      </c>
      <c r="P5" s="14" t="s">
        <v>436</v>
      </c>
      <c r="Q5" s="14" t="s">
        <v>437</v>
      </c>
      <c r="R5" s="14" t="s">
        <v>438</v>
      </c>
      <c r="S5" s="14" t="s">
        <v>439</v>
      </c>
    </row>
    <row r="6" spans="1:19">
      <c r="A6" s="6" t="s">
        <v>298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1"/>
    </row>
    <row r="7" spans="1:19">
      <c r="A7" s="17" t="s">
        <v>583</v>
      </c>
      <c r="B7" s="17" t="s">
        <v>582</v>
      </c>
      <c r="C7" s="18">
        <v>436</v>
      </c>
      <c r="D7" s="18">
        <v>591</v>
      </c>
      <c r="E7" s="18">
        <v>679</v>
      </c>
      <c r="F7" s="18">
        <v>546</v>
      </c>
      <c r="G7" s="18">
        <v>296</v>
      </c>
      <c r="H7" s="18">
        <v>-88</v>
      </c>
      <c r="I7" s="18">
        <v>494</v>
      </c>
      <c r="J7" s="18">
        <v>622</v>
      </c>
      <c r="K7" s="18">
        <v>739</v>
      </c>
      <c r="L7" s="18">
        <v>385</v>
      </c>
      <c r="M7" s="18">
        <v>470</v>
      </c>
      <c r="N7" s="18">
        <v>-250</v>
      </c>
      <c r="O7" s="18">
        <v>1378</v>
      </c>
      <c r="P7" s="18">
        <v>717</v>
      </c>
      <c r="Q7" s="18">
        <v>1501</v>
      </c>
      <c r="R7" s="18">
        <v>597</v>
      </c>
      <c r="S7" s="19"/>
    </row>
    <row r="8" spans="1:19">
      <c r="A8" s="17" t="s">
        <v>581</v>
      </c>
      <c r="B8" s="17" t="s">
        <v>580</v>
      </c>
      <c r="C8" s="18">
        <v>679</v>
      </c>
      <c r="D8" s="18">
        <v>703</v>
      </c>
      <c r="E8" s="18">
        <v>690</v>
      </c>
      <c r="F8" s="18">
        <v>739</v>
      </c>
      <c r="G8" s="18">
        <v>751</v>
      </c>
      <c r="H8" s="18">
        <v>765</v>
      </c>
      <c r="I8" s="18">
        <v>572</v>
      </c>
      <c r="J8" s="18">
        <v>561</v>
      </c>
      <c r="K8" s="18">
        <v>598</v>
      </c>
      <c r="L8" s="18">
        <v>423</v>
      </c>
      <c r="M8" s="18">
        <v>487</v>
      </c>
      <c r="N8" s="18">
        <v>518</v>
      </c>
      <c r="O8" s="18">
        <v>1145</v>
      </c>
      <c r="P8" s="18">
        <v>633</v>
      </c>
      <c r="Q8" s="18">
        <v>611</v>
      </c>
      <c r="R8" s="18">
        <v>587</v>
      </c>
      <c r="S8" s="19"/>
    </row>
    <row r="9" spans="1:19">
      <c r="A9" s="17" t="s">
        <v>579</v>
      </c>
      <c r="B9" s="17" t="s">
        <v>578</v>
      </c>
      <c r="C9" s="18">
        <v>-13</v>
      </c>
      <c r="D9" s="18">
        <v>39</v>
      </c>
      <c r="E9" s="18" t="s">
        <v>585</v>
      </c>
      <c r="F9" s="18">
        <v>-113</v>
      </c>
      <c r="G9" s="18">
        <v>425</v>
      </c>
      <c r="H9" s="18">
        <v>476</v>
      </c>
      <c r="I9" s="18">
        <v>-198</v>
      </c>
      <c r="J9" s="18">
        <v>241</v>
      </c>
      <c r="K9" s="18">
        <v>-15</v>
      </c>
      <c r="L9" s="18">
        <v>601</v>
      </c>
      <c r="M9" s="18">
        <v>9</v>
      </c>
      <c r="N9" s="18">
        <v>1242</v>
      </c>
      <c r="O9" s="18">
        <v>166</v>
      </c>
      <c r="P9" s="18">
        <v>42</v>
      </c>
      <c r="Q9" s="18">
        <v>-166</v>
      </c>
      <c r="R9" s="18">
        <v>1358</v>
      </c>
      <c r="S9" s="19"/>
    </row>
    <row r="10" spans="1:19">
      <c r="A10" s="17" t="s">
        <v>577</v>
      </c>
      <c r="B10" s="17" t="s">
        <v>576</v>
      </c>
      <c r="C10" s="18">
        <v>-200</v>
      </c>
      <c r="D10" s="18">
        <v>-29</v>
      </c>
      <c r="E10" s="18">
        <v>-286</v>
      </c>
      <c r="F10" s="18">
        <v>-68</v>
      </c>
      <c r="G10" s="18">
        <v>-292</v>
      </c>
      <c r="H10" s="18">
        <v>-241</v>
      </c>
      <c r="I10" s="18">
        <v>-137</v>
      </c>
      <c r="J10" s="18">
        <v>-124</v>
      </c>
      <c r="K10" s="18">
        <v>-499</v>
      </c>
      <c r="L10" s="18">
        <v>-206</v>
      </c>
      <c r="M10" s="18">
        <v>-750</v>
      </c>
      <c r="N10" s="18">
        <v>-1078</v>
      </c>
      <c r="O10" s="18">
        <v>-872</v>
      </c>
      <c r="P10" s="18">
        <v>-390</v>
      </c>
      <c r="Q10" s="18">
        <v>-47</v>
      </c>
      <c r="R10" s="18">
        <v>-1189</v>
      </c>
      <c r="S10" s="19"/>
    </row>
    <row r="11" spans="1:19">
      <c r="A11" s="6" t="s">
        <v>575</v>
      </c>
      <c r="B11" s="6" t="s">
        <v>574</v>
      </c>
      <c r="C11" s="15">
        <v>902</v>
      </c>
      <c r="D11" s="15">
        <v>1304</v>
      </c>
      <c r="E11" s="15">
        <v>1037</v>
      </c>
      <c r="F11" s="15">
        <v>1104</v>
      </c>
      <c r="G11" s="15">
        <v>1180</v>
      </c>
      <c r="H11" s="15">
        <v>912</v>
      </c>
      <c r="I11" s="15">
        <v>731</v>
      </c>
      <c r="J11" s="15">
        <v>1300</v>
      </c>
      <c r="K11" s="15">
        <v>823</v>
      </c>
      <c r="L11" s="15">
        <v>1203</v>
      </c>
      <c r="M11" s="15">
        <v>216</v>
      </c>
      <c r="N11" s="15">
        <v>432</v>
      </c>
      <c r="O11" s="15">
        <v>1817</v>
      </c>
      <c r="P11" s="15">
        <v>1002</v>
      </c>
      <c r="Q11" s="15">
        <v>1899</v>
      </c>
      <c r="R11" s="15">
        <v>1353</v>
      </c>
      <c r="S11" s="16"/>
    </row>
    <row r="12" spans="1:19">
      <c r="A12" s="6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1"/>
    </row>
    <row r="13" spans="1:19">
      <c r="A13" s="6" t="s">
        <v>299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1"/>
    </row>
    <row r="14" spans="1:19">
      <c r="A14" s="17" t="s">
        <v>573</v>
      </c>
      <c r="B14" s="17" t="s">
        <v>572</v>
      </c>
      <c r="C14" s="18">
        <v>75</v>
      </c>
      <c r="D14" s="18">
        <v>121</v>
      </c>
      <c r="E14" s="18">
        <v>307</v>
      </c>
      <c r="F14" s="18">
        <v>100</v>
      </c>
      <c r="G14" s="18">
        <v>324</v>
      </c>
      <c r="H14" s="18">
        <v>177</v>
      </c>
      <c r="I14" s="18">
        <v>298</v>
      </c>
      <c r="J14" s="18">
        <v>202</v>
      </c>
      <c r="K14" s="18">
        <v>128</v>
      </c>
      <c r="L14" s="18">
        <v>165</v>
      </c>
      <c r="M14" s="18">
        <v>88</v>
      </c>
      <c r="N14" s="18">
        <v>0</v>
      </c>
      <c r="O14" s="18">
        <v>0</v>
      </c>
      <c r="P14" s="18" t="s">
        <v>464</v>
      </c>
      <c r="Q14" s="18" t="s">
        <v>464</v>
      </c>
      <c r="R14" s="18">
        <v>0</v>
      </c>
      <c r="S14" s="19"/>
    </row>
    <row r="15" spans="1:19">
      <c r="A15" s="17" t="s">
        <v>571</v>
      </c>
      <c r="B15" s="17" t="s">
        <v>570</v>
      </c>
      <c r="C15" s="18">
        <v>-505</v>
      </c>
      <c r="D15" s="18">
        <v>-590</v>
      </c>
      <c r="E15" s="18">
        <v>-607</v>
      </c>
      <c r="F15" s="18">
        <v>-750</v>
      </c>
      <c r="G15" s="18">
        <v>-554</v>
      </c>
      <c r="H15" s="18">
        <v>-586</v>
      </c>
      <c r="I15" s="18">
        <v>-437</v>
      </c>
      <c r="J15" s="18">
        <v>-409</v>
      </c>
      <c r="K15" s="18">
        <v>-500</v>
      </c>
      <c r="L15" s="18">
        <v>-500</v>
      </c>
      <c r="M15" s="18">
        <v>-644</v>
      </c>
      <c r="N15" s="18">
        <v>-859</v>
      </c>
      <c r="O15" s="18">
        <v>-1678</v>
      </c>
      <c r="P15" s="18">
        <v>-774</v>
      </c>
      <c r="Q15" s="18">
        <v>-1020</v>
      </c>
      <c r="R15" s="18">
        <v>-1142</v>
      </c>
      <c r="S15" s="19"/>
    </row>
    <row r="16" spans="1:19">
      <c r="A16" s="17" t="s">
        <v>569</v>
      </c>
      <c r="B16" s="17" t="s">
        <v>568</v>
      </c>
      <c r="C16" s="18" t="s">
        <v>464</v>
      </c>
      <c r="D16" s="18" t="s">
        <v>464</v>
      </c>
      <c r="E16" s="18" t="s">
        <v>464</v>
      </c>
      <c r="F16" s="18" t="s">
        <v>464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-303</v>
      </c>
      <c r="P16" s="18">
        <v>-138</v>
      </c>
      <c r="Q16" s="18">
        <v>-262</v>
      </c>
      <c r="R16" s="18">
        <v>0</v>
      </c>
      <c r="S16" s="19"/>
    </row>
    <row r="17" spans="1:19">
      <c r="A17" s="17" t="s">
        <v>567</v>
      </c>
      <c r="B17" s="17" t="s">
        <v>566</v>
      </c>
      <c r="C17" s="18" t="s">
        <v>464</v>
      </c>
      <c r="D17" s="18" t="s">
        <v>464</v>
      </c>
      <c r="E17" s="18" t="s">
        <v>464</v>
      </c>
      <c r="F17" s="18" t="s">
        <v>464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1013</v>
      </c>
      <c r="P17" s="18">
        <v>249</v>
      </c>
      <c r="Q17" s="18">
        <v>169</v>
      </c>
      <c r="R17" s="18">
        <v>1671</v>
      </c>
      <c r="S17" s="19"/>
    </row>
    <row r="18" spans="1:19">
      <c r="A18" s="17" t="s">
        <v>565</v>
      </c>
      <c r="B18" s="17" t="s">
        <v>564</v>
      </c>
      <c r="C18" s="18">
        <v>-59</v>
      </c>
      <c r="D18" s="18">
        <v>-100</v>
      </c>
      <c r="E18" s="18">
        <v>-211</v>
      </c>
      <c r="F18" s="18">
        <v>-201</v>
      </c>
      <c r="G18" s="18">
        <v>-215</v>
      </c>
      <c r="H18" s="18">
        <v>986</v>
      </c>
      <c r="I18" s="18">
        <v>-510</v>
      </c>
      <c r="J18" s="18">
        <v>-185</v>
      </c>
      <c r="K18" s="18">
        <v>-913</v>
      </c>
      <c r="L18" s="18">
        <v>-920</v>
      </c>
      <c r="M18" s="18">
        <v>-1987</v>
      </c>
      <c r="N18" s="18">
        <v>-4236</v>
      </c>
      <c r="O18" s="18">
        <v>268</v>
      </c>
      <c r="P18" s="18">
        <v>1385</v>
      </c>
      <c r="Q18" s="18">
        <v>252</v>
      </c>
      <c r="R18" s="18">
        <v>-314</v>
      </c>
      <c r="S18" s="19"/>
    </row>
    <row r="19" spans="1:19">
      <c r="A19" s="6" t="s">
        <v>299</v>
      </c>
      <c r="B19" s="6" t="s">
        <v>563</v>
      </c>
      <c r="C19" s="15">
        <v>-489</v>
      </c>
      <c r="D19" s="15">
        <v>-569</v>
      </c>
      <c r="E19" s="15">
        <v>-511</v>
      </c>
      <c r="F19" s="15">
        <v>-851</v>
      </c>
      <c r="G19" s="15">
        <v>-445</v>
      </c>
      <c r="H19" s="15">
        <v>577</v>
      </c>
      <c r="I19" s="15">
        <v>-649</v>
      </c>
      <c r="J19" s="15">
        <v>-392</v>
      </c>
      <c r="K19" s="15">
        <v>-1285</v>
      </c>
      <c r="L19" s="15">
        <v>-1255</v>
      </c>
      <c r="M19" s="15">
        <v>-2543</v>
      </c>
      <c r="N19" s="15">
        <v>-5095</v>
      </c>
      <c r="O19" s="15">
        <v>-700</v>
      </c>
      <c r="P19" s="15">
        <v>722</v>
      </c>
      <c r="Q19" s="15">
        <v>-861</v>
      </c>
      <c r="R19" s="15">
        <v>215</v>
      </c>
      <c r="S19" s="16"/>
    </row>
    <row r="20" spans="1:19">
      <c r="A20" s="6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1"/>
    </row>
    <row r="21" spans="1:19">
      <c r="A21" s="6" t="s">
        <v>548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1"/>
    </row>
    <row r="22" spans="1:19">
      <c r="A22" s="17" t="s">
        <v>562</v>
      </c>
      <c r="B22" s="17" t="s">
        <v>561</v>
      </c>
      <c r="C22" s="18">
        <v>-212</v>
      </c>
      <c r="D22" s="18">
        <v>-211</v>
      </c>
      <c r="E22" s="18">
        <v>-221</v>
      </c>
      <c r="F22" s="18">
        <v>-242</v>
      </c>
      <c r="G22" s="18">
        <v>-258</v>
      </c>
      <c r="H22" s="18">
        <v>-270</v>
      </c>
      <c r="I22" s="18">
        <v>-275</v>
      </c>
      <c r="J22" s="18">
        <v>-289</v>
      </c>
      <c r="K22" s="18">
        <v>-306</v>
      </c>
      <c r="L22" s="18">
        <v>-343</v>
      </c>
      <c r="M22" s="18">
        <v>-294</v>
      </c>
      <c r="N22" s="18">
        <v>-73</v>
      </c>
      <c r="O22" s="18">
        <v>-641</v>
      </c>
      <c r="P22" s="18">
        <v>-622</v>
      </c>
      <c r="Q22" s="18">
        <v>-651</v>
      </c>
      <c r="R22" s="18">
        <v>-711</v>
      </c>
      <c r="S22" s="19"/>
    </row>
    <row r="23" spans="1:19">
      <c r="A23" s="17" t="s">
        <v>560</v>
      </c>
      <c r="B23" s="17" t="s">
        <v>559</v>
      </c>
      <c r="C23" s="18">
        <v>150</v>
      </c>
      <c r="D23" s="18">
        <v>53</v>
      </c>
      <c r="E23" s="18">
        <v>-50</v>
      </c>
      <c r="F23" s="18">
        <v>77</v>
      </c>
      <c r="G23" s="18">
        <v>-245</v>
      </c>
      <c r="H23" s="18">
        <v>-78</v>
      </c>
      <c r="I23" s="18">
        <v>-31</v>
      </c>
      <c r="J23" s="18">
        <v>89</v>
      </c>
      <c r="K23" s="18">
        <v>53</v>
      </c>
      <c r="L23" s="18">
        <v>297</v>
      </c>
      <c r="M23" s="18">
        <v>2372</v>
      </c>
      <c r="N23" s="18">
        <v>-282</v>
      </c>
      <c r="O23" s="18">
        <v>434</v>
      </c>
      <c r="P23" s="18">
        <v>0</v>
      </c>
      <c r="Q23" s="18">
        <v>-246</v>
      </c>
      <c r="R23" s="18">
        <v>416</v>
      </c>
      <c r="S23" s="19"/>
    </row>
    <row r="24" spans="1:19">
      <c r="A24" s="17" t="s">
        <v>558</v>
      </c>
      <c r="B24" s="17" t="s">
        <v>557</v>
      </c>
      <c r="C24" s="18">
        <v>26</v>
      </c>
      <c r="D24" s="18">
        <v>21</v>
      </c>
      <c r="E24" s="18">
        <v>261</v>
      </c>
      <c r="F24" s="18">
        <v>523</v>
      </c>
      <c r="G24" s="18">
        <v>317</v>
      </c>
      <c r="H24" s="18">
        <v>120</v>
      </c>
      <c r="I24" s="18">
        <v>379</v>
      </c>
      <c r="J24" s="18">
        <v>49</v>
      </c>
      <c r="K24" s="18">
        <v>658</v>
      </c>
      <c r="L24" s="18">
        <v>122</v>
      </c>
      <c r="M24" s="18">
        <v>208</v>
      </c>
      <c r="N24" s="18">
        <v>3878</v>
      </c>
      <c r="O24" s="18">
        <v>135</v>
      </c>
      <c r="P24" s="18">
        <v>0</v>
      </c>
      <c r="Q24" s="18">
        <v>0</v>
      </c>
      <c r="R24" s="18">
        <v>0</v>
      </c>
      <c r="S24" s="19"/>
    </row>
    <row r="25" spans="1:19">
      <c r="A25" s="17" t="s">
        <v>556</v>
      </c>
      <c r="B25" s="17" t="s">
        <v>555</v>
      </c>
      <c r="C25" s="18">
        <v>-122</v>
      </c>
      <c r="D25" s="18">
        <v>-167</v>
      </c>
      <c r="E25" s="18">
        <v>-196</v>
      </c>
      <c r="F25" s="18">
        <v>-351</v>
      </c>
      <c r="G25" s="18">
        <v>-291</v>
      </c>
      <c r="H25" s="18">
        <v>-565</v>
      </c>
      <c r="I25" s="18">
        <v>-299</v>
      </c>
      <c r="J25" s="18">
        <v>-152</v>
      </c>
      <c r="K25" s="18">
        <v>-403</v>
      </c>
      <c r="L25" s="18">
        <v>-177</v>
      </c>
      <c r="M25" s="18">
        <v>-142</v>
      </c>
      <c r="N25" s="18">
        <v>-85</v>
      </c>
      <c r="O25" s="18">
        <v>-526</v>
      </c>
      <c r="P25" s="18">
        <v>-1773</v>
      </c>
      <c r="Q25" s="18">
        <v>-768</v>
      </c>
      <c r="R25" s="18">
        <v>-47</v>
      </c>
      <c r="S25" s="19"/>
    </row>
    <row r="26" spans="1:19">
      <c r="A26" s="17" t="s">
        <v>554</v>
      </c>
      <c r="B26" s="17" t="s">
        <v>553</v>
      </c>
      <c r="C26" s="18" t="s">
        <v>464</v>
      </c>
      <c r="D26" s="18" t="s">
        <v>464</v>
      </c>
      <c r="E26" s="18" t="s">
        <v>464</v>
      </c>
      <c r="F26" s="18" t="s">
        <v>464</v>
      </c>
      <c r="G26" s="18">
        <v>0</v>
      </c>
      <c r="H26" s="18">
        <v>250</v>
      </c>
      <c r="I26" s="18">
        <v>0</v>
      </c>
      <c r="J26" s="18">
        <v>0</v>
      </c>
      <c r="K26" s="18">
        <v>194</v>
      </c>
      <c r="L26" s="18">
        <v>142</v>
      </c>
      <c r="M26" s="18">
        <v>91</v>
      </c>
      <c r="N26" s="18">
        <v>1006</v>
      </c>
      <c r="O26" s="18">
        <v>202</v>
      </c>
      <c r="P26" s="18">
        <v>1268</v>
      </c>
      <c r="Q26" s="18">
        <v>872</v>
      </c>
      <c r="R26" s="18">
        <v>188</v>
      </c>
      <c r="S26" s="19"/>
    </row>
    <row r="27" spans="1:19">
      <c r="A27" s="17" t="s">
        <v>552</v>
      </c>
      <c r="B27" s="17" t="s">
        <v>551</v>
      </c>
      <c r="C27" s="18">
        <v>-339</v>
      </c>
      <c r="D27" s="18">
        <v>-457</v>
      </c>
      <c r="E27" s="18">
        <v>-335</v>
      </c>
      <c r="F27" s="18">
        <v>-326</v>
      </c>
      <c r="G27" s="18">
        <v>-296</v>
      </c>
      <c r="H27" s="18">
        <v>-417</v>
      </c>
      <c r="I27" s="18">
        <v>-380</v>
      </c>
      <c r="J27" s="18">
        <v>-478</v>
      </c>
      <c r="K27" s="18">
        <v>0</v>
      </c>
      <c r="L27" s="18">
        <v>-253</v>
      </c>
      <c r="M27" s="18">
        <v>0</v>
      </c>
      <c r="N27" s="18">
        <v>0</v>
      </c>
      <c r="O27" s="18">
        <v>-170</v>
      </c>
      <c r="P27" s="18">
        <v>0</v>
      </c>
      <c r="Q27" s="18">
        <v>-864</v>
      </c>
      <c r="R27" s="18">
        <v>-620</v>
      </c>
      <c r="S27" s="19"/>
    </row>
    <row r="28" spans="1:19">
      <c r="A28" s="17" t="s">
        <v>550</v>
      </c>
      <c r="B28" s="17" t="s">
        <v>549</v>
      </c>
      <c r="C28" s="18">
        <v>33</v>
      </c>
      <c r="D28" s="18">
        <v>24</v>
      </c>
      <c r="E28" s="18">
        <v>47</v>
      </c>
      <c r="F28" s="18">
        <v>17</v>
      </c>
      <c r="G28" s="18">
        <v>23</v>
      </c>
      <c r="H28" s="18">
        <v>11</v>
      </c>
      <c r="I28" s="18">
        <v>68</v>
      </c>
      <c r="J28" s="18">
        <v>107</v>
      </c>
      <c r="K28" s="18">
        <v>56</v>
      </c>
      <c r="L28" s="18">
        <v>133</v>
      </c>
      <c r="M28" s="18">
        <v>60</v>
      </c>
      <c r="N28" s="18">
        <v>174</v>
      </c>
      <c r="O28" s="18">
        <v>79</v>
      </c>
      <c r="P28" s="18">
        <v>-136</v>
      </c>
      <c r="Q28" s="18">
        <v>-140</v>
      </c>
      <c r="R28" s="18">
        <v>171</v>
      </c>
      <c r="S28" s="19"/>
    </row>
    <row r="29" spans="1:19">
      <c r="A29" s="6" t="s">
        <v>548</v>
      </c>
      <c r="B29" s="6" t="s">
        <v>547</v>
      </c>
      <c r="C29" s="15">
        <v>-464</v>
      </c>
      <c r="D29" s="15">
        <v>-737</v>
      </c>
      <c r="E29" s="15">
        <v>-494</v>
      </c>
      <c r="F29" s="15">
        <v>-302</v>
      </c>
      <c r="G29" s="15">
        <v>-750</v>
      </c>
      <c r="H29" s="15">
        <v>-949</v>
      </c>
      <c r="I29" s="15">
        <v>-538</v>
      </c>
      <c r="J29" s="15">
        <v>-674</v>
      </c>
      <c r="K29" s="15">
        <v>252</v>
      </c>
      <c r="L29" s="15">
        <v>-79</v>
      </c>
      <c r="M29" s="15">
        <v>2295</v>
      </c>
      <c r="N29" s="15">
        <v>4618</v>
      </c>
      <c r="O29" s="15">
        <v>-487</v>
      </c>
      <c r="P29" s="15">
        <v>-1263</v>
      </c>
      <c r="Q29" s="15">
        <v>-1797</v>
      </c>
      <c r="R29" s="15">
        <v>-603</v>
      </c>
      <c r="S29" s="16"/>
    </row>
    <row r="30" spans="1:19">
      <c r="A30" s="6" t="s">
        <v>546</v>
      </c>
      <c r="B30" s="6" t="s">
        <v>545</v>
      </c>
      <c r="C30" s="15">
        <v>-51</v>
      </c>
      <c r="D30" s="15">
        <v>-2</v>
      </c>
      <c r="E30" s="15">
        <v>32</v>
      </c>
      <c r="F30" s="15">
        <v>-49</v>
      </c>
      <c r="G30" s="15">
        <v>-15</v>
      </c>
      <c r="H30" s="15">
        <v>540</v>
      </c>
      <c r="I30" s="15">
        <v>-456</v>
      </c>
      <c r="J30" s="15">
        <v>234</v>
      </c>
      <c r="K30" s="15">
        <v>-210</v>
      </c>
      <c r="L30" s="15">
        <v>-131</v>
      </c>
      <c r="M30" s="15">
        <v>-32</v>
      </c>
      <c r="N30" s="15">
        <v>-45</v>
      </c>
      <c r="O30" s="15">
        <v>630</v>
      </c>
      <c r="P30" s="15">
        <v>461</v>
      </c>
      <c r="Q30" s="15">
        <v>-759</v>
      </c>
      <c r="R30" s="15">
        <v>965</v>
      </c>
      <c r="S30" s="16"/>
    </row>
    <row r="31" spans="1:19">
      <c r="A31" s="6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1"/>
    </row>
    <row r="32" spans="1:19">
      <c r="A32" s="6" t="s">
        <v>497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1"/>
    </row>
    <row r="33" spans="1:19">
      <c r="A33" s="17" t="s">
        <v>29</v>
      </c>
      <c r="B33" s="17" t="s">
        <v>29</v>
      </c>
      <c r="C33" s="18">
        <v>1381</v>
      </c>
      <c r="D33" s="18">
        <v>1658</v>
      </c>
      <c r="E33" s="18">
        <v>1768</v>
      </c>
      <c r="F33" s="18">
        <v>1648</v>
      </c>
      <c r="G33" s="18">
        <v>1683</v>
      </c>
      <c r="H33" s="18">
        <v>1259</v>
      </c>
      <c r="I33" s="18">
        <v>1387</v>
      </c>
      <c r="J33" s="18">
        <v>1524</v>
      </c>
      <c r="K33" s="18">
        <v>1739</v>
      </c>
      <c r="L33" s="18">
        <v>1374</v>
      </c>
      <c r="M33" s="18">
        <v>1670</v>
      </c>
      <c r="N33" s="18">
        <v>1120</v>
      </c>
      <c r="O33" s="18">
        <v>3314</v>
      </c>
      <c r="P33" s="18">
        <v>2632</v>
      </c>
      <c r="Q33" s="18">
        <v>3102</v>
      </c>
      <c r="R33" s="18">
        <v>2965</v>
      </c>
      <c r="S33" s="19"/>
    </row>
    <row r="34" spans="1:19">
      <c r="A34" s="17" t="s">
        <v>544</v>
      </c>
      <c r="B34" s="17" t="s">
        <v>502</v>
      </c>
      <c r="C34" s="26">
        <v>18.078282000000002</v>
      </c>
      <c r="D34" s="26">
        <v>19.992764999999999</v>
      </c>
      <c r="E34" s="26">
        <v>20.366316999999999</v>
      </c>
      <c r="F34" s="26">
        <v>18.321290000000001</v>
      </c>
      <c r="G34" s="26">
        <v>21.207156999999999</v>
      </c>
      <c r="H34" s="26">
        <v>16.217956999999998</v>
      </c>
      <c r="I34" s="26">
        <v>17.552517999999999</v>
      </c>
      <c r="J34" s="26">
        <v>18.423597999999998</v>
      </c>
      <c r="K34" s="26">
        <v>19.404150999999999</v>
      </c>
      <c r="L34" s="26">
        <v>21.644611999999999</v>
      </c>
      <c r="M34" s="26">
        <v>22.225180000000002</v>
      </c>
      <c r="N34" s="26">
        <v>15.476025999999999</v>
      </c>
      <c r="O34" s="26">
        <v>20.176559999999998</v>
      </c>
      <c r="P34" s="26">
        <v>20.804679</v>
      </c>
      <c r="Q34" s="26">
        <v>22.421395</v>
      </c>
      <c r="R34" s="26">
        <v>21.189166</v>
      </c>
      <c r="S34" s="27"/>
    </row>
    <row r="35" spans="1:19">
      <c r="A35" s="17" t="s">
        <v>543</v>
      </c>
      <c r="B35" s="17" t="s">
        <v>542</v>
      </c>
      <c r="C35" s="18" t="s">
        <v>464</v>
      </c>
      <c r="D35" s="18" t="s">
        <v>464</v>
      </c>
      <c r="E35" s="18" t="s">
        <v>464</v>
      </c>
      <c r="F35" s="18" t="s">
        <v>464</v>
      </c>
      <c r="G35" s="18" t="s">
        <v>464</v>
      </c>
      <c r="H35" s="18" t="s">
        <v>464</v>
      </c>
      <c r="I35" s="18" t="s">
        <v>464</v>
      </c>
      <c r="J35" s="18" t="s">
        <v>464</v>
      </c>
      <c r="K35" s="18" t="s">
        <v>464</v>
      </c>
      <c r="L35" s="18" t="s">
        <v>464</v>
      </c>
      <c r="M35" s="18" t="s">
        <v>464</v>
      </c>
      <c r="N35" s="18" t="s">
        <v>464</v>
      </c>
      <c r="O35" s="18">
        <v>494</v>
      </c>
      <c r="P35" s="18">
        <v>716</v>
      </c>
      <c r="Q35" s="18">
        <v>428</v>
      </c>
      <c r="R35" s="18">
        <v>660</v>
      </c>
      <c r="S35" s="19"/>
    </row>
    <row r="36" spans="1:19">
      <c r="A36" s="17" t="s">
        <v>541</v>
      </c>
      <c r="B36" s="17" t="s">
        <v>540</v>
      </c>
      <c r="C36" s="18" t="s">
        <v>464</v>
      </c>
      <c r="D36" s="18" t="s">
        <v>464</v>
      </c>
      <c r="E36" s="18" t="s">
        <v>464</v>
      </c>
      <c r="F36" s="18" t="s">
        <v>464</v>
      </c>
      <c r="G36" s="18" t="s">
        <v>464</v>
      </c>
      <c r="H36" s="18" t="s">
        <v>464</v>
      </c>
      <c r="I36" s="18" t="s">
        <v>464</v>
      </c>
      <c r="J36" s="18" t="s">
        <v>464</v>
      </c>
      <c r="K36" s="18" t="s">
        <v>464</v>
      </c>
      <c r="L36" s="18">
        <v>195</v>
      </c>
      <c r="M36" s="18">
        <v>210</v>
      </c>
      <c r="N36" s="18">
        <v>331</v>
      </c>
      <c r="O36" s="18">
        <v>386</v>
      </c>
      <c r="P36" s="18">
        <v>358</v>
      </c>
      <c r="Q36" s="18">
        <v>247</v>
      </c>
      <c r="R36" s="18">
        <v>175</v>
      </c>
      <c r="S36" s="19"/>
    </row>
    <row r="37" spans="1:19">
      <c r="A37" s="17" t="s">
        <v>539</v>
      </c>
      <c r="B37" s="17" t="s">
        <v>538</v>
      </c>
      <c r="C37" s="18">
        <v>397</v>
      </c>
      <c r="D37" s="18">
        <v>714</v>
      </c>
      <c r="E37" s="18">
        <v>430</v>
      </c>
      <c r="F37" s="18">
        <v>354</v>
      </c>
      <c r="G37" s="18">
        <v>626</v>
      </c>
      <c r="H37" s="18">
        <v>326</v>
      </c>
      <c r="I37" s="18">
        <v>294</v>
      </c>
      <c r="J37" s="18">
        <v>891</v>
      </c>
      <c r="K37" s="18">
        <v>323</v>
      </c>
      <c r="L37" s="18">
        <v>703</v>
      </c>
      <c r="M37" s="18">
        <v>-428</v>
      </c>
      <c r="N37" s="18">
        <v>-427</v>
      </c>
      <c r="O37" s="18">
        <v>139</v>
      </c>
      <c r="P37" s="18">
        <v>228</v>
      </c>
      <c r="Q37" s="18">
        <v>879</v>
      </c>
      <c r="R37" s="18">
        <v>211</v>
      </c>
      <c r="S37" s="19"/>
    </row>
    <row r="38" spans="1:19">
      <c r="A38" s="17" t="s">
        <v>537</v>
      </c>
      <c r="B38" s="17" t="s">
        <v>536</v>
      </c>
      <c r="C38" s="18">
        <v>508.42942099999999</v>
      </c>
      <c r="D38" s="18">
        <v>829.15565500000002</v>
      </c>
      <c r="E38" s="18">
        <v>551.75172399999997</v>
      </c>
      <c r="F38" s="18">
        <v>474.80840499999999</v>
      </c>
      <c r="G38" s="18">
        <v>737.60451999999998</v>
      </c>
      <c r="H38" s="18" t="s">
        <v>464</v>
      </c>
      <c r="I38" s="18">
        <v>381.415638</v>
      </c>
      <c r="J38" s="18">
        <v>982.04134099999999</v>
      </c>
      <c r="K38" s="18">
        <v>452.172033</v>
      </c>
      <c r="L38" s="18">
        <v>791.87341800000002</v>
      </c>
      <c r="M38" s="18">
        <v>-291.44262300000003</v>
      </c>
      <c r="N38" s="18" t="s">
        <v>464</v>
      </c>
      <c r="O38" s="18">
        <v>419.74183399999998</v>
      </c>
      <c r="P38" s="18">
        <v>368.7</v>
      </c>
      <c r="Q38" s="18">
        <v>1086.237586</v>
      </c>
      <c r="R38" s="18">
        <v>324.52026599999999</v>
      </c>
      <c r="S38" s="19"/>
    </row>
    <row r="39" spans="1:19">
      <c r="A39" s="17" t="s">
        <v>535</v>
      </c>
      <c r="B39" s="17" t="s">
        <v>534</v>
      </c>
      <c r="C39" s="18" t="s">
        <v>464</v>
      </c>
      <c r="D39" s="18" t="s">
        <v>464</v>
      </c>
      <c r="E39" s="18" t="s">
        <v>464</v>
      </c>
      <c r="F39" s="18" t="s">
        <v>464</v>
      </c>
      <c r="G39" s="18" t="s">
        <v>464</v>
      </c>
      <c r="H39" s="18" t="s">
        <v>464</v>
      </c>
      <c r="I39" s="18">
        <v>641</v>
      </c>
      <c r="J39" s="18">
        <v>1079</v>
      </c>
      <c r="K39" s="18">
        <v>759</v>
      </c>
      <c r="L39" s="18">
        <v>1110</v>
      </c>
      <c r="M39" s="18">
        <v>2098</v>
      </c>
      <c r="N39" s="18">
        <v>3084</v>
      </c>
      <c r="O39" s="18">
        <v>452</v>
      </c>
      <c r="P39" s="18">
        <v>-1552</v>
      </c>
      <c r="Q39" s="18">
        <v>-140</v>
      </c>
      <c r="R39" s="18">
        <v>569</v>
      </c>
      <c r="S39" s="19"/>
    </row>
    <row r="40" spans="1:19">
      <c r="A40" s="17" t="s">
        <v>533</v>
      </c>
      <c r="B40" s="17" t="s">
        <v>532</v>
      </c>
      <c r="C40" s="26">
        <v>0.51225799999999999</v>
      </c>
      <c r="D40" s="26">
        <v>0.99860099999999996</v>
      </c>
      <c r="E40" s="26">
        <v>0.63515500000000003</v>
      </c>
      <c r="F40" s="26">
        <v>0.54841200000000001</v>
      </c>
      <c r="G40" s="26">
        <v>0.98485</v>
      </c>
      <c r="H40" s="26">
        <v>0.52817499999999995</v>
      </c>
      <c r="I40" s="26">
        <v>0.48845300000000003</v>
      </c>
      <c r="J40" s="26">
        <v>1.523272</v>
      </c>
      <c r="K40" s="26">
        <v>0.55628299999999997</v>
      </c>
      <c r="L40" s="26">
        <v>1.2095659999999999</v>
      </c>
      <c r="M40" s="26">
        <v>-0.72517799999999999</v>
      </c>
      <c r="N40" s="26">
        <v>-0.70753900000000003</v>
      </c>
      <c r="O40" s="26">
        <v>0.111289</v>
      </c>
      <c r="P40" s="26">
        <v>0.17896400000000001</v>
      </c>
      <c r="Q40" s="26">
        <v>0.67719600000000002</v>
      </c>
      <c r="R40" s="26">
        <v>0.163186</v>
      </c>
      <c r="S40" s="27"/>
    </row>
    <row r="41" spans="1:19">
      <c r="A41" s="17" t="s">
        <v>531</v>
      </c>
      <c r="B41" s="17" t="s">
        <v>530</v>
      </c>
      <c r="C41" s="26">
        <v>16.202770999999998</v>
      </c>
      <c r="D41" s="26">
        <v>8.1864500000000007</v>
      </c>
      <c r="E41" s="26">
        <v>18.164853999999998</v>
      </c>
      <c r="F41" s="26">
        <v>17.596257999999999</v>
      </c>
      <c r="G41" s="26">
        <v>13.783829000000001</v>
      </c>
      <c r="H41" s="26">
        <v>21.820430999999999</v>
      </c>
      <c r="I41" s="26">
        <v>30.043817000000001</v>
      </c>
      <c r="J41" s="26">
        <v>9.2563890000000004</v>
      </c>
      <c r="K41" s="26">
        <v>44.042352000000001</v>
      </c>
      <c r="L41" s="26">
        <v>32.139617000000001</v>
      </c>
      <c r="M41" s="26" t="s">
        <v>464</v>
      </c>
      <c r="N41" s="26" t="s">
        <v>464</v>
      </c>
      <c r="O41" s="26">
        <v>318.42760800000002</v>
      </c>
      <c r="P41" s="26">
        <v>340.85087700000003</v>
      </c>
      <c r="Q41" s="26">
        <v>62.980319000000001</v>
      </c>
      <c r="R41" s="26">
        <v>256.14881500000001</v>
      </c>
      <c r="S41" s="27"/>
    </row>
    <row r="42" spans="1:19">
      <c r="A42" s="17" t="s">
        <v>529</v>
      </c>
      <c r="B42" s="17" t="s">
        <v>528</v>
      </c>
      <c r="C42" s="26">
        <v>2.0688070000000001</v>
      </c>
      <c r="D42" s="26">
        <v>2.2064300000000001</v>
      </c>
      <c r="E42" s="26">
        <v>1.5272460000000001</v>
      </c>
      <c r="F42" s="26">
        <v>2.0219779999999998</v>
      </c>
      <c r="G42" s="26">
        <v>3.9864860000000002</v>
      </c>
      <c r="H42" s="26" t="s">
        <v>464</v>
      </c>
      <c r="I42" s="26">
        <v>1.479757</v>
      </c>
      <c r="J42" s="26">
        <v>2.0900319999999999</v>
      </c>
      <c r="K42" s="26">
        <v>1.113667</v>
      </c>
      <c r="L42" s="26">
        <v>3.1246749999999999</v>
      </c>
      <c r="M42" s="26">
        <v>0.45957399999999998</v>
      </c>
      <c r="N42" s="26" t="s">
        <v>464</v>
      </c>
      <c r="O42" s="26">
        <v>1.318578</v>
      </c>
      <c r="P42" s="26">
        <v>1.3974899999999999</v>
      </c>
      <c r="Q42" s="26">
        <v>1.2651570000000001</v>
      </c>
      <c r="R42" s="26">
        <v>2.2663319999999998</v>
      </c>
      <c r="S42" s="27">
        <v>0.25992779783393499</v>
      </c>
    </row>
    <row r="43" spans="1:19">
      <c r="A43" s="17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5"/>
    </row>
    <row r="44" spans="1:19">
      <c r="A44" s="6" t="s">
        <v>527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1"/>
    </row>
    <row r="45" spans="1:19">
      <c r="A45" s="28" t="s">
        <v>525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</row>
  </sheetData>
  <phoneticPr fontId="1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BF047-9F06-4E0D-B6F3-E81E94B3632A}">
  <sheetPr>
    <tabColor theme="2" tint="-0.249977111117893"/>
  </sheetPr>
  <dimension ref="A1:R20"/>
  <sheetViews>
    <sheetView zoomScale="55" zoomScaleNormal="55" workbookViewId="0">
      <selection activeCell="D15" sqref="D15"/>
    </sheetView>
  </sheetViews>
  <sheetFormatPr baseColWidth="10" defaultColWidth="9" defaultRowHeight="15"/>
  <cols>
    <col min="1" max="1" width="35.1640625" style="608" customWidth="1"/>
    <col min="2" max="2" width="0" style="608" hidden="1" customWidth="1"/>
    <col min="3" max="18" width="11.83203125" style="608" customWidth="1"/>
    <col min="19" max="16384" width="9" style="608"/>
  </cols>
  <sheetData>
    <row r="1" spans="1:18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ht="20">
      <c r="A2" s="9" t="s">
        <v>611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18">
      <c r="A4" s="11" t="s">
        <v>405</v>
      </c>
      <c r="B4" s="11"/>
      <c r="C4" s="12" t="s">
        <v>406</v>
      </c>
      <c r="D4" s="12" t="s">
        <v>407</v>
      </c>
      <c r="E4" s="12" t="s">
        <v>408</v>
      </c>
      <c r="F4" s="12" t="s">
        <v>409</v>
      </c>
      <c r="G4" s="12" t="s">
        <v>410</v>
      </c>
      <c r="H4" s="12" t="s">
        <v>411</v>
      </c>
      <c r="I4" s="12" t="s">
        <v>412</v>
      </c>
      <c r="J4" s="12" t="s">
        <v>413</v>
      </c>
      <c r="K4" s="12" t="s">
        <v>414</v>
      </c>
      <c r="L4" s="12" t="s">
        <v>415</v>
      </c>
      <c r="M4" s="12" t="s">
        <v>416</v>
      </c>
      <c r="N4" s="12" t="s">
        <v>417</v>
      </c>
      <c r="O4" s="12" t="s">
        <v>418</v>
      </c>
      <c r="P4" s="12" t="s">
        <v>419</v>
      </c>
      <c r="Q4" s="12" t="s">
        <v>420</v>
      </c>
      <c r="R4" s="12" t="s">
        <v>421</v>
      </c>
    </row>
    <row r="5" spans="1:18">
      <c r="A5" s="13" t="s">
        <v>422</v>
      </c>
      <c r="B5" s="13"/>
      <c r="C5" s="14" t="s">
        <v>423</v>
      </c>
      <c r="D5" s="14" t="s">
        <v>424</v>
      </c>
      <c r="E5" s="14" t="s">
        <v>425</v>
      </c>
      <c r="F5" s="14" t="s">
        <v>426</v>
      </c>
      <c r="G5" s="14" t="s">
        <v>427</v>
      </c>
      <c r="H5" s="14" t="s">
        <v>428</v>
      </c>
      <c r="I5" s="14" t="s">
        <v>429</v>
      </c>
      <c r="J5" s="14" t="s">
        <v>430</v>
      </c>
      <c r="K5" s="14" t="s">
        <v>431</v>
      </c>
      <c r="L5" s="14" t="s">
        <v>432</v>
      </c>
      <c r="M5" s="14" t="s">
        <v>433</v>
      </c>
      <c r="N5" s="14" t="s">
        <v>434</v>
      </c>
      <c r="O5" s="14" t="s">
        <v>435</v>
      </c>
      <c r="P5" s="14" t="s">
        <v>436</v>
      </c>
      <c r="Q5" s="14" t="s">
        <v>437</v>
      </c>
      <c r="R5" s="14" t="s">
        <v>438</v>
      </c>
    </row>
    <row r="6" spans="1:18">
      <c r="A6" s="17" t="s">
        <v>610</v>
      </c>
      <c r="B6" s="17" t="s">
        <v>524</v>
      </c>
      <c r="C6" s="18">
        <v>421</v>
      </c>
      <c r="D6" s="18">
        <v>435</v>
      </c>
      <c r="E6" s="18">
        <v>438</v>
      </c>
      <c r="F6" s="18">
        <v>465</v>
      </c>
      <c r="G6" s="18">
        <v>453</v>
      </c>
      <c r="H6" s="18">
        <v>473</v>
      </c>
      <c r="I6" s="18">
        <v>469</v>
      </c>
      <c r="J6" s="18">
        <v>442</v>
      </c>
      <c r="K6" s="18">
        <v>459</v>
      </c>
      <c r="L6" s="18">
        <v>276</v>
      </c>
      <c r="M6" s="18">
        <v>299</v>
      </c>
      <c r="N6" s="18">
        <v>269</v>
      </c>
      <c r="O6" s="18">
        <v>666</v>
      </c>
      <c r="P6" s="18">
        <v>728</v>
      </c>
      <c r="Q6" s="18" t="s">
        <v>464</v>
      </c>
      <c r="R6" s="18" t="s">
        <v>464</v>
      </c>
    </row>
    <row r="7" spans="1:18">
      <c r="A7" s="17" t="s">
        <v>609</v>
      </c>
      <c r="B7" s="17" t="s">
        <v>608</v>
      </c>
      <c r="C7" s="26">
        <v>5.5111929999999996</v>
      </c>
      <c r="D7" s="26">
        <v>5.2453880000000002</v>
      </c>
      <c r="E7" s="26">
        <v>5.0455019999999999</v>
      </c>
      <c r="F7" s="26">
        <v>5.1695390000000003</v>
      </c>
      <c r="G7" s="26">
        <v>5.7081650000000002</v>
      </c>
      <c r="H7" s="26">
        <v>6.0930049999999998</v>
      </c>
      <c r="I7" s="26">
        <v>5.935206</v>
      </c>
      <c r="J7" s="26">
        <v>5.3433270000000004</v>
      </c>
      <c r="K7" s="26">
        <v>5.1216249999999999</v>
      </c>
      <c r="L7" s="26">
        <v>4.3478260000000004</v>
      </c>
      <c r="M7" s="26">
        <v>3.9792390000000002</v>
      </c>
      <c r="N7" s="26">
        <v>3.7170100000000001</v>
      </c>
      <c r="O7" s="26">
        <v>4.0547950000000004</v>
      </c>
      <c r="P7" s="26">
        <v>5.754486</v>
      </c>
      <c r="Q7" s="26" t="s">
        <v>464</v>
      </c>
      <c r="R7" s="26" t="s">
        <v>464</v>
      </c>
    </row>
    <row r="8" spans="1:18">
      <c r="A8" s="17" t="s">
        <v>607</v>
      </c>
      <c r="B8" s="17" t="s">
        <v>606</v>
      </c>
      <c r="C8" s="26" t="s">
        <v>464</v>
      </c>
      <c r="D8" s="26">
        <v>0.13982600000000001</v>
      </c>
      <c r="E8" s="26">
        <v>0.13863</v>
      </c>
      <c r="F8" s="26">
        <v>0.13953499999999999</v>
      </c>
      <c r="G8" s="26">
        <v>0.13556799999999999</v>
      </c>
      <c r="H8" s="26">
        <v>0.15267900000000001</v>
      </c>
      <c r="I8" s="26">
        <v>0.16152900000000001</v>
      </c>
      <c r="J8" s="26">
        <v>0.15732299999999999</v>
      </c>
      <c r="K8" s="26">
        <v>0.16250700000000001</v>
      </c>
      <c r="L8" s="26">
        <v>0.112036</v>
      </c>
      <c r="M8" s="26">
        <v>0.13303699999999999</v>
      </c>
      <c r="N8" s="26">
        <v>0.102184</v>
      </c>
      <c r="O8" s="26">
        <v>0.137461</v>
      </c>
      <c r="P8" s="26">
        <v>0.12842899999999999</v>
      </c>
      <c r="Q8" s="26" t="s">
        <v>464</v>
      </c>
      <c r="R8" s="26" t="s">
        <v>464</v>
      </c>
    </row>
    <row r="9" spans="1:18">
      <c r="A9" s="17" t="s">
        <v>605</v>
      </c>
      <c r="B9" s="17" t="s">
        <v>604</v>
      </c>
      <c r="C9" s="26">
        <v>43.217030999999999</v>
      </c>
      <c r="D9" s="26">
        <v>44.67557</v>
      </c>
      <c r="E9" s="26">
        <v>43.747093999999997</v>
      </c>
      <c r="F9" s="26">
        <v>44.694673000000002</v>
      </c>
      <c r="G9" s="26">
        <v>46.808280000000003</v>
      </c>
      <c r="H9" s="26">
        <v>50.599890000000002</v>
      </c>
      <c r="I9" s="26">
        <v>53.009259</v>
      </c>
      <c r="J9" s="26">
        <v>53.289844000000002</v>
      </c>
      <c r="K9" s="26">
        <v>41.513523999999997</v>
      </c>
      <c r="L9" s="26">
        <v>20.761769000000001</v>
      </c>
      <c r="M9" s="26">
        <v>21.35697</v>
      </c>
      <c r="N9" s="26">
        <v>14.159292000000001</v>
      </c>
      <c r="O9" s="26">
        <v>18.140031</v>
      </c>
      <c r="P9" s="26">
        <v>14.94051</v>
      </c>
      <c r="Q9" s="26">
        <v>15.158422</v>
      </c>
      <c r="R9" s="26">
        <v>21.628774</v>
      </c>
    </row>
    <row r="10" spans="1:18">
      <c r="A10" s="17" t="s">
        <v>603</v>
      </c>
      <c r="B10" s="17" t="s">
        <v>602</v>
      </c>
      <c r="C10" s="26">
        <v>54.294204999999998</v>
      </c>
      <c r="D10" s="26">
        <v>54.576956000000003</v>
      </c>
      <c r="E10" s="26">
        <v>54.259765999999999</v>
      </c>
      <c r="F10" s="26">
        <v>54.173228000000002</v>
      </c>
      <c r="G10" s="26">
        <v>57.509987000000002</v>
      </c>
      <c r="H10" s="26">
        <v>60.470928999999998</v>
      </c>
      <c r="I10" s="26">
        <v>62.042807000000003</v>
      </c>
      <c r="J10" s="26">
        <v>62.713434999999997</v>
      </c>
      <c r="K10" s="26">
        <v>60.867762999999997</v>
      </c>
      <c r="L10" s="26">
        <v>52.687443999999999</v>
      </c>
      <c r="M10" s="26">
        <v>48.947032999999998</v>
      </c>
      <c r="N10" s="26">
        <v>44.744455000000002</v>
      </c>
      <c r="O10" s="26">
        <v>41.954414</v>
      </c>
      <c r="P10" s="26">
        <v>42.994315</v>
      </c>
      <c r="Q10" s="26">
        <v>41.125121</v>
      </c>
      <c r="R10" s="26">
        <v>41.339801999999999</v>
      </c>
    </row>
    <row r="11" spans="1:18">
      <c r="A11" s="17" t="s">
        <v>601</v>
      </c>
      <c r="B11" s="17" t="s">
        <v>518</v>
      </c>
      <c r="C11" s="18">
        <v>16</v>
      </c>
      <c r="D11" s="18">
        <v>19</v>
      </c>
      <c r="E11" s="18">
        <v>22</v>
      </c>
      <c r="F11" s="18">
        <v>29</v>
      </c>
      <c r="G11" s="18">
        <v>24</v>
      </c>
      <c r="H11" s="18">
        <v>16</v>
      </c>
      <c r="I11" s="18">
        <v>12</v>
      </c>
      <c r="J11" s="18">
        <v>10</v>
      </c>
      <c r="K11" s="18">
        <v>11</v>
      </c>
      <c r="L11" s="18">
        <v>9</v>
      </c>
      <c r="M11" s="18">
        <v>14</v>
      </c>
      <c r="N11" s="18">
        <v>14</v>
      </c>
      <c r="O11" s="18">
        <v>55</v>
      </c>
      <c r="P11" s="18">
        <v>63</v>
      </c>
      <c r="Q11" s="18" t="s">
        <v>464</v>
      </c>
      <c r="R11" s="18" t="s">
        <v>464</v>
      </c>
    </row>
    <row r="12" spans="1:18">
      <c r="A12" s="17" t="s">
        <v>600</v>
      </c>
      <c r="B12" s="17" t="s">
        <v>599</v>
      </c>
      <c r="C12" s="26">
        <v>2.3774150000000001</v>
      </c>
      <c r="D12" s="26">
        <v>2.1276600000000001</v>
      </c>
      <c r="E12" s="26">
        <v>2.1674880000000001</v>
      </c>
      <c r="F12" s="26">
        <v>3.5846719999999999</v>
      </c>
      <c r="G12" s="26">
        <v>6.7796609999999999</v>
      </c>
      <c r="H12" s="26" t="s">
        <v>464</v>
      </c>
      <c r="I12" s="26">
        <v>1.646091</v>
      </c>
      <c r="J12" s="26">
        <v>1.117318</v>
      </c>
      <c r="K12" s="26">
        <v>1.01196</v>
      </c>
      <c r="L12" s="26">
        <v>1.627486</v>
      </c>
      <c r="M12" s="26">
        <v>3.8251369999999998</v>
      </c>
      <c r="N12" s="26" t="s">
        <v>464</v>
      </c>
      <c r="O12" s="26">
        <v>2.8977870000000001</v>
      </c>
      <c r="P12" s="26">
        <v>6.0576920000000003</v>
      </c>
      <c r="Q12" s="26" t="s">
        <v>464</v>
      </c>
      <c r="R12" s="26" t="s">
        <v>464</v>
      </c>
    </row>
    <row r="13" spans="1:18">
      <c r="A13" s="17" t="s">
        <v>598</v>
      </c>
      <c r="B13" s="17" t="s">
        <v>570</v>
      </c>
      <c r="C13" s="18">
        <v>-505</v>
      </c>
      <c r="D13" s="18">
        <v>-590</v>
      </c>
      <c r="E13" s="18">
        <v>-607</v>
      </c>
      <c r="F13" s="18">
        <v>-750</v>
      </c>
      <c r="G13" s="18">
        <v>-554</v>
      </c>
      <c r="H13" s="18">
        <v>-586</v>
      </c>
      <c r="I13" s="18">
        <v>-437</v>
      </c>
      <c r="J13" s="18">
        <v>-409</v>
      </c>
      <c r="K13" s="18">
        <v>-500</v>
      </c>
      <c r="L13" s="18">
        <v>-500</v>
      </c>
      <c r="M13" s="18">
        <v>-644</v>
      </c>
      <c r="N13" s="18">
        <v>-859</v>
      </c>
      <c r="O13" s="18">
        <v>-1678</v>
      </c>
      <c r="P13" s="18">
        <v>-774</v>
      </c>
      <c r="Q13" s="18">
        <v>-1020</v>
      </c>
      <c r="R13" s="18">
        <v>-1142</v>
      </c>
    </row>
    <row r="14" spans="1:18">
      <c r="A14" s="17" t="s">
        <v>597</v>
      </c>
      <c r="B14" s="17" t="s">
        <v>596</v>
      </c>
      <c r="C14" s="26">
        <v>6.6108130000000003</v>
      </c>
      <c r="D14" s="26">
        <v>7.1144340000000001</v>
      </c>
      <c r="E14" s="26">
        <v>6.9922820000000003</v>
      </c>
      <c r="F14" s="26">
        <v>8.3379659999999998</v>
      </c>
      <c r="G14" s="26">
        <v>6.9808469999999998</v>
      </c>
      <c r="H14" s="26">
        <v>7.5486279999999999</v>
      </c>
      <c r="I14" s="26">
        <v>5.530246</v>
      </c>
      <c r="J14" s="26">
        <v>4.9443910000000004</v>
      </c>
      <c r="K14" s="26">
        <v>5.5791120000000003</v>
      </c>
      <c r="L14" s="26">
        <v>7.8764969999999996</v>
      </c>
      <c r="M14" s="26">
        <v>8.5706679999999995</v>
      </c>
      <c r="N14" s="26">
        <v>11.869559000000001</v>
      </c>
      <c r="O14" s="26">
        <v>10.216134</v>
      </c>
      <c r="P14" s="26">
        <v>6.118093</v>
      </c>
      <c r="Q14" s="26">
        <v>7.3726060000000002</v>
      </c>
      <c r="R14" s="26">
        <v>8.1612229999999997</v>
      </c>
    </row>
    <row r="15" spans="1:18">
      <c r="A15" s="17" t="s">
        <v>595</v>
      </c>
      <c r="B15" s="17" t="s">
        <v>594</v>
      </c>
      <c r="C15" s="26" t="s">
        <v>464</v>
      </c>
      <c r="D15" s="26">
        <v>6.975644</v>
      </c>
      <c r="E15" s="26">
        <v>7.1139760000000001</v>
      </c>
      <c r="F15" s="26">
        <v>8.4080720000000007</v>
      </c>
      <c r="G15" s="26">
        <v>6.0011919999999996</v>
      </c>
      <c r="H15" s="26">
        <v>6.4001749999999999</v>
      </c>
      <c r="I15" s="26">
        <v>4.9308889999999996</v>
      </c>
      <c r="J15" s="26">
        <v>4.6660199999999996</v>
      </c>
      <c r="K15" s="26">
        <v>5.1276789999999997</v>
      </c>
      <c r="L15" s="26">
        <v>4.5770780000000002</v>
      </c>
      <c r="M15" s="26">
        <v>5.8516199999999996</v>
      </c>
      <c r="N15" s="26">
        <v>6.3257120000000002</v>
      </c>
      <c r="O15" s="26">
        <v>7.7009569999999998</v>
      </c>
      <c r="P15" s="26">
        <v>3.0977969999999999</v>
      </c>
      <c r="Q15" s="26">
        <v>4.5178719999999997</v>
      </c>
      <c r="R15" s="26">
        <v>5.5851709999999999</v>
      </c>
    </row>
    <row r="16" spans="1:18">
      <c r="A16" s="17" t="s">
        <v>593</v>
      </c>
      <c r="B16" s="17" t="s">
        <v>592</v>
      </c>
      <c r="C16" s="26">
        <v>1.199525</v>
      </c>
      <c r="D16" s="26">
        <v>1.356322</v>
      </c>
      <c r="E16" s="26">
        <v>1.385845</v>
      </c>
      <c r="F16" s="26">
        <v>1.612903</v>
      </c>
      <c r="G16" s="26">
        <v>1.222958</v>
      </c>
      <c r="H16" s="26">
        <v>1.238901</v>
      </c>
      <c r="I16" s="26">
        <v>0.93176999999999999</v>
      </c>
      <c r="J16" s="26">
        <v>0.92533900000000002</v>
      </c>
      <c r="K16" s="26">
        <v>1.0893250000000001</v>
      </c>
      <c r="L16" s="26">
        <v>1.8115939999999999</v>
      </c>
      <c r="M16" s="26">
        <v>2.1538460000000001</v>
      </c>
      <c r="N16" s="26">
        <v>3.1933090000000002</v>
      </c>
      <c r="O16" s="26">
        <v>2.51952</v>
      </c>
      <c r="P16" s="26">
        <v>1.0631870000000001</v>
      </c>
      <c r="Q16" s="26" t="s">
        <v>464</v>
      </c>
      <c r="R16" s="26" t="s">
        <v>464</v>
      </c>
    </row>
    <row r="17" spans="1:18">
      <c r="A17" s="17" t="s">
        <v>591</v>
      </c>
      <c r="B17" s="17" t="s">
        <v>590</v>
      </c>
      <c r="C17" s="26" t="s">
        <v>464</v>
      </c>
      <c r="D17" s="26" t="s">
        <v>464</v>
      </c>
      <c r="E17" s="26" t="s">
        <v>464</v>
      </c>
      <c r="F17" s="26" t="s">
        <v>464</v>
      </c>
      <c r="G17" s="26">
        <v>1.3555109999999999</v>
      </c>
      <c r="H17" s="26">
        <v>1.363386</v>
      </c>
      <c r="I17" s="26">
        <v>1.278475</v>
      </c>
      <c r="J17" s="26">
        <v>1.186374</v>
      </c>
      <c r="K17" s="26">
        <v>1.081658</v>
      </c>
      <c r="L17" s="26">
        <v>1.1993860000000001</v>
      </c>
      <c r="M17" s="26">
        <v>1.3823749999999999</v>
      </c>
      <c r="N17" s="26">
        <v>1.8346830000000001</v>
      </c>
      <c r="O17" s="26">
        <v>2.1535190000000002</v>
      </c>
      <c r="P17" s="26">
        <v>2.148291</v>
      </c>
      <c r="Q17" s="26" t="s">
        <v>464</v>
      </c>
      <c r="R17" s="26" t="s">
        <v>464</v>
      </c>
    </row>
    <row r="18" spans="1:18">
      <c r="A18" s="17" t="s">
        <v>589</v>
      </c>
      <c r="B18" s="17" t="s">
        <v>588</v>
      </c>
      <c r="C18" s="26" t="s">
        <v>464</v>
      </c>
      <c r="D18" s="26">
        <v>16.831683000000002</v>
      </c>
      <c r="E18" s="26">
        <v>2.8813559999999998</v>
      </c>
      <c r="F18" s="26">
        <v>23.558484</v>
      </c>
      <c r="G18" s="26">
        <v>-26.133333</v>
      </c>
      <c r="H18" s="26">
        <v>5.776173</v>
      </c>
      <c r="I18" s="26">
        <v>-25.426621000000001</v>
      </c>
      <c r="J18" s="26">
        <v>-6.4073229999999999</v>
      </c>
      <c r="K18" s="26">
        <v>22.249389000000001</v>
      </c>
      <c r="L18" s="26">
        <v>0</v>
      </c>
      <c r="M18" s="26">
        <v>28.8</v>
      </c>
      <c r="N18" s="26">
        <v>33.385092999999998</v>
      </c>
      <c r="O18" s="26">
        <v>95.343423000000001</v>
      </c>
      <c r="P18" s="26">
        <v>-53.873659000000004</v>
      </c>
      <c r="Q18" s="26">
        <v>31.782945999999999</v>
      </c>
      <c r="R18" s="26">
        <v>11.960784</v>
      </c>
    </row>
    <row r="19" spans="1:18">
      <c r="A19" s="17" t="s">
        <v>587</v>
      </c>
      <c r="B19" s="17" t="s">
        <v>586</v>
      </c>
      <c r="C19" s="26">
        <v>8.679335</v>
      </c>
      <c r="D19" s="26">
        <v>8.6896550000000001</v>
      </c>
      <c r="E19" s="26">
        <v>8.5936070000000004</v>
      </c>
      <c r="F19" s="26">
        <v>8.8774189999999997</v>
      </c>
      <c r="G19" s="26">
        <v>9.5342160000000007</v>
      </c>
      <c r="H19" s="26">
        <v>9.7188160000000003</v>
      </c>
      <c r="I19" s="26">
        <v>9.7654580000000006</v>
      </c>
      <c r="J19" s="26">
        <v>10.719457</v>
      </c>
      <c r="K19" s="26">
        <v>9.5969499999999996</v>
      </c>
      <c r="L19" s="26">
        <v>8.4528990000000004</v>
      </c>
      <c r="M19" s="26">
        <v>7.6956519999999999</v>
      </c>
      <c r="N19" s="26">
        <v>8.6245349999999998</v>
      </c>
      <c r="O19" s="26">
        <v>7.4069070000000004</v>
      </c>
      <c r="P19" s="26">
        <v>4.6744510000000004</v>
      </c>
      <c r="Q19" s="26" t="s">
        <v>464</v>
      </c>
      <c r="R19" s="26" t="s">
        <v>464</v>
      </c>
    </row>
    <row r="20" spans="1:18">
      <c r="A20" s="28" t="s">
        <v>525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</row>
  </sheetData>
  <phoneticPr fontId="1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A0639-A54C-4DB3-9712-CE2CC03830F6}">
  <sheetPr>
    <tabColor theme="0" tint="-0.34998626667073579"/>
  </sheetPr>
  <dimension ref="A1:W14"/>
  <sheetViews>
    <sheetView topLeftCell="I1" workbookViewId="0">
      <selection activeCell="J30" sqref="J30"/>
    </sheetView>
  </sheetViews>
  <sheetFormatPr baseColWidth="10" defaultColWidth="8.83203125" defaultRowHeight="15"/>
  <cols>
    <col min="1" max="1" width="35.1640625" customWidth="1"/>
    <col min="2" max="2" width="0" hidden="1" customWidth="1"/>
    <col min="3" max="23" width="11.83203125" customWidth="1"/>
  </cols>
  <sheetData>
    <row r="1" spans="1:2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 ht="20">
      <c r="A2" s="9" t="s">
        <v>739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3">
      <c r="A4" s="11" t="s">
        <v>405</v>
      </c>
      <c r="B4" s="11"/>
      <c r="C4" s="12" t="s">
        <v>740</v>
      </c>
      <c r="D4" s="12" t="s">
        <v>741</v>
      </c>
      <c r="E4" s="12" t="s">
        <v>742</v>
      </c>
      <c r="F4" s="12" t="s">
        <v>743</v>
      </c>
      <c r="G4" s="12" t="s">
        <v>744</v>
      </c>
      <c r="H4" s="12" t="s">
        <v>406</v>
      </c>
      <c r="I4" s="12" t="s">
        <v>407</v>
      </c>
      <c r="J4" s="12" t="s">
        <v>408</v>
      </c>
      <c r="K4" s="12" t="s">
        <v>409</v>
      </c>
      <c r="L4" s="12" t="s">
        <v>410</v>
      </c>
      <c r="M4" s="12" t="s">
        <v>411</v>
      </c>
      <c r="N4" s="12" t="s">
        <v>412</v>
      </c>
      <c r="O4" s="12" t="s">
        <v>413</v>
      </c>
      <c r="P4" s="12" t="s">
        <v>414</v>
      </c>
      <c r="Q4" s="12" t="s">
        <v>415</v>
      </c>
      <c r="R4" s="12" t="s">
        <v>416</v>
      </c>
      <c r="S4" s="12" t="s">
        <v>417</v>
      </c>
      <c r="T4" s="12" t="s">
        <v>418</v>
      </c>
      <c r="U4" s="12" t="s">
        <v>419</v>
      </c>
      <c r="V4" s="12" t="s">
        <v>420</v>
      </c>
      <c r="W4" s="12" t="s">
        <v>421</v>
      </c>
    </row>
    <row r="5" spans="1:23">
      <c r="A5" s="13" t="s">
        <v>422</v>
      </c>
      <c r="B5" s="13"/>
      <c r="C5" s="14" t="s">
        <v>745</v>
      </c>
      <c r="D5" s="14" t="s">
        <v>746</v>
      </c>
      <c r="E5" s="14" t="s">
        <v>747</v>
      </c>
      <c r="F5" s="14" t="s">
        <v>748</v>
      </c>
      <c r="G5" s="14" t="s">
        <v>749</v>
      </c>
      <c r="H5" s="14" t="s">
        <v>423</v>
      </c>
      <c r="I5" s="14" t="s">
        <v>424</v>
      </c>
      <c r="J5" s="14" t="s">
        <v>425</v>
      </c>
      <c r="K5" s="14" t="s">
        <v>426</v>
      </c>
      <c r="L5" s="14" t="s">
        <v>427</v>
      </c>
      <c r="M5" s="14" t="s">
        <v>428</v>
      </c>
      <c r="N5" s="14" t="s">
        <v>429</v>
      </c>
      <c r="O5" s="14" t="s">
        <v>430</v>
      </c>
      <c r="P5" s="14" t="s">
        <v>431</v>
      </c>
      <c r="Q5" s="14" t="s">
        <v>432</v>
      </c>
      <c r="R5" s="14" t="s">
        <v>433</v>
      </c>
      <c r="S5" s="14" t="s">
        <v>434</v>
      </c>
      <c r="T5" s="14" t="s">
        <v>435</v>
      </c>
      <c r="U5" s="14" t="s">
        <v>436</v>
      </c>
      <c r="V5" s="14" t="s">
        <v>437</v>
      </c>
      <c r="W5" s="14" t="s">
        <v>438</v>
      </c>
    </row>
    <row r="6" spans="1:23">
      <c r="A6" s="6" t="s">
        <v>750</v>
      </c>
      <c r="B6" s="6" t="s">
        <v>751</v>
      </c>
      <c r="C6" s="22">
        <v>3.5834950000000001</v>
      </c>
      <c r="D6" s="22">
        <v>4.9463980000000003</v>
      </c>
      <c r="E6" s="22">
        <v>4.1357059999999999</v>
      </c>
      <c r="F6" s="22">
        <v>4.488181</v>
      </c>
      <c r="G6" s="22">
        <v>7.1904890000000004</v>
      </c>
      <c r="H6" s="22">
        <v>7.8014460000000003</v>
      </c>
      <c r="I6" s="22">
        <v>7.683954</v>
      </c>
      <c r="J6" s="22">
        <v>10.844479</v>
      </c>
      <c r="K6" s="22">
        <v>9.0703549999999993</v>
      </c>
      <c r="L6" s="22">
        <v>12.759593000000001</v>
      </c>
      <c r="M6" s="22">
        <v>10.83273</v>
      </c>
      <c r="N6" s="22">
        <v>13.793519999999999</v>
      </c>
      <c r="O6" s="22">
        <v>13.253057999999999</v>
      </c>
      <c r="P6" s="22">
        <v>23.028362999999999</v>
      </c>
      <c r="Q6" s="22">
        <v>36.539903000000002</v>
      </c>
      <c r="R6" s="22">
        <v>39.477193999999997</v>
      </c>
      <c r="S6" s="22">
        <v>44.646827000000002</v>
      </c>
      <c r="T6" s="22">
        <v>33.308883000000002</v>
      </c>
      <c r="U6" s="22">
        <v>57.335925000000003</v>
      </c>
      <c r="V6" s="22">
        <v>40.088151000000003</v>
      </c>
      <c r="W6" s="22">
        <v>41.8</v>
      </c>
    </row>
    <row r="7" spans="1:23">
      <c r="A7" s="29" t="s">
        <v>752</v>
      </c>
      <c r="B7" s="29" t="s">
        <v>753</v>
      </c>
      <c r="C7" s="614">
        <v>8.7344030000000004</v>
      </c>
      <c r="D7" s="614">
        <v>38.032786999999999</v>
      </c>
      <c r="E7" s="614">
        <v>-16.389548999999999</v>
      </c>
      <c r="F7" s="614">
        <v>8.5227269999999997</v>
      </c>
      <c r="G7" s="614">
        <v>60.209423999999999</v>
      </c>
      <c r="H7" s="614">
        <v>8.4967319999999997</v>
      </c>
      <c r="I7" s="614">
        <v>-1.506024</v>
      </c>
      <c r="J7" s="614">
        <v>41.131498000000001</v>
      </c>
      <c r="K7" s="614">
        <v>-16.359697000000001</v>
      </c>
      <c r="L7" s="614">
        <v>40.673575</v>
      </c>
      <c r="M7" s="614">
        <v>-15.101289</v>
      </c>
      <c r="N7" s="614">
        <v>27.331886999999998</v>
      </c>
      <c r="O7" s="614">
        <v>-3.918228</v>
      </c>
      <c r="P7" s="614">
        <v>73.758865</v>
      </c>
      <c r="Q7" s="614">
        <v>58.673468999999997</v>
      </c>
      <c r="R7" s="614">
        <v>8.0385849999999994</v>
      </c>
      <c r="S7" s="614">
        <v>13.095238</v>
      </c>
      <c r="T7" s="614">
        <v>-25.394736999999999</v>
      </c>
      <c r="U7" s="614">
        <v>72.134039000000001</v>
      </c>
      <c r="V7" s="614">
        <v>-30.081966999999999</v>
      </c>
      <c r="W7" s="614">
        <v>4.2702119999999999</v>
      </c>
    </row>
    <row r="8" spans="1:23">
      <c r="A8" s="17" t="s">
        <v>754</v>
      </c>
      <c r="B8" s="17" t="s">
        <v>755</v>
      </c>
      <c r="C8" s="26">
        <v>3.3250139999999999</v>
      </c>
      <c r="D8" s="26">
        <v>3.5834950000000001</v>
      </c>
      <c r="E8" s="26">
        <v>4.9405239999999999</v>
      </c>
      <c r="F8" s="26">
        <v>4.1004589999999999</v>
      </c>
      <c r="G8" s="26">
        <v>4.488181</v>
      </c>
      <c r="H8" s="26">
        <v>7.2022380000000004</v>
      </c>
      <c r="I8" s="26">
        <v>7.7309510000000001</v>
      </c>
      <c r="J8" s="26">
        <v>7.683954</v>
      </c>
      <c r="K8" s="26">
        <v>10.820981</v>
      </c>
      <c r="L8" s="26">
        <v>9.0233589999999992</v>
      </c>
      <c r="M8" s="26">
        <v>12.759593000000001</v>
      </c>
      <c r="N8" s="26">
        <v>10.83273</v>
      </c>
      <c r="O8" s="26">
        <v>13.840515999999999</v>
      </c>
      <c r="P8" s="26">
        <v>13.112068000000001</v>
      </c>
      <c r="Q8" s="26">
        <v>22.746383000000002</v>
      </c>
      <c r="R8" s="26">
        <v>36.657395000000001</v>
      </c>
      <c r="S8" s="26">
        <v>40.182144000000001</v>
      </c>
      <c r="T8" s="26">
        <v>46.996659999999999</v>
      </c>
      <c r="U8" s="26">
        <v>33.485120000000002</v>
      </c>
      <c r="V8" s="26">
        <v>56.630974999999999</v>
      </c>
      <c r="W8" s="26">
        <v>39.665180999999997</v>
      </c>
    </row>
    <row r="9" spans="1:23">
      <c r="A9" s="17" t="s">
        <v>756</v>
      </c>
      <c r="B9" s="17" t="s">
        <v>757</v>
      </c>
      <c r="C9" s="26">
        <v>4.1827030000000001</v>
      </c>
      <c r="D9" s="26">
        <v>5.4692360000000004</v>
      </c>
      <c r="E9" s="26">
        <v>5.0638899999999998</v>
      </c>
      <c r="F9" s="26">
        <v>5.2048800000000002</v>
      </c>
      <c r="G9" s="26">
        <v>7.6604559999999999</v>
      </c>
      <c r="H9" s="26">
        <v>9.4228299999999994</v>
      </c>
      <c r="I9" s="26">
        <v>8.6826329999999992</v>
      </c>
      <c r="J9" s="26">
        <v>11.67867</v>
      </c>
      <c r="K9" s="26">
        <v>11.302697</v>
      </c>
      <c r="L9" s="26">
        <v>14.286985</v>
      </c>
      <c r="M9" s="26">
        <v>13.394048</v>
      </c>
      <c r="N9" s="26">
        <v>14.098998</v>
      </c>
      <c r="O9" s="26">
        <v>16.260843999999999</v>
      </c>
      <c r="P9" s="26">
        <v>23.451333000000002</v>
      </c>
      <c r="Q9" s="26">
        <v>40.652110999999998</v>
      </c>
      <c r="R9" s="26">
        <v>49.170256000000002</v>
      </c>
      <c r="S9" s="26">
        <v>60.096978999999997</v>
      </c>
      <c r="T9" s="26">
        <v>47.760356000000002</v>
      </c>
      <c r="U9" s="26">
        <v>60.155724999999997</v>
      </c>
      <c r="V9" s="26">
        <v>57.277178999999997</v>
      </c>
      <c r="W9" s="26">
        <v>46.4</v>
      </c>
    </row>
    <row r="10" spans="1:23">
      <c r="A10" s="17" t="s">
        <v>758</v>
      </c>
      <c r="B10" s="17" t="s">
        <v>759</v>
      </c>
      <c r="C10" s="26">
        <v>2.6611859999999998</v>
      </c>
      <c r="D10" s="26">
        <v>3.4895019999999999</v>
      </c>
      <c r="E10" s="26">
        <v>3.818479</v>
      </c>
      <c r="F10" s="26">
        <v>3.818479</v>
      </c>
      <c r="G10" s="26">
        <v>4.2062010000000001</v>
      </c>
      <c r="H10" s="26">
        <v>5.3576189999999997</v>
      </c>
      <c r="I10" s="26">
        <v>6.9085089999999996</v>
      </c>
      <c r="J10" s="26">
        <v>7.5664619999999996</v>
      </c>
      <c r="K10" s="26">
        <v>7.2844819999999997</v>
      </c>
      <c r="L10" s="26">
        <v>8.6473849999999999</v>
      </c>
      <c r="M10" s="26">
        <v>9.3523350000000001</v>
      </c>
      <c r="N10" s="26">
        <v>9.1878469999999997</v>
      </c>
      <c r="O10" s="26">
        <v>12.501111999999999</v>
      </c>
      <c r="P10" s="26">
        <v>12.830088</v>
      </c>
      <c r="Q10" s="26">
        <v>21.688959000000001</v>
      </c>
      <c r="R10" s="26">
        <v>32.662678999999997</v>
      </c>
      <c r="S10" s="26">
        <v>31.722746000000001</v>
      </c>
      <c r="T10" s="26">
        <v>30.782812</v>
      </c>
      <c r="U10" s="26">
        <v>31.722746000000001</v>
      </c>
      <c r="V10" s="26">
        <v>34.307561999999997</v>
      </c>
      <c r="W10" s="26">
        <v>28.536372</v>
      </c>
    </row>
    <row r="11" spans="1:23">
      <c r="A11" s="6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</row>
    <row r="12" spans="1:23">
      <c r="A12" s="6" t="s">
        <v>760</v>
      </c>
      <c r="B12" s="6" t="s">
        <v>761</v>
      </c>
      <c r="C12" s="15" t="s">
        <v>464</v>
      </c>
      <c r="D12" s="15" t="s">
        <v>464</v>
      </c>
      <c r="E12" s="15" t="s">
        <v>464</v>
      </c>
      <c r="F12" s="15" t="s">
        <v>464</v>
      </c>
      <c r="G12" s="15" t="s">
        <v>464</v>
      </c>
      <c r="H12" s="15">
        <v>6142</v>
      </c>
      <c r="I12" s="15">
        <v>5640.75</v>
      </c>
      <c r="J12" s="15">
        <v>7614.75</v>
      </c>
      <c r="K12" s="15">
        <v>6079.5</v>
      </c>
      <c r="L12" s="15">
        <v>8343.7033840000004</v>
      </c>
      <c r="M12" s="15">
        <v>6941.7378269999999</v>
      </c>
      <c r="N12" s="15">
        <v>8509.7388530000007</v>
      </c>
      <c r="O12" s="15">
        <v>7863.2177819999997</v>
      </c>
      <c r="P12" s="15">
        <v>14432.337745000001</v>
      </c>
      <c r="Q12" s="15">
        <v>22717.616106000001</v>
      </c>
      <c r="R12" s="15">
        <v>25001.968865999999</v>
      </c>
      <c r="S12" s="15">
        <v>29891.511687999999</v>
      </c>
      <c r="T12" s="15">
        <v>45501.75</v>
      </c>
      <c r="U12" s="15">
        <v>79287.802979</v>
      </c>
      <c r="V12" s="15">
        <v>55328.097765999999</v>
      </c>
      <c r="W12" s="15">
        <v>54162.431641000003</v>
      </c>
    </row>
    <row r="13" spans="1:23">
      <c r="A13" s="17" t="s">
        <v>762</v>
      </c>
      <c r="B13" s="17" t="s">
        <v>763</v>
      </c>
      <c r="C13" s="26" t="s">
        <v>464</v>
      </c>
      <c r="D13" s="26" t="s">
        <v>464</v>
      </c>
      <c r="E13" s="26" t="s">
        <v>464</v>
      </c>
      <c r="F13" s="26" t="s">
        <v>464</v>
      </c>
      <c r="G13" s="26" t="s">
        <v>464</v>
      </c>
      <c r="H13" s="26" t="s">
        <v>464</v>
      </c>
      <c r="I13" s="26">
        <v>740</v>
      </c>
      <c r="J13" s="26">
        <v>690</v>
      </c>
      <c r="K13" s="26">
        <v>632.5</v>
      </c>
      <c r="L13" s="26">
        <v>634.00001499999996</v>
      </c>
      <c r="M13" s="26">
        <v>609.08000900000002</v>
      </c>
      <c r="N13" s="26">
        <v>593.30501600000002</v>
      </c>
      <c r="O13" s="26">
        <v>568.95500200000004</v>
      </c>
      <c r="P13" s="26">
        <v>581.38999899999999</v>
      </c>
      <c r="Q13" s="26">
        <v>588.02002000000005</v>
      </c>
      <c r="R13" s="26">
        <v>592.98602300000005</v>
      </c>
      <c r="S13" s="26">
        <v>604.22198500000002</v>
      </c>
      <c r="T13" s="26">
        <v>634.60797100000002</v>
      </c>
      <c r="U13" s="26">
        <v>1289.649414</v>
      </c>
      <c r="V13" s="26">
        <v>1289.4132079999999</v>
      </c>
      <c r="W13" s="26">
        <v>1292.9167480000001</v>
      </c>
    </row>
    <row r="14" spans="1:23">
      <c r="A14" s="28" t="s">
        <v>525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</row>
  </sheetData>
  <phoneticPr fontId="1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/>
  </sheetPr>
  <dimension ref="A1"/>
  <sheetViews>
    <sheetView workbookViewId="0">
      <selection activeCell="D7" sqref="D7"/>
    </sheetView>
  </sheetViews>
  <sheetFormatPr baseColWidth="10" defaultColWidth="11.5" defaultRowHeight="15"/>
  <cols>
    <col min="1" max="16384" width="11.5" style="32"/>
  </cols>
  <sheetData/>
  <phoneticPr fontId="17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7"/>
  </sheetPr>
  <dimension ref="B1:I13"/>
  <sheetViews>
    <sheetView showGridLines="0" workbookViewId="0">
      <selection activeCell="I22" sqref="I22"/>
    </sheetView>
  </sheetViews>
  <sheetFormatPr baseColWidth="10" defaultColWidth="11.5" defaultRowHeight="13"/>
  <cols>
    <col min="1" max="1" width="19.5" style="1" customWidth="1"/>
    <col min="2" max="16384" width="11.5" style="1"/>
  </cols>
  <sheetData>
    <row r="1" spans="2:9" ht="14">
      <c r="B1" s="97" t="s">
        <v>302</v>
      </c>
      <c r="C1" s="98"/>
      <c r="D1" s="98"/>
      <c r="E1" s="98"/>
      <c r="F1" s="98"/>
      <c r="G1" s="98"/>
      <c r="H1" s="98"/>
      <c r="I1" s="98"/>
    </row>
    <row r="2" spans="2:9" ht="18">
      <c r="B2" s="99" t="s">
        <v>249</v>
      </c>
      <c r="C2" s="100"/>
      <c r="D2" s="100"/>
      <c r="E2" s="101" t="s">
        <v>26</v>
      </c>
      <c r="F2" s="101"/>
      <c r="G2" s="101"/>
      <c r="H2" s="101"/>
      <c r="I2" s="101"/>
    </row>
    <row r="3" spans="2:9">
      <c r="B3" s="102"/>
      <c r="C3" s="103"/>
      <c r="D3" s="103"/>
      <c r="E3" s="104">
        <v>2000</v>
      </c>
      <c r="F3" s="104">
        <v>2001</v>
      </c>
      <c r="G3" s="104">
        <v>2002</v>
      </c>
      <c r="H3" s="104"/>
      <c r="I3" s="104"/>
    </row>
    <row r="4" spans="2:9" ht="14" thickBot="1">
      <c r="B4" s="441"/>
      <c r="C4" s="442" t="s">
        <v>311</v>
      </c>
      <c r="D4" s="441"/>
      <c r="E4" s="4"/>
    </row>
    <row r="5" spans="2:9" ht="14" thickBot="1">
      <c r="B5" s="441"/>
      <c r="C5" s="441" t="s">
        <v>312</v>
      </c>
      <c r="D5" s="441"/>
      <c r="E5" s="615">
        <v>7.3800000000000004E-2</v>
      </c>
      <c r="F5" s="616">
        <v>7.85E-2</v>
      </c>
      <c r="G5" s="616">
        <v>8.6599999999999996E-2</v>
      </c>
    </row>
    <row r="6" spans="2:9" ht="14" thickBot="1">
      <c r="B6" s="441"/>
      <c r="C6" s="441" t="s">
        <v>313</v>
      </c>
      <c r="D6" s="441"/>
      <c r="E6" s="617">
        <v>0.9456</v>
      </c>
      <c r="F6" s="618">
        <v>0.94310000000000005</v>
      </c>
      <c r="G6" s="618">
        <v>0.93630000000000002</v>
      </c>
    </row>
    <row r="7" spans="2:9">
      <c r="B7" s="441"/>
      <c r="C7" s="441"/>
      <c r="D7" s="441"/>
    </row>
    <row r="8" spans="2:9" ht="14" thickBot="1">
      <c r="B8" s="441"/>
      <c r="C8" s="442" t="s">
        <v>314</v>
      </c>
      <c r="D8" s="441"/>
      <c r="E8" s="7"/>
      <c r="F8" s="3"/>
      <c r="G8" s="5"/>
    </row>
    <row r="9" spans="2:9" ht="14" thickBot="1">
      <c r="B9" s="441"/>
      <c r="C9" s="441" t="s">
        <v>315</v>
      </c>
      <c r="D9" s="441"/>
      <c r="E9" s="616">
        <v>4.7E-2</v>
      </c>
      <c r="F9" s="616">
        <v>4.5900000000000003E-2</v>
      </c>
      <c r="G9" s="616">
        <v>2.87E-2</v>
      </c>
    </row>
    <row r="10" spans="2:9" ht="14" thickBot="1">
      <c r="B10" s="441"/>
      <c r="C10" s="441" t="s">
        <v>316</v>
      </c>
      <c r="D10" s="441"/>
      <c r="E10" s="618">
        <v>5.1299999999999998E-2</v>
      </c>
      <c r="F10" s="618">
        <v>5.2499999999999998E-2</v>
      </c>
      <c r="G10" s="618">
        <v>5.9400000000000001E-2</v>
      </c>
    </row>
    <row r="11" spans="2:9" ht="14" thickBot="1">
      <c r="B11" s="441"/>
      <c r="C11" s="441"/>
      <c r="D11" s="441"/>
      <c r="E11" s="2"/>
      <c r="F11" s="7"/>
    </row>
    <row r="12" spans="2:9" ht="14" thickBot="1">
      <c r="B12" s="441"/>
      <c r="C12" s="442" t="s">
        <v>317</v>
      </c>
      <c r="D12" s="441"/>
      <c r="E12" s="616">
        <v>7.2099999999999997E-2</v>
      </c>
      <c r="F12" s="616">
        <v>7.6499999999999999E-2</v>
      </c>
      <c r="G12" s="616">
        <v>8.2799999999999999E-2</v>
      </c>
    </row>
    <row r="13" spans="2:9">
      <c r="B13" s="441"/>
      <c r="C13" s="441" t="s">
        <v>318</v>
      </c>
      <c r="D13" s="441"/>
    </row>
  </sheetData>
  <phoneticPr fontId="17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 tint="0.39997558519241921"/>
  </sheetPr>
  <dimension ref="A1"/>
  <sheetViews>
    <sheetView workbookViewId="0">
      <selection activeCell="G21" sqref="G21"/>
    </sheetView>
  </sheetViews>
  <sheetFormatPr baseColWidth="10" defaultColWidth="11.5" defaultRowHeight="15"/>
  <cols>
    <col min="1" max="16384" width="11.5" style="34"/>
  </cols>
  <sheetData>
    <row r="1" spans="1:1">
      <c r="A1" s="33"/>
    </row>
  </sheetData>
  <phoneticPr fontId="17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0.39997558519241921"/>
  </sheetPr>
  <dimension ref="B1:P90"/>
  <sheetViews>
    <sheetView showGridLines="0" topLeftCell="B4" zoomScale="80" zoomScaleNormal="80" workbookViewId="0">
      <selection activeCell="R26" sqref="R26"/>
    </sheetView>
  </sheetViews>
  <sheetFormatPr baseColWidth="10" defaultColWidth="10.83203125" defaultRowHeight="15"/>
  <cols>
    <col min="1" max="1" width="18.5" style="37" customWidth="1"/>
    <col min="2" max="2" width="10.83203125" style="37"/>
    <col min="3" max="3" width="13.5" style="37" customWidth="1"/>
    <col min="4" max="16384" width="10.83203125" style="37"/>
  </cols>
  <sheetData>
    <row r="1" spans="2:16"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</row>
    <row r="2" spans="2:16">
      <c r="B2" s="153"/>
      <c r="C2" s="153"/>
      <c r="D2" s="153"/>
      <c r="E2" s="153"/>
      <c r="F2" s="153"/>
      <c r="G2" s="154"/>
      <c r="H2" s="153"/>
      <c r="I2" s="153"/>
      <c r="J2" s="153"/>
      <c r="K2" s="153"/>
      <c r="L2" s="153"/>
      <c r="M2" s="153"/>
      <c r="N2" s="153"/>
    </row>
    <row r="3" spans="2:16" ht="16" thickBot="1"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</row>
    <row r="4" spans="2:16">
      <c r="B4" s="156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8"/>
    </row>
    <row r="5" spans="2:16" ht="19">
      <c r="B5" s="159" t="s">
        <v>231</v>
      </c>
      <c r="C5" s="155"/>
      <c r="D5" s="155"/>
      <c r="E5" s="74" t="s">
        <v>26</v>
      </c>
      <c r="F5" s="74"/>
      <c r="G5" s="74"/>
      <c r="H5" s="74" t="s">
        <v>27</v>
      </c>
      <c r="I5" s="74"/>
      <c r="J5" s="75"/>
      <c r="K5" s="75"/>
      <c r="L5" s="75"/>
      <c r="M5" s="75"/>
      <c r="N5" s="160"/>
    </row>
    <row r="6" spans="2:16" ht="16" thickBot="1">
      <c r="B6" s="161" t="s">
        <v>730</v>
      </c>
      <c r="C6" s="162"/>
      <c r="D6" s="162"/>
      <c r="E6" s="163">
        <v>1997</v>
      </c>
      <c r="F6" s="163">
        <v>1998</v>
      </c>
      <c r="G6" s="163">
        <v>1999</v>
      </c>
      <c r="H6" s="163">
        <v>2000</v>
      </c>
      <c r="I6" s="163">
        <v>2001</v>
      </c>
      <c r="J6" s="162">
        <v>2002</v>
      </c>
      <c r="K6" s="162">
        <v>2003</v>
      </c>
      <c r="L6" s="162">
        <v>2004</v>
      </c>
      <c r="M6" s="162">
        <v>2005</v>
      </c>
      <c r="N6" s="164">
        <v>2006</v>
      </c>
    </row>
    <row r="7" spans="2:16" ht="16" thickBot="1"/>
    <row r="8" spans="2:16" ht="17" thickBot="1">
      <c r="C8" s="177" t="s">
        <v>326</v>
      </c>
      <c r="D8" s="178"/>
      <c r="E8" s="178"/>
      <c r="F8" s="622"/>
      <c r="G8" s="622"/>
      <c r="H8" s="622"/>
      <c r="I8" s="622"/>
      <c r="J8" s="622"/>
      <c r="K8" s="622"/>
      <c r="L8" s="622"/>
      <c r="M8" s="622"/>
      <c r="N8" s="623"/>
    </row>
    <row r="9" spans="2:16" ht="16">
      <c r="C9" s="626"/>
      <c r="D9" s="627"/>
      <c r="E9" s="78">
        <v>1997</v>
      </c>
      <c r="F9" s="78">
        <v>1998</v>
      </c>
      <c r="G9" s="78">
        <v>1999</v>
      </c>
      <c r="H9" s="78">
        <v>2000</v>
      </c>
      <c r="I9" s="78">
        <v>2001</v>
      </c>
      <c r="J9" s="77">
        <v>2002</v>
      </c>
      <c r="K9" s="77">
        <v>2003</v>
      </c>
      <c r="L9" s="77">
        <v>2004</v>
      </c>
      <c r="M9" s="77">
        <v>2005</v>
      </c>
      <c r="N9" s="77">
        <v>2006</v>
      </c>
    </row>
    <row r="10" spans="2:16" ht="16" thickBot="1">
      <c r="C10" s="628" t="s">
        <v>223</v>
      </c>
      <c r="D10" s="629"/>
      <c r="E10" s="40"/>
      <c r="F10" s="38"/>
      <c r="G10" s="38"/>
      <c r="H10" s="38"/>
      <c r="I10" s="38"/>
      <c r="J10" s="38"/>
      <c r="K10" s="38"/>
      <c r="L10" s="38"/>
      <c r="M10" s="38"/>
      <c r="N10" s="185"/>
    </row>
    <row r="11" spans="2:16" ht="16" thickBot="1">
      <c r="C11" s="630" t="s">
        <v>224</v>
      </c>
      <c r="D11" s="631"/>
      <c r="E11" s="624" t="s">
        <v>228</v>
      </c>
      <c r="F11" s="620">
        <f>'3.3 Income Statement'!F7/'3.3 Income Statement'!E7-1</f>
        <v>-3.6864519563481468E-2</v>
      </c>
      <c r="G11" s="620">
        <f>'3.3 Income Statement'!G7/'3.3 Income Statement'!F7-1</f>
        <v>1.2695868453779191</v>
      </c>
      <c r="H11" s="620">
        <f>'3.3 Income Statement'!H7/'3.3 Income Statement'!G7-1</f>
        <v>-0.22977168949771687</v>
      </c>
      <c r="I11" s="620">
        <f>'3.3 Income Statement'!I7/'3.3 Income Statement'!H7-1</f>
        <v>9.3589439569994548E-2</v>
      </c>
      <c r="J11" s="621">
        <v>4.7899999999999998E-2</v>
      </c>
      <c r="K11" s="621">
        <v>4.7899999999999998E-2</v>
      </c>
      <c r="L11" s="621">
        <v>4.7899999999999998E-2</v>
      </c>
      <c r="M11" s="621">
        <v>4.7899999999999998E-2</v>
      </c>
      <c r="N11" s="621">
        <v>4.7899999999999998E-2</v>
      </c>
      <c r="P11" s="37" t="s">
        <v>310</v>
      </c>
    </row>
    <row r="12" spans="2:16" ht="16" thickBot="1">
      <c r="C12" s="630" t="s">
        <v>225</v>
      </c>
      <c r="D12" s="631"/>
      <c r="E12" s="625">
        <f>-'3.3 Income Statement'!E8/'3.3 Income Statement'!E7</f>
        <v>0.41136545115783868</v>
      </c>
      <c r="F12" s="620">
        <f>-'3.3 Income Statement'!F8/'3.3 Income Statement'!F7</f>
        <v>0.40237667541799088</v>
      </c>
      <c r="G12" s="620">
        <f>-'3.3 Income Statement'!G8/'3.3 Income Statement'!G7</f>
        <v>0.32383561643835618</v>
      </c>
      <c r="H12" s="620">
        <f>-'3.3 Income Statement'!H8/'3.3 Income Statement'!H7</f>
        <v>0.2281242589518615</v>
      </c>
      <c r="I12" s="620">
        <f>-'3.3 Income Statement'!I8/'3.3 Income Statement'!I7</f>
        <v>0.21525117455728227</v>
      </c>
      <c r="J12" s="621">
        <f>6*-0.0566+0.4861</f>
        <v>0.14649999999999996</v>
      </c>
      <c r="K12" s="621">
        <f>7*-0.0566+0.4861</f>
        <v>8.989999999999998E-2</v>
      </c>
      <c r="L12" s="621">
        <f>K12</f>
        <v>8.989999999999998E-2</v>
      </c>
      <c r="M12" s="621">
        <f t="shared" ref="M12:N12" si="0">L12</f>
        <v>8.989999999999998E-2</v>
      </c>
      <c r="N12" s="621">
        <f t="shared" si="0"/>
        <v>8.989999999999998E-2</v>
      </c>
      <c r="P12" s="37" t="s">
        <v>402</v>
      </c>
    </row>
    <row r="13" spans="2:16" ht="16" thickBot="1">
      <c r="C13" s="630" t="s">
        <v>711</v>
      </c>
      <c r="D13" s="631"/>
      <c r="E13" s="625">
        <f>-'3.3 Income Statement'!E9/'3.3 Income Statement'!E7</f>
        <v>0.22744210806494544</v>
      </c>
      <c r="F13" s="620">
        <f>-'3.3 Income Statement'!F9/'3.3 Income Statement'!F7</f>
        <v>0.27179770623186406</v>
      </c>
      <c r="G13" s="620">
        <f>-'3.3 Income Statement'!G9/'3.3 Income Statement'!G7</f>
        <v>0.303013698630137</v>
      </c>
      <c r="H13" s="620">
        <f>-'3.3 Income Statement'!H9/'3.3 Income Statement'!H7</f>
        <v>0.3926962295470714</v>
      </c>
      <c r="I13" s="620">
        <f>-'3.3 Income Statement'!I9/'3.3 Income Statement'!I7</f>
        <v>0.39696422117817132</v>
      </c>
      <c r="J13" s="621">
        <f>AVERAGE($E$13:$I$13)</f>
        <v>0.3183827927304379</v>
      </c>
      <c r="K13" s="621">
        <f t="shared" ref="K13:N13" si="1">AVERAGE($E$13:$I$13)</f>
        <v>0.3183827927304379</v>
      </c>
      <c r="L13" s="621">
        <f t="shared" si="1"/>
        <v>0.3183827927304379</v>
      </c>
      <c r="M13" s="621">
        <f t="shared" si="1"/>
        <v>0.3183827927304379</v>
      </c>
      <c r="N13" s="621">
        <f t="shared" si="1"/>
        <v>0.3183827927304379</v>
      </c>
      <c r="P13" s="37" t="s">
        <v>330</v>
      </c>
    </row>
    <row r="14" spans="2:16" ht="16" thickBot="1">
      <c r="C14" s="630" t="s">
        <v>243</v>
      </c>
      <c r="D14" s="631"/>
      <c r="E14" s="624">
        <f>-'3.3 Income Statement'!E10/'3.3 Income Statement'!E7</f>
        <v>0.13894064413095555</v>
      </c>
      <c r="F14" s="619">
        <f>-'3.3 Income Statement'!F10/'3.3 Income Statement'!F7</f>
        <v>0.17106535857399474</v>
      </c>
      <c r="G14" s="619">
        <f>-'3.3 Income Statement'!G10/'3.3 Income Statement'!G7</f>
        <v>0.17138508371385083</v>
      </c>
      <c r="H14" s="619">
        <f>-'3.3 Income Statement'!H10/'3.3 Income Statement'!H7</f>
        <v>0.17113271678128211</v>
      </c>
      <c r="I14" s="619">
        <f>-'3.3 Income Statement'!I10/'3.3 Income Statement'!I7</f>
        <v>0.16357065413805566</v>
      </c>
      <c r="J14" s="621">
        <f>AVERAGE($E$14,$F$14,$G$14,$H$14,$I$14)</f>
        <v>0.1632188914676278</v>
      </c>
      <c r="K14" s="621">
        <f t="shared" ref="K14:N14" si="2">AVERAGE($E$14,$F$14,$G$14,$H$14,$I$14)</f>
        <v>0.1632188914676278</v>
      </c>
      <c r="L14" s="621">
        <f t="shared" si="2"/>
        <v>0.1632188914676278</v>
      </c>
      <c r="M14" s="621">
        <f t="shared" si="2"/>
        <v>0.1632188914676278</v>
      </c>
      <c r="N14" s="621">
        <f t="shared" si="2"/>
        <v>0.1632188914676278</v>
      </c>
      <c r="P14" s="37" t="s">
        <v>264</v>
      </c>
    </row>
    <row r="15" spans="2:16" ht="16" thickBot="1">
      <c r="C15" s="630" t="s">
        <v>206</v>
      </c>
      <c r="D15" s="631"/>
      <c r="E15" s="625">
        <f>'5.1 Free Cash Flow'!E20</f>
        <v>0.19670000000000001</v>
      </c>
      <c r="F15" s="620">
        <f>'5.1 Free Cash Flow'!F20</f>
        <v>0.19670000000000001</v>
      </c>
      <c r="G15" s="620">
        <f>'5.1 Free Cash Flow'!G20</f>
        <v>0.31190000000000001</v>
      </c>
      <c r="H15" s="620">
        <f>'5.1 Free Cash Flow'!H20</f>
        <v>0.22689999999999999</v>
      </c>
      <c r="I15" s="620">
        <f>'5.1 Free Cash Flow'!I20</f>
        <v>0.18729999999999999</v>
      </c>
      <c r="J15" s="621">
        <v>0.4</v>
      </c>
      <c r="K15" s="621">
        <v>0.4</v>
      </c>
      <c r="L15" s="621">
        <v>0.4</v>
      </c>
      <c r="M15" s="621">
        <v>0.4</v>
      </c>
      <c r="N15" s="621">
        <v>0.4</v>
      </c>
    </row>
    <row r="16" spans="2:16">
      <c r="C16" s="630"/>
      <c r="D16" s="631"/>
      <c r="E16" s="44"/>
      <c r="F16" s="44"/>
      <c r="G16" s="44"/>
      <c r="H16" s="44"/>
      <c r="I16" s="44"/>
      <c r="J16" s="152"/>
      <c r="K16" s="152"/>
      <c r="L16" s="152"/>
      <c r="M16" s="152"/>
      <c r="N16" s="634"/>
    </row>
    <row r="17" spans="3:16" ht="16" thickBot="1">
      <c r="C17" s="628" t="s">
        <v>234</v>
      </c>
      <c r="D17" s="629"/>
      <c r="E17" s="38"/>
      <c r="F17" s="38"/>
      <c r="G17" s="38"/>
      <c r="H17" s="38"/>
      <c r="I17" s="38"/>
      <c r="J17" s="152"/>
      <c r="K17" s="152"/>
      <c r="L17" s="152"/>
      <c r="M17" s="152"/>
      <c r="N17" s="634"/>
    </row>
    <row r="18" spans="3:16" ht="16" thickBot="1">
      <c r="C18" s="630" t="s">
        <v>227</v>
      </c>
      <c r="D18" s="629"/>
      <c r="E18" s="625">
        <f>'3.2 Balance Sheet'!E47/'3.3 Income Statement'!E7</f>
        <v>0.30862390204950757</v>
      </c>
      <c r="F18" s="620">
        <f>'3.2 Balance Sheet'!F47/'3.3 Income Statement'!F7</f>
        <v>0.33093823407489292</v>
      </c>
      <c r="G18" s="620">
        <f>'3.2 Balance Sheet'!G47/'3.3 Income Statement'!G7</f>
        <v>0.23744292237442921</v>
      </c>
      <c r="H18" s="620">
        <f>'3.2 Balance Sheet'!H47/'3.3 Income Statement'!H7</f>
        <v>0.14322978420678206</v>
      </c>
      <c r="I18" s="620">
        <f>'3.2 Balance Sheet'!I47/'3.3 Income Statement'!I7</f>
        <v>0.13501987712323815</v>
      </c>
      <c r="J18" s="621">
        <f>AVERAGE($F$18:$I$18)</f>
        <v>0.21165770444483559</v>
      </c>
      <c r="K18" s="621">
        <f>AVERAGE($F$18:$I$18)</f>
        <v>0.21165770444483559</v>
      </c>
      <c r="L18" s="621">
        <f>AVERAGE($F$18:$I$18)</f>
        <v>0.21165770444483559</v>
      </c>
      <c r="M18" s="621">
        <f>AVERAGE($F$18:$I$18)</f>
        <v>0.21165770444483559</v>
      </c>
      <c r="N18" s="621">
        <f>AVERAGE($F$18:$I$18)</f>
        <v>0.21165770444483559</v>
      </c>
      <c r="P18" s="37" t="s">
        <v>264</v>
      </c>
    </row>
    <row r="19" spans="3:16">
      <c r="C19" s="630"/>
      <c r="D19" s="629"/>
      <c r="E19" s="150"/>
      <c r="F19" s="150"/>
      <c r="G19" s="150"/>
      <c r="H19" s="150"/>
      <c r="I19" s="150"/>
      <c r="J19" s="151"/>
      <c r="K19" s="151"/>
      <c r="L19" s="151"/>
      <c r="M19" s="151"/>
      <c r="N19" s="635"/>
    </row>
    <row r="20" spans="3:16" ht="16" thickBot="1">
      <c r="C20" s="628" t="s">
        <v>54</v>
      </c>
      <c r="D20" s="629"/>
      <c r="E20" s="150"/>
      <c r="F20" s="150"/>
      <c r="G20" s="150"/>
      <c r="H20" s="150"/>
      <c r="I20" s="150"/>
      <c r="J20" s="151"/>
      <c r="K20" s="151"/>
      <c r="L20" s="151"/>
      <c r="M20" s="151"/>
      <c r="N20" s="635"/>
    </row>
    <row r="21" spans="3:16" ht="16" thickBot="1">
      <c r="C21" s="630" t="s">
        <v>329</v>
      </c>
      <c r="D21" s="631"/>
      <c r="E21" s="624">
        <f>'3.4 Cash Flow Statement'!E7/'3.3 Income Statement'!E7</f>
        <v>6.4812350279478306E-2</v>
      </c>
      <c r="F21" s="619">
        <f>'3.4 Cash Flow Statement'!F7/'3.3 Income Statement'!F7</f>
        <v>7.1576620146469538E-2</v>
      </c>
      <c r="G21" s="619">
        <f>'3.4 Cash Flow Statement'!G7/'3.3 Income Statement'!G7</f>
        <v>6.9710806697108066E-2</v>
      </c>
      <c r="H21" s="619">
        <f>'3.4 Cash Flow Statement'!H7/'3.3 Income Statement'!H7</f>
        <v>5.0035570310647377E-2</v>
      </c>
      <c r="I21" s="619">
        <f>'3.4 Cash Flow Statement'!I7/'3.3 Income Statement'!I7</f>
        <v>4.416335381279364E-2</v>
      </c>
      <c r="J21" s="621">
        <f>AVERAGE($E$21:$I$21)</f>
        <v>6.0059740249299373E-2</v>
      </c>
      <c r="K21" s="621">
        <f t="shared" ref="K21:N21" si="3">AVERAGE($E$21:$I$21)</f>
        <v>6.0059740249299373E-2</v>
      </c>
      <c r="L21" s="621">
        <f t="shared" si="3"/>
        <v>6.0059740249299373E-2</v>
      </c>
      <c r="M21" s="621">
        <f t="shared" si="3"/>
        <v>6.0059740249299373E-2</v>
      </c>
      <c r="N21" s="621">
        <f t="shared" si="3"/>
        <v>6.0059740249299373E-2</v>
      </c>
      <c r="P21" s="37" t="s">
        <v>264</v>
      </c>
    </row>
    <row r="22" spans="3:16" ht="16" thickBot="1">
      <c r="C22" s="632" t="s">
        <v>328</v>
      </c>
      <c r="D22" s="633"/>
      <c r="E22" s="625">
        <f>ABS('3.4 Cash Flow Statement'!E9/'3.3 Income Statement'!E7)</f>
        <v>8.5706680862390208E-2</v>
      </c>
      <c r="F22" s="620">
        <f>ABS('3.4 Cash Flow Statement'!F9/'3.3 Income Statement'!F7)</f>
        <v>0.11869559209617245</v>
      </c>
      <c r="G22" s="620">
        <f>ABS('3.4 Cash Flow Statement'!G9/'3.3 Income Statement'!G7)</f>
        <v>0.1021613394216134</v>
      </c>
      <c r="H22" s="620">
        <f>ABS('3.4 Cash Flow Statement'!H9/'3.3 Income Statement'!H7)</f>
        <v>6.1180934313493002E-2</v>
      </c>
      <c r="I22" s="620">
        <f>ABS('3.4 Cash Flow Statement'!I9/'3.3 Income Statement'!I7)</f>
        <v>7.3726057101554027E-2</v>
      </c>
      <c r="J22" s="621">
        <f>AVERAGE($F$22:$I$22)</f>
        <v>8.8940980733208219E-2</v>
      </c>
      <c r="K22" s="621">
        <f>AVERAGE($F$22:$I$22)</f>
        <v>8.8940980733208219E-2</v>
      </c>
      <c r="L22" s="621">
        <f>AVERAGE($F$22:$I$22)</f>
        <v>8.8940980733208219E-2</v>
      </c>
      <c r="M22" s="621">
        <f>AVERAGE($F$22:$I$22)</f>
        <v>8.8940980733208219E-2</v>
      </c>
      <c r="N22" s="621">
        <f>AVERAGE($F$22:$I$22)</f>
        <v>8.8940980733208219E-2</v>
      </c>
      <c r="P22" s="37" t="s">
        <v>264</v>
      </c>
    </row>
    <row r="23" spans="3:16">
      <c r="C23" s="149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</row>
    <row r="82" spans="10:11">
      <c r="J82" s="37">
        <v>5951</v>
      </c>
      <c r="K82" s="37">
        <v>487</v>
      </c>
    </row>
    <row r="83" spans="10:11">
      <c r="K83" s="80">
        <f>(K82-J82)/J82</f>
        <v>-0.91816501428331376</v>
      </c>
    </row>
    <row r="88" spans="10:11">
      <c r="J88" s="37">
        <v>27.311</v>
      </c>
      <c r="K88" s="80">
        <f>J88/(-J89-J90)</f>
        <v>3.9401681904022691E-2</v>
      </c>
    </row>
    <row r="89" spans="10:11">
      <c r="J89" s="37">
        <v>-1.143</v>
      </c>
    </row>
    <row r="90" spans="10:11">
      <c r="J90" s="37">
        <v>-692</v>
      </c>
    </row>
  </sheetData>
  <phoneticPr fontId="17" type="noConversion"/>
  <pageMargins left="0.7" right="0.7" top="0.75" bottom="0.75" header="0.3" footer="0.3"/>
  <pageSetup paperSize="9" orientation="portrait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0.39997558519241921"/>
  </sheetPr>
  <dimension ref="B1:N49"/>
  <sheetViews>
    <sheetView showGridLines="0" zoomScale="70" zoomScaleNormal="70" workbookViewId="0">
      <selection activeCell="B4" sqref="B4"/>
    </sheetView>
  </sheetViews>
  <sheetFormatPr baseColWidth="10" defaultColWidth="11.5" defaultRowHeight="15"/>
  <cols>
    <col min="1" max="1" width="18.5" style="39" customWidth="1"/>
    <col min="2" max="2" width="9.1640625" style="39" customWidth="1"/>
    <col min="3" max="3" width="49.6640625" style="39" customWidth="1"/>
    <col min="4" max="16384" width="11.5" style="39"/>
  </cols>
  <sheetData>
    <row r="1" spans="2:14" s="37" customFormat="1" ht="16" thickBot="1">
      <c r="B1" s="156" t="s">
        <v>302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8"/>
    </row>
    <row r="2" spans="2:14" s="37" customFormat="1" ht="17" thickBot="1">
      <c r="B2" s="171" t="s">
        <v>301</v>
      </c>
      <c r="C2" s="172"/>
      <c r="D2" s="172"/>
      <c r="E2" s="192" t="s">
        <v>26</v>
      </c>
      <c r="F2" s="194"/>
      <c r="G2" s="194"/>
      <c r="H2" s="194" t="s">
        <v>27</v>
      </c>
      <c r="I2" s="195"/>
      <c r="J2" s="196"/>
      <c r="K2" s="198"/>
      <c r="L2" s="198"/>
      <c r="M2" s="198"/>
      <c r="N2" s="195"/>
    </row>
    <row r="3" spans="2:14" s="37" customFormat="1" ht="16" thickBot="1">
      <c r="B3" s="173" t="s">
        <v>731</v>
      </c>
      <c r="C3" s="174"/>
      <c r="D3" s="174"/>
      <c r="E3" s="193">
        <v>1997</v>
      </c>
      <c r="F3" s="193">
        <v>1998</v>
      </c>
      <c r="G3" s="193">
        <v>1999</v>
      </c>
      <c r="H3" s="193">
        <v>2000</v>
      </c>
      <c r="I3" s="193">
        <v>2001</v>
      </c>
      <c r="J3" s="197">
        <v>2002</v>
      </c>
      <c r="K3" s="197">
        <v>2003</v>
      </c>
      <c r="L3" s="197">
        <v>2004</v>
      </c>
      <c r="M3" s="197">
        <v>2005</v>
      </c>
      <c r="N3" s="197">
        <v>2006</v>
      </c>
    </row>
    <row r="4" spans="2:14" ht="16" thickBot="1">
      <c r="B4" s="40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</row>
    <row r="5" spans="2:14" ht="17" thickBot="1">
      <c r="B5" s="139"/>
      <c r="C5" s="177" t="s">
        <v>35</v>
      </c>
      <c r="D5" s="178"/>
      <c r="E5" s="178"/>
      <c r="F5" s="179"/>
      <c r="G5" s="179"/>
      <c r="H5" s="179"/>
      <c r="I5" s="179"/>
      <c r="J5" s="179"/>
      <c r="K5" s="179"/>
      <c r="L5" s="179"/>
      <c r="M5" s="179"/>
      <c r="N5" s="180"/>
    </row>
    <row r="6" spans="2:14" ht="16" thickBot="1">
      <c r="B6" s="40"/>
      <c r="C6" s="184"/>
      <c r="D6" s="38"/>
      <c r="E6" s="38"/>
      <c r="F6" s="38"/>
      <c r="G6" s="38"/>
      <c r="H6" s="38"/>
      <c r="I6" s="38"/>
      <c r="J6" s="38"/>
      <c r="K6" s="38"/>
      <c r="L6" s="38"/>
      <c r="M6" s="38"/>
      <c r="N6" s="185"/>
    </row>
    <row r="7" spans="2:14" ht="16" thickBot="1">
      <c r="B7" s="40"/>
      <c r="C7" s="166" t="s">
        <v>297</v>
      </c>
      <c r="D7" s="38"/>
      <c r="E7" s="168">
        <f>'1.1 Balance Sheet Raw'!M7</f>
        <v>134</v>
      </c>
      <c r="F7" s="168">
        <f>'1.1 Balance Sheet Raw'!N7</f>
        <v>89</v>
      </c>
      <c r="G7" s="168">
        <f>'1.1 Balance Sheet Raw'!O7</f>
        <v>1600</v>
      </c>
      <c r="H7" s="168">
        <f>'1.1 Balance Sheet Raw'!P7</f>
        <v>2035</v>
      </c>
      <c r="I7" s="168">
        <f>'1.1 Balance Sheet Raw'!Q7</f>
        <v>1276</v>
      </c>
      <c r="J7" s="38"/>
      <c r="K7" s="38"/>
      <c r="L7" s="38"/>
      <c r="M7" s="38"/>
      <c r="N7" s="185"/>
    </row>
    <row r="8" spans="2:14" ht="16" thickBot="1">
      <c r="B8" s="40"/>
      <c r="C8" s="166" t="s">
        <v>296</v>
      </c>
      <c r="D8" s="38"/>
      <c r="E8" s="168">
        <f>'1.1 Balance Sheet Raw'!M8</f>
        <v>0</v>
      </c>
      <c r="F8" s="168">
        <f>'1.1 Balance Sheet Raw'!N8</f>
        <v>0</v>
      </c>
      <c r="G8" s="168">
        <f>'1.1 Balance Sheet Raw'!O8</f>
        <v>138</v>
      </c>
      <c r="H8" s="168">
        <f>'1.1 Balance Sheet Raw'!P8</f>
        <v>35</v>
      </c>
      <c r="I8" s="168">
        <f>'1.1 Balance Sheet Raw'!Q8</f>
        <v>119</v>
      </c>
      <c r="J8" s="38"/>
      <c r="K8" s="38"/>
      <c r="L8" s="38"/>
      <c r="M8" s="38"/>
      <c r="N8" s="185"/>
    </row>
    <row r="9" spans="2:14" ht="16" thickBot="1">
      <c r="B9" s="40"/>
      <c r="C9" s="166" t="s">
        <v>36</v>
      </c>
      <c r="D9" s="38"/>
      <c r="E9" s="168">
        <f>'1.1 Balance Sheet Raw'!M10</f>
        <v>1374</v>
      </c>
      <c r="F9" s="168">
        <f>'1.1 Balance Sheet Raw'!N10</f>
        <v>1722</v>
      </c>
      <c r="G9" s="168">
        <f>'1.1 Balance Sheet Raw'!O10</f>
        <v>2905</v>
      </c>
      <c r="H9" s="168">
        <f>'1.1 Balance Sheet Raw'!P10</f>
        <v>1519</v>
      </c>
      <c r="I9" s="168">
        <f>'1.1 Balance Sheet Raw'!Q10</f>
        <v>1683</v>
      </c>
      <c r="J9" s="38"/>
      <c r="K9" s="38"/>
      <c r="L9" s="38"/>
      <c r="M9" s="38"/>
      <c r="N9" s="185"/>
    </row>
    <row r="10" spans="2:14" ht="16" thickBot="1">
      <c r="B10" s="40"/>
      <c r="C10" s="166" t="s">
        <v>37</v>
      </c>
      <c r="D10" s="38"/>
      <c r="E10" s="168">
        <f>'1.1 Balance Sheet Raw'!M9</f>
        <v>1823</v>
      </c>
      <c r="F10" s="168">
        <f>'1.1 Balance Sheet Raw'!N9</f>
        <v>2119</v>
      </c>
      <c r="G10" s="168">
        <f>'1.1 Balance Sheet Raw'!O9</f>
        <v>4131</v>
      </c>
      <c r="H10" s="168">
        <f>'1.1 Balance Sheet Raw'!P9</f>
        <v>2510</v>
      </c>
      <c r="I10" s="168">
        <f>'1.1 Balance Sheet Raw'!Q9</f>
        <v>2433</v>
      </c>
      <c r="J10" s="38"/>
      <c r="K10" s="38"/>
      <c r="L10" s="38"/>
      <c r="M10" s="38"/>
      <c r="N10" s="185"/>
    </row>
    <row r="11" spans="2:14" ht="16" thickBot="1">
      <c r="B11" s="40"/>
      <c r="C11" s="166" t="s">
        <v>38</v>
      </c>
      <c r="D11" s="38"/>
      <c r="E11" s="168">
        <f>'1.1 Balance Sheet Raw'!M11</f>
        <v>935</v>
      </c>
      <c r="F11" s="168">
        <f>'1.1 Balance Sheet Raw'!N11</f>
        <v>1265</v>
      </c>
      <c r="G11" s="168">
        <f>'1.1 Balance Sheet Raw'!O11</f>
        <v>1908</v>
      </c>
      <c r="H11" s="168">
        <f>'1.1 Balance Sheet Raw'!P11</f>
        <v>2139</v>
      </c>
      <c r="I11" s="168">
        <f>'1.1 Balance Sheet Raw'!Q11</f>
        <v>2152</v>
      </c>
      <c r="J11" s="38"/>
      <c r="K11" s="38"/>
      <c r="L11" s="38"/>
      <c r="M11" s="38"/>
      <c r="N11" s="185"/>
    </row>
    <row r="12" spans="2:14" ht="16" thickBot="1">
      <c r="B12" s="40"/>
      <c r="C12" s="167" t="s">
        <v>39</v>
      </c>
      <c r="D12" s="40"/>
      <c r="E12" s="169">
        <f>SUM(E7:E11)</f>
        <v>4266</v>
      </c>
      <c r="F12" s="169">
        <f>SUM(F7:F11)</f>
        <v>5195</v>
      </c>
      <c r="G12" s="169">
        <f t="shared" ref="G12:I12" si="0">SUM(G7:G11)</f>
        <v>10682</v>
      </c>
      <c r="H12" s="169">
        <f t="shared" si="0"/>
        <v>8238</v>
      </c>
      <c r="I12" s="169">
        <f t="shared" si="0"/>
        <v>7663</v>
      </c>
      <c r="J12" s="40"/>
      <c r="K12" s="40"/>
      <c r="L12" s="40"/>
      <c r="M12" s="40"/>
      <c r="N12" s="186"/>
    </row>
    <row r="13" spans="2:14" ht="16" thickBot="1">
      <c r="B13" s="40"/>
      <c r="C13" s="187"/>
      <c r="D13" s="38"/>
      <c r="E13" s="170"/>
      <c r="F13" s="170"/>
      <c r="G13" s="170"/>
      <c r="H13" s="170"/>
      <c r="I13" s="170"/>
      <c r="J13" s="38"/>
      <c r="K13" s="38"/>
      <c r="L13" s="38"/>
      <c r="M13" s="38"/>
      <c r="N13" s="185"/>
    </row>
    <row r="14" spans="2:14" ht="16" thickBot="1">
      <c r="B14" s="40"/>
      <c r="C14" s="166" t="s">
        <v>40</v>
      </c>
      <c r="D14" s="38"/>
      <c r="E14" s="168">
        <f>'1.1 Balance Sheet Raw'!M14</f>
        <v>2400</v>
      </c>
      <c r="F14" s="168">
        <f>'1.1 Balance Sheet Raw'!N14</f>
        <v>2865</v>
      </c>
      <c r="G14" s="168">
        <f>'1.1 Balance Sheet Raw'!O14</f>
        <v>6825</v>
      </c>
      <c r="H14" s="168">
        <f>'1.1 Balance Sheet Raw'!P14</f>
        <v>4512</v>
      </c>
      <c r="I14" s="168">
        <f>'1.1 Balance Sheet Raw'!Q14</f>
        <v>4856</v>
      </c>
      <c r="J14" s="38"/>
      <c r="K14" s="38"/>
      <c r="L14" s="38"/>
      <c r="M14" s="38"/>
      <c r="N14" s="185"/>
    </row>
    <row r="15" spans="2:14" ht="16" thickBot="1">
      <c r="B15" s="40"/>
      <c r="C15" s="166" t="s">
        <v>41</v>
      </c>
      <c r="D15" s="38"/>
      <c r="E15" s="168">
        <f>'1.1 Balance Sheet Raw'!M59</f>
        <v>0</v>
      </c>
      <c r="F15" s="168">
        <f>'1.1 Balance Sheet Raw'!N59</f>
        <v>0</v>
      </c>
      <c r="G15" s="168">
        <f>'1.1 Balance Sheet Raw'!O59</f>
        <v>4402</v>
      </c>
      <c r="H15" s="168">
        <f>'1.1 Balance Sheet Raw'!P59</f>
        <v>1279</v>
      </c>
      <c r="I15" s="168">
        <f>'1.1 Balance Sheet Raw'!Q59</f>
        <v>1059</v>
      </c>
      <c r="J15" s="38"/>
      <c r="K15" s="38"/>
      <c r="L15" s="38"/>
      <c r="M15" s="38"/>
      <c r="N15" s="185"/>
    </row>
    <row r="16" spans="2:14" ht="16" thickBot="1">
      <c r="B16" s="40"/>
      <c r="C16" s="166" t="s">
        <v>48</v>
      </c>
      <c r="D16" s="38"/>
      <c r="E16" s="168">
        <f>'1.1 Balance Sheet Raw'!M17+'1.1 Balance Sheet Raw'!M13-'1.1 Balance Sheet Raw'!M59</f>
        <v>4108</v>
      </c>
      <c r="F16" s="168">
        <f>'1.1 Balance Sheet Raw'!N17+'1.1 Balance Sheet Raw'!N13-'1.1 Balance Sheet Raw'!N59</f>
        <v>8325</v>
      </c>
      <c r="G16" s="168">
        <f>'1.1 Balance Sheet Raw'!O17+'1.1 Balance Sheet Raw'!O13-'1.1 Balance Sheet Raw'!O59</f>
        <v>5285</v>
      </c>
      <c r="H16" s="168">
        <f>'1.1 Balance Sheet Raw'!P17+'1.1 Balance Sheet Raw'!P13-'1.1 Balance Sheet Raw'!P59</f>
        <v>8748</v>
      </c>
      <c r="I16" s="168">
        <f>'1.1 Balance Sheet Raw'!Q17+'1.1 Balance Sheet Raw'!Q13-'1.1 Balance Sheet Raw'!Q59</f>
        <v>8799</v>
      </c>
      <c r="J16" s="38"/>
      <c r="K16" s="38"/>
      <c r="L16" s="38"/>
      <c r="M16" s="38"/>
      <c r="N16" s="185"/>
    </row>
    <row r="17" spans="2:14" ht="16" thickBot="1">
      <c r="B17" s="40"/>
      <c r="C17" s="167" t="s">
        <v>42</v>
      </c>
      <c r="D17" s="40"/>
      <c r="E17" s="169">
        <f>SUM(E14:E16)</f>
        <v>6508</v>
      </c>
      <c r="F17" s="169">
        <f>SUM(F14:F16)</f>
        <v>11190</v>
      </c>
      <c r="G17" s="169">
        <f t="shared" ref="G17:I17" si="1">SUM(G14:G16)</f>
        <v>16512</v>
      </c>
      <c r="H17" s="169">
        <f t="shared" si="1"/>
        <v>14539</v>
      </c>
      <c r="I17" s="169">
        <f t="shared" si="1"/>
        <v>14714</v>
      </c>
      <c r="J17" s="40"/>
      <c r="K17" s="40"/>
      <c r="L17" s="40"/>
      <c r="M17" s="40"/>
      <c r="N17" s="186"/>
    </row>
    <row r="18" spans="2:14" ht="16" thickBot="1">
      <c r="B18" s="40"/>
      <c r="C18" s="188"/>
      <c r="D18" s="40"/>
      <c r="E18" s="169"/>
      <c r="F18" s="169"/>
      <c r="G18" s="169"/>
      <c r="H18" s="169"/>
      <c r="I18" s="169"/>
      <c r="J18" s="40"/>
      <c r="K18" s="40"/>
      <c r="L18" s="40"/>
      <c r="M18" s="40"/>
      <c r="N18" s="186"/>
    </row>
    <row r="19" spans="2:14" ht="16" thickBot="1">
      <c r="B19" s="38"/>
      <c r="C19" s="166" t="s">
        <v>52</v>
      </c>
      <c r="D19" s="38"/>
      <c r="E19" s="170">
        <v>0</v>
      </c>
      <c r="F19" s="170">
        <v>0</v>
      </c>
      <c r="G19" s="170">
        <v>0</v>
      </c>
      <c r="H19" s="170">
        <v>0</v>
      </c>
      <c r="I19" s="170">
        <v>0</v>
      </c>
      <c r="J19" s="38"/>
      <c r="K19" s="38"/>
      <c r="L19" s="38"/>
      <c r="M19" s="38"/>
      <c r="N19" s="185"/>
    </row>
    <row r="20" spans="2:14" ht="16" thickBot="1">
      <c r="B20" s="40"/>
      <c r="C20" s="167" t="s">
        <v>43</v>
      </c>
      <c r="D20" s="165"/>
      <c r="E20" s="169">
        <f t="shared" ref="E20:H20" si="2">E12+E17+E19</f>
        <v>10774</v>
      </c>
      <c r="F20" s="169">
        <f t="shared" si="2"/>
        <v>16385</v>
      </c>
      <c r="G20" s="169">
        <f t="shared" si="2"/>
        <v>27194</v>
      </c>
      <c r="H20" s="169">
        <f t="shared" si="2"/>
        <v>22777</v>
      </c>
      <c r="I20" s="169">
        <f>I12+I17+I19</f>
        <v>22377</v>
      </c>
      <c r="J20" s="181"/>
      <c r="K20" s="182"/>
      <c r="L20" s="182"/>
      <c r="M20" s="182"/>
      <c r="N20" s="183"/>
    </row>
    <row r="21" spans="2:14" ht="16" thickBot="1">
      <c r="B21" s="40"/>
      <c r="C21" s="184"/>
      <c r="D21" s="38"/>
      <c r="E21" s="38"/>
      <c r="F21" s="148"/>
      <c r="G21" s="148"/>
      <c r="H21" s="148"/>
      <c r="I21" s="148"/>
      <c r="J21" s="38"/>
      <c r="K21" s="38"/>
      <c r="L21" s="38"/>
      <c r="M21" s="38"/>
      <c r="N21" s="185"/>
    </row>
    <row r="22" spans="2:14" ht="17" thickBot="1">
      <c r="B22" s="139"/>
      <c r="C22" s="177" t="s">
        <v>44</v>
      </c>
      <c r="D22" s="178"/>
      <c r="E22" s="178"/>
      <c r="F22" s="179"/>
      <c r="G22" s="179"/>
      <c r="H22" s="179"/>
      <c r="I22" s="179"/>
      <c r="J22" s="179"/>
      <c r="K22" s="179"/>
      <c r="L22" s="179"/>
      <c r="M22" s="179"/>
      <c r="N22" s="180"/>
    </row>
    <row r="23" spans="2:14" ht="16" thickBot="1">
      <c r="B23" s="40"/>
      <c r="C23" s="184"/>
      <c r="D23" s="38"/>
      <c r="E23" s="38"/>
      <c r="F23" s="148"/>
      <c r="G23" s="148"/>
      <c r="H23" s="148"/>
      <c r="I23" s="148"/>
      <c r="J23" s="38"/>
      <c r="K23" s="38"/>
      <c r="L23" s="38"/>
      <c r="M23" s="38"/>
      <c r="N23" s="185"/>
    </row>
    <row r="24" spans="2:14" ht="16" thickBot="1">
      <c r="B24" s="40"/>
      <c r="C24" s="166" t="s">
        <v>2</v>
      </c>
      <c r="D24" s="38"/>
      <c r="E24" s="168">
        <f>'1.1 Balance Sheet Raw'!M22</f>
        <v>480</v>
      </c>
      <c r="F24" s="168">
        <f>'1.1 Balance Sheet Raw'!N22</f>
        <v>823</v>
      </c>
      <c r="G24" s="168">
        <f>'1.1 Balance Sheet Raw'!O22</f>
        <v>1272</v>
      </c>
      <c r="H24" s="168">
        <f>'1.1 Balance Sheet Raw'!P22</f>
        <v>836</v>
      </c>
      <c r="I24" s="168">
        <f>'1.1 Balance Sheet Raw'!Q22</f>
        <v>1048</v>
      </c>
      <c r="J24" s="38"/>
      <c r="K24" s="38"/>
      <c r="L24" s="38"/>
      <c r="M24" s="38"/>
      <c r="N24" s="185"/>
    </row>
    <row r="25" spans="2:14" ht="16" thickBot="1">
      <c r="B25" s="40"/>
      <c r="C25" s="166" t="s">
        <v>4</v>
      </c>
      <c r="D25" s="38"/>
      <c r="E25" s="168">
        <f>'1.1 Balance Sheet Raw'!M23</f>
        <v>1726</v>
      </c>
      <c r="F25" s="168">
        <f>'1.1 Balance Sheet Raw'!N23</f>
        <v>1069</v>
      </c>
      <c r="G25" s="168">
        <f>'1.1 Balance Sheet Raw'!O23</f>
        <v>1992</v>
      </c>
      <c r="H25" s="168">
        <f>'1.1 Balance Sheet Raw'!P23</f>
        <v>675</v>
      </c>
      <c r="I25" s="168">
        <f>'1.1 Balance Sheet Raw'!Q23</f>
        <v>470</v>
      </c>
      <c r="J25" s="38"/>
      <c r="K25" s="38"/>
      <c r="L25" s="38"/>
      <c r="M25" s="38"/>
      <c r="N25" s="185"/>
    </row>
    <row r="26" spans="2:14" ht="16" thickBot="1">
      <c r="B26" s="40"/>
      <c r="C26" s="166" t="s">
        <v>3</v>
      </c>
      <c r="D26" s="38"/>
      <c r="E26" s="168">
        <f>'1.1 Balance Sheet Raw'!M24</f>
        <v>1333</v>
      </c>
      <c r="F26" s="168">
        <f>'1.1 Balance Sheet Raw'!N24</f>
        <v>1888</v>
      </c>
      <c r="G26" s="168">
        <f>'1.1 Balance Sheet Raw'!O24</f>
        <v>3910</v>
      </c>
      <c r="H26" s="168">
        <f>'1.1 Balance Sheet Raw'!P24</f>
        <v>3555</v>
      </c>
      <c r="I26" s="168">
        <f>'1.1 Balance Sheet Raw'!Q24</f>
        <v>3471</v>
      </c>
      <c r="J26" s="38"/>
      <c r="K26" s="38"/>
      <c r="L26" s="38"/>
      <c r="M26" s="38"/>
      <c r="N26" s="185"/>
    </row>
    <row r="27" spans="2:14" ht="16" thickBot="1">
      <c r="B27" s="40"/>
      <c r="C27" s="167" t="s">
        <v>49</v>
      </c>
      <c r="D27" s="38"/>
      <c r="E27" s="168">
        <f>SUM(E24:E26)</f>
        <v>3539</v>
      </c>
      <c r="F27" s="168">
        <f>SUM(F24:F26)</f>
        <v>3780</v>
      </c>
      <c r="G27" s="168">
        <f t="shared" ref="G27:I27" si="3">SUM(G24:G26)</f>
        <v>7174</v>
      </c>
      <c r="H27" s="168">
        <f t="shared" si="3"/>
        <v>5066</v>
      </c>
      <c r="I27" s="168">
        <f t="shared" si="3"/>
        <v>4989</v>
      </c>
      <c r="J27" s="38"/>
      <c r="K27" s="38"/>
      <c r="L27" s="38"/>
      <c r="M27" s="38"/>
      <c r="N27" s="185"/>
    </row>
    <row r="28" spans="2:14" ht="16" thickBot="1">
      <c r="B28" s="40"/>
      <c r="C28" s="187"/>
      <c r="D28" s="38"/>
      <c r="E28" s="189"/>
      <c r="F28" s="189"/>
      <c r="G28" s="189"/>
      <c r="H28" s="190"/>
      <c r="I28" s="190"/>
      <c r="J28" s="38"/>
      <c r="K28" s="38"/>
      <c r="L28" s="38"/>
      <c r="M28" s="38"/>
      <c r="N28" s="185"/>
    </row>
    <row r="29" spans="2:14" ht="16" thickBot="1">
      <c r="B29" s="40"/>
      <c r="C29" s="166" t="s">
        <v>1</v>
      </c>
      <c r="D29" s="38"/>
      <c r="E29" s="168">
        <f>'1.1 Balance Sheet Raw'!M26</f>
        <v>1979</v>
      </c>
      <c r="F29" s="168">
        <f>'1.1 Balance Sheet Raw'!N26</f>
        <v>6259</v>
      </c>
      <c r="G29" s="168">
        <f>'1.1 Balance Sheet Raw'!O26</f>
        <v>6236</v>
      </c>
      <c r="H29" s="168">
        <f>'1.1 Balance Sheet Raw'!P26</f>
        <v>3624</v>
      </c>
      <c r="I29" s="168">
        <f>'1.1 Balance Sheet Raw'!Q26</f>
        <v>2612</v>
      </c>
      <c r="J29" s="38"/>
      <c r="K29" s="38"/>
      <c r="L29" s="38"/>
      <c r="M29" s="38"/>
      <c r="N29" s="185"/>
    </row>
    <row r="30" spans="2:14" ht="16" thickBot="1">
      <c r="B30" s="40"/>
      <c r="C30" s="166" t="s">
        <v>53</v>
      </c>
      <c r="D30" s="38"/>
      <c r="E30" s="168">
        <f>'1.1 Balance Sheet Raw'!M27</f>
        <v>1152</v>
      </c>
      <c r="F30" s="168">
        <f>'1.1 Balance Sheet Raw'!N27</f>
        <v>1360</v>
      </c>
      <c r="G30" s="168">
        <f>'1.1 Balance Sheet Raw'!O27</f>
        <v>2873</v>
      </c>
      <c r="H30" s="168">
        <f>'1.1 Balance Sheet Raw'!P27</f>
        <v>2166</v>
      </c>
      <c r="I30" s="168">
        <f>'1.1 Balance Sheet Raw'!Q27</f>
        <v>2386</v>
      </c>
      <c r="J30" s="38"/>
      <c r="K30" s="38"/>
      <c r="L30" s="38"/>
      <c r="M30" s="38"/>
      <c r="N30" s="185"/>
    </row>
    <row r="31" spans="2:14" ht="16" thickBot="1">
      <c r="B31" s="40"/>
      <c r="C31" s="167" t="s">
        <v>45</v>
      </c>
      <c r="D31" s="40"/>
      <c r="E31" s="169">
        <f>E27+SUM(E29:E30)</f>
        <v>6670</v>
      </c>
      <c r="F31" s="169">
        <f>F27+SUM(F29:F30)</f>
        <v>11399</v>
      </c>
      <c r="G31" s="169">
        <f>G27+SUM(G29:G30)</f>
        <v>16283</v>
      </c>
      <c r="H31" s="169">
        <f>H27+SUM(H29:H30)</f>
        <v>10856</v>
      </c>
      <c r="I31" s="169">
        <f>I27+SUM(I29:I30)</f>
        <v>9987</v>
      </c>
      <c r="J31" s="40"/>
      <c r="K31" s="40"/>
      <c r="L31" s="40"/>
      <c r="M31" s="40"/>
      <c r="N31" s="186"/>
    </row>
    <row r="32" spans="2:14" ht="16" thickBot="1">
      <c r="B32" s="40"/>
      <c r="C32" s="187"/>
      <c r="D32" s="38"/>
      <c r="E32" s="190"/>
      <c r="F32" s="190"/>
      <c r="G32" s="190"/>
      <c r="H32" s="190"/>
      <c r="I32" s="190"/>
      <c r="J32" s="38"/>
      <c r="K32" s="38"/>
      <c r="L32" s="38"/>
      <c r="M32" s="38"/>
      <c r="N32" s="185"/>
    </row>
    <row r="33" spans="2:14" ht="16" thickBot="1">
      <c r="B33" s="40"/>
      <c r="C33" s="166" t="s">
        <v>50</v>
      </c>
      <c r="D33" s="38"/>
      <c r="E33" s="168">
        <f>'1.1 Balance Sheet Raw'!M34</f>
        <v>4104</v>
      </c>
      <c r="F33" s="168">
        <f>'1.1 Balance Sheet Raw'!N34</f>
        <v>4986</v>
      </c>
      <c r="G33" s="168">
        <f>'1.1 Balance Sheet Raw'!O34</f>
        <v>10911</v>
      </c>
      <c r="H33" s="168">
        <f>'1.1 Balance Sheet Raw'!P34</f>
        <v>11921</v>
      </c>
      <c r="I33" s="168">
        <f>'1.1 Balance Sheet Raw'!Q34</f>
        <v>12390</v>
      </c>
      <c r="J33" s="38"/>
      <c r="K33" s="38"/>
      <c r="L33" s="38"/>
      <c r="M33" s="38"/>
      <c r="N33" s="185"/>
    </row>
    <row r="34" spans="2:14" ht="16" thickBot="1">
      <c r="B34" s="40"/>
      <c r="C34" s="166" t="s">
        <v>51</v>
      </c>
      <c r="D34" s="38"/>
      <c r="E34" s="168">
        <v>0</v>
      </c>
      <c r="F34" s="168">
        <v>0</v>
      </c>
      <c r="G34" s="168">
        <v>0</v>
      </c>
      <c r="H34" s="170">
        <v>0</v>
      </c>
      <c r="I34" s="170">
        <v>0</v>
      </c>
      <c r="J34" s="38"/>
      <c r="K34" s="38"/>
      <c r="L34" s="38"/>
      <c r="M34" s="38"/>
      <c r="N34" s="185"/>
    </row>
    <row r="35" spans="2:14" ht="16" thickBot="1">
      <c r="B35" s="40"/>
      <c r="C35" s="167" t="s">
        <v>0</v>
      </c>
      <c r="D35" s="40"/>
      <c r="E35" s="169">
        <f>SUM(E33:E34)</f>
        <v>4104</v>
      </c>
      <c r="F35" s="169">
        <f>SUM(F33:F34)</f>
        <v>4986</v>
      </c>
      <c r="G35" s="169">
        <f t="shared" ref="G35:H35" si="4">SUM(G33:G34)</f>
        <v>10911</v>
      </c>
      <c r="H35" s="169">
        <f t="shared" si="4"/>
        <v>11921</v>
      </c>
      <c r="I35" s="169">
        <f>SUM(I33:I34)</f>
        <v>12390</v>
      </c>
      <c r="J35" s="40"/>
      <c r="K35" s="40"/>
      <c r="L35" s="40"/>
      <c r="M35" s="40"/>
      <c r="N35" s="186"/>
    </row>
    <row r="36" spans="2:14" ht="16" thickBot="1">
      <c r="B36" s="40"/>
      <c r="C36" s="188"/>
      <c r="D36" s="40"/>
      <c r="E36" s="191"/>
      <c r="F36" s="191"/>
      <c r="G36" s="191"/>
      <c r="H36" s="191"/>
      <c r="I36" s="191"/>
      <c r="J36" s="40"/>
      <c r="K36" s="40"/>
      <c r="L36" s="40"/>
      <c r="M36" s="40"/>
      <c r="N36" s="186"/>
    </row>
    <row r="37" spans="2:14" ht="16" thickBot="1">
      <c r="B37" s="38"/>
      <c r="C37" s="166" t="s">
        <v>5</v>
      </c>
      <c r="D37" s="38"/>
      <c r="E37" s="170">
        <v>0</v>
      </c>
      <c r="F37" s="170">
        <v>0</v>
      </c>
      <c r="G37" s="210">
        <v>0</v>
      </c>
      <c r="H37" s="210">
        <v>0</v>
      </c>
      <c r="I37" s="211">
        <v>0</v>
      </c>
      <c r="J37" s="38"/>
      <c r="K37" s="38"/>
      <c r="L37" s="38"/>
      <c r="M37" s="38"/>
      <c r="N37" s="185"/>
    </row>
    <row r="38" spans="2:14" ht="16" thickBot="1">
      <c r="B38" s="40"/>
      <c r="C38" s="167" t="s">
        <v>46</v>
      </c>
      <c r="D38" s="165"/>
      <c r="E38" s="169">
        <f t="shared" ref="E38:H38" si="5">E31+E35+E37</f>
        <v>10774</v>
      </c>
      <c r="F38" s="169">
        <f t="shared" si="5"/>
        <v>16385</v>
      </c>
      <c r="G38" s="169">
        <f t="shared" si="5"/>
        <v>27194</v>
      </c>
      <c r="H38" s="169">
        <f t="shared" si="5"/>
        <v>22777</v>
      </c>
      <c r="I38" s="169">
        <f>I31+I35+I37</f>
        <v>22377</v>
      </c>
      <c r="J38" s="181"/>
      <c r="K38" s="182"/>
      <c r="L38" s="182"/>
      <c r="M38" s="182"/>
      <c r="N38" s="183"/>
    </row>
    <row r="39" spans="2:14" ht="16" thickBot="1">
      <c r="B39" s="149"/>
      <c r="C39" s="207" t="s">
        <v>47</v>
      </c>
      <c r="D39" s="149"/>
      <c r="E39" s="212" t="str">
        <f>IF(ROUND(E38-E20,1)=0,"ok!",E38-E20)</f>
        <v>ok!</v>
      </c>
      <c r="F39" s="212" t="str">
        <f>IF(ROUND(F38-F20,1)=0,"ok!",F38-F20)</f>
        <v>ok!</v>
      </c>
      <c r="G39" s="212" t="str">
        <f>IF(ROUND(G38-G20,1)=0,"ok!",G38-G20)</f>
        <v>ok!</v>
      </c>
      <c r="H39" s="213" t="str">
        <f>IF(ROUND(H38-H20,1)=0,"ok!",H38-H20)</f>
        <v>ok!</v>
      </c>
      <c r="I39" s="212" t="str">
        <f>IF(ROUND(I38-I20,1)=0,"ok!",I38-I20)</f>
        <v>ok!</v>
      </c>
      <c r="J39" s="214"/>
      <c r="K39" s="214"/>
      <c r="L39" s="214"/>
      <c r="M39" s="214"/>
      <c r="N39" s="215"/>
    </row>
    <row r="40" spans="2:14">
      <c r="B40" s="40"/>
      <c r="C40" s="184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185"/>
    </row>
    <row r="41" spans="2:14" ht="16" thickBot="1">
      <c r="C41" s="208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209"/>
    </row>
    <row r="42" spans="2:14" ht="16" thickBot="1">
      <c r="C42" s="199" t="s">
        <v>64</v>
      </c>
      <c r="D42" s="200">
        <v>1996</v>
      </c>
      <c r="E42" s="200">
        <v>1997</v>
      </c>
      <c r="F42" s="200">
        <v>1998</v>
      </c>
      <c r="G42" s="200">
        <v>1999</v>
      </c>
      <c r="H42" s="200">
        <v>2000</v>
      </c>
      <c r="I42" s="200">
        <v>2001</v>
      </c>
      <c r="J42" s="201">
        <v>2002</v>
      </c>
      <c r="K42" s="201">
        <v>2003</v>
      </c>
      <c r="L42" s="201">
        <v>2004</v>
      </c>
      <c r="M42" s="201">
        <v>2005</v>
      </c>
      <c r="N42" s="202">
        <v>2006</v>
      </c>
    </row>
    <row r="43" spans="2:14" ht="16" thickBot="1">
      <c r="C43" s="204" t="s">
        <v>39</v>
      </c>
      <c r="D43" s="168">
        <f>'1.1 Balance Sheet Raw'!L12</f>
        <v>4340</v>
      </c>
      <c r="E43" s="168">
        <f>E12</f>
        <v>4266</v>
      </c>
      <c r="F43" s="168">
        <f>F12</f>
        <v>5195</v>
      </c>
      <c r="G43" s="168">
        <f>G12</f>
        <v>10682</v>
      </c>
      <c r="H43" s="168">
        <f>H12</f>
        <v>8238</v>
      </c>
      <c r="I43" s="168">
        <f>I12</f>
        <v>7663</v>
      </c>
      <c r="J43" s="168"/>
      <c r="K43" s="168"/>
      <c r="L43" s="168"/>
      <c r="M43" s="168"/>
      <c r="N43" s="168"/>
    </row>
    <row r="44" spans="2:14" ht="16" thickBot="1">
      <c r="C44" s="204" t="s">
        <v>61</v>
      </c>
      <c r="D44" s="168">
        <f>'1.1 Balance Sheet Raw'!L7</f>
        <v>166</v>
      </c>
      <c r="E44" s="168">
        <f>E7</f>
        <v>134</v>
      </c>
      <c r="F44" s="168">
        <f>F7</f>
        <v>89</v>
      </c>
      <c r="G44" s="168">
        <f>G7</f>
        <v>1600</v>
      </c>
      <c r="H44" s="168">
        <f>H7</f>
        <v>2035</v>
      </c>
      <c r="I44" s="168">
        <f>I7</f>
        <v>1276</v>
      </c>
      <c r="J44" s="168"/>
      <c r="K44" s="168"/>
      <c r="L44" s="168"/>
      <c r="M44" s="168"/>
      <c r="N44" s="168"/>
    </row>
    <row r="45" spans="2:14" ht="16" thickBot="1">
      <c r="C45" s="204" t="s">
        <v>62</v>
      </c>
      <c r="D45" s="168">
        <f>'1.1 Balance Sheet Raw'!L25</f>
        <v>3401</v>
      </c>
      <c r="E45" s="168">
        <f>E27</f>
        <v>3539</v>
      </c>
      <c r="F45" s="168">
        <f>F27</f>
        <v>3780</v>
      </c>
      <c r="G45" s="168">
        <f>G27</f>
        <v>7174</v>
      </c>
      <c r="H45" s="168">
        <f>H27</f>
        <v>5066</v>
      </c>
      <c r="I45" s="168">
        <f>I27</f>
        <v>4989</v>
      </c>
      <c r="J45" s="168"/>
      <c r="K45" s="168"/>
      <c r="L45" s="168"/>
      <c r="M45" s="168"/>
      <c r="N45" s="168"/>
    </row>
    <row r="46" spans="2:14" ht="16" thickBot="1">
      <c r="C46" s="205" t="s">
        <v>233</v>
      </c>
      <c r="D46" s="168">
        <f>'1.1 Balance Sheet Raw'!L23</f>
        <v>654</v>
      </c>
      <c r="E46" s="168">
        <f>E25</f>
        <v>1726</v>
      </c>
      <c r="F46" s="168">
        <f>F25</f>
        <v>1069</v>
      </c>
      <c r="G46" s="168">
        <f>G25</f>
        <v>1992</v>
      </c>
      <c r="H46" s="168">
        <f>H25</f>
        <v>675</v>
      </c>
      <c r="I46" s="168">
        <f>I25</f>
        <v>470</v>
      </c>
      <c r="J46" s="168"/>
      <c r="K46" s="168"/>
      <c r="L46" s="168"/>
      <c r="M46" s="168"/>
      <c r="N46" s="168"/>
    </row>
    <row r="47" spans="2:14" ht="16" thickBot="1">
      <c r="C47" s="203" t="s">
        <v>63</v>
      </c>
      <c r="D47" s="168">
        <f t="shared" ref="D47:I47" si="6">D43-D44-D45+D46</f>
        <v>1427</v>
      </c>
      <c r="E47" s="168">
        <f t="shared" si="6"/>
        <v>2319</v>
      </c>
      <c r="F47" s="168">
        <f t="shared" si="6"/>
        <v>2395</v>
      </c>
      <c r="G47" s="168">
        <f t="shared" si="6"/>
        <v>3900</v>
      </c>
      <c r="H47" s="168">
        <f t="shared" si="6"/>
        <v>1812</v>
      </c>
      <c r="I47" s="168">
        <f t="shared" si="6"/>
        <v>1868</v>
      </c>
      <c r="J47" s="168">
        <f>'3.1 Assumption'!J18*'3.3 Income Statement'!J7</f>
        <v>3068.5491609279275</v>
      </c>
      <c r="K47" s="168">
        <f>'3.1 Assumption'!K18*'3.3 Income Statement'!K7</f>
        <v>3215.5326657363753</v>
      </c>
      <c r="L47" s="168">
        <f>'3.1 Assumption'!L18*'3.3 Income Statement'!L7</f>
        <v>3369.5566804251475</v>
      </c>
      <c r="M47" s="168">
        <f>'3.1 Assumption'!M18*'3.3 Income Statement'!M7</f>
        <v>3530.9584454175124</v>
      </c>
      <c r="N47" s="168">
        <f>'3.1 Assumption'!N18*'3.3 Income Statement'!N7</f>
        <v>3700.0913549530119</v>
      </c>
    </row>
    <row r="48" spans="2:14" ht="16" thickBot="1">
      <c r="C48" s="206"/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8"/>
    </row>
    <row r="49" spans="3:14" ht="16" thickBot="1">
      <c r="C49" s="203" t="s">
        <v>232</v>
      </c>
      <c r="D49" s="168"/>
      <c r="E49" s="168">
        <f>E47-D47</f>
        <v>892</v>
      </c>
      <c r="F49" s="168">
        <f>F47-E47</f>
        <v>76</v>
      </c>
      <c r="G49" s="168">
        <f t="shared" ref="G49:N49" si="7">G47-F47</f>
        <v>1505</v>
      </c>
      <c r="H49" s="168">
        <f t="shared" si="7"/>
        <v>-2088</v>
      </c>
      <c r="I49" s="168">
        <f t="shared" si="7"/>
        <v>56</v>
      </c>
      <c r="J49" s="168">
        <f>J47-I47</f>
        <v>1200.5491609279275</v>
      </c>
      <c r="K49" s="168">
        <f t="shared" si="7"/>
        <v>146.98350480844783</v>
      </c>
      <c r="L49" s="168">
        <f t="shared" si="7"/>
        <v>154.02401468877224</v>
      </c>
      <c r="M49" s="168">
        <f t="shared" si="7"/>
        <v>161.40176499236486</v>
      </c>
      <c r="N49" s="168">
        <f t="shared" si="7"/>
        <v>169.13290953549949</v>
      </c>
    </row>
  </sheetData>
  <phoneticPr fontId="17" type="noConversion"/>
  <conditionalFormatting sqref="E39:N39">
    <cfRule type="cellIs" dxfId="2" priority="1" stopIfTrue="1" operator="notEqual">
      <formula>"ok!"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0.39997558519241921"/>
  </sheetPr>
  <dimension ref="B1:O19"/>
  <sheetViews>
    <sheetView showGridLines="0" zoomScale="85" zoomScaleNormal="85" workbookViewId="0">
      <selection activeCell="B8" sqref="B8"/>
    </sheetView>
  </sheetViews>
  <sheetFormatPr baseColWidth="10" defaultColWidth="10.83203125" defaultRowHeight="15"/>
  <cols>
    <col min="1" max="1" width="22.1640625" style="37" customWidth="1"/>
    <col min="2" max="3" width="10.83203125" style="37"/>
    <col min="4" max="4" width="17" style="37" customWidth="1"/>
    <col min="5" max="16384" width="10.83203125" style="37"/>
  </cols>
  <sheetData>
    <row r="1" spans="2:15">
      <c r="B1" s="70" t="s">
        <v>302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2" spans="2:15" ht="19">
      <c r="B2" s="72" t="s">
        <v>25</v>
      </c>
      <c r="C2" s="73"/>
      <c r="D2" s="73"/>
      <c r="E2" s="74" t="s">
        <v>26</v>
      </c>
      <c r="F2" s="74"/>
      <c r="G2" s="74"/>
      <c r="H2" s="74" t="s">
        <v>27</v>
      </c>
      <c r="I2" s="74"/>
      <c r="J2" s="75"/>
      <c r="K2" s="75"/>
      <c r="L2" s="75"/>
      <c r="M2" s="75"/>
      <c r="N2" s="74"/>
      <c r="O2" s="50"/>
    </row>
    <row r="3" spans="2:15">
      <c r="B3" s="76" t="s">
        <v>731</v>
      </c>
      <c r="C3" s="77"/>
      <c r="D3" s="77"/>
      <c r="E3" s="78">
        <v>1997</v>
      </c>
      <c r="F3" s="78">
        <v>1998</v>
      </c>
      <c r="G3" s="78">
        <v>1999</v>
      </c>
      <c r="H3" s="78">
        <v>2000</v>
      </c>
      <c r="I3" s="78">
        <v>2001</v>
      </c>
      <c r="J3" s="77">
        <v>2002</v>
      </c>
      <c r="K3" s="77">
        <v>2003</v>
      </c>
      <c r="L3" s="77">
        <v>2004</v>
      </c>
      <c r="M3" s="77">
        <v>2005</v>
      </c>
      <c r="N3" s="77">
        <v>2006</v>
      </c>
    </row>
    <row r="4" spans="2:15" ht="16" thickBot="1">
      <c r="B4" s="40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</row>
    <row r="5" spans="2:15" ht="17" thickBot="1">
      <c r="B5" s="139"/>
      <c r="C5" s="177" t="s">
        <v>25</v>
      </c>
      <c r="D5" s="178"/>
      <c r="E5" s="179"/>
      <c r="F5" s="179"/>
      <c r="G5" s="179"/>
      <c r="H5" s="179"/>
      <c r="I5" s="179"/>
      <c r="J5" s="179"/>
      <c r="K5" s="179"/>
      <c r="L5" s="179"/>
      <c r="M5" s="179"/>
      <c r="N5" s="180"/>
    </row>
    <row r="6" spans="2:15" ht="16" thickBot="1">
      <c r="B6" s="40"/>
      <c r="C6" s="216"/>
      <c r="D6" s="235"/>
      <c r="E6" s="235"/>
      <c r="F6" s="235"/>
      <c r="G6" s="235"/>
      <c r="H6" s="235"/>
      <c r="I6" s="235"/>
      <c r="J6" s="235"/>
      <c r="K6" s="235"/>
      <c r="L6" s="235"/>
      <c r="M6" s="235"/>
      <c r="N6" s="217"/>
    </row>
    <row r="7" spans="2:15" ht="16" thickBot="1">
      <c r="B7" s="40"/>
      <c r="C7" s="218" t="s">
        <v>28</v>
      </c>
      <c r="D7" s="219"/>
      <c r="E7" s="224">
        <f>'1.2 Income Statement Raw'!M6</f>
        <v>7514</v>
      </c>
      <c r="F7" s="224">
        <f>'1.2 Income Statement Raw'!N6</f>
        <v>7237</v>
      </c>
      <c r="G7" s="224">
        <f>'1.2 Income Statement Raw'!O6</f>
        <v>16425</v>
      </c>
      <c r="H7" s="224">
        <f>'1.2 Income Statement Raw'!P6</f>
        <v>12651</v>
      </c>
      <c r="I7" s="224">
        <f>'1.2 Income Statement Raw'!Q6</f>
        <v>13835</v>
      </c>
      <c r="J7" s="225">
        <f>I7*(1+'3.1 Assumption'!J11)</f>
        <v>14497.6965</v>
      </c>
      <c r="K7" s="225">
        <f>J7*(1+'3.1 Assumption'!K11)</f>
        <v>15192.136162350002</v>
      </c>
      <c r="L7" s="225">
        <f>K7*(1+'3.1 Assumption'!L11)</f>
        <v>15919.839484526567</v>
      </c>
      <c r="M7" s="225">
        <f>L7*(1+'3.1 Assumption'!M11)</f>
        <v>16682.39979583539</v>
      </c>
      <c r="N7" s="226">
        <f>M7*(1+'3.1 Assumption'!N11)</f>
        <v>17481.486746055907</v>
      </c>
      <c r="O7" s="140"/>
    </row>
    <row r="8" spans="2:15" ht="16" thickBot="1">
      <c r="B8" s="40"/>
      <c r="C8" s="218" t="s">
        <v>33</v>
      </c>
      <c r="D8" s="219"/>
      <c r="E8" s="224">
        <f>-'1.2 Income Statement Raw'!M7</f>
        <v>-3091</v>
      </c>
      <c r="F8" s="224">
        <f>-'1.2 Income Statement Raw'!N7</f>
        <v>-2912</v>
      </c>
      <c r="G8" s="224">
        <f>-'1.2 Income Statement Raw'!O7</f>
        <v>-5319</v>
      </c>
      <c r="H8" s="224">
        <f>-'1.2 Income Statement Raw'!P7</f>
        <v>-2886</v>
      </c>
      <c r="I8" s="224">
        <f>-'1.2 Income Statement Raw'!Q7</f>
        <v>-2978</v>
      </c>
      <c r="J8" s="225">
        <f>-J$7*'3.1 Assumption'!J12</f>
        <v>-2123.9125372499993</v>
      </c>
      <c r="K8" s="225">
        <f>-K$7*'3.1 Assumption'!K12</f>
        <v>-1365.7730409952649</v>
      </c>
      <c r="L8" s="225">
        <f>-L$7*'3.1 Assumption'!L12</f>
        <v>-1431.193569658938</v>
      </c>
      <c r="M8" s="225">
        <f>-M$7*'3.1 Assumption'!M12</f>
        <v>-1499.7477416456013</v>
      </c>
      <c r="N8" s="226">
        <f>-N$7*'3.1 Assumption'!N12</f>
        <v>-1571.5856584704256</v>
      </c>
      <c r="O8" s="38"/>
    </row>
    <row r="9" spans="2:15" ht="16" thickBot="1">
      <c r="B9" s="40"/>
      <c r="C9" s="218" t="s">
        <v>526</v>
      </c>
      <c r="D9" s="219"/>
      <c r="E9" s="224">
        <f>-('1.2 Income Statement Raw'!M9-'1.2 Income Statement Raw'!M49-'1.3 Cash Flow - Standardized'!M8)</f>
        <v>-1709</v>
      </c>
      <c r="F9" s="224">
        <f>-('1.2 Income Statement Raw'!N9-'1.2 Income Statement Raw'!N49-'1.3 Cash Flow - Standardized'!N8)</f>
        <v>-1967</v>
      </c>
      <c r="G9" s="224">
        <f>-('1.2 Income Statement Raw'!O9-'1.2 Income Statement Raw'!O49-'1.3 Cash Flow - Standardized'!O8)</f>
        <v>-4977</v>
      </c>
      <c r="H9" s="224">
        <f>-('1.2 Income Statement Raw'!P9-'1.2 Income Statement Raw'!P49-'1.3 Cash Flow - Standardized'!P8)</f>
        <v>-4968</v>
      </c>
      <c r="I9" s="224">
        <f>-('1.2 Income Statement Raw'!Q9-'1.2 Income Statement Raw'!Q49-'1.3 Cash Flow - Standardized'!Q8)</f>
        <v>-5492</v>
      </c>
      <c r="J9" s="225">
        <f>-J$7*'3.1 Assumption'!J13</f>
        <v>-4615.8170998282949</v>
      </c>
      <c r="K9" s="225">
        <f>-K$7*'3.1 Assumption'!K13</f>
        <v>-4836.9147389100708</v>
      </c>
      <c r="L9" s="225">
        <f>-L$7*'3.1 Assumption'!L13</f>
        <v>-5068.6029549038631</v>
      </c>
      <c r="M9" s="225">
        <f>-M$7*'3.1 Assumption'!M13</f>
        <v>-5311.3890364437584</v>
      </c>
      <c r="N9" s="226">
        <f>-N$7*'3.1 Assumption'!N13</f>
        <v>-5565.8045712894154</v>
      </c>
      <c r="O9" s="38"/>
    </row>
    <row r="10" spans="2:15" ht="16" thickBot="1">
      <c r="B10" s="40"/>
      <c r="C10" s="218" t="s">
        <v>34</v>
      </c>
      <c r="D10" s="219"/>
      <c r="E10" s="224">
        <f>-'1.2 Income Statement Raw'!M49</f>
        <v>-1044</v>
      </c>
      <c r="F10" s="224">
        <f>-'1.2 Income Statement Raw'!N49</f>
        <v>-1238</v>
      </c>
      <c r="G10" s="224">
        <f>-'1.2 Income Statement Raw'!O49</f>
        <v>-2815</v>
      </c>
      <c r="H10" s="224">
        <f>-'1.2 Income Statement Raw'!P49</f>
        <v>-2165</v>
      </c>
      <c r="I10" s="224">
        <f>-'1.2 Income Statement Raw'!Q49</f>
        <v>-2263</v>
      </c>
      <c r="J10" s="225">
        <f>-J$7*'3.1 Assumption'!J14</f>
        <v>-2366.2979515641073</v>
      </c>
      <c r="K10" s="225">
        <f>-K$7*'3.1 Assumption'!K14</f>
        <v>-2479.6436234440284</v>
      </c>
      <c r="L10" s="225">
        <f>-L$7*'3.1 Assumption'!L14</f>
        <v>-2598.4185530069976</v>
      </c>
      <c r="M10" s="225">
        <f>-M$7*'3.1 Assumption'!M14</f>
        <v>-2722.8828016960329</v>
      </c>
      <c r="N10" s="226">
        <f>-N$7*'3.1 Assumption'!N14</f>
        <v>-2853.3088878972731</v>
      </c>
      <c r="O10" s="140"/>
    </row>
    <row r="11" spans="2:15" ht="16" thickBot="1">
      <c r="B11" s="40"/>
      <c r="C11" s="220" t="s">
        <v>29</v>
      </c>
      <c r="D11" s="221"/>
      <c r="E11" s="227">
        <f>SUM(E7,E8,E9,E10)</f>
        <v>1670</v>
      </c>
      <c r="F11" s="227">
        <f t="shared" ref="F11:N11" si="0">SUM(F7,F8,F9,F10)</f>
        <v>1120</v>
      </c>
      <c r="G11" s="227">
        <f t="shared" si="0"/>
        <v>3314</v>
      </c>
      <c r="H11" s="227">
        <f t="shared" si="0"/>
        <v>2632</v>
      </c>
      <c r="I11" s="227">
        <f t="shared" si="0"/>
        <v>3102</v>
      </c>
      <c r="J11" s="227">
        <f t="shared" si="0"/>
        <v>5391.6689113575976</v>
      </c>
      <c r="K11" s="227">
        <f t="shared" si="0"/>
        <v>6509.8047590006372</v>
      </c>
      <c r="L11" s="227">
        <f t="shared" si="0"/>
        <v>6821.6244069567692</v>
      </c>
      <c r="M11" s="227">
        <f t="shared" si="0"/>
        <v>7148.3802160499981</v>
      </c>
      <c r="N11" s="228">
        <f t="shared" si="0"/>
        <v>7490.7876283987944</v>
      </c>
      <c r="O11" s="140"/>
    </row>
    <row r="12" spans="2:15" ht="16" thickBot="1">
      <c r="B12" s="144"/>
      <c r="C12" s="222" t="s">
        <v>30</v>
      </c>
      <c r="D12" s="223"/>
      <c r="E12" s="229">
        <f t="shared" ref="E12:N12" si="1">E11/E7</f>
        <v>0.22225179664626032</v>
      </c>
      <c r="F12" s="229">
        <f t="shared" si="1"/>
        <v>0.15476025977615035</v>
      </c>
      <c r="G12" s="229">
        <f t="shared" si="1"/>
        <v>0.20176560121765602</v>
      </c>
      <c r="H12" s="230">
        <f t="shared" si="1"/>
        <v>0.20804679471978499</v>
      </c>
      <c r="I12" s="230">
        <f t="shared" si="1"/>
        <v>0.22421395012649079</v>
      </c>
      <c r="J12" s="229">
        <f t="shared" si="1"/>
        <v>0.37189831580193428</v>
      </c>
      <c r="K12" s="229">
        <f t="shared" si="1"/>
        <v>0.42849831580193432</v>
      </c>
      <c r="L12" s="229">
        <f t="shared" si="1"/>
        <v>0.42849831580193437</v>
      </c>
      <c r="M12" s="229">
        <f t="shared" si="1"/>
        <v>0.42849831580193437</v>
      </c>
      <c r="N12" s="231">
        <f t="shared" si="1"/>
        <v>0.42849831580193437</v>
      </c>
      <c r="O12" s="146"/>
    </row>
    <row r="13" spans="2:15" ht="16" thickBot="1">
      <c r="B13" s="40"/>
      <c r="C13" s="121"/>
      <c r="D13" s="38"/>
      <c r="E13" s="142"/>
      <c r="F13" s="142"/>
      <c r="G13" s="142"/>
      <c r="H13" s="38"/>
      <c r="I13" s="38"/>
      <c r="J13" s="142"/>
      <c r="K13" s="142"/>
      <c r="L13" s="142"/>
      <c r="M13" s="142"/>
      <c r="N13" s="143"/>
      <c r="O13" s="140"/>
    </row>
    <row r="14" spans="2:15" ht="16" thickBot="1">
      <c r="B14" s="40"/>
      <c r="C14" s="218" t="s">
        <v>246</v>
      </c>
      <c r="D14" s="219"/>
      <c r="E14" s="224">
        <f>-'1.3 Cash Flow - Standardized'!M8</f>
        <v>-487</v>
      </c>
      <c r="F14" s="224">
        <f>-'1.3 Cash Flow - Standardized'!N8</f>
        <v>-518</v>
      </c>
      <c r="G14" s="224">
        <f>-'1.3 Cash Flow - Standardized'!O8</f>
        <v>-1145</v>
      </c>
      <c r="H14" s="224">
        <f>-'1.3 Cash Flow - Standardized'!P8</f>
        <v>-633</v>
      </c>
      <c r="I14" s="224">
        <f>-'1.3 Cash Flow - Standardized'!Q8</f>
        <v>-611</v>
      </c>
      <c r="J14" s="225">
        <f>-'3.4 Cash Flow Statement'!J7</f>
        <v>-870.72788600317665</v>
      </c>
      <c r="K14" s="225">
        <f>-'3.4 Cash Flow Statement'!K7</f>
        <v>-912.43575174272894</v>
      </c>
      <c r="L14" s="225">
        <f>-'3.4 Cash Flow Statement'!L7</f>
        <v>-956.14142425120565</v>
      </c>
      <c r="M14" s="225">
        <f>-'3.4 Cash Flow Statement'!M7</f>
        <v>-1001.9405984728385</v>
      </c>
      <c r="N14" s="226">
        <f>-'3.4 Cash Flow Statement'!N7</f>
        <v>-1049.9335531396875</v>
      </c>
      <c r="O14" s="140"/>
    </row>
    <row r="15" spans="2:15" ht="16" thickBot="1">
      <c r="B15" s="40"/>
      <c r="C15" s="220" t="s">
        <v>32</v>
      </c>
      <c r="D15" s="221"/>
      <c r="E15" s="227">
        <f>E11+E14</f>
        <v>1183</v>
      </c>
      <c r="F15" s="227">
        <f>F11+F14</f>
        <v>602</v>
      </c>
      <c r="G15" s="227">
        <f>G11+G14</f>
        <v>2169</v>
      </c>
      <c r="H15" s="165">
        <f>H11+H14</f>
        <v>1999</v>
      </c>
      <c r="I15" s="165">
        <f>I11+I14</f>
        <v>2491</v>
      </c>
      <c r="J15" s="227">
        <f t="shared" ref="J15:M15" si="2">J11+J14</f>
        <v>4520.9410253544211</v>
      </c>
      <c r="K15" s="227">
        <f t="shared" si="2"/>
        <v>5597.3690072579084</v>
      </c>
      <c r="L15" s="227">
        <f t="shared" si="2"/>
        <v>5865.4829827055637</v>
      </c>
      <c r="M15" s="227">
        <f t="shared" si="2"/>
        <v>6146.4396175771599</v>
      </c>
      <c r="N15" s="228">
        <f>N11+N14</f>
        <v>6440.854075259107</v>
      </c>
      <c r="O15" s="140"/>
    </row>
    <row r="16" spans="2:15" ht="16" thickBot="1">
      <c r="B16" s="40"/>
      <c r="C16" s="222" t="s">
        <v>30</v>
      </c>
      <c r="D16" s="223"/>
      <c r="E16" s="232">
        <f t="shared" ref="E16:N16" si="3">E15/E7</f>
        <v>0.157439446366782</v>
      </c>
      <c r="F16" s="232">
        <f t="shared" si="3"/>
        <v>8.3183639629680811E-2</v>
      </c>
      <c r="G16" s="232">
        <f t="shared" si="3"/>
        <v>0.13205479452054794</v>
      </c>
      <c r="H16" s="233">
        <f t="shared" si="3"/>
        <v>0.15801122440913762</v>
      </c>
      <c r="I16" s="233">
        <f t="shared" si="3"/>
        <v>0.18005059631369716</v>
      </c>
      <c r="J16" s="232">
        <f t="shared" si="3"/>
        <v>0.31183857555263494</v>
      </c>
      <c r="K16" s="232">
        <f t="shared" si="3"/>
        <v>0.36843857555263493</v>
      </c>
      <c r="L16" s="232">
        <f t="shared" si="3"/>
        <v>0.36843857555263504</v>
      </c>
      <c r="M16" s="232">
        <f t="shared" si="3"/>
        <v>0.36843857555263498</v>
      </c>
      <c r="N16" s="234">
        <f t="shared" si="3"/>
        <v>0.36843857555263504</v>
      </c>
      <c r="O16" s="140"/>
    </row>
    <row r="17" spans="2:15">
      <c r="B17" s="144"/>
      <c r="C17" s="144"/>
      <c r="D17" s="144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6"/>
    </row>
    <row r="18" spans="2:15">
      <c r="B18" s="144"/>
      <c r="C18" s="144"/>
      <c r="D18" s="144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6"/>
    </row>
    <row r="19" spans="2:15">
      <c r="C19" s="147" t="s">
        <v>247</v>
      </c>
      <c r="E19" s="80"/>
      <c r="F19" s="80"/>
      <c r="G19" s="80"/>
      <c r="H19" s="80"/>
      <c r="I19" s="80"/>
    </row>
  </sheetData>
  <phoneticPr fontId="17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 tint="0.39997558519241921"/>
  </sheetPr>
  <dimension ref="B1:N15"/>
  <sheetViews>
    <sheetView showGridLines="0" zoomScale="70" zoomScaleNormal="70" workbookViewId="0">
      <selection activeCell="B4" sqref="B4"/>
    </sheetView>
  </sheetViews>
  <sheetFormatPr baseColWidth="10" defaultColWidth="10.83203125" defaultRowHeight="15"/>
  <cols>
    <col min="1" max="1" width="21.33203125" style="37" customWidth="1"/>
    <col min="2" max="3" width="10.83203125" style="37"/>
    <col min="4" max="4" width="54" style="37" customWidth="1"/>
    <col min="5" max="16384" width="10.83203125" style="37"/>
  </cols>
  <sheetData>
    <row r="1" spans="2:14">
      <c r="B1" s="156" t="s">
        <v>302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8"/>
    </row>
    <row r="2" spans="2:14" ht="19">
      <c r="B2" s="159" t="s">
        <v>300</v>
      </c>
      <c r="C2" s="155"/>
      <c r="D2" s="155"/>
      <c r="E2" s="74" t="s">
        <v>26</v>
      </c>
      <c r="F2" s="74"/>
      <c r="G2" s="74"/>
      <c r="H2" s="74" t="s">
        <v>27</v>
      </c>
      <c r="I2" s="74"/>
      <c r="J2" s="75"/>
      <c r="K2" s="75"/>
      <c r="L2" s="75"/>
      <c r="M2" s="75"/>
      <c r="N2" s="160"/>
    </row>
    <row r="3" spans="2:14" ht="16" thickBot="1">
      <c r="B3" s="161" t="s">
        <v>731</v>
      </c>
      <c r="C3" s="162"/>
      <c r="D3" s="162"/>
      <c r="E3" s="175">
        <v>1997</v>
      </c>
      <c r="F3" s="175">
        <v>1998</v>
      </c>
      <c r="G3" s="175">
        <v>1999</v>
      </c>
      <c r="H3" s="175">
        <v>2000</v>
      </c>
      <c r="I3" s="175">
        <v>2001</v>
      </c>
      <c r="J3" s="174">
        <v>2002</v>
      </c>
      <c r="K3" s="174">
        <v>2003</v>
      </c>
      <c r="L3" s="174">
        <v>2004</v>
      </c>
      <c r="M3" s="174">
        <v>2005</v>
      </c>
      <c r="N3" s="176">
        <v>2006</v>
      </c>
    </row>
    <row r="4" spans="2:14" ht="16" thickBot="1">
      <c r="B4" s="40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</row>
    <row r="5" spans="2:14" ht="17" thickBot="1">
      <c r="B5" s="139"/>
      <c r="C5" s="177" t="s">
        <v>54</v>
      </c>
      <c r="D5" s="178"/>
      <c r="E5" s="179"/>
      <c r="F5" s="179"/>
      <c r="G5" s="179"/>
      <c r="H5" s="179"/>
      <c r="I5" s="179"/>
      <c r="J5" s="179"/>
      <c r="K5" s="179"/>
      <c r="L5" s="179"/>
      <c r="M5" s="179"/>
      <c r="N5" s="180"/>
    </row>
    <row r="6" spans="2:14" ht="16" thickBot="1">
      <c r="B6" s="40"/>
      <c r="C6" s="236" t="s">
        <v>298</v>
      </c>
      <c r="D6" s="219"/>
      <c r="E6" s="38"/>
      <c r="F6" s="38"/>
      <c r="G6" s="38"/>
      <c r="H6" s="38"/>
      <c r="I6" s="38"/>
      <c r="J6" s="38"/>
      <c r="K6" s="38"/>
      <c r="L6" s="38"/>
      <c r="M6" s="38"/>
      <c r="N6" s="185"/>
    </row>
    <row r="7" spans="2:14" ht="16" thickBot="1">
      <c r="B7" s="40"/>
      <c r="C7" s="218" t="s">
        <v>31</v>
      </c>
      <c r="D7" s="237"/>
      <c r="E7" s="238">
        <f>-'3.3 Income Statement'!E14</f>
        <v>487</v>
      </c>
      <c r="F7" s="238">
        <f>-'3.3 Income Statement'!F14</f>
        <v>518</v>
      </c>
      <c r="G7" s="238">
        <f>-'3.3 Income Statement'!G14</f>
        <v>1145</v>
      </c>
      <c r="H7" s="238">
        <f>-'3.3 Income Statement'!H14</f>
        <v>633</v>
      </c>
      <c r="I7" s="238">
        <f>-'3.3 Income Statement'!I14</f>
        <v>611</v>
      </c>
      <c r="J7" s="238">
        <f>'3.1 Assumption'!J21*'3.3 Income Statement'!J7</f>
        <v>870.72788600317665</v>
      </c>
      <c r="K7" s="238">
        <f>'3.1 Assumption'!K21*'3.3 Income Statement'!K7</f>
        <v>912.43575174272894</v>
      </c>
      <c r="L7" s="238">
        <f>'3.1 Assumption'!L21*'3.3 Income Statement'!L7</f>
        <v>956.14142425120565</v>
      </c>
      <c r="M7" s="238">
        <f>'3.1 Assumption'!M21*'3.3 Income Statement'!M7</f>
        <v>1001.9405984728385</v>
      </c>
      <c r="N7" s="238">
        <f>'3.1 Assumption'!N21*'3.3 Income Statement'!N7</f>
        <v>1049.9335531396875</v>
      </c>
    </row>
    <row r="8" spans="2:14" ht="16" thickBot="1">
      <c r="B8" s="40"/>
      <c r="C8" s="236" t="s">
        <v>299</v>
      </c>
      <c r="D8" s="237"/>
      <c r="E8" s="238"/>
      <c r="F8" s="238"/>
      <c r="G8" s="238"/>
      <c r="H8" s="238"/>
      <c r="I8" s="238"/>
      <c r="J8" s="238"/>
      <c r="K8" s="238"/>
      <c r="L8" s="238"/>
      <c r="M8" s="238"/>
      <c r="N8" s="238"/>
    </row>
    <row r="9" spans="2:14" ht="16" thickBot="1">
      <c r="B9" s="40"/>
      <c r="C9" s="218" t="s">
        <v>303</v>
      </c>
      <c r="D9" s="237"/>
      <c r="E9" s="238">
        <f>'1.4 CAPEX &amp; Depreciation'!M13</f>
        <v>-644</v>
      </c>
      <c r="F9" s="238">
        <f>'1.4 CAPEX &amp; Depreciation'!N13</f>
        <v>-859</v>
      </c>
      <c r="G9" s="238">
        <f>'1.4 CAPEX &amp; Depreciation'!O13</f>
        <v>-1678</v>
      </c>
      <c r="H9" s="238">
        <f>'1.4 CAPEX &amp; Depreciation'!P13</f>
        <v>-774</v>
      </c>
      <c r="I9" s="238">
        <f>'1.4 CAPEX &amp; Depreciation'!Q13</f>
        <v>-1020</v>
      </c>
      <c r="J9" s="239">
        <f>-'3.3 Income Statement'!J7*'3.1 Assumption'!J22</f>
        <v>-1289.4393450824002</v>
      </c>
      <c r="K9" s="239">
        <f>-'3.3 Income Statement'!K7*'3.1 Assumption'!K22</f>
        <v>-1351.2034897118474</v>
      </c>
      <c r="L9" s="239">
        <f>-'3.3 Income Statement'!L7*'3.1 Assumption'!L22</f>
        <v>-1415.9261368690447</v>
      </c>
      <c r="M9" s="239">
        <f>-'3.3 Income Statement'!M7*'3.1 Assumption'!M22</f>
        <v>-1483.7489988250722</v>
      </c>
      <c r="N9" s="239">
        <f>-'3.3 Income Statement'!N7*'3.1 Assumption'!N22</f>
        <v>-1554.8205758687932</v>
      </c>
    </row>
    <row r="10" spans="2:14"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</row>
    <row r="14" spans="2:14">
      <c r="E14" s="80"/>
      <c r="F14" s="80"/>
      <c r="G14" s="80"/>
      <c r="H14" s="80"/>
      <c r="I14" s="80"/>
    </row>
    <row r="15" spans="2:14">
      <c r="E15" s="140"/>
      <c r="F15" s="140"/>
      <c r="G15" s="140"/>
      <c r="H15" s="140"/>
      <c r="I15" s="140"/>
      <c r="J15" s="140"/>
      <c r="K15" s="140"/>
      <c r="L15" s="140"/>
      <c r="M15" s="140"/>
      <c r="N15" s="140"/>
    </row>
  </sheetData>
  <phoneticPr fontId="17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1CBCB-C4E3-4E50-A592-CD102556E7EE}">
  <sheetPr>
    <tabColor theme="9" tint="0.39997558519241921"/>
  </sheetPr>
  <dimension ref="B1:W40"/>
  <sheetViews>
    <sheetView showGridLines="0" zoomScale="55" zoomScaleNormal="55" workbookViewId="0">
      <selection activeCell="I6" sqref="I6"/>
    </sheetView>
  </sheetViews>
  <sheetFormatPr baseColWidth="10" defaultColWidth="10.6640625" defaultRowHeight="15"/>
  <cols>
    <col min="1" max="1" width="22.1640625" style="37" customWidth="1"/>
    <col min="2" max="2" width="24.83203125" style="37" customWidth="1"/>
    <col min="3" max="3" width="12.5" style="37" bestFit="1" customWidth="1"/>
    <col min="4" max="4" width="11.1640625" style="37" customWidth="1"/>
    <col min="5" max="5" width="9.5" style="120" bestFit="1" customWidth="1"/>
    <col min="6" max="6" width="8.5" style="39" bestFit="1" customWidth="1"/>
    <col min="7" max="7" width="10.1640625" style="37" bestFit="1" customWidth="1"/>
    <col min="8" max="8" width="24.1640625" style="37" bestFit="1" customWidth="1"/>
    <col min="9" max="9" width="15.83203125" style="37" bestFit="1" customWidth="1"/>
    <col min="10" max="10" width="16.5" style="37" bestFit="1" customWidth="1"/>
    <col min="11" max="11" width="15.83203125" style="37" customWidth="1"/>
    <col min="12" max="12" width="16.5" style="37" bestFit="1" customWidth="1"/>
    <col min="13" max="13" width="11.1640625" style="37" bestFit="1" customWidth="1"/>
    <col min="14" max="14" width="10.5" style="37" bestFit="1" customWidth="1"/>
    <col min="15" max="16384" width="10.6640625" style="37"/>
  </cols>
  <sheetData>
    <row r="1" spans="2:14" ht="16" thickBot="1">
      <c r="B1" s="65"/>
    </row>
    <row r="2" spans="2:14" ht="17" thickBot="1">
      <c r="C2" s="242" t="s">
        <v>342</v>
      </c>
      <c r="D2" s="242" t="s">
        <v>341</v>
      </c>
      <c r="E2" s="242" t="s">
        <v>340</v>
      </c>
      <c r="F2" s="242" t="s">
        <v>339</v>
      </c>
      <c r="G2" s="242" t="s">
        <v>338</v>
      </c>
      <c r="H2" s="242" t="s">
        <v>264</v>
      </c>
      <c r="I2" s="243" t="s">
        <v>256</v>
      </c>
      <c r="J2" s="243" t="s">
        <v>257</v>
      </c>
      <c r="K2" s="243" t="s">
        <v>258</v>
      </c>
      <c r="L2" s="243" t="s">
        <v>336</v>
      </c>
      <c r="M2" s="243" t="s">
        <v>260</v>
      </c>
      <c r="N2" s="243" t="s">
        <v>335</v>
      </c>
    </row>
    <row r="3" spans="2:14" ht="16" thickBot="1">
      <c r="B3" s="241">
        <v>2001</v>
      </c>
      <c r="C3" s="246"/>
      <c r="D3" s="247"/>
      <c r="E3" s="247"/>
      <c r="F3" s="247"/>
      <c r="G3" s="247"/>
      <c r="H3" s="240"/>
      <c r="I3" s="247"/>
      <c r="J3" s="247"/>
      <c r="K3" s="247"/>
      <c r="L3" s="247"/>
      <c r="M3" s="248"/>
      <c r="N3" s="240"/>
    </row>
    <row r="4" spans="2:14" ht="16" thickBot="1">
      <c r="B4" s="167" t="s">
        <v>223</v>
      </c>
      <c r="C4" s="50"/>
      <c r="D4" s="50"/>
      <c r="E4" s="244"/>
      <c r="F4" s="122"/>
      <c r="G4" s="57"/>
      <c r="H4" s="245"/>
      <c r="I4" s="50"/>
      <c r="J4" s="50"/>
      <c r="K4" s="50"/>
      <c r="L4" s="50"/>
      <c r="M4" s="57"/>
      <c r="N4" s="123"/>
    </row>
    <row r="5" spans="2:14" ht="16" thickBot="1">
      <c r="B5" s="166" t="s">
        <v>225</v>
      </c>
      <c r="C5" s="264">
        <v>0.18715200000000001</v>
      </c>
      <c r="D5" s="264">
        <v>0.30316339580000001</v>
      </c>
      <c r="E5" s="265">
        <v>0.21286621589999999</v>
      </c>
      <c r="F5" s="265">
        <v>0.24233756200000001</v>
      </c>
      <c r="G5" s="264">
        <v>0.4757910508</v>
      </c>
      <c r="H5" s="278">
        <f>AVERAGE(C5:G5)</f>
        <v>0.28426204490000001</v>
      </c>
      <c r="I5" s="280">
        <f>MIN(C5:G5)</f>
        <v>0.18715200000000001</v>
      </c>
      <c r="J5" s="264">
        <f>_xlfn.QUARTILE.INC(C5:G5,1)</f>
        <v>0.21286621589999999</v>
      </c>
      <c r="K5" s="280">
        <f>MEDIAN(C5:G5)</f>
        <v>0.24233756200000001</v>
      </c>
      <c r="L5" s="280">
        <f>_xlfn.QUARTILE.INC(C5:G5,3)</f>
        <v>0.30316339580000001</v>
      </c>
      <c r="M5" s="280">
        <f>MAX(C5:G5)</f>
        <v>0.4757910508</v>
      </c>
      <c r="N5" s="284">
        <v>0.215</v>
      </c>
    </row>
    <row r="6" spans="2:14" ht="16" thickBot="1">
      <c r="B6" s="166" t="s">
        <v>226</v>
      </c>
      <c r="C6" s="264">
        <v>0.32230478839999999</v>
      </c>
      <c r="D6" s="264">
        <v>0.25882352941100001</v>
      </c>
      <c r="E6" s="265" t="s">
        <v>228</v>
      </c>
      <c r="F6" s="265" t="s">
        <v>228</v>
      </c>
      <c r="G6" s="264">
        <v>0.25009146339999999</v>
      </c>
      <c r="H6" s="278">
        <f>AVERAGE(C6:G6)</f>
        <v>0.2770732604036667</v>
      </c>
      <c r="I6" s="280">
        <f>MIN(C6:G6)</f>
        <v>0.25009146339999999</v>
      </c>
      <c r="J6" s="264">
        <f>_xlfn.QUARTILE.INC(C6:G6,1)</f>
        <v>0.25445749640549997</v>
      </c>
      <c r="K6" s="280">
        <f>MEDIAN(C6:G6)</f>
        <v>0.25882352941100001</v>
      </c>
      <c r="L6" s="280">
        <f>_xlfn.QUARTILE.INC(C6:G6,3)</f>
        <v>0.29056415890550003</v>
      </c>
      <c r="M6" s="280">
        <f>MAX(C6:G6)</f>
        <v>0.32230478839999999</v>
      </c>
      <c r="N6" s="284">
        <v>0.39700000000000002</v>
      </c>
    </row>
    <row r="7" spans="2:14" ht="16" thickBot="1">
      <c r="B7" s="166" t="s">
        <v>243</v>
      </c>
      <c r="C7" s="264">
        <v>0.19813610549999999</v>
      </c>
      <c r="D7" s="265" t="s">
        <v>228</v>
      </c>
      <c r="E7" s="265" t="s">
        <v>228</v>
      </c>
      <c r="F7" s="265" t="s">
        <v>228</v>
      </c>
      <c r="G7" s="264">
        <v>8.9183382249999998E-2</v>
      </c>
      <c r="H7" s="278">
        <f>AVERAGE(C7:G7)</f>
        <v>0.143659743875</v>
      </c>
      <c r="I7" s="280">
        <f>MIN(C7:G7)</f>
        <v>8.9183382249999998E-2</v>
      </c>
      <c r="J7" s="264">
        <f>_xlfn.QUARTILE.INC(C7:G7,1)</f>
        <v>0.1164215630625</v>
      </c>
      <c r="K7" s="280">
        <f>MEDIAN(C7:G7)</f>
        <v>0.143659743875</v>
      </c>
      <c r="L7" s="280">
        <f>_xlfn.QUARTILE.INC(C7:G7,3)</f>
        <v>0.17089792468749998</v>
      </c>
      <c r="M7" s="280">
        <f>MAX(C7:G7)</f>
        <v>0.19813610549999999</v>
      </c>
      <c r="N7" s="284">
        <v>0.16400000000000001</v>
      </c>
    </row>
    <row r="8" spans="2:14" ht="16" thickBot="1">
      <c r="B8" s="259"/>
      <c r="C8" s="266"/>
      <c r="D8" s="266"/>
      <c r="E8" s="267"/>
      <c r="F8" s="267"/>
      <c r="G8" s="268"/>
      <c r="H8" s="279"/>
      <c r="I8" s="285"/>
      <c r="J8" s="286"/>
      <c r="K8" s="287"/>
      <c r="L8" s="287"/>
      <c r="M8" s="279"/>
      <c r="N8" s="288"/>
    </row>
    <row r="9" spans="2:14" ht="16" thickBot="1">
      <c r="B9" s="167" t="s">
        <v>234</v>
      </c>
      <c r="C9" s="269"/>
      <c r="D9" s="269"/>
      <c r="E9" s="270"/>
      <c r="F9" s="270"/>
      <c r="G9" s="269"/>
      <c r="H9" s="280"/>
      <c r="I9" s="289"/>
      <c r="J9" s="290"/>
      <c r="K9" s="291"/>
      <c r="L9" s="291"/>
      <c r="M9" s="292"/>
      <c r="N9" s="293"/>
    </row>
    <row r="10" spans="2:14" ht="16" thickBot="1">
      <c r="B10" s="166" t="s">
        <v>227</v>
      </c>
      <c r="C10" s="271">
        <v>-5.8921376999999997E-2</v>
      </c>
      <c r="D10" s="271">
        <v>-0.17712792569999999</v>
      </c>
      <c r="E10" s="272">
        <v>4.6199549270000001E-2</v>
      </c>
      <c r="F10" s="272">
        <v>0.2046868</v>
      </c>
      <c r="G10" s="271">
        <v>0.171215759</v>
      </c>
      <c r="H10" s="278">
        <f>AVERAGE(C10:G10)</f>
        <v>3.7210561114E-2</v>
      </c>
      <c r="I10" s="280">
        <f>MIN(C10:G10)</f>
        <v>-0.17712792569999999</v>
      </c>
      <c r="J10" s="264">
        <f>_xlfn.QUARTILE.INC(C10:G10,1)</f>
        <v>-5.8921376999999997E-2</v>
      </c>
      <c r="K10" s="280">
        <f>MEDIAN(C10:G10)</f>
        <v>4.6199549270000001E-2</v>
      </c>
      <c r="L10" s="280">
        <f>_xlfn.QUARTILE.INC(C10:G10,3)</f>
        <v>0.171215759</v>
      </c>
      <c r="M10" s="280">
        <f>MAX(C10:G10)</f>
        <v>0.2046868</v>
      </c>
      <c r="N10" s="284">
        <v>0.26786993321158165</v>
      </c>
    </row>
    <row r="11" spans="2:14" ht="16" thickBot="1">
      <c r="B11" s="259"/>
      <c r="C11" s="266"/>
      <c r="D11" s="266"/>
      <c r="E11" s="267"/>
      <c r="F11" s="267"/>
      <c r="G11" s="273"/>
      <c r="H11" s="281"/>
      <c r="I11" s="266"/>
      <c r="J11" s="294"/>
      <c r="K11" s="295"/>
      <c r="L11" s="295"/>
      <c r="M11" s="296"/>
      <c r="N11" s="297"/>
    </row>
    <row r="12" spans="2:14" ht="16" thickBot="1">
      <c r="B12" s="167" t="s">
        <v>54</v>
      </c>
      <c r="C12" s="274"/>
      <c r="D12" s="275"/>
      <c r="E12" s="276"/>
      <c r="F12" s="244"/>
      <c r="G12" s="277"/>
      <c r="H12" s="282"/>
      <c r="I12" s="298"/>
      <c r="J12" s="286"/>
      <c r="K12" s="287"/>
      <c r="L12" s="287"/>
      <c r="M12" s="279"/>
      <c r="N12" s="288"/>
    </row>
    <row r="13" spans="2:14" ht="16" thickBot="1">
      <c r="B13" s="258" t="s">
        <v>334</v>
      </c>
      <c r="C13" s="264">
        <v>7.6586528000000001E-2</v>
      </c>
      <c r="D13" s="264">
        <v>5.6874409299999998E-2</v>
      </c>
      <c r="E13" s="265">
        <v>7.7750399999999997E-2</v>
      </c>
      <c r="F13" s="265">
        <v>0.13760923350000001</v>
      </c>
      <c r="G13" s="264">
        <v>7.145708093E-2</v>
      </c>
      <c r="H13" s="278">
        <f>AVERAGE(C13:G13)</f>
        <v>8.4055530345999996E-2</v>
      </c>
      <c r="I13" s="280">
        <f>MIN(C13:G13)</f>
        <v>5.6874409299999998E-2</v>
      </c>
      <c r="J13" s="264">
        <f>_xlfn.QUARTILE.INC(C13:G13,1)</f>
        <v>7.145708093E-2</v>
      </c>
      <c r="K13" s="280">
        <f>MEDIAN(C13:G13)</f>
        <v>7.6586528000000001E-2</v>
      </c>
      <c r="L13" s="264">
        <f>_xlfn.QUARTILE.INC(C13:G13,3)</f>
        <v>7.7750399999999997E-2</v>
      </c>
      <c r="M13" s="280">
        <f>MAX(C13:G13)</f>
        <v>0.13760923350000001</v>
      </c>
      <c r="N13" s="284">
        <v>0.13500000000000001</v>
      </c>
    </row>
    <row r="14" spans="2:14" ht="16" thickBot="1">
      <c r="B14" s="260" t="s">
        <v>337</v>
      </c>
      <c r="C14" s="264"/>
      <c r="D14" s="264"/>
      <c r="E14" s="265"/>
      <c r="F14" s="265"/>
      <c r="G14" s="264"/>
      <c r="H14" s="283"/>
      <c r="I14" s="299"/>
      <c r="J14" s="286"/>
      <c r="K14" s="287"/>
      <c r="L14" s="286"/>
      <c r="M14" s="279"/>
      <c r="N14" s="300"/>
    </row>
    <row r="15" spans="2:14" ht="16" thickBot="1">
      <c r="B15" s="261" t="s">
        <v>333</v>
      </c>
      <c r="C15" s="264">
        <v>0.36299999999999999</v>
      </c>
      <c r="D15" s="264">
        <v>0.32700000000000001</v>
      </c>
      <c r="E15" s="265">
        <v>0.33300000000000002</v>
      </c>
      <c r="F15" s="265">
        <v>0.307</v>
      </c>
      <c r="G15" s="264">
        <v>0.27</v>
      </c>
      <c r="H15" s="278">
        <f>AVERAGE(C15:G15)</f>
        <v>0.31999999999999995</v>
      </c>
      <c r="I15" s="280">
        <f>MIN(C15:G15)</f>
        <v>0.27</v>
      </c>
      <c r="J15" s="264">
        <f>_xlfn.QUARTILE.INC(C15:G15,1)</f>
        <v>0.307</v>
      </c>
      <c r="K15" s="280">
        <f>MEDIAN(C15:G15)</f>
        <v>0.32700000000000001</v>
      </c>
      <c r="L15" s="264">
        <f>_xlfn.QUARTILE.INC(C15:G15,3)</f>
        <v>0.33300000000000002</v>
      </c>
      <c r="M15" s="280">
        <f>MAX(C15:G15)</f>
        <v>0.36299999999999999</v>
      </c>
      <c r="N15" s="284">
        <v>0.224</v>
      </c>
    </row>
    <row r="16" spans="2:14" ht="16" thickBot="1">
      <c r="B16" s="261" t="s">
        <v>332</v>
      </c>
      <c r="C16" s="264">
        <v>0.32300000000000001</v>
      </c>
      <c r="D16" s="264">
        <v>0.28699999999999998</v>
      </c>
      <c r="E16" s="264">
        <v>0.29899999999999999</v>
      </c>
      <c r="F16" s="264">
        <v>0.26400000000000001</v>
      </c>
      <c r="G16" s="264">
        <v>0.19800000000000001</v>
      </c>
      <c r="H16" s="278">
        <f>AVERAGE(C16:G16)</f>
        <v>0.2742</v>
      </c>
      <c r="I16" s="280">
        <f>MIN(C16:G16)</f>
        <v>0.19800000000000001</v>
      </c>
      <c r="J16" s="264">
        <f>_xlfn.QUARTILE.INC(C16:G16,1)</f>
        <v>0.26400000000000001</v>
      </c>
      <c r="K16" s="280">
        <f>MEDIAN(C16:G16)</f>
        <v>0.28699999999999998</v>
      </c>
      <c r="L16" s="264">
        <f>_xlfn.QUARTILE.INC(C16:G16,3)</f>
        <v>0.29899999999999999</v>
      </c>
      <c r="M16" s="280">
        <f>MAX(C16:G16)</f>
        <v>0.32300000000000001</v>
      </c>
      <c r="N16" s="284">
        <v>0.18</v>
      </c>
    </row>
    <row r="17" spans="2:23" ht="17" thickBot="1">
      <c r="B17" s="249"/>
      <c r="H17" s="241">
        <v>2001</v>
      </c>
      <c r="I17" s="193" t="s">
        <v>256</v>
      </c>
      <c r="J17" s="193" t="s">
        <v>257</v>
      </c>
      <c r="K17" s="193" t="s">
        <v>258</v>
      </c>
      <c r="L17" s="193" t="s">
        <v>336</v>
      </c>
      <c r="M17" s="193" t="s">
        <v>260</v>
      </c>
      <c r="N17" s="243" t="s">
        <v>335</v>
      </c>
    </row>
    <row r="18" spans="2:23" ht="16" thickBot="1">
      <c r="H18" s="166" t="s">
        <v>225</v>
      </c>
      <c r="I18" s="264">
        <f t="shared" ref="I18:N20" si="0">I5</f>
        <v>0.18715200000000001</v>
      </c>
      <c r="J18" s="264">
        <f t="shared" si="0"/>
        <v>0.21286621589999999</v>
      </c>
      <c r="K18" s="264">
        <f t="shared" si="0"/>
        <v>0.24233756200000001</v>
      </c>
      <c r="L18" s="264">
        <f t="shared" si="0"/>
        <v>0.30316339580000001</v>
      </c>
      <c r="M18" s="264">
        <f t="shared" si="0"/>
        <v>0.4757910508</v>
      </c>
      <c r="N18" s="284">
        <f t="shared" si="0"/>
        <v>0.215</v>
      </c>
    </row>
    <row r="19" spans="2:23" ht="16" thickBot="1">
      <c r="H19" s="166" t="s">
        <v>226</v>
      </c>
      <c r="I19" s="264">
        <f t="shared" si="0"/>
        <v>0.25009146339999999</v>
      </c>
      <c r="J19" s="264">
        <f t="shared" si="0"/>
        <v>0.25445749640549997</v>
      </c>
      <c r="K19" s="264">
        <f t="shared" si="0"/>
        <v>0.25882352941100001</v>
      </c>
      <c r="L19" s="264">
        <f t="shared" si="0"/>
        <v>0.29056415890550003</v>
      </c>
      <c r="M19" s="264">
        <f t="shared" si="0"/>
        <v>0.32230478839999999</v>
      </c>
      <c r="N19" s="284">
        <f t="shared" si="0"/>
        <v>0.39700000000000002</v>
      </c>
    </row>
    <row r="20" spans="2:23" ht="16" thickBot="1">
      <c r="H20" s="166" t="s">
        <v>243</v>
      </c>
      <c r="I20" s="264">
        <f t="shared" si="0"/>
        <v>8.9183382249999998E-2</v>
      </c>
      <c r="J20" s="264">
        <f t="shared" si="0"/>
        <v>0.1164215630625</v>
      </c>
      <c r="K20" s="264">
        <f t="shared" si="0"/>
        <v>0.143659743875</v>
      </c>
      <c r="L20" s="264">
        <f t="shared" si="0"/>
        <v>0.17089792468749998</v>
      </c>
      <c r="M20" s="264">
        <f t="shared" si="0"/>
        <v>0.19813610549999999</v>
      </c>
      <c r="N20" s="284">
        <f t="shared" si="0"/>
        <v>0.16400000000000001</v>
      </c>
    </row>
    <row r="21" spans="2:23" ht="16" thickBot="1">
      <c r="B21" s="90"/>
      <c r="C21" s="90"/>
      <c r="D21" s="90"/>
      <c r="E21" s="124"/>
      <c r="H21" s="166" t="s">
        <v>227</v>
      </c>
      <c r="I21" s="264">
        <f t="shared" ref="I21:N21" si="1">I10</f>
        <v>-0.17712792569999999</v>
      </c>
      <c r="J21" s="264">
        <f t="shared" si="1"/>
        <v>-5.8921376999999997E-2</v>
      </c>
      <c r="K21" s="264">
        <f t="shared" si="1"/>
        <v>4.6199549270000001E-2</v>
      </c>
      <c r="L21" s="264">
        <f t="shared" si="1"/>
        <v>0.171215759</v>
      </c>
      <c r="M21" s="264">
        <f t="shared" si="1"/>
        <v>0.2046868</v>
      </c>
      <c r="N21" s="284">
        <f t="shared" si="1"/>
        <v>0.26786993321158165</v>
      </c>
    </row>
    <row r="22" spans="2:23" ht="16" thickBot="1">
      <c r="B22" s="90"/>
      <c r="C22" s="90"/>
      <c r="D22" s="90"/>
      <c r="E22" s="124"/>
      <c r="H22" s="166" t="s">
        <v>334</v>
      </c>
      <c r="I22" s="264">
        <f t="shared" ref="I22:N22" si="2">I13</f>
        <v>5.6874409299999998E-2</v>
      </c>
      <c r="J22" s="264">
        <f t="shared" si="2"/>
        <v>7.145708093E-2</v>
      </c>
      <c r="K22" s="264">
        <f t="shared" si="2"/>
        <v>7.6586528000000001E-2</v>
      </c>
      <c r="L22" s="264">
        <f t="shared" si="2"/>
        <v>7.7750399999999997E-2</v>
      </c>
      <c r="M22" s="264">
        <f t="shared" si="2"/>
        <v>0.13760923350000001</v>
      </c>
      <c r="N22" s="284">
        <f t="shared" si="2"/>
        <v>0.13500000000000001</v>
      </c>
    </row>
    <row r="23" spans="2:23" ht="16" thickBot="1">
      <c r="B23" s="90"/>
      <c r="C23" s="90"/>
      <c r="D23" s="90"/>
      <c r="E23" s="124"/>
      <c r="H23" s="250" t="s">
        <v>333</v>
      </c>
      <c r="I23" s="264">
        <f t="shared" ref="I23:N24" si="3">I15</f>
        <v>0.27</v>
      </c>
      <c r="J23" s="264">
        <f t="shared" si="3"/>
        <v>0.307</v>
      </c>
      <c r="K23" s="264">
        <f t="shared" si="3"/>
        <v>0.32700000000000001</v>
      </c>
      <c r="L23" s="264">
        <f t="shared" si="3"/>
        <v>0.33300000000000002</v>
      </c>
      <c r="M23" s="264">
        <f t="shared" si="3"/>
        <v>0.36299999999999999</v>
      </c>
      <c r="N23" s="284">
        <f t="shared" si="3"/>
        <v>0.224</v>
      </c>
    </row>
    <row r="24" spans="2:23" ht="16" thickBot="1">
      <c r="B24" s="90"/>
      <c r="C24" s="90"/>
      <c r="D24" s="90"/>
      <c r="E24" s="124"/>
      <c r="H24" s="250" t="s">
        <v>332</v>
      </c>
      <c r="I24" s="264">
        <f t="shared" si="3"/>
        <v>0.19800000000000001</v>
      </c>
      <c r="J24" s="264">
        <f t="shared" si="3"/>
        <v>0.26400000000000001</v>
      </c>
      <c r="K24" s="264">
        <f t="shared" si="3"/>
        <v>0.28699999999999998</v>
      </c>
      <c r="L24" s="264">
        <f t="shared" si="3"/>
        <v>0.29899999999999999</v>
      </c>
      <c r="M24" s="264">
        <f t="shared" si="3"/>
        <v>0.32300000000000001</v>
      </c>
      <c r="N24" s="284">
        <f t="shared" si="3"/>
        <v>0.18</v>
      </c>
      <c r="O24" s="37" t="s">
        <v>401</v>
      </c>
    </row>
    <row r="25" spans="2:23">
      <c r="B25" s="90"/>
      <c r="C25" s="90"/>
      <c r="D25" s="90"/>
      <c r="E25" s="124"/>
    </row>
    <row r="26" spans="2:23">
      <c r="B26" s="90"/>
      <c r="C26" s="90"/>
      <c r="D26" s="90"/>
      <c r="E26" s="124"/>
      <c r="N26" s="50"/>
      <c r="O26" s="50"/>
      <c r="P26" s="50"/>
      <c r="Q26" s="50"/>
      <c r="R26" s="50"/>
      <c r="S26" s="50"/>
      <c r="T26" s="50"/>
      <c r="U26" s="50"/>
      <c r="V26" s="50"/>
      <c r="W26" s="50"/>
    </row>
    <row r="27" spans="2:23">
      <c r="B27" s="90"/>
      <c r="C27" s="90"/>
      <c r="D27" s="90"/>
      <c r="E27" s="124"/>
      <c r="N27" s="50"/>
      <c r="O27" s="50"/>
      <c r="P27" s="50"/>
      <c r="Q27" s="50"/>
      <c r="R27" s="50"/>
      <c r="S27" s="50"/>
      <c r="T27" s="50"/>
      <c r="U27" s="50"/>
      <c r="V27" s="50"/>
      <c r="W27" s="50"/>
    </row>
    <row r="28" spans="2:23">
      <c r="B28" s="90"/>
      <c r="C28" s="90"/>
      <c r="D28" s="90"/>
      <c r="E28" s="124"/>
    </row>
    <row r="29" spans="2:23">
      <c r="B29" s="125"/>
      <c r="C29" s="126"/>
      <c r="D29" s="127"/>
      <c r="E29" s="124"/>
    </row>
    <row r="30" spans="2:23">
      <c r="B30" s="128"/>
      <c r="C30" s="129"/>
      <c r="D30" s="130"/>
      <c r="E30" s="124"/>
    </row>
    <row r="31" spans="2:23">
      <c r="B31" s="128"/>
      <c r="C31" s="129"/>
      <c r="D31" s="130"/>
      <c r="E31" s="124"/>
    </row>
    <row r="32" spans="2:23">
      <c r="B32" s="128"/>
      <c r="C32" s="129"/>
      <c r="D32" s="131"/>
      <c r="E32" s="124"/>
      <c r="H32" s="84"/>
      <c r="I32" s="84"/>
      <c r="J32" s="84"/>
      <c r="K32" s="84"/>
      <c r="L32" s="84"/>
      <c r="M32" s="84"/>
    </row>
    <row r="33" spans="2:13">
      <c r="B33" s="128"/>
      <c r="C33" s="132"/>
      <c r="D33" s="130"/>
      <c r="E33" s="124"/>
      <c r="H33" s="84"/>
      <c r="I33" s="84"/>
      <c r="J33" s="84"/>
      <c r="K33" s="84"/>
      <c r="L33" s="84"/>
      <c r="M33" s="84"/>
    </row>
    <row r="34" spans="2:13">
      <c r="B34" s="128"/>
      <c r="C34" s="129"/>
      <c r="D34" s="131"/>
      <c r="E34" s="124"/>
      <c r="H34" s="133"/>
      <c r="I34" s="133"/>
      <c r="J34" s="133"/>
      <c r="K34" s="133"/>
      <c r="L34" s="133"/>
      <c r="M34" s="84"/>
    </row>
    <row r="35" spans="2:13">
      <c r="B35" s="128"/>
      <c r="C35" s="129"/>
      <c r="D35" s="131"/>
      <c r="E35" s="134"/>
      <c r="H35" s="135"/>
      <c r="I35" s="136"/>
      <c r="J35" s="136"/>
      <c r="K35" s="136"/>
      <c r="L35" s="136"/>
      <c r="M35" s="84"/>
    </row>
    <row r="36" spans="2:13">
      <c r="B36" s="137"/>
      <c r="C36" s="90"/>
      <c r="D36" s="90"/>
      <c r="E36" s="124"/>
      <c r="H36" s="84"/>
      <c r="I36" s="84"/>
      <c r="J36" s="84"/>
      <c r="K36" s="84"/>
      <c r="L36" s="84"/>
      <c r="M36" s="84"/>
    </row>
    <row r="37" spans="2:13">
      <c r="B37" s="90"/>
      <c r="C37" s="90"/>
      <c r="D37" s="90"/>
      <c r="E37" s="124"/>
      <c r="H37" s="84"/>
      <c r="I37" s="84"/>
      <c r="J37" s="84"/>
      <c r="K37" s="84"/>
      <c r="L37" s="84"/>
      <c r="M37" s="84"/>
    </row>
    <row r="38" spans="2:13">
      <c r="B38" s="90"/>
      <c r="C38" s="90"/>
      <c r="D38" s="90"/>
      <c r="E38" s="124"/>
    </row>
    <row r="39" spans="2:13">
      <c r="B39" s="90"/>
      <c r="C39" s="90"/>
      <c r="D39" s="90"/>
      <c r="E39" s="124"/>
    </row>
    <row r="40" spans="2:13">
      <c r="B40" s="90"/>
      <c r="C40" s="90"/>
      <c r="D40" s="90"/>
      <c r="E40" s="124"/>
    </row>
  </sheetData>
  <phoneticPr fontId="17" type="noConversion"/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"/>
  <sheetViews>
    <sheetView topLeftCell="D1" workbookViewId="0">
      <selection activeCell="I7" sqref="I7"/>
    </sheetView>
  </sheetViews>
  <sheetFormatPr baseColWidth="10" defaultColWidth="11.5" defaultRowHeight="15"/>
  <cols>
    <col min="1" max="16384" width="11.5" style="35"/>
  </cols>
  <sheetData/>
  <phoneticPr fontId="17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5"/>
  </sheetPr>
  <dimension ref="B1:L36"/>
  <sheetViews>
    <sheetView showGridLines="0" zoomScale="70" zoomScaleNormal="70" workbookViewId="0">
      <selection activeCell="M39" sqref="M39"/>
    </sheetView>
  </sheetViews>
  <sheetFormatPr baseColWidth="10" defaultColWidth="11.5" defaultRowHeight="14"/>
  <cols>
    <col min="1" max="1" width="19.1640625" style="107" customWidth="1"/>
    <col min="2" max="16384" width="11.5" style="107"/>
  </cols>
  <sheetData>
    <row r="1" spans="2:12" s="106" customFormat="1" ht="20" thickBot="1">
      <c r="B1" s="105" t="s">
        <v>66</v>
      </c>
      <c r="C1" s="105"/>
      <c r="D1" s="105"/>
      <c r="E1" s="301"/>
      <c r="F1" s="302"/>
      <c r="G1" s="302"/>
      <c r="H1" s="302"/>
      <c r="I1" s="303"/>
      <c r="J1" s="105"/>
      <c r="K1" s="105"/>
      <c r="L1" s="105"/>
    </row>
    <row r="2" spans="2:12" s="108" customFormat="1" ht="15" thickBot="1">
      <c r="B2" s="304" t="s">
        <v>67</v>
      </c>
      <c r="C2" s="305"/>
      <c r="D2" s="305"/>
      <c r="E2" s="305"/>
      <c r="F2" s="305"/>
      <c r="G2" s="305"/>
      <c r="H2" s="305"/>
      <c r="I2" s="305"/>
      <c r="J2" s="306"/>
    </row>
    <row r="3" spans="2:12" ht="15" thickBot="1">
      <c r="B3" s="307" t="s">
        <v>7</v>
      </c>
      <c r="C3" s="308"/>
      <c r="D3" s="308"/>
      <c r="E3" s="308"/>
      <c r="F3" s="353">
        <v>675</v>
      </c>
      <c r="G3" s="308"/>
      <c r="H3" s="308"/>
      <c r="I3" s="308"/>
      <c r="J3" s="309"/>
    </row>
    <row r="4" spans="2:12" s="117" customFormat="1" ht="15" thickBot="1">
      <c r="B4" s="310" t="s">
        <v>308</v>
      </c>
      <c r="C4" s="311"/>
      <c r="D4" s="311"/>
      <c r="E4" s="311"/>
      <c r="F4" s="311"/>
      <c r="G4" s="311"/>
      <c r="H4" s="311"/>
      <c r="I4" s="311"/>
      <c r="J4" s="312"/>
    </row>
    <row r="5" spans="2:12" ht="15" thickBot="1">
      <c r="B5" s="352" t="s">
        <v>8</v>
      </c>
      <c r="C5" s="352" t="s">
        <v>309</v>
      </c>
      <c r="D5" s="308" t="s">
        <v>9</v>
      </c>
      <c r="E5" s="308"/>
      <c r="F5" s="308"/>
      <c r="G5" s="308"/>
      <c r="H5" s="308"/>
      <c r="I5" s="308"/>
      <c r="J5" s="309"/>
    </row>
    <row r="6" spans="2:12" ht="15" thickBot="1">
      <c r="B6" s="352">
        <v>1</v>
      </c>
      <c r="C6" s="353">
        <v>696</v>
      </c>
      <c r="D6" s="308"/>
      <c r="E6" s="308"/>
      <c r="F6" s="308"/>
      <c r="G6" s="308"/>
      <c r="H6" s="308"/>
      <c r="I6" s="308"/>
      <c r="J6" s="309"/>
    </row>
    <row r="7" spans="2:12" ht="15" thickBot="1">
      <c r="B7" s="352">
        <v>2</v>
      </c>
      <c r="C7" s="353">
        <v>804</v>
      </c>
      <c r="D7" s="308"/>
      <c r="E7" s="308"/>
      <c r="F7" s="308"/>
      <c r="G7" s="308"/>
      <c r="H7" s="308"/>
      <c r="I7" s="308"/>
      <c r="J7" s="309"/>
    </row>
    <row r="8" spans="2:12" ht="15" thickBot="1">
      <c r="B8" s="352">
        <v>3</v>
      </c>
      <c r="C8" s="353">
        <v>804</v>
      </c>
      <c r="D8" s="308"/>
      <c r="E8" s="308"/>
      <c r="F8" s="308"/>
      <c r="G8" s="308"/>
      <c r="H8" s="308"/>
      <c r="I8" s="308"/>
      <c r="J8" s="309"/>
    </row>
    <row r="9" spans="2:12" ht="15" thickBot="1">
      <c r="B9" s="352">
        <v>4</v>
      </c>
      <c r="C9" s="353">
        <v>804</v>
      </c>
      <c r="D9" s="308"/>
      <c r="E9" s="308"/>
      <c r="F9" s="308"/>
      <c r="G9" s="308"/>
      <c r="H9" s="308"/>
      <c r="I9" s="308"/>
      <c r="J9" s="309"/>
    </row>
    <row r="10" spans="2:12" ht="15" thickBot="1">
      <c r="B10" s="352">
        <v>5</v>
      </c>
      <c r="C10" s="353">
        <v>804</v>
      </c>
      <c r="D10" s="308"/>
      <c r="E10" s="308"/>
      <c r="F10" s="308"/>
      <c r="G10" s="308"/>
      <c r="H10" s="308"/>
      <c r="I10" s="308"/>
      <c r="J10" s="309"/>
    </row>
    <row r="11" spans="2:12" ht="15" thickBot="1">
      <c r="B11" s="352" t="s">
        <v>10</v>
      </c>
      <c r="C11" s="353">
        <v>804</v>
      </c>
      <c r="D11" s="308"/>
      <c r="E11" s="308"/>
      <c r="F11" s="308"/>
      <c r="G11" s="308"/>
      <c r="H11" s="308"/>
      <c r="I11" s="308"/>
      <c r="J11" s="309"/>
    </row>
    <row r="12" spans="2:12">
      <c r="B12" s="307"/>
      <c r="C12" s="308"/>
      <c r="D12" s="308"/>
      <c r="E12" s="308"/>
      <c r="F12" s="308"/>
      <c r="G12" s="308"/>
      <c r="H12" s="308"/>
      <c r="I12" s="308"/>
      <c r="J12" s="309"/>
    </row>
    <row r="13" spans="2:12" s="118" customFormat="1" ht="17" thickBot="1">
      <c r="B13" s="313" t="s">
        <v>6</v>
      </c>
      <c r="C13" s="314"/>
      <c r="D13" s="314"/>
      <c r="E13" s="314"/>
      <c r="F13" s="314"/>
      <c r="G13" s="314"/>
      <c r="H13" s="314"/>
      <c r="I13" s="314"/>
      <c r="J13" s="315"/>
    </row>
    <row r="14" spans="2:12" ht="15" thickBot="1">
      <c r="B14" s="307" t="s">
        <v>11</v>
      </c>
      <c r="C14" s="308"/>
      <c r="D14" s="354">
        <v>4.5900000000000003E-2</v>
      </c>
      <c r="E14" s="308" t="s">
        <v>68</v>
      </c>
      <c r="F14" s="308"/>
      <c r="G14" s="308"/>
      <c r="H14" s="308"/>
      <c r="I14" s="308"/>
      <c r="J14" s="309"/>
    </row>
    <row r="15" spans="2:12">
      <c r="B15" s="307"/>
      <c r="C15" s="308"/>
      <c r="D15" s="308"/>
      <c r="E15" s="308"/>
      <c r="F15" s="308"/>
      <c r="G15" s="308"/>
      <c r="H15" s="308"/>
      <c r="I15" s="308"/>
      <c r="J15" s="309"/>
    </row>
    <row r="16" spans="2:12" s="117" customFormat="1" ht="15" thickBot="1">
      <c r="B16" s="310" t="s">
        <v>12</v>
      </c>
      <c r="C16" s="311"/>
      <c r="D16" s="311"/>
      <c r="E16" s="311"/>
      <c r="F16" s="311"/>
      <c r="G16" s="311"/>
      <c r="H16" s="311"/>
      <c r="I16" s="311"/>
      <c r="J16" s="312"/>
    </row>
    <row r="17" spans="2:10" ht="15" thickBot="1">
      <c r="B17" s="307" t="s">
        <v>13</v>
      </c>
      <c r="C17" s="308"/>
      <c r="D17" s="308"/>
      <c r="E17" s="355">
        <v>1846</v>
      </c>
      <c r="F17" s="308" t="s">
        <v>14</v>
      </c>
      <c r="G17" s="308"/>
      <c r="H17" s="308"/>
      <c r="I17" s="308"/>
      <c r="J17" s="309"/>
    </row>
    <row r="18" spans="2:10" ht="15" thickBot="1">
      <c r="B18" s="307" t="s">
        <v>15</v>
      </c>
      <c r="C18" s="308"/>
      <c r="D18" s="308"/>
      <c r="E18" s="355">
        <v>1048</v>
      </c>
      <c r="F18" s="308" t="s">
        <v>16</v>
      </c>
      <c r="G18" s="308"/>
      <c r="H18" s="308"/>
      <c r="I18" s="308"/>
      <c r="J18" s="309"/>
    </row>
    <row r="19" spans="2:10" ht="15" thickBot="1">
      <c r="B19" s="307"/>
      <c r="C19" s="308"/>
      <c r="D19" s="308"/>
      <c r="E19" s="119"/>
      <c r="F19" s="308"/>
      <c r="G19" s="308"/>
      <c r="H19" s="308"/>
      <c r="I19" s="308"/>
      <c r="J19" s="309"/>
    </row>
    <row r="20" spans="2:10" ht="15" thickBot="1">
      <c r="B20" s="307" t="s">
        <v>17</v>
      </c>
      <c r="C20" s="308"/>
      <c r="D20" s="308"/>
      <c r="E20" s="356">
        <f>IF(C11&gt;0,ROUND(C11/AVERAGE(C6:C10),0),0)</f>
        <v>1</v>
      </c>
      <c r="F20" s="308" t="s">
        <v>18</v>
      </c>
      <c r="G20" s="308"/>
      <c r="H20" s="308"/>
      <c r="I20" s="308"/>
      <c r="J20" s="309"/>
    </row>
    <row r="21" spans="2:10" s="108" customFormat="1">
      <c r="B21" s="316"/>
      <c r="C21" s="317"/>
      <c r="D21" s="317"/>
      <c r="E21" s="317"/>
      <c r="F21" s="308" t="s">
        <v>19</v>
      </c>
      <c r="G21" s="317"/>
      <c r="H21" s="317"/>
      <c r="I21" s="317"/>
      <c r="J21" s="318"/>
    </row>
    <row r="22" spans="2:10" s="117" customFormat="1" ht="15" thickBot="1">
      <c r="B22" s="310" t="s">
        <v>20</v>
      </c>
      <c r="C22" s="311"/>
      <c r="D22" s="311"/>
      <c r="E22" s="311"/>
      <c r="F22" s="311"/>
      <c r="G22" s="311"/>
      <c r="H22" s="311"/>
      <c r="I22" s="311"/>
      <c r="J22" s="312"/>
    </row>
    <row r="23" spans="2:10" ht="15" thickBot="1">
      <c r="B23" s="352" t="s">
        <v>8</v>
      </c>
      <c r="C23" s="352" t="s">
        <v>309</v>
      </c>
      <c r="D23" s="352" t="s">
        <v>21</v>
      </c>
      <c r="E23" s="308"/>
      <c r="F23" s="308"/>
      <c r="G23" s="308"/>
      <c r="H23" s="308"/>
      <c r="I23" s="308"/>
      <c r="J23" s="309"/>
    </row>
    <row r="24" spans="2:10" ht="15" thickBot="1">
      <c r="B24" s="357">
        <f>B6</f>
        <v>1</v>
      </c>
      <c r="C24" s="358">
        <f>C6</f>
        <v>696</v>
      </c>
      <c r="D24" s="355">
        <f>C24/(1+$D$14)^B24</f>
        <v>665.45558848838323</v>
      </c>
      <c r="E24" s="308"/>
      <c r="F24" s="308"/>
      <c r="G24" s="308"/>
      <c r="H24" s="308"/>
      <c r="I24" s="308"/>
      <c r="J24" s="309"/>
    </row>
    <row r="25" spans="2:10" ht="15" thickBot="1">
      <c r="B25" s="357">
        <f t="shared" ref="B25:C28" si="0">B7</f>
        <v>2</v>
      </c>
      <c r="C25" s="358">
        <f t="shared" si="0"/>
        <v>804</v>
      </c>
      <c r="D25" s="355">
        <f>C25/(1+$D$14)^B25</f>
        <v>734.98034078423916</v>
      </c>
      <c r="E25" s="308"/>
      <c r="F25" s="308"/>
      <c r="G25" s="308"/>
      <c r="H25" s="308"/>
      <c r="I25" s="308"/>
      <c r="J25" s="309"/>
    </row>
    <row r="26" spans="2:10" ht="15" thickBot="1">
      <c r="B26" s="357">
        <f t="shared" si="0"/>
        <v>3</v>
      </c>
      <c r="C26" s="358">
        <f t="shared" si="0"/>
        <v>804</v>
      </c>
      <c r="D26" s="355">
        <f>C26/(1+$D$14)^B26</f>
        <v>702.72525172983956</v>
      </c>
      <c r="E26" s="308"/>
      <c r="F26" s="308"/>
      <c r="G26" s="308"/>
      <c r="H26" s="308"/>
      <c r="I26" s="308"/>
      <c r="J26" s="309"/>
    </row>
    <row r="27" spans="2:10" ht="15" thickBot="1">
      <c r="B27" s="357">
        <f t="shared" si="0"/>
        <v>4</v>
      </c>
      <c r="C27" s="358">
        <f t="shared" si="0"/>
        <v>804</v>
      </c>
      <c r="D27" s="355">
        <f>C27/(1+$D$14)^B27</f>
        <v>671.88569818322935</v>
      </c>
      <c r="E27" s="308"/>
      <c r="F27" s="308"/>
      <c r="G27" s="308"/>
      <c r="H27" s="308"/>
      <c r="I27" s="308"/>
      <c r="J27" s="309"/>
    </row>
    <row r="28" spans="2:10" ht="15" thickBot="1">
      <c r="B28" s="357">
        <f t="shared" si="0"/>
        <v>5</v>
      </c>
      <c r="C28" s="358">
        <f t="shared" si="0"/>
        <v>804</v>
      </c>
      <c r="D28" s="355">
        <f>C28/(1+$D$14)^B28</f>
        <v>642.39955845035786</v>
      </c>
      <c r="E28" s="308"/>
      <c r="F28" s="308"/>
      <c r="G28" s="308"/>
      <c r="H28" s="308"/>
      <c r="I28" s="308"/>
      <c r="J28" s="309"/>
    </row>
    <row r="29" spans="2:10" ht="15" thickBot="1">
      <c r="B29" s="357" t="str">
        <f>B11</f>
        <v>6 and beyond</v>
      </c>
      <c r="C29" s="358">
        <f>IF(C11&gt;0,IF(E20&gt;0,C11/E20,C11),0)</f>
        <v>804</v>
      </c>
      <c r="D29" s="355">
        <f>IF(E20&gt;0,(C29*(1-(1+D14)^(-E20))/D14)/(1+$D$14)^5,C29/(1+D14)^6)</f>
        <v>614.20743708801797</v>
      </c>
      <c r="E29" s="308" t="s">
        <v>22</v>
      </c>
      <c r="F29" s="308"/>
      <c r="G29" s="308"/>
      <c r="H29" s="308"/>
      <c r="I29" s="308"/>
      <c r="J29" s="309"/>
    </row>
    <row r="30" spans="2:10" ht="15" thickBot="1">
      <c r="B30" s="357" t="s">
        <v>23</v>
      </c>
      <c r="C30" s="431"/>
      <c r="D30" s="358">
        <f>SUM(D24:D29)</f>
        <v>4031.6538747240666</v>
      </c>
      <c r="E30" s="308"/>
      <c r="F30" s="308"/>
      <c r="G30" s="308"/>
      <c r="H30" s="308"/>
      <c r="I30" s="308"/>
      <c r="J30" s="309"/>
    </row>
    <row r="31" spans="2:10">
      <c r="B31" s="307"/>
      <c r="C31" s="308"/>
      <c r="D31" s="308"/>
      <c r="E31" s="308"/>
      <c r="F31" s="308"/>
      <c r="G31" s="308"/>
      <c r="H31" s="308"/>
      <c r="I31" s="308"/>
      <c r="J31" s="309"/>
    </row>
    <row r="32" spans="2:10" ht="15" thickBot="1">
      <c r="B32" s="310" t="s">
        <v>24</v>
      </c>
      <c r="C32" s="308"/>
      <c r="D32" s="308"/>
      <c r="E32" s="308"/>
      <c r="F32" s="308"/>
      <c r="G32" s="308"/>
      <c r="H32" s="308"/>
      <c r="I32" s="308"/>
      <c r="J32" s="309"/>
    </row>
    <row r="33" spans="2:10" ht="15" thickBot="1">
      <c r="B33" s="307" t="s">
        <v>69</v>
      </c>
      <c r="C33" s="308"/>
      <c r="D33" s="308"/>
      <c r="E33" s="308"/>
      <c r="F33" s="308"/>
      <c r="G33" s="355">
        <f>D30/(5+E20)</f>
        <v>671.94231245401113</v>
      </c>
      <c r="H33" s="308" t="s">
        <v>70</v>
      </c>
      <c r="I33" s="308"/>
      <c r="J33" s="309"/>
    </row>
    <row r="34" spans="2:10" ht="15" thickBot="1">
      <c r="B34" s="307" t="s">
        <v>71</v>
      </c>
      <c r="C34" s="308"/>
      <c r="D34" s="308"/>
      <c r="E34" s="308"/>
      <c r="F34" s="308"/>
      <c r="G34" s="359">
        <f>F3-G33</f>
        <v>3.0576875459888697</v>
      </c>
      <c r="H34" s="308" t="s">
        <v>72</v>
      </c>
      <c r="I34" s="308"/>
      <c r="J34" s="309"/>
    </row>
    <row r="35" spans="2:10" ht="15" thickBot="1">
      <c r="B35" s="307" t="s">
        <v>73</v>
      </c>
      <c r="C35" s="308"/>
      <c r="D35" s="308"/>
      <c r="E35" s="308"/>
      <c r="F35" s="308"/>
      <c r="G35" s="358">
        <f>D30</f>
        <v>4031.6538747240666</v>
      </c>
      <c r="H35" s="308"/>
      <c r="I35" s="308"/>
      <c r="J35" s="309"/>
    </row>
    <row r="36" spans="2:10" ht="15" thickBot="1">
      <c r="B36" s="319"/>
      <c r="C36" s="320"/>
      <c r="D36" s="320"/>
      <c r="E36" s="320"/>
      <c r="F36" s="320"/>
      <c r="G36" s="320"/>
      <c r="H36" s="320"/>
      <c r="I36" s="320"/>
      <c r="J36" s="321"/>
    </row>
  </sheetData>
  <phoneticPr fontId="17" type="noConversion"/>
  <pageMargins left="0.78740157499999996" right="0.78740157499999996" top="0.984251969" bottom="0.984251969" header="0.5" footer="0.5"/>
  <pageSetup paperSize="0" orientation="portrait" horizontalDpi="4294967292" verticalDpi="4294967292"/>
  <headerFooter alignWithMargins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B1:M142"/>
  <sheetViews>
    <sheetView showGridLines="0" zoomScale="55" zoomScaleNormal="55" workbookViewId="0">
      <selection activeCell="C5" sqref="C5"/>
    </sheetView>
  </sheetViews>
  <sheetFormatPr baseColWidth="10" defaultColWidth="11.5" defaultRowHeight="14"/>
  <cols>
    <col min="1" max="1" width="19.5" style="107" customWidth="1"/>
    <col min="2" max="12" width="11.5" style="107"/>
    <col min="13" max="13" width="21" style="107" bestFit="1" customWidth="1"/>
    <col min="14" max="16384" width="11.5" style="107"/>
  </cols>
  <sheetData>
    <row r="1" spans="2:13" s="106" customFormat="1" ht="19">
      <c r="B1" s="105" t="s">
        <v>74</v>
      </c>
      <c r="C1" s="105"/>
      <c r="D1" s="105"/>
      <c r="E1" s="105"/>
      <c r="F1" s="105"/>
      <c r="G1" s="105"/>
      <c r="H1" s="105"/>
      <c r="I1" s="105"/>
      <c r="J1" s="105"/>
      <c r="K1" s="105"/>
    </row>
    <row r="2" spans="2:13">
      <c r="B2" s="107" t="s">
        <v>75</v>
      </c>
    </row>
    <row r="3" spans="2:13">
      <c r="B3" s="107" t="s">
        <v>76</v>
      </c>
    </row>
    <row r="5" spans="2:13" ht="15" thickBot="1">
      <c r="B5" s="108" t="s">
        <v>67</v>
      </c>
    </row>
    <row r="6" spans="2:13" ht="15" thickBot="1">
      <c r="B6" s="107" t="s">
        <v>77</v>
      </c>
      <c r="G6" s="342">
        <v>10</v>
      </c>
      <c r="H6" s="107" t="s">
        <v>78</v>
      </c>
    </row>
    <row r="7" spans="2:13" ht="15" thickBot="1">
      <c r="B7" s="107" t="s">
        <v>79</v>
      </c>
      <c r="G7" s="341">
        <v>2263</v>
      </c>
      <c r="H7" s="107" t="s">
        <v>80</v>
      </c>
    </row>
    <row r="8" spans="2:13">
      <c r="B8" s="107" t="s">
        <v>81</v>
      </c>
    </row>
    <row r="9" spans="2:13" ht="15" thickBot="1">
      <c r="B9" s="107" t="s">
        <v>82</v>
      </c>
    </row>
    <row r="10" spans="2:13" s="110" customFormat="1">
      <c r="B10" s="343" t="s">
        <v>8</v>
      </c>
      <c r="C10" s="344" t="s">
        <v>713</v>
      </c>
      <c r="D10" s="109"/>
      <c r="E10" s="109"/>
      <c r="F10" s="109"/>
      <c r="G10" s="109"/>
      <c r="H10" s="109"/>
      <c r="I10" s="109"/>
    </row>
    <row r="11" spans="2:13" s="110" customFormat="1" ht="15" thickBot="1">
      <c r="B11" s="345">
        <v>-1</v>
      </c>
      <c r="C11" s="346">
        <v>2165</v>
      </c>
      <c r="D11" s="109" t="s">
        <v>83</v>
      </c>
      <c r="E11" s="109"/>
      <c r="F11" s="109"/>
      <c r="G11" s="109"/>
      <c r="H11" s="109"/>
      <c r="I11" s="109"/>
      <c r="J11" s="109"/>
    </row>
    <row r="12" spans="2:13" s="110" customFormat="1">
      <c r="B12" s="345">
        <f>IF((0-B11)&lt;$G$6,IF(B11&gt;-1,,B11-1),)</f>
        <v>-2</v>
      </c>
      <c r="C12" s="346">
        <v>2815</v>
      </c>
      <c r="D12" s="109" t="s">
        <v>84</v>
      </c>
      <c r="E12" s="109"/>
      <c r="F12" s="109"/>
      <c r="G12" s="109"/>
      <c r="H12" s="109"/>
      <c r="I12" s="322" t="s">
        <v>235</v>
      </c>
      <c r="J12" s="323"/>
      <c r="K12" s="323"/>
      <c r="L12" s="323"/>
      <c r="M12" s="324"/>
    </row>
    <row r="13" spans="2:13" s="110" customFormat="1" ht="15" thickBot="1">
      <c r="B13" s="345">
        <f t="shared" ref="B13:B20" si="0">IF((0-B12)&lt;$G$6,IF(B12&gt;-1,,B12-1),)</f>
        <v>-3</v>
      </c>
      <c r="C13" s="346">
        <v>1238</v>
      </c>
      <c r="D13" s="109"/>
      <c r="E13" s="109"/>
      <c r="F13" s="109"/>
      <c r="G13" s="109"/>
      <c r="H13" s="109"/>
      <c r="I13" s="325" t="s">
        <v>8</v>
      </c>
      <c r="J13" s="163" t="s">
        <v>85</v>
      </c>
      <c r="K13" s="642" t="s">
        <v>86</v>
      </c>
      <c r="L13" s="642"/>
      <c r="M13" s="326" t="s">
        <v>87</v>
      </c>
    </row>
    <row r="14" spans="2:13" s="110" customFormat="1" ht="15" thickBot="1">
      <c r="B14" s="345">
        <f t="shared" si="0"/>
        <v>-4</v>
      </c>
      <c r="C14" s="346">
        <v>1044</v>
      </c>
      <c r="D14" s="109"/>
      <c r="E14" s="109"/>
      <c r="F14" s="109"/>
      <c r="G14" s="109"/>
      <c r="H14" s="141"/>
      <c r="I14" s="327" t="s">
        <v>88</v>
      </c>
      <c r="J14" s="328">
        <f>-'3.3 Income Statement'!N10</f>
        <v>2853.3088878972731</v>
      </c>
      <c r="K14" s="327">
        <f>1</f>
        <v>1</v>
      </c>
      <c r="L14" s="327">
        <f>J14*K14</f>
        <v>2853.3088878972731</v>
      </c>
      <c r="M14" s="328"/>
    </row>
    <row r="15" spans="2:13" s="110" customFormat="1" ht="15" thickBot="1">
      <c r="B15" s="345">
        <f t="shared" si="0"/>
        <v>-5</v>
      </c>
      <c r="C15" s="346">
        <v>702</v>
      </c>
      <c r="D15" s="109"/>
      <c r="E15" s="109"/>
      <c r="F15" s="109"/>
      <c r="G15" s="109"/>
      <c r="H15" s="141"/>
      <c r="I15" s="329">
        <f>B11</f>
        <v>-1</v>
      </c>
      <c r="J15" s="328">
        <f>-'3.3 Income Statement'!M10</f>
        <v>2722.8828016960329</v>
      </c>
      <c r="K15" s="327">
        <f>IF(I15&lt;0,($G$6+I15)/$G$6,0)</f>
        <v>0.9</v>
      </c>
      <c r="L15" s="327">
        <f>J15*K15</f>
        <v>2450.5945215264296</v>
      </c>
      <c r="M15" s="330">
        <f t="shared" ref="M15:M24" si="1">IF(I15&lt;0,J15/$G$6,0)</f>
        <v>272.2882801696033</v>
      </c>
    </row>
    <row r="16" spans="2:13" s="110" customFormat="1" ht="15" thickBot="1">
      <c r="B16" s="345">
        <f t="shared" si="0"/>
        <v>-6</v>
      </c>
      <c r="C16" s="346">
        <v>609</v>
      </c>
      <c r="D16" s="109"/>
      <c r="E16" s="109"/>
      <c r="F16" s="109"/>
      <c r="G16" s="109"/>
      <c r="H16" s="38"/>
      <c r="I16" s="329">
        <f t="shared" ref="I16:I24" si="2">B12</f>
        <v>-2</v>
      </c>
      <c r="J16" s="328">
        <f>-'3.3 Income Statement'!L10</f>
        <v>2598.4185530069976</v>
      </c>
      <c r="K16" s="327">
        <f>IF(I16&lt;0,($G$6+I16)/$G$6,0)</f>
        <v>0.8</v>
      </c>
      <c r="L16" s="327">
        <f t="shared" ref="L16:L24" si="3">J16*K16</f>
        <v>2078.7348424055981</v>
      </c>
      <c r="M16" s="330">
        <f t="shared" si="1"/>
        <v>259.84185530069976</v>
      </c>
    </row>
    <row r="17" spans="2:13" s="110" customFormat="1" ht="15" thickBot="1">
      <c r="B17" s="345">
        <f t="shared" si="0"/>
        <v>-7</v>
      </c>
      <c r="C17" s="346">
        <v>626</v>
      </c>
      <c r="D17" s="109"/>
      <c r="E17" s="109"/>
      <c r="F17" s="109"/>
      <c r="G17" s="109"/>
      <c r="H17" s="38"/>
      <c r="I17" s="329">
        <f t="shared" si="2"/>
        <v>-3</v>
      </c>
      <c r="J17" s="328">
        <f>-'3.3 Income Statement'!K10</f>
        <v>2479.6436234440284</v>
      </c>
      <c r="K17" s="327">
        <f>IF(I17&lt;0,($G$6+I17)/$G$6,0)</f>
        <v>0.7</v>
      </c>
      <c r="L17" s="327">
        <f t="shared" si="3"/>
        <v>1735.7505364108199</v>
      </c>
      <c r="M17" s="330">
        <f t="shared" si="1"/>
        <v>247.96436234440284</v>
      </c>
    </row>
    <row r="18" spans="2:13" s="110" customFormat="1" ht="15" thickBot="1">
      <c r="B18" s="345">
        <f t="shared" si="0"/>
        <v>-8</v>
      </c>
      <c r="C18" s="346">
        <v>651</v>
      </c>
      <c r="D18" s="109"/>
      <c r="E18" s="109"/>
      <c r="F18" s="109"/>
      <c r="G18" s="109"/>
      <c r="H18" s="38"/>
      <c r="I18" s="329">
        <f t="shared" si="2"/>
        <v>-4</v>
      </c>
      <c r="J18" s="328">
        <f>-'3.3 Income Statement'!J10</f>
        <v>2366.2979515641073</v>
      </c>
      <c r="K18" s="327">
        <f t="shared" ref="K18:K23" si="4">IF(I18&lt;0,($G$6+I18)/$G$6,0)</f>
        <v>0.6</v>
      </c>
      <c r="L18" s="327">
        <f t="shared" si="3"/>
        <v>1419.7787709384643</v>
      </c>
      <c r="M18" s="330">
        <f t="shared" si="1"/>
        <v>236.62979515641072</v>
      </c>
    </row>
    <row r="19" spans="2:13" s="110" customFormat="1" ht="15" thickBot="1">
      <c r="B19" s="345">
        <f t="shared" si="0"/>
        <v>-9</v>
      </c>
      <c r="C19" s="346">
        <v>610</v>
      </c>
      <c r="D19" s="109"/>
      <c r="E19" s="109"/>
      <c r="F19" s="109"/>
      <c r="G19" s="109"/>
      <c r="H19" s="109"/>
      <c r="I19" s="329">
        <f t="shared" si="2"/>
        <v>-5</v>
      </c>
      <c r="J19" s="328">
        <f>G7</f>
        <v>2263</v>
      </c>
      <c r="K19" s="327">
        <f t="shared" si="4"/>
        <v>0.5</v>
      </c>
      <c r="L19" s="327">
        <f t="shared" si="3"/>
        <v>1131.5</v>
      </c>
      <c r="M19" s="330">
        <f t="shared" si="1"/>
        <v>226.3</v>
      </c>
    </row>
    <row r="20" spans="2:13" s="110" customFormat="1" ht="15" thickBot="1">
      <c r="B20" s="347">
        <f t="shared" si="0"/>
        <v>-10</v>
      </c>
      <c r="C20" s="348">
        <v>612</v>
      </c>
      <c r="D20" s="109"/>
      <c r="E20" s="109"/>
      <c r="F20" s="109"/>
      <c r="G20" s="109"/>
      <c r="H20" s="109"/>
      <c r="I20" s="329">
        <f t="shared" si="2"/>
        <v>-6</v>
      </c>
      <c r="J20" s="328">
        <f>C11</f>
        <v>2165</v>
      </c>
      <c r="K20" s="327">
        <f t="shared" si="4"/>
        <v>0.4</v>
      </c>
      <c r="L20" s="327">
        <f t="shared" si="3"/>
        <v>866</v>
      </c>
      <c r="M20" s="330">
        <f t="shared" si="1"/>
        <v>216.5</v>
      </c>
    </row>
    <row r="21" spans="2:13" s="110" customFormat="1" ht="15" thickBot="1">
      <c r="B21" s="109"/>
      <c r="C21" s="109"/>
      <c r="D21" s="109"/>
      <c r="E21" s="109"/>
      <c r="F21" s="109"/>
      <c r="G21" s="109"/>
      <c r="H21" s="109"/>
      <c r="I21" s="329">
        <f t="shared" si="2"/>
        <v>-7</v>
      </c>
      <c r="J21" s="328">
        <f t="shared" ref="J21:J24" si="5">C12</f>
        <v>2815</v>
      </c>
      <c r="K21" s="327">
        <f t="shared" si="4"/>
        <v>0.3</v>
      </c>
      <c r="L21" s="327">
        <f t="shared" si="3"/>
        <v>844.5</v>
      </c>
      <c r="M21" s="330">
        <f t="shared" si="1"/>
        <v>281.5</v>
      </c>
    </row>
    <row r="22" spans="2:13" s="110" customFormat="1" ht="15" thickBot="1">
      <c r="B22" s="111" t="s">
        <v>6</v>
      </c>
      <c r="C22" s="109"/>
      <c r="D22" s="109"/>
      <c r="E22" s="109"/>
      <c r="F22" s="109"/>
      <c r="G22" s="109"/>
      <c r="H22" s="109"/>
      <c r="I22" s="329">
        <f t="shared" si="2"/>
        <v>-8</v>
      </c>
      <c r="J22" s="328">
        <f t="shared" si="5"/>
        <v>1238</v>
      </c>
      <c r="K22" s="327">
        <f t="shared" si="4"/>
        <v>0.2</v>
      </c>
      <c r="L22" s="327">
        <f t="shared" si="3"/>
        <v>247.60000000000002</v>
      </c>
      <c r="M22" s="330">
        <f t="shared" si="1"/>
        <v>123.8</v>
      </c>
    </row>
    <row r="23" spans="2:13" s="110" customFormat="1" ht="15" thickBot="1">
      <c r="B23" s="327" t="s">
        <v>8</v>
      </c>
      <c r="C23" s="327" t="s">
        <v>85</v>
      </c>
      <c r="D23" s="349" t="s">
        <v>86</v>
      </c>
      <c r="E23" s="349"/>
      <c r="F23" s="110" t="s">
        <v>87</v>
      </c>
      <c r="G23" s="109"/>
      <c r="H23" s="109"/>
      <c r="I23" s="329">
        <f t="shared" si="2"/>
        <v>-9</v>
      </c>
      <c r="J23" s="328">
        <f t="shared" si="5"/>
        <v>1044</v>
      </c>
      <c r="K23" s="327">
        <f t="shared" si="4"/>
        <v>0.1</v>
      </c>
      <c r="L23" s="327">
        <f t="shared" si="3"/>
        <v>104.4</v>
      </c>
      <c r="M23" s="330">
        <f t="shared" si="1"/>
        <v>104.4</v>
      </c>
    </row>
    <row r="24" spans="2:13" s="110" customFormat="1" ht="15" thickBot="1">
      <c r="B24" s="350" t="s">
        <v>88</v>
      </c>
      <c r="C24" s="350">
        <f>G7</f>
        <v>2263</v>
      </c>
      <c r="D24" s="350">
        <f>1</f>
        <v>1</v>
      </c>
      <c r="E24" s="350">
        <f>C24*D24</f>
        <v>2263</v>
      </c>
      <c r="G24" s="109"/>
      <c r="H24" s="109"/>
      <c r="I24" s="329">
        <f t="shared" si="2"/>
        <v>-10</v>
      </c>
      <c r="J24" s="328">
        <f t="shared" si="5"/>
        <v>702</v>
      </c>
      <c r="K24" s="327">
        <f>IF(I24&lt;0,($G$6+I24)/$G$6,0)</f>
        <v>0</v>
      </c>
      <c r="L24" s="327">
        <f t="shared" si="3"/>
        <v>0</v>
      </c>
      <c r="M24" s="330">
        <f t="shared" si="1"/>
        <v>70.2</v>
      </c>
    </row>
    <row r="25" spans="2:13" s="110" customFormat="1" ht="15" thickBot="1">
      <c r="B25" s="329">
        <f>B11</f>
        <v>-1</v>
      </c>
      <c r="C25" s="327">
        <f>C11</f>
        <v>2165</v>
      </c>
      <c r="D25" s="327">
        <f>IF(B25&lt;0,($G$6+B25)/$G$6,0)</f>
        <v>0.9</v>
      </c>
      <c r="E25" s="327">
        <f>C25*D25</f>
        <v>1948.5</v>
      </c>
      <c r="F25" s="330">
        <f t="shared" ref="F25:F34" si="6">IF(B25&lt;0,C25/$G$6,0)</f>
        <v>216.5</v>
      </c>
      <c r="G25" s="109"/>
      <c r="H25" s="109"/>
      <c r="I25" s="643" t="s">
        <v>236</v>
      </c>
      <c r="J25" s="644"/>
      <c r="K25" s="644"/>
      <c r="L25" s="338">
        <f>SUM(L14:L24)</f>
        <v>13732.167559178586</v>
      </c>
      <c r="M25" s="339">
        <f>SUM(M15:M24)</f>
        <v>2039.4242929711168</v>
      </c>
    </row>
    <row r="26" spans="2:13" s="110" customFormat="1" ht="15" thickBot="1">
      <c r="B26" s="329">
        <f t="shared" ref="B26:C34" si="7">B12</f>
        <v>-2</v>
      </c>
      <c r="C26" s="327">
        <f t="shared" si="7"/>
        <v>2815</v>
      </c>
      <c r="D26" s="327">
        <f>IF(B26&lt;0,($G$6+B26)/$G$6,0)</f>
        <v>0.8</v>
      </c>
      <c r="E26" s="327">
        <f t="shared" ref="E26:E34" si="8">C26*D26</f>
        <v>2252</v>
      </c>
      <c r="F26" s="330">
        <f t="shared" si="6"/>
        <v>281.5</v>
      </c>
      <c r="G26" s="109"/>
      <c r="H26" s="109"/>
      <c r="I26" s="332" t="s">
        <v>237</v>
      </c>
      <c r="J26" s="333"/>
      <c r="K26" s="333"/>
      <c r="L26" s="333"/>
      <c r="M26" s="334">
        <f>(1+M25/E37-1)^(1/5)-1</f>
        <v>0.12994239162707499</v>
      </c>
    </row>
    <row r="27" spans="2:13" s="110" customFormat="1" ht="15" thickBot="1">
      <c r="B27" s="329">
        <f t="shared" si="7"/>
        <v>-3</v>
      </c>
      <c r="C27" s="327">
        <f t="shared" si="7"/>
        <v>1238</v>
      </c>
      <c r="D27" s="327">
        <f>IF(B27&lt;0,($G$6+B27)/$G$6,0)</f>
        <v>0.7</v>
      </c>
      <c r="E27" s="327">
        <f t="shared" si="8"/>
        <v>866.59999999999991</v>
      </c>
      <c r="F27" s="330">
        <f t="shared" si="6"/>
        <v>123.8</v>
      </c>
      <c r="G27" s="109"/>
      <c r="H27" s="109"/>
      <c r="I27" s="335" t="s">
        <v>279</v>
      </c>
      <c r="J27" s="336"/>
      <c r="K27" s="336"/>
      <c r="L27" s="336"/>
      <c r="M27" s="337">
        <f>(1+L25/E35-1)^(1/5)-1</f>
        <v>8.9874657943553649E-2</v>
      </c>
    </row>
    <row r="28" spans="2:13" s="110" customFormat="1" ht="15" thickBot="1">
      <c r="B28" s="329">
        <f t="shared" si="7"/>
        <v>-4</v>
      </c>
      <c r="C28" s="327">
        <f t="shared" si="7"/>
        <v>1044</v>
      </c>
      <c r="D28" s="327">
        <f t="shared" ref="D28:D33" si="9">IF(B28&lt;0,($G$6+B28)/$G$6,0)</f>
        <v>0.6</v>
      </c>
      <c r="E28" s="327">
        <f t="shared" si="8"/>
        <v>626.4</v>
      </c>
      <c r="F28" s="330">
        <f t="shared" si="6"/>
        <v>104.4</v>
      </c>
      <c r="G28" s="109"/>
      <c r="H28" s="109"/>
      <c r="I28" s="109"/>
      <c r="J28" s="109"/>
    </row>
    <row r="29" spans="2:13" s="110" customFormat="1" ht="15" thickBot="1">
      <c r="B29" s="329">
        <f t="shared" si="7"/>
        <v>-5</v>
      </c>
      <c r="C29" s="327">
        <f t="shared" si="7"/>
        <v>702</v>
      </c>
      <c r="D29" s="327">
        <f t="shared" si="9"/>
        <v>0.5</v>
      </c>
      <c r="E29" s="327">
        <f t="shared" si="8"/>
        <v>351</v>
      </c>
      <c r="F29" s="330">
        <f t="shared" si="6"/>
        <v>70.2</v>
      </c>
      <c r="G29" s="109"/>
      <c r="H29" s="109"/>
      <c r="I29" s="109"/>
      <c r="J29" s="109"/>
      <c r="M29" s="112"/>
    </row>
    <row r="30" spans="2:13" s="110" customFormat="1" ht="15" thickBot="1">
      <c r="B30" s="329">
        <f t="shared" si="7"/>
        <v>-6</v>
      </c>
      <c r="C30" s="327">
        <f t="shared" si="7"/>
        <v>609</v>
      </c>
      <c r="D30" s="327">
        <f t="shared" si="9"/>
        <v>0.4</v>
      </c>
      <c r="E30" s="327">
        <f t="shared" si="8"/>
        <v>243.60000000000002</v>
      </c>
      <c r="F30" s="330">
        <f t="shared" si="6"/>
        <v>60.9</v>
      </c>
      <c r="G30" s="109"/>
      <c r="H30" s="109"/>
      <c r="I30" s="109"/>
      <c r="J30" s="113"/>
    </row>
    <row r="31" spans="2:13" s="110" customFormat="1" ht="15" thickBot="1">
      <c r="B31" s="329">
        <f t="shared" si="7"/>
        <v>-7</v>
      </c>
      <c r="C31" s="327">
        <f t="shared" si="7"/>
        <v>626</v>
      </c>
      <c r="D31" s="327">
        <f t="shared" si="9"/>
        <v>0.3</v>
      </c>
      <c r="E31" s="327">
        <f t="shared" si="8"/>
        <v>187.79999999999998</v>
      </c>
      <c r="F31" s="330">
        <f t="shared" si="6"/>
        <v>62.6</v>
      </c>
      <c r="G31" s="109"/>
      <c r="H31" s="109"/>
      <c r="I31" s="109"/>
      <c r="J31" s="114"/>
    </row>
    <row r="32" spans="2:13" s="110" customFormat="1" ht="15" thickBot="1">
      <c r="B32" s="329">
        <f t="shared" si="7"/>
        <v>-8</v>
      </c>
      <c r="C32" s="327">
        <f t="shared" si="7"/>
        <v>651</v>
      </c>
      <c r="D32" s="327">
        <f t="shared" si="9"/>
        <v>0.2</v>
      </c>
      <c r="E32" s="327">
        <f t="shared" si="8"/>
        <v>130.20000000000002</v>
      </c>
      <c r="F32" s="330">
        <f t="shared" si="6"/>
        <v>65.099999999999994</v>
      </c>
      <c r="G32" s="109"/>
      <c r="H32" s="109"/>
      <c r="I32" s="109"/>
      <c r="J32" s="109"/>
    </row>
    <row r="33" spans="2:13" s="110" customFormat="1" ht="15" thickBot="1">
      <c r="B33" s="329">
        <f t="shared" si="7"/>
        <v>-9</v>
      </c>
      <c r="C33" s="327">
        <f t="shared" si="7"/>
        <v>610</v>
      </c>
      <c r="D33" s="327">
        <f t="shared" si="9"/>
        <v>0.1</v>
      </c>
      <c r="E33" s="327">
        <f t="shared" si="8"/>
        <v>61</v>
      </c>
      <c r="F33" s="330">
        <f t="shared" si="6"/>
        <v>61</v>
      </c>
      <c r="G33" s="109"/>
      <c r="H33" s="109"/>
      <c r="I33" s="109"/>
      <c r="J33" s="109"/>
    </row>
    <row r="34" spans="2:13" s="110" customFormat="1" ht="16" customHeight="1" thickBot="1">
      <c r="B34" s="329">
        <f t="shared" si="7"/>
        <v>-10</v>
      </c>
      <c r="C34" s="327">
        <f t="shared" si="7"/>
        <v>612</v>
      </c>
      <c r="D34" s="327">
        <f>IF(B34&lt;0,($G$6+B34)/$G$6,0)</f>
        <v>0</v>
      </c>
      <c r="E34" s="327">
        <f t="shared" si="8"/>
        <v>0</v>
      </c>
      <c r="F34" s="330">
        <f t="shared" si="6"/>
        <v>61.2</v>
      </c>
      <c r="G34" s="109"/>
      <c r="H34" s="109"/>
      <c r="I34" s="109"/>
      <c r="J34" s="109"/>
    </row>
    <row r="35" spans="2:13" ht="15" thickBot="1">
      <c r="B35" s="107" t="s">
        <v>89</v>
      </c>
      <c r="E35" s="331">
        <f>SUM(E24:E34)</f>
        <v>8930.1</v>
      </c>
      <c r="F35" s="330">
        <f>SUM(F25:F34)</f>
        <v>1107.2</v>
      </c>
    </row>
    <row r="36" spans="2:13" ht="15" thickBot="1"/>
    <row r="37" spans="2:13" ht="15" thickBot="1">
      <c r="B37" s="107" t="s">
        <v>90</v>
      </c>
      <c r="E37" s="331">
        <f>F35</f>
        <v>1107.2</v>
      </c>
    </row>
    <row r="38" spans="2:13" ht="15" thickBot="1"/>
    <row r="39" spans="2:13" ht="15" thickBot="1">
      <c r="B39" s="107" t="s">
        <v>91</v>
      </c>
      <c r="E39" s="331">
        <f>G7-E37</f>
        <v>1155.8</v>
      </c>
      <c r="F39" s="107" t="s">
        <v>92</v>
      </c>
      <c r="M39" s="115">
        <f>E39/G7</f>
        <v>0.51073795846221826</v>
      </c>
    </row>
    <row r="40" spans="2:13" ht="15" thickBot="1">
      <c r="B40" s="107" t="s">
        <v>93</v>
      </c>
      <c r="E40" s="340">
        <f>(G7-E37)*'5.1 Free Cash Flow'!I38</f>
        <v>462.32</v>
      </c>
    </row>
    <row r="43" spans="2:13" s="116" customFormat="1">
      <c r="B43" s="351" t="s">
        <v>94</v>
      </c>
      <c r="C43" s="351"/>
      <c r="D43" s="351"/>
      <c r="E43" s="351"/>
      <c r="F43" s="351"/>
      <c r="G43" s="351"/>
    </row>
    <row r="44" spans="2:13">
      <c r="B44" s="117" t="s">
        <v>95</v>
      </c>
      <c r="C44" s="117" t="s">
        <v>96</v>
      </c>
    </row>
    <row r="45" spans="2:13">
      <c r="B45" s="107" t="s">
        <v>97</v>
      </c>
      <c r="C45" s="107">
        <v>2</v>
      </c>
    </row>
    <row r="46" spans="2:13">
      <c r="B46" s="107" t="s">
        <v>98</v>
      </c>
      <c r="C46" s="107">
        <v>10</v>
      </c>
      <c r="E46" s="107" t="s">
        <v>99</v>
      </c>
      <c r="G46" s="107" t="s">
        <v>100</v>
      </c>
    </row>
    <row r="47" spans="2:13">
      <c r="B47" s="107" t="s">
        <v>101</v>
      </c>
      <c r="C47" s="107">
        <v>10</v>
      </c>
      <c r="E47" s="107" t="s">
        <v>102</v>
      </c>
      <c r="G47" s="107" t="s">
        <v>103</v>
      </c>
    </row>
    <row r="48" spans="2:13">
      <c r="B48" s="107" t="s">
        <v>104</v>
      </c>
      <c r="C48" s="107">
        <v>5</v>
      </c>
      <c r="E48" s="107" t="s">
        <v>105</v>
      </c>
      <c r="G48" s="107" t="s">
        <v>106</v>
      </c>
    </row>
    <row r="49" spans="2:7">
      <c r="B49" s="107" t="s">
        <v>107</v>
      </c>
      <c r="C49" s="107">
        <v>3</v>
      </c>
      <c r="E49" s="107" t="s">
        <v>108</v>
      </c>
      <c r="G49" s="107" t="s">
        <v>109</v>
      </c>
    </row>
    <row r="50" spans="2:7">
      <c r="B50" s="107" t="s">
        <v>110</v>
      </c>
      <c r="C50" s="107">
        <v>10</v>
      </c>
      <c r="E50" s="107" t="s">
        <v>111</v>
      </c>
      <c r="G50" s="107" t="s">
        <v>109</v>
      </c>
    </row>
    <row r="51" spans="2:7">
      <c r="B51" s="107" t="s">
        <v>112</v>
      </c>
      <c r="C51" s="107">
        <v>5</v>
      </c>
      <c r="E51" s="107" t="s">
        <v>113</v>
      </c>
      <c r="G51" s="107" t="s">
        <v>109</v>
      </c>
    </row>
    <row r="52" spans="2:7">
      <c r="B52" s="107" t="s">
        <v>114</v>
      </c>
      <c r="C52" s="107">
        <v>5</v>
      </c>
    </row>
    <row r="53" spans="2:7">
      <c r="B53" s="107" t="s">
        <v>115</v>
      </c>
      <c r="C53" s="107">
        <v>2</v>
      </c>
    </row>
    <row r="54" spans="2:7">
      <c r="B54" s="107" t="s">
        <v>116</v>
      </c>
      <c r="C54" s="107">
        <v>2</v>
      </c>
    </row>
    <row r="55" spans="2:7">
      <c r="B55" s="107" t="s">
        <v>117</v>
      </c>
      <c r="C55" s="107">
        <v>2</v>
      </c>
    </row>
    <row r="56" spans="2:7">
      <c r="B56" s="107" t="s">
        <v>118</v>
      </c>
      <c r="C56" s="107">
        <v>2</v>
      </c>
    </row>
    <row r="57" spans="2:7">
      <c r="B57" s="107" t="s">
        <v>119</v>
      </c>
      <c r="C57" s="107">
        <v>3</v>
      </c>
    </row>
    <row r="58" spans="2:7">
      <c r="B58" s="107" t="s">
        <v>120</v>
      </c>
      <c r="C58" s="107">
        <v>3</v>
      </c>
    </row>
    <row r="59" spans="2:7">
      <c r="B59" s="107" t="s">
        <v>121</v>
      </c>
      <c r="C59" s="107">
        <v>5</v>
      </c>
    </row>
    <row r="60" spans="2:7">
      <c r="B60" s="107" t="s">
        <v>122</v>
      </c>
      <c r="C60" s="107">
        <v>10</v>
      </c>
    </row>
    <row r="61" spans="2:7">
      <c r="B61" s="107" t="s">
        <v>123</v>
      </c>
      <c r="C61" s="107">
        <v>10</v>
      </c>
    </row>
    <row r="62" spans="2:7">
      <c r="B62" s="107" t="s">
        <v>124</v>
      </c>
      <c r="C62" s="107">
        <v>10</v>
      </c>
    </row>
    <row r="63" spans="2:7">
      <c r="B63" s="107" t="s">
        <v>125</v>
      </c>
      <c r="C63" s="107">
        <v>10</v>
      </c>
    </row>
    <row r="64" spans="2:7">
      <c r="B64" s="107" t="s">
        <v>126</v>
      </c>
      <c r="C64" s="107">
        <v>10</v>
      </c>
    </row>
    <row r="65" spans="2:3">
      <c r="B65" s="107" t="s">
        <v>127</v>
      </c>
      <c r="C65" s="107">
        <v>10</v>
      </c>
    </row>
    <row r="66" spans="2:3">
      <c r="B66" s="107" t="s">
        <v>128</v>
      </c>
      <c r="C66" s="107">
        <v>5</v>
      </c>
    </row>
    <row r="67" spans="2:3">
      <c r="B67" s="107" t="s">
        <v>129</v>
      </c>
      <c r="C67" s="107">
        <v>5</v>
      </c>
    </row>
    <row r="68" spans="2:3">
      <c r="B68" s="107" t="s">
        <v>130</v>
      </c>
      <c r="C68" s="107">
        <v>3</v>
      </c>
    </row>
    <row r="69" spans="2:3">
      <c r="B69" s="107" t="s">
        <v>131</v>
      </c>
      <c r="C69" s="107">
        <v>5</v>
      </c>
    </row>
    <row r="70" spans="2:3">
      <c r="B70" s="107" t="s">
        <v>132</v>
      </c>
      <c r="C70" s="107">
        <v>5</v>
      </c>
    </row>
    <row r="71" spans="2:3">
      <c r="B71" s="107" t="s">
        <v>133</v>
      </c>
      <c r="C71" s="107">
        <v>10</v>
      </c>
    </row>
    <row r="72" spans="2:3">
      <c r="B72" s="107" t="s">
        <v>134</v>
      </c>
      <c r="C72" s="107">
        <v>3</v>
      </c>
    </row>
    <row r="73" spans="2:3">
      <c r="B73" s="107" t="s">
        <v>135</v>
      </c>
      <c r="C73" s="107">
        <v>3</v>
      </c>
    </row>
    <row r="74" spans="2:3">
      <c r="B74" s="107" t="s">
        <v>136</v>
      </c>
      <c r="C74" s="107">
        <v>10</v>
      </c>
    </row>
    <row r="75" spans="2:3">
      <c r="B75" s="107" t="s">
        <v>137</v>
      </c>
      <c r="C75" s="107">
        <v>10</v>
      </c>
    </row>
    <row r="76" spans="2:3">
      <c r="B76" s="107" t="s">
        <v>138</v>
      </c>
      <c r="C76" s="107">
        <v>10</v>
      </c>
    </row>
    <row r="77" spans="2:3">
      <c r="B77" s="107" t="s">
        <v>139</v>
      </c>
      <c r="C77" s="107">
        <v>10</v>
      </c>
    </row>
    <row r="78" spans="2:3">
      <c r="B78" s="107" t="s">
        <v>140</v>
      </c>
      <c r="C78" s="107">
        <v>5</v>
      </c>
    </row>
    <row r="79" spans="2:3">
      <c r="B79" s="107" t="s">
        <v>141</v>
      </c>
      <c r="C79" s="107">
        <v>3</v>
      </c>
    </row>
    <row r="80" spans="2:3">
      <c r="B80" s="107" t="s">
        <v>142</v>
      </c>
      <c r="C80" s="107">
        <v>5</v>
      </c>
    </row>
    <row r="81" spans="2:3">
      <c r="B81" s="107" t="s">
        <v>143</v>
      </c>
      <c r="C81" s="107">
        <v>2</v>
      </c>
    </row>
    <row r="82" spans="2:3">
      <c r="B82" s="107" t="s">
        <v>144</v>
      </c>
      <c r="C82" s="107">
        <v>3</v>
      </c>
    </row>
    <row r="83" spans="2:3">
      <c r="B83" s="107" t="s">
        <v>145</v>
      </c>
      <c r="C83" s="107">
        <v>3</v>
      </c>
    </row>
    <row r="84" spans="2:3">
      <c r="B84" s="107" t="s">
        <v>146</v>
      </c>
      <c r="C84" s="107">
        <v>5</v>
      </c>
    </row>
    <row r="85" spans="2:3">
      <c r="B85" s="107" t="s">
        <v>147</v>
      </c>
      <c r="C85" s="107">
        <v>10</v>
      </c>
    </row>
    <row r="86" spans="2:3">
      <c r="B86" s="107" t="s">
        <v>148</v>
      </c>
      <c r="C86" s="107">
        <v>3</v>
      </c>
    </row>
    <row r="87" spans="2:3">
      <c r="B87" s="107" t="s">
        <v>149</v>
      </c>
      <c r="C87" s="107">
        <v>5</v>
      </c>
    </row>
    <row r="88" spans="2:3">
      <c r="B88" s="107" t="s">
        <v>150</v>
      </c>
      <c r="C88" s="107">
        <v>2</v>
      </c>
    </row>
    <row r="89" spans="2:3">
      <c r="B89" s="107" t="s">
        <v>151</v>
      </c>
      <c r="C89" s="107">
        <v>3</v>
      </c>
    </row>
    <row r="90" spans="2:3">
      <c r="B90" s="107" t="s">
        <v>152</v>
      </c>
      <c r="C90" s="107">
        <v>5</v>
      </c>
    </row>
    <row r="91" spans="2:3">
      <c r="B91" s="107" t="s">
        <v>153</v>
      </c>
      <c r="C91" s="107">
        <v>5</v>
      </c>
    </row>
    <row r="92" spans="2:3">
      <c r="B92" s="107" t="s">
        <v>154</v>
      </c>
      <c r="C92" s="107">
        <v>3</v>
      </c>
    </row>
    <row r="93" spans="2:3">
      <c r="B93" s="107" t="s">
        <v>155</v>
      </c>
      <c r="C93" s="107">
        <v>3</v>
      </c>
    </row>
    <row r="94" spans="2:3">
      <c r="B94" s="107" t="s">
        <v>156</v>
      </c>
      <c r="C94" s="107">
        <v>3</v>
      </c>
    </row>
    <row r="95" spans="2:3">
      <c r="B95" s="107" t="s">
        <v>157</v>
      </c>
      <c r="C95" s="107">
        <v>3</v>
      </c>
    </row>
    <row r="96" spans="2:3">
      <c r="B96" s="107" t="s">
        <v>158</v>
      </c>
      <c r="C96" s="107">
        <v>3</v>
      </c>
    </row>
    <row r="97" spans="2:3">
      <c r="B97" s="107" t="s">
        <v>159</v>
      </c>
      <c r="C97" s="107">
        <v>3</v>
      </c>
    </row>
    <row r="98" spans="2:3">
      <c r="B98" s="107" t="s">
        <v>160</v>
      </c>
      <c r="C98" s="107">
        <v>3</v>
      </c>
    </row>
    <row r="99" spans="2:3">
      <c r="B99" s="107" t="s">
        <v>161</v>
      </c>
      <c r="C99" s="107">
        <v>3</v>
      </c>
    </row>
    <row r="100" spans="2:3">
      <c r="B100" s="107" t="s">
        <v>162</v>
      </c>
      <c r="C100" s="107">
        <v>3</v>
      </c>
    </row>
    <row r="101" spans="2:3">
      <c r="B101" s="107" t="s">
        <v>163</v>
      </c>
      <c r="C101" s="107">
        <v>3</v>
      </c>
    </row>
    <row r="102" spans="2:3">
      <c r="B102" s="107" t="s">
        <v>164</v>
      </c>
      <c r="C102" s="107">
        <v>10</v>
      </c>
    </row>
    <row r="103" spans="2:3">
      <c r="B103" s="107" t="s">
        <v>165</v>
      </c>
      <c r="C103" s="107">
        <v>5</v>
      </c>
    </row>
    <row r="104" spans="2:3">
      <c r="B104" s="107" t="s">
        <v>166</v>
      </c>
      <c r="C104" s="107">
        <v>10</v>
      </c>
    </row>
    <row r="105" spans="2:3">
      <c r="B105" s="107" t="s">
        <v>167</v>
      </c>
      <c r="C105" s="107">
        <v>3</v>
      </c>
    </row>
    <row r="106" spans="2:3">
      <c r="B106" s="107" t="s">
        <v>168</v>
      </c>
      <c r="C106" s="107">
        <v>5</v>
      </c>
    </row>
    <row r="107" spans="2:3">
      <c r="B107" s="107" t="s">
        <v>169</v>
      </c>
      <c r="C107" s="107">
        <v>10</v>
      </c>
    </row>
    <row r="108" spans="2:3">
      <c r="B108" s="107" t="s">
        <v>170</v>
      </c>
      <c r="C108" s="107">
        <v>5</v>
      </c>
    </row>
    <row r="109" spans="2:3">
      <c r="B109" s="107" t="s">
        <v>171</v>
      </c>
      <c r="C109" s="107">
        <v>10</v>
      </c>
    </row>
    <row r="110" spans="2:3">
      <c r="B110" s="107" t="s">
        <v>172</v>
      </c>
      <c r="C110" s="107">
        <v>10</v>
      </c>
    </row>
    <row r="111" spans="2:3">
      <c r="B111" s="107" t="s">
        <v>173</v>
      </c>
      <c r="C111" s="107">
        <v>3</v>
      </c>
    </row>
    <row r="112" spans="2:3">
      <c r="B112" s="107" t="s">
        <v>174</v>
      </c>
      <c r="C112" s="107">
        <v>5</v>
      </c>
    </row>
    <row r="113" spans="2:3">
      <c r="B113" s="107" t="s">
        <v>175</v>
      </c>
      <c r="C113" s="107">
        <v>5</v>
      </c>
    </row>
    <row r="114" spans="2:3">
      <c r="B114" s="107" t="s">
        <v>176</v>
      </c>
      <c r="C114" s="107">
        <v>5</v>
      </c>
    </row>
    <row r="115" spans="2:3">
      <c r="B115" s="107" t="s">
        <v>177</v>
      </c>
      <c r="C115" s="107">
        <v>10</v>
      </c>
    </row>
    <row r="116" spans="2:3">
      <c r="B116" s="107" t="s">
        <v>178</v>
      </c>
      <c r="C116" s="107">
        <v>5</v>
      </c>
    </row>
    <row r="117" spans="2:3">
      <c r="B117" s="107" t="s">
        <v>179</v>
      </c>
      <c r="C117" s="107">
        <v>5</v>
      </c>
    </row>
    <row r="118" spans="2:3">
      <c r="B118" s="107" t="s">
        <v>180</v>
      </c>
      <c r="C118" s="107">
        <v>5</v>
      </c>
    </row>
    <row r="119" spans="2:3">
      <c r="B119" s="107" t="s">
        <v>181</v>
      </c>
      <c r="C119" s="107">
        <v>3</v>
      </c>
    </row>
    <row r="120" spans="2:3">
      <c r="B120" s="107" t="s">
        <v>182</v>
      </c>
      <c r="C120" s="107">
        <v>3</v>
      </c>
    </row>
    <row r="121" spans="2:3">
      <c r="B121" s="107" t="s">
        <v>183</v>
      </c>
      <c r="C121" s="107">
        <v>5</v>
      </c>
    </row>
    <row r="122" spans="2:3">
      <c r="B122" s="107" t="s">
        <v>184</v>
      </c>
      <c r="C122" s="107">
        <v>5</v>
      </c>
    </row>
    <row r="123" spans="2:3">
      <c r="B123" s="107" t="s">
        <v>185</v>
      </c>
      <c r="C123" s="107">
        <v>2</v>
      </c>
    </row>
    <row r="124" spans="2:3">
      <c r="B124" s="107" t="s">
        <v>186</v>
      </c>
      <c r="C124" s="107">
        <v>2</v>
      </c>
    </row>
    <row r="125" spans="2:3">
      <c r="B125" s="107" t="s">
        <v>187</v>
      </c>
      <c r="C125" s="107">
        <v>2</v>
      </c>
    </row>
    <row r="126" spans="2:3">
      <c r="B126" s="107" t="s">
        <v>188</v>
      </c>
      <c r="C126" s="107">
        <v>2</v>
      </c>
    </row>
    <row r="127" spans="2:3">
      <c r="B127" s="107" t="s">
        <v>189</v>
      </c>
      <c r="C127" s="107">
        <v>2</v>
      </c>
    </row>
    <row r="128" spans="2:3">
      <c r="B128" s="107" t="s">
        <v>190</v>
      </c>
      <c r="C128" s="107">
        <v>5</v>
      </c>
    </row>
    <row r="129" spans="2:3">
      <c r="B129" s="107" t="s">
        <v>191</v>
      </c>
      <c r="C129" s="107">
        <v>5</v>
      </c>
    </row>
    <row r="130" spans="2:3">
      <c r="B130" s="107" t="s">
        <v>192</v>
      </c>
      <c r="C130" s="107">
        <v>3</v>
      </c>
    </row>
    <row r="131" spans="2:3">
      <c r="B131" s="107" t="s">
        <v>193</v>
      </c>
      <c r="C131" s="107">
        <v>5</v>
      </c>
    </row>
    <row r="132" spans="2:3">
      <c r="B132" s="107" t="s">
        <v>194</v>
      </c>
      <c r="C132" s="107">
        <v>5</v>
      </c>
    </row>
    <row r="133" spans="2:3">
      <c r="B133" s="107" t="s">
        <v>195</v>
      </c>
      <c r="C133" s="107">
        <v>10</v>
      </c>
    </row>
    <row r="134" spans="2:3">
      <c r="B134" s="107" t="s">
        <v>196</v>
      </c>
      <c r="C134" s="107">
        <v>5</v>
      </c>
    </row>
    <row r="135" spans="2:3">
      <c r="B135" s="107" t="s">
        <v>197</v>
      </c>
      <c r="C135" s="107">
        <v>5</v>
      </c>
    </row>
    <row r="136" spans="2:3">
      <c r="B136" s="107" t="s">
        <v>198</v>
      </c>
      <c r="C136" s="107">
        <v>2</v>
      </c>
    </row>
    <row r="137" spans="2:3">
      <c r="B137" s="107" t="s">
        <v>199</v>
      </c>
      <c r="C137" s="107">
        <v>5</v>
      </c>
    </row>
    <row r="138" spans="2:3">
      <c r="B138" s="107" t="s">
        <v>200</v>
      </c>
      <c r="C138" s="107">
        <v>5</v>
      </c>
    </row>
    <row r="139" spans="2:3">
      <c r="B139" s="107" t="s">
        <v>201</v>
      </c>
      <c r="C139" s="107">
        <v>3</v>
      </c>
    </row>
    <row r="140" spans="2:3">
      <c r="B140" s="107" t="s">
        <v>202</v>
      </c>
      <c r="C140" s="107">
        <v>5</v>
      </c>
    </row>
    <row r="141" spans="2:3">
      <c r="B141" s="107" t="s">
        <v>203</v>
      </c>
      <c r="C141" s="107">
        <v>10</v>
      </c>
    </row>
    <row r="142" spans="2:3">
      <c r="B142" s="107" t="s">
        <v>204</v>
      </c>
      <c r="C142" s="107">
        <v>10</v>
      </c>
    </row>
  </sheetData>
  <mergeCells count="2">
    <mergeCell ref="K13:L13"/>
    <mergeCell ref="I25:K25"/>
  </mergeCells>
  <phoneticPr fontId="17" type="noConversion"/>
  <conditionalFormatting sqref="C11:C20">
    <cfRule type="cellIs" dxfId="1" priority="1" stopIfTrue="1" operator="equal">
      <formula>0</formula>
    </cfRule>
  </conditionalFormatting>
  <pageMargins left="0.78740157499999996" right="0.78740157499999996" top="0.984251969" bottom="0.984251969" header="0.5" footer="0.5"/>
  <pageSetup orientation="landscape" horizontalDpi="4294967292" verticalDpi="4294967292" r:id="rId1"/>
  <headerFooter alignWithMargins="0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A6070-2548-4D4D-86F4-71E7C7BD65E3}">
  <sheetPr>
    <tabColor theme="4"/>
  </sheetPr>
  <dimension ref="A1"/>
  <sheetViews>
    <sheetView workbookViewId="0">
      <selection activeCell="B15" sqref="B15"/>
    </sheetView>
  </sheetViews>
  <sheetFormatPr baseColWidth="10" defaultColWidth="11.5" defaultRowHeight="15"/>
  <cols>
    <col min="1" max="16384" width="11.5" style="36"/>
  </cols>
  <sheetData/>
  <phoneticPr fontId="17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/>
  </sheetPr>
  <dimension ref="B2:Y83"/>
  <sheetViews>
    <sheetView showGridLines="0" topLeftCell="A4" zoomScale="80" zoomScaleNormal="80" workbookViewId="0">
      <selection activeCell="Q21" sqref="Q21"/>
    </sheetView>
  </sheetViews>
  <sheetFormatPr baseColWidth="10" defaultColWidth="11.5" defaultRowHeight="15"/>
  <cols>
    <col min="1" max="1" width="19.5" style="37" customWidth="1"/>
    <col min="2" max="3" width="11.5" style="37"/>
    <col min="4" max="4" width="5.5" style="37" customWidth="1"/>
    <col min="5" max="5" width="12" style="37" customWidth="1"/>
    <col min="6" max="10" width="11.5" style="37"/>
    <col min="11" max="11" width="11.5" style="37" customWidth="1"/>
    <col min="12" max="15" width="13.83203125" style="37" bestFit="1" customWidth="1"/>
    <col min="16" max="16" width="14.83203125" style="37" bestFit="1" customWidth="1"/>
    <col min="17" max="20" width="11.5" style="37"/>
    <col min="21" max="21" width="14.1640625" style="37" customWidth="1"/>
    <col min="22" max="16384" width="11.5" style="37"/>
  </cols>
  <sheetData>
    <row r="2" spans="2:23" ht="21">
      <c r="B2" s="446" t="s">
        <v>717</v>
      </c>
      <c r="C2" s="447"/>
    </row>
    <row r="6" spans="2:23" ht="16" thickBot="1"/>
    <row r="7" spans="2:23">
      <c r="B7" s="156"/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8"/>
    </row>
    <row r="8" spans="2:23" ht="20" thickBot="1">
      <c r="B8" s="159" t="s">
        <v>25</v>
      </c>
      <c r="C8" s="155"/>
      <c r="D8" s="155"/>
      <c r="E8" s="74" t="s">
        <v>26</v>
      </c>
      <c r="F8" s="74"/>
      <c r="G8" s="74" t="s">
        <v>27</v>
      </c>
      <c r="H8" s="74"/>
      <c r="I8" s="74"/>
      <c r="J8" s="390"/>
      <c r="K8" s="74"/>
      <c r="L8" s="75"/>
      <c r="M8" s="75"/>
      <c r="N8" s="75"/>
      <c r="O8" s="75"/>
      <c r="P8" s="160"/>
      <c r="Q8" s="39"/>
    </row>
    <row r="9" spans="2:23" ht="16" thickBot="1">
      <c r="B9" s="161" t="s">
        <v>731</v>
      </c>
      <c r="C9" s="162"/>
      <c r="D9" s="162"/>
      <c r="E9" s="163">
        <v>1997</v>
      </c>
      <c r="F9" s="163">
        <v>1998</v>
      </c>
      <c r="G9" s="163">
        <v>1999</v>
      </c>
      <c r="H9" s="163">
        <v>2000</v>
      </c>
      <c r="I9" s="163">
        <v>2001</v>
      </c>
      <c r="J9" s="391" t="s">
        <v>57</v>
      </c>
      <c r="K9" s="360">
        <v>2001</v>
      </c>
      <c r="L9" s="162">
        <v>2002</v>
      </c>
      <c r="M9" s="162">
        <v>2003</v>
      </c>
      <c r="N9" s="162">
        <v>2004</v>
      </c>
      <c r="O9" s="162">
        <v>2005</v>
      </c>
      <c r="P9" s="164">
        <v>2006</v>
      </c>
      <c r="Q9" s="40"/>
    </row>
    <row r="10" spans="2:23" ht="16" thickBot="1">
      <c r="J10" s="392"/>
      <c r="Q10" s="39"/>
      <c r="W10" s="42"/>
    </row>
    <row r="11" spans="2:23" ht="17" thickBot="1">
      <c r="C11" s="177" t="s">
        <v>56</v>
      </c>
      <c r="D11" s="178"/>
      <c r="E11" s="380"/>
      <c r="F11" s="381"/>
      <c r="G11" s="381"/>
      <c r="H11" s="381"/>
      <c r="I11" s="381"/>
      <c r="J11" s="427"/>
      <c r="K11" s="381"/>
      <c r="L11" s="381"/>
      <c r="M11" s="381"/>
      <c r="N11" s="381"/>
      <c r="O11" s="381"/>
      <c r="P11" s="382"/>
      <c r="Q11" s="38"/>
      <c r="W11" s="42"/>
    </row>
    <row r="12" spans="2:23">
      <c r="C12" s="361"/>
      <c r="D12" s="50"/>
      <c r="E12" s="50"/>
      <c r="F12" s="50"/>
      <c r="G12" s="50"/>
      <c r="H12" s="50"/>
      <c r="I12" s="50"/>
      <c r="J12" s="393"/>
      <c r="K12" s="50"/>
      <c r="L12" s="50"/>
      <c r="M12" s="50"/>
      <c r="N12" s="50"/>
      <c r="O12" s="50"/>
      <c r="P12" s="362"/>
      <c r="Q12" s="40"/>
      <c r="W12" s="43"/>
    </row>
    <row r="13" spans="2:23">
      <c r="C13" s="187"/>
      <c r="D13" s="122"/>
      <c r="E13" s="122"/>
      <c r="F13" s="122"/>
      <c r="G13" s="50"/>
      <c r="H13" s="50"/>
      <c r="I13" s="50"/>
      <c r="J13" s="394"/>
      <c r="K13" s="50"/>
      <c r="L13" s="249">
        <v>1</v>
      </c>
      <c r="M13" s="249">
        <v>2</v>
      </c>
      <c r="N13" s="249">
        <v>3</v>
      </c>
      <c r="O13" s="249">
        <v>4</v>
      </c>
      <c r="P13" s="363">
        <v>5</v>
      </c>
      <c r="Q13" s="39"/>
    </row>
    <row r="14" spans="2:23" ht="16" thickBot="1">
      <c r="C14" s="208"/>
      <c r="D14" s="122"/>
      <c r="E14" s="122"/>
      <c r="F14" s="122"/>
      <c r="G14" s="122"/>
      <c r="H14" s="122"/>
      <c r="I14" s="122"/>
      <c r="J14" s="395"/>
      <c r="K14" s="122"/>
      <c r="L14" s="122"/>
      <c r="M14" s="122"/>
      <c r="N14" s="122"/>
      <c r="O14" s="122"/>
      <c r="P14" s="209"/>
    </row>
    <row r="15" spans="2:23" ht="16" thickBot="1">
      <c r="C15" s="260" t="s">
        <v>29</v>
      </c>
      <c r="D15" s="383"/>
      <c r="E15" s="365">
        <f>'3.3 Income Statement'!E11</f>
        <v>1670</v>
      </c>
      <c r="F15" s="365">
        <f>'3.3 Income Statement'!F11</f>
        <v>1120</v>
      </c>
      <c r="G15" s="365">
        <f>'3.3 Income Statement'!G11</f>
        <v>3314</v>
      </c>
      <c r="H15" s="365">
        <f>'3.3 Income Statement'!H11</f>
        <v>2632</v>
      </c>
      <c r="I15" s="365">
        <f>'3.3 Income Statement'!I11</f>
        <v>3102</v>
      </c>
      <c r="J15" s="367">
        <v>0</v>
      </c>
      <c r="K15" s="365">
        <f>I15+J15</f>
        <v>3102</v>
      </c>
      <c r="L15" s="365">
        <f>'3.3 Income Statement'!J11</f>
        <v>5391.6689113575976</v>
      </c>
      <c r="M15" s="365">
        <f>'3.3 Income Statement'!K11</f>
        <v>6509.8047590006372</v>
      </c>
      <c r="N15" s="365">
        <f>'3.3 Income Statement'!L11</f>
        <v>6821.6244069567692</v>
      </c>
      <c r="O15" s="365">
        <f>'3.3 Income Statement'!M11</f>
        <v>7148.3802160499981</v>
      </c>
      <c r="P15" s="365">
        <f>'3.3 Income Statement'!N11</f>
        <v>7490.7876283987944</v>
      </c>
    </row>
    <row r="16" spans="2:23" ht="16" thickBot="1">
      <c r="C16" s="208"/>
      <c r="D16" s="254"/>
      <c r="E16" s="254"/>
      <c r="F16" s="254"/>
      <c r="G16" s="254"/>
      <c r="H16" s="254"/>
      <c r="I16" s="257"/>
      <c r="J16" s="368"/>
      <c r="K16" s="379"/>
      <c r="L16" s="254"/>
      <c r="M16" s="254"/>
      <c r="N16" s="254"/>
      <c r="O16" s="254"/>
      <c r="P16" s="257"/>
    </row>
    <row r="17" spans="3:25" ht="16" thickBot="1">
      <c r="C17" s="384" t="s">
        <v>323</v>
      </c>
      <c r="D17" s="385"/>
      <c r="E17" s="238">
        <f>'3.3 Income Statement'!E14</f>
        <v>-487</v>
      </c>
      <c r="F17" s="238">
        <f>'3.3 Income Statement'!F14</f>
        <v>-518</v>
      </c>
      <c r="G17" s="238">
        <f>'3.3 Income Statement'!G14</f>
        <v>-1145</v>
      </c>
      <c r="H17" s="238">
        <f>'3.3 Income Statement'!H14</f>
        <v>-633</v>
      </c>
      <c r="I17" s="238">
        <f>'3.3 Income Statement'!I14</f>
        <v>-611</v>
      </c>
      <c r="J17" s="369">
        <v>0</v>
      </c>
      <c r="K17" s="238">
        <f>'3.3 Income Statement'!I14</f>
        <v>-611</v>
      </c>
      <c r="L17" s="238">
        <f>'3.3 Income Statement'!J14</f>
        <v>-870.72788600317665</v>
      </c>
      <c r="M17" s="238">
        <f>'3.3 Income Statement'!K14</f>
        <v>-912.43575174272894</v>
      </c>
      <c r="N17" s="238">
        <f>'3.3 Income Statement'!L14</f>
        <v>-956.14142425120565</v>
      </c>
      <c r="O17" s="238">
        <f>'3.3 Income Statement'!M14</f>
        <v>-1001.9405984728385</v>
      </c>
      <c r="P17" s="238">
        <f>'3.3 Income Statement'!N14</f>
        <v>-1049.9335531396875</v>
      </c>
    </row>
    <row r="18" spans="3:25" ht="16" thickBot="1">
      <c r="C18" s="260" t="s">
        <v>32</v>
      </c>
      <c r="D18" s="383"/>
      <c r="E18" s="365">
        <f>SUM(E15+E17)</f>
        <v>1183</v>
      </c>
      <c r="F18" s="365">
        <f>SUM(F15+F17)</f>
        <v>602</v>
      </c>
      <c r="G18" s="365">
        <f>SUM(G15+G17)</f>
        <v>2169</v>
      </c>
      <c r="H18" s="365">
        <f>SUM(H15+H17)</f>
        <v>1999</v>
      </c>
      <c r="I18" s="365">
        <f>SUM(I15+I17)</f>
        <v>2491</v>
      </c>
      <c r="J18" s="369">
        <f>E42+E44+E43</f>
        <v>1621.1776875459889</v>
      </c>
      <c r="K18" s="365">
        <f>I18+J18</f>
        <v>4112.1776875459891</v>
      </c>
      <c r="L18" s="365">
        <f>'3.3 Income Statement'!J15+F42+F43+F44</f>
        <v>6085.3147426768637</v>
      </c>
      <c r="M18" s="365">
        <f>'3.3 Income Statement'!K15+G42+G43+G44</f>
        <v>7092.8324230271992</v>
      </c>
      <c r="N18" s="365">
        <f>'3.3 Income Statement'!L15+H42+H43+H44</f>
        <v>7270.0629175278928</v>
      </c>
      <c r="O18" s="365">
        <f>'3.3 Income Statement'!M15+I42+I43+I44</f>
        <v>7434.6840435775284</v>
      </c>
      <c r="P18" s="365">
        <f>'3.3 Income Statement'!N15+J42+J43+J44</f>
        <v>7583.3501957017161</v>
      </c>
      <c r="S18" s="42"/>
      <c r="T18" s="42"/>
      <c r="X18" s="42"/>
      <c r="Y18" s="42"/>
    </row>
    <row r="19" spans="3:25" ht="16" thickBot="1">
      <c r="C19" s="208"/>
      <c r="D19" s="254"/>
      <c r="E19" s="254"/>
      <c r="F19" s="254"/>
      <c r="G19" s="254"/>
      <c r="H19" s="254"/>
      <c r="I19" s="257"/>
      <c r="J19" s="368"/>
      <c r="K19" s="379"/>
      <c r="L19" s="254"/>
      <c r="M19" s="254"/>
      <c r="N19" s="254"/>
      <c r="O19" s="254"/>
      <c r="P19" s="257"/>
      <c r="S19" s="42"/>
      <c r="T19" s="42"/>
      <c r="X19" s="42"/>
      <c r="Y19" s="42"/>
    </row>
    <row r="20" spans="3:25" ht="16" thickBot="1">
      <c r="C20" s="384" t="s">
        <v>206</v>
      </c>
      <c r="D20" s="385"/>
      <c r="E20" s="251">
        <f>IF($C$20="Marginal tax rate",E38,E37)</f>
        <v>0.19670000000000001</v>
      </c>
      <c r="F20" s="251">
        <f>IF($C$20="Marginal tax rate",F38,F37)</f>
        <v>0.19670000000000001</v>
      </c>
      <c r="G20" s="251">
        <f>IF($C$20="Marginal tax rate",G38,G37)</f>
        <v>0.31190000000000001</v>
      </c>
      <c r="H20" s="251">
        <f>IF($C$20="Marginal tax rate",H38,H37)</f>
        <v>0.22689999999999999</v>
      </c>
      <c r="I20" s="251">
        <f>IF($C$20="Marginal tax rate",I38,I37)</f>
        <v>0.18729999999999999</v>
      </c>
      <c r="J20" s="369">
        <v>0</v>
      </c>
      <c r="K20" s="370">
        <v>0.22</v>
      </c>
      <c r="L20" s="251">
        <v>0.4</v>
      </c>
      <c r="M20" s="251">
        <v>0.4</v>
      </c>
      <c r="N20" s="251">
        <v>0.4</v>
      </c>
      <c r="O20" s="251">
        <v>0.4</v>
      </c>
      <c r="P20" s="251">
        <v>0.4</v>
      </c>
      <c r="S20" s="46"/>
    </row>
    <row r="21" spans="3:25" ht="16" thickBot="1">
      <c r="C21" s="260" t="s">
        <v>59</v>
      </c>
      <c r="D21" s="386"/>
      <c r="E21" s="371">
        <f>E18*(1-E20)</f>
        <v>950.3039</v>
      </c>
      <c r="F21" s="371">
        <f>F18*(1-F20)</f>
        <v>483.58660000000003</v>
      </c>
      <c r="G21" s="371">
        <f>G18*(1-G20)</f>
        <v>1492.4888999999998</v>
      </c>
      <c r="H21" s="371">
        <f>H18*(1-H20)</f>
        <v>1545.4268999999999</v>
      </c>
      <c r="I21" s="371">
        <f>I18*(1-I20)</f>
        <v>2024.4357</v>
      </c>
      <c r="J21" s="372">
        <f>J18*(1-I20)</f>
        <v>1317.5311066686252</v>
      </c>
      <c r="K21" s="373">
        <f>I21+J21</f>
        <v>3341.9668066686254</v>
      </c>
      <c r="L21" s="373">
        <f>L18*(1-L20)</f>
        <v>3651.1888456061183</v>
      </c>
      <c r="M21" s="373">
        <f>M18*(1-M20)</f>
        <v>4255.699453816319</v>
      </c>
      <c r="N21" s="373">
        <f>N18*(1-N20)</f>
        <v>4362.0377505167353</v>
      </c>
      <c r="O21" s="373">
        <f>O18*(1-O20)</f>
        <v>4460.8104261465169</v>
      </c>
      <c r="P21" s="373">
        <f>P18*(1-P20)</f>
        <v>4550.0101174210295</v>
      </c>
      <c r="S21" s="43"/>
    </row>
    <row r="22" spans="3:25" ht="16" thickBot="1">
      <c r="C22" s="361"/>
      <c r="D22" s="253"/>
      <c r="E22" s="253"/>
      <c r="F22" s="253"/>
      <c r="G22" s="253"/>
      <c r="H22" s="253"/>
      <c r="I22" s="256"/>
      <c r="J22" s="368"/>
      <c r="K22" s="255"/>
      <c r="L22" s="253"/>
      <c r="M22" s="253"/>
      <c r="N22" s="253"/>
      <c r="O22" s="253"/>
      <c r="P22" s="256"/>
      <c r="S22" s="47"/>
      <c r="U22" s="39"/>
    </row>
    <row r="23" spans="3:25" ht="16" thickBot="1">
      <c r="C23" s="384" t="s">
        <v>31</v>
      </c>
      <c r="D23" s="385"/>
      <c r="E23" s="238">
        <f>-E17</f>
        <v>487</v>
      </c>
      <c r="F23" s="238">
        <f>-F17</f>
        <v>518</v>
      </c>
      <c r="G23" s="238">
        <f>-G17</f>
        <v>1145</v>
      </c>
      <c r="H23" s="238">
        <f>-H17</f>
        <v>633</v>
      </c>
      <c r="I23" s="238">
        <f>-I17</f>
        <v>611</v>
      </c>
      <c r="J23" s="369">
        <f>E48+E49</f>
        <v>1779.1423124540111</v>
      </c>
      <c r="K23" s="374">
        <f>I23+J23</f>
        <v>2390.1423124540111</v>
      </c>
      <c r="L23" s="375">
        <f>-L17+F48+F49</f>
        <v>2793.7424144666852</v>
      </c>
      <c r="M23" s="375">
        <f>-M17+G48+G49</f>
        <v>2998.0175960526963</v>
      </c>
      <c r="N23" s="375">
        <f>-N17+H48+H49</f>
        <v>3225.4149702291147</v>
      </c>
      <c r="O23" s="375">
        <f>-O17+I48+I49</f>
        <v>3478.7751851554685</v>
      </c>
      <c r="P23" s="375">
        <f>-P17+J48+J49</f>
        <v>3761.3001585648149</v>
      </c>
      <c r="Q23" s="48"/>
      <c r="S23" s="47"/>
    </row>
    <row r="24" spans="3:25" ht="16" thickBot="1">
      <c r="C24" s="258" t="s">
        <v>60</v>
      </c>
      <c r="D24" s="386"/>
      <c r="E24" s="238">
        <f>'3.2 Balance Sheet'!E49</f>
        <v>892</v>
      </c>
      <c r="F24" s="238">
        <f>'3.2 Balance Sheet'!F49</f>
        <v>76</v>
      </c>
      <c r="G24" s="238">
        <f>'3.2 Balance Sheet'!G49</f>
        <v>1505</v>
      </c>
      <c r="H24" s="238">
        <f>'3.2 Balance Sheet'!H49</f>
        <v>-2088</v>
      </c>
      <c r="I24" s="238">
        <f>'3.2 Balance Sheet'!I49</f>
        <v>56</v>
      </c>
      <c r="J24" s="367">
        <v>0</v>
      </c>
      <c r="K24" s="374">
        <f t="shared" ref="K24:K25" si="0">I24+J24</f>
        <v>56</v>
      </c>
      <c r="L24" s="376">
        <f>'3.2 Balance Sheet'!J49</f>
        <v>1200.5491609279275</v>
      </c>
      <c r="M24" s="376">
        <f>'3.2 Balance Sheet'!K49</f>
        <v>146.98350480844783</v>
      </c>
      <c r="N24" s="376">
        <f>'3.2 Balance Sheet'!L49</f>
        <v>154.02401468877224</v>
      </c>
      <c r="O24" s="376">
        <f>'3.2 Balance Sheet'!M49</f>
        <v>161.40176499236486</v>
      </c>
      <c r="P24" s="376">
        <f>'3.2 Balance Sheet'!N49</f>
        <v>169.13290953549949</v>
      </c>
      <c r="Q24" s="48"/>
      <c r="S24" s="47"/>
    </row>
    <row r="25" spans="3:25" ht="16" thickBot="1">
      <c r="C25" s="388" t="s">
        <v>55</v>
      </c>
      <c r="D25" s="389"/>
      <c r="E25" s="238">
        <f>'3.4 Cash Flow Statement'!E9</f>
        <v>-644</v>
      </c>
      <c r="F25" s="238">
        <f>'3.4 Cash Flow Statement'!F9</f>
        <v>-859</v>
      </c>
      <c r="G25" s="238">
        <f>'3.4 Cash Flow Statement'!G9</f>
        <v>-1678</v>
      </c>
      <c r="H25" s="238">
        <f>'3.4 Cash Flow Statement'!H9</f>
        <v>-774</v>
      </c>
      <c r="I25" s="238">
        <f>'3.4 Cash Flow Statement'!I9</f>
        <v>-1020</v>
      </c>
      <c r="J25" s="369">
        <v>0</v>
      </c>
      <c r="K25" s="238">
        <f t="shared" si="0"/>
        <v>-1020</v>
      </c>
      <c r="L25" s="238">
        <f>'3.4 Cash Flow Statement'!J9</f>
        <v>-1289.4393450824002</v>
      </c>
      <c r="M25" s="238">
        <f>'3.4 Cash Flow Statement'!K9</f>
        <v>-1351.2034897118474</v>
      </c>
      <c r="N25" s="238">
        <f>'3.4 Cash Flow Statement'!L9</f>
        <v>-1415.9261368690447</v>
      </c>
      <c r="O25" s="238">
        <f>'3.4 Cash Flow Statement'!M9</f>
        <v>-1483.7489988250722</v>
      </c>
      <c r="P25" s="238">
        <f>'3.4 Cash Flow Statement'!N9</f>
        <v>-1554.8205758687932</v>
      </c>
      <c r="Q25" s="48"/>
      <c r="S25" s="47"/>
    </row>
    <row r="26" spans="3:25" ht="16" thickBot="1">
      <c r="C26" s="361"/>
      <c r="D26" s="253"/>
      <c r="E26" s="253"/>
      <c r="F26" s="253"/>
      <c r="G26" s="253"/>
      <c r="H26" s="253"/>
      <c r="I26" s="256"/>
      <c r="J26" s="368"/>
      <c r="K26" s="255"/>
      <c r="L26" s="253"/>
      <c r="M26" s="253"/>
      <c r="N26" s="253"/>
      <c r="O26" s="253"/>
      <c r="P26" s="256"/>
      <c r="Q26" s="49"/>
      <c r="S26" s="47"/>
    </row>
    <row r="27" spans="3:25" ht="16" thickBot="1">
      <c r="C27" s="199" t="s">
        <v>65</v>
      </c>
      <c r="D27" s="386"/>
      <c r="E27" s="377">
        <f>E21+E23-E24+E25</f>
        <v>-98.696100000000115</v>
      </c>
      <c r="F27" s="377">
        <f>F21+F23-F24+F25</f>
        <v>66.586600000000089</v>
      </c>
      <c r="G27" s="377">
        <f>G21+G23-G24+G25</f>
        <v>-545.51110000000017</v>
      </c>
      <c r="H27" s="377">
        <f>H21+H23-H24+H25</f>
        <v>3492.4269000000004</v>
      </c>
      <c r="I27" s="377">
        <f>I21+I23-I24+I25</f>
        <v>1559.4357</v>
      </c>
      <c r="J27" s="378" t="s">
        <v>228</v>
      </c>
      <c r="K27" s="377">
        <f t="shared" ref="K27:P27" si="1">K21+K23-K24+K25</f>
        <v>4656.1091191226369</v>
      </c>
      <c r="L27" s="377">
        <f t="shared" si="1"/>
        <v>3954.9427540624756</v>
      </c>
      <c r="M27" s="377">
        <f t="shared" si="1"/>
        <v>5755.5300553487205</v>
      </c>
      <c r="N27" s="377">
        <f t="shared" si="1"/>
        <v>6017.5025691880337</v>
      </c>
      <c r="O27" s="377">
        <f t="shared" si="1"/>
        <v>6294.4348474845483</v>
      </c>
      <c r="P27" s="377">
        <f t="shared" si="1"/>
        <v>6587.3567905815526</v>
      </c>
      <c r="Q27" s="49"/>
    </row>
    <row r="28" spans="3:25" ht="16" thickBot="1">
      <c r="C28" s="361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362"/>
      <c r="Q28" s="49"/>
    </row>
    <row r="29" spans="3:25" ht="16" thickBot="1">
      <c r="C29" s="199" t="s">
        <v>229</v>
      </c>
      <c r="D29" s="386"/>
      <c r="E29" s="386"/>
      <c r="F29" s="466"/>
      <c r="G29" s="466"/>
      <c r="H29" s="466"/>
      <c r="I29" s="466"/>
      <c r="J29" s="466"/>
      <c r="K29" s="466"/>
      <c r="L29" s="434">
        <f>L27/(1+$O$47)^'5.1 Free Cash Flow'!L13</f>
        <v>3673.8901570482822</v>
      </c>
      <c r="M29" s="434">
        <f>M27/(1+$O$47)^'5.1 Free Cash Flow'!M13</f>
        <v>4966.5779700118974</v>
      </c>
      <c r="N29" s="434">
        <f>N27/(1+$O$47)^'5.1 Free Cash Flow'!N13</f>
        <v>4823.6321586315589</v>
      </c>
      <c r="O29" s="434">
        <f>O27/(1+$O$47)^'5.1 Free Cash Flow'!O13</f>
        <v>4687.0610028056144</v>
      </c>
      <c r="P29" s="434">
        <f>P27/(1+$O$47)^'5.1 Free Cash Flow'!P13</f>
        <v>4556.601155402599</v>
      </c>
      <c r="Q29" s="45"/>
    </row>
    <row r="30" spans="3:25" ht="16" thickBot="1">
      <c r="C30" s="199" t="s">
        <v>230</v>
      </c>
      <c r="D30" s="386"/>
      <c r="E30" s="386"/>
      <c r="F30" s="466"/>
      <c r="G30" s="466"/>
      <c r="H30" s="466"/>
      <c r="I30" s="466"/>
      <c r="J30" s="466"/>
      <c r="K30" s="466"/>
      <c r="L30" s="467"/>
      <c r="M30" s="467"/>
      <c r="N30" s="467"/>
      <c r="O30" s="467"/>
      <c r="P30" s="434">
        <f>SUM(L29:P29)</f>
        <v>22707.762443899948</v>
      </c>
    </row>
    <row r="31" spans="3:25" ht="16" thickBot="1">
      <c r="C31" s="199" t="s">
        <v>282</v>
      </c>
      <c r="D31" s="386"/>
      <c r="E31" s="386"/>
      <c r="F31" s="466"/>
      <c r="G31" s="466"/>
      <c r="H31" s="466"/>
      <c r="I31" s="466"/>
      <c r="J31" s="466"/>
      <c r="K31" s="466"/>
      <c r="L31" s="467"/>
      <c r="M31" s="467"/>
      <c r="N31" s="467"/>
      <c r="O31" s="467"/>
      <c r="P31" s="434">
        <f>P29*(1+O75)/(O47-O75)</f>
        <v>31200.727907431366</v>
      </c>
    </row>
    <row r="32" spans="3:25" ht="16" thickBot="1">
      <c r="C32" s="199" t="s">
        <v>283</v>
      </c>
      <c r="D32" s="386"/>
      <c r="E32" s="386"/>
      <c r="F32" s="466"/>
      <c r="G32" s="466"/>
      <c r="H32" s="466"/>
      <c r="I32" s="466"/>
      <c r="J32" s="466"/>
      <c r="K32" s="466"/>
      <c r="L32" s="467"/>
      <c r="M32" s="467"/>
      <c r="N32" s="467"/>
      <c r="O32" s="467"/>
      <c r="P32" s="435">
        <f>P30+P31</f>
        <v>53908.490351331318</v>
      </c>
    </row>
    <row r="33" spans="2:19" ht="16" thickBot="1">
      <c r="C33" s="199" t="s">
        <v>281</v>
      </c>
      <c r="D33" s="386"/>
      <c r="E33" s="386"/>
      <c r="F33" s="466"/>
      <c r="G33" s="466"/>
      <c r="H33" s="466"/>
      <c r="I33" s="466"/>
      <c r="J33" s="466"/>
      <c r="K33" s="466"/>
      <c r="L33" s="466"/>
      <c r="M33" s="466"/>
      <c r="N33" s="466"/>
      <c r="O33" s="466"/>
      <c r="P33" s="434">
        <f>P32*'2.1 WACC'!G6</f>
        <v>50474.519515951513</v>
      </c>
    </row>
    <row r="34" spans="2:19" ht="16" thickBot="1">
      <c r="C34" s="636" t="s">
        <v>764</v>
      </c>
      <c r="D34" s="433"/>
      <c r="E34" s="433"/>
      <c r="F34" s="637"/>
      <c r="G34" s="466"/>
      <c r="H34" s="466"/>
      <c r="I34" s="466"/>
      <c r="J34" s="466"/>
      <c r="K34" s="466"/>
      <c r="L34" s="466"/>
      <c r="M34" s="466"/>
      <c r="N34" s="466"/>
      <c r="O34" s="466"/>
      <c r="P34" s="434">
        <f>P32/'1.2 Income Statement Raw'!Q35</f>
        <v>40.777980598586474</v>
      </c>
      <c r="Q34" s="640" t="str">
        <f>IF(P34&lt;P35,CONCATENATE("Undervalued by ",(-1*P36),"%"),CONCATENATE("Overvalued by ",(P36),"%"))</f>
        <v>Overvalued by 1,72078178059764%</v>
      </c>
      <c r="R34" s="640"/>
      <c r="S34" s="640"/>
    </row>
    <row r="35" spans="2:19" ht="16" thickBot="1">
      <c r="P35" s="638">
        <f>'1.5 Stock Value'!V6</f>
        <v>40.088151000000003</v>
      </c>
    </row>
    <row r="36" spans="2:19" ht="16" thickBot="1">
      <c r="C36" s="199" t="s">
        <v>205</v>
      </c>
      <c r="D36" s="404"/>
      <c r="E36" s="241">
        <v>1997</v>
      </c>
      <c r="F36" s="241">
        <v>1998</v>
      </c>
      <c r="G36" s="241">
        <v>1999</v>
      </c>
      <c r="H36" s="241">
        <v>2000</v>
      </c>
      <c r="I36" s="241">
        <v>2001</v>
      </c>
      <c r="N36" s="156" t="s">
        <v>248</v>
      </c>
      <c r="O36" s="401"/>
      <c r="P36" s="639">
        <f>(P34-P35)/P35*100</f>
        <v>1.72078178059764</v>
      </c>
    </row>
    <row r="37" spans="2:19" ht="16" thickBot="1">
      <c r="C37" s="250" t="s">
        <v>206</v>
      </c>
      <c r="D37" s="250"/>
      <c r="E37" s="262">
        <v>0.19670000000000001</v>
      </c>
      <c r="F37" s="262">
        <v>0.19670000000000001</v>
      </c>
      <c r="G37" s="262">
        <v>0.31190000000000001</v>
      </c>
      <c r="H37" s="262">
        <v>0.22689999999999999</v>
      </c>
      <c r="I37" s="262">
        <v>0.18729999999999999</v>
      </c>
      <c r="J37" s="51"/>
      <c r="N37" s="396"/>
      <c r="O37" s="397"/>
    </row>
    <row r="38" spans="2:19" ht="16" thickBot="1">
      <c r="C38" s="250" t="s">
        <v>207</v>
      </c>
      <c r="D38" s="250"/>
      <c r="E38" s="262">
        <v>0.4</v>
      </c>
      <c r="F38" s="262">
        <v>0.4</v>
      </c>
      <c r="G38" s="262">
        <v>0.4</v>
      </c>
      <c r="H38" s="262">
        <v>0.4</v>
      </c>
      <c r="I38" s="262">
        <v>0.4</v>
      </c>
      <c r="N38" s="398" t="s">
        <v>250</v>
      </c>
      <c r="O38" s="399">
        <f>P32</f>
        <v>53908.490351331318</v>
      </c>
    </row>
    <row r="39" spans="2:19" ht="16" thickBot="1">
      <c r="N39" s="400">
        <f t="shared" ref="N39" si="2">N40-0.01</f>
        <v>5.6500000000000002E-2</v>
      </c>
      <c r="O39" s="252">
        <f>$P$30+$P$29*(1+$O$75)/(N39-$O$75)</f>
        <v>59233.767162944052</v>
      </c>
    </row>
    <row r="40" spans="2:19" ht="16" thickBot="1">
      <c r="C40" s="402" t="s">
        <v>211</v>
      </c>
      <c r="D40" s="263"/>
      <c r="E40" s="241">
        <v>2001</v>
      </c>
      <c r="F40" s="241">
        <v>2002</v>
      </c>
      <c r="G40" s="241">
        <v>2003</v>
      </c>
      <c r="H40" s="241">
        <v>2004</v>
      </c>
      <c r="I40" s="241">
        <v>2005</v>
      </c>
      <c r="J40" s="241">
        <v>2006</v>
      </c>
      <c r="N40" s="400">
        <f>N41-0.01</f>
        <v>6.6500000000000004E-2</v>
      </c>
      <c r="O40" s="252">
        <f>$P$30+$P$29*(1+$O$75)/(N40-$O$75)</f>
        <v>56361.768494058822</v>
      </c>
    </row>
    <row r="41" spans="2:19" ht="16" thickBot="1">
      <c r="C41" s="250" t="s">
        <v>217</v>
      </c>
      <c r="D41" s="250"/>
      <c r="E41" s="406"/>
      <c r="F41" s="252">
        <v>1</v>
      </c>
      <c r="G41" s="252">
        <v>2</v>
      </c>
      <c r="H41" s="252">
        <v>3</v>
      </c>
      <c r="I41" s="252">
        <v>4</v>
      </c>
      <c r="J41" s="252">
        <v>5</v>
      </c>
      <c r="N41" s="400">
        <f>O47</f>
        <v>7.6499999999999999E-2</v>
      </c>
      <c r="O41" s="252">
        <f>$P$30+$P$29*(1+$O$75)/(N41-$O$75)</f>
        <v>53908.490351331318</v>
      </c>
    </row>
    <row r="42" spans="2:19" ht="16" thickBot="1">
      <c r="C42" s="261" t="s">
        <v>208</v>
      </c>
      <c r="D42" s="421"/>
      <c r="E42" s="407">
        <f>'4.2 R&amp;D converter'!E39</f>
        <v>1155.8</v>
      </c>
      <c r="F42" s="407">
        <f>-'3.3 Income Statement'!J10-'4.2 R&amp;D converter'!$E$37*POWER((1+'4.2 R&amp;D converter'!$M$26),F41)</f>
        <v>1115.2257355546099</v>
      </c>
      <c r="G42" s="407">
        <f>-'3.3 Income Statement'!K10-'4.2 R&amp;D converter'!$E$37*POWER((1+'4.2 R&amp;D converter'!$M$26),G41)</f>
        <v>1066.0040915880725</v>
      </c>
      <c r="H42" s="407">
        <f>-'3.3 Income Statement'!L10-'4.2 R&amp;D converter'!$E$37*POWER((1+'4.2 R&amp;D converter'!$M$26),H41)</f>
        <v>1001.0873194830999</v>
      </c>
      <c r="I42" s="407">
        <f>-'3.3 Income Statement'!M10-'4.2 R&amp;D converter'!$E$37*POWER((1+'4.2 R&amp;D converter'!$M$26),I41)</f>
        <v>917.99052746741404</v>
      </c>
      <c r="J42" s="407">
        <f>-'3.3 Income Statement'!N10-'4.2 R&amp;D converter'!$E$37*POWER((1+'4.2 R&amp;D converter'!$M$26),J41)</f>
        <v>813.88459492615698</v>
      </c>
      <c r="N42" s="400"/>
      <c r="O42" s="252"/>
    </row>
    <row r="43" spans="2:19" ht="16" thickBot="1">
      <c r="C43" s="250" t="s">
        <v>213</v>
      </c>
      <c r="D43" s="250"/>
      <c r="E43" s="407">
        <f>'4.2 R&amp;D converter'!E40</f>
        <v>462.32</v>
      </c>
      <c r="F43" s="407">
        <f>F42*L20</f>
        <v>446.09029422184398</v>
      </c>
      <c r="G43" s="407">
        <f>G42*M20</f>
        <v>426.40163663522901</v>
      </c>
      <c r="H43" s="407">
        <f>H42*N20</f>
        <v>400.43492779323998</v>
      </c>
      <c r="I43" s="407">
        <f>I42*O20</f>
        <v>367.19621098696564</v>
      </c>
      <c r="J43" s="407">
        <f>J42*P20</f>
        <v>325.55383797046284</v>
      </c>
      <c r="N43" s="400">
        <f>N41+0.01</f>
        <v>8.6499999999999994E-2</v>
      </c>
      <c r="O43" s="252">
        <f>$P$30+$P$29*(1+$O$75)/(N43-$O$75)</f>
        <v>51788.583924595136</v>
      </c>
    </row>
    <row r="44" spans="2:19" ht="16" hidden="1" thickBot="1">
      <c r="C44" s="250" t="s">
        <v>209</v>
      </c>
      <c r="D44" s="250"/>
      <c r="E44" s="407">
        <f>'4.1 Operating lease converter'!G34</f>
        <v>3.0576875459888697</v>
      </c>
      <c r="F44" s="407">
        <f>$E$44</f>
        <v>3.0576875459888697</v>
      </c>
      <c r="G44" s="407">
        <f>$E$44</f>
        <v>3.0576875459888697</v>
      </c>
      <c r="H44" s="407">
        <f>$E$44</f>
        <v>3.0576875459888697</v>
      </c>
      <c r="I44" s="407">
        <f>$E$44</f>
        <v>3.0576875459888697</v>
      </c>
      <c r="J44" s="407">
        <f>$E$44</f>
        <v>3.0576875459888697</v>
      </c>
      <c r="N44" s="400">
        <f>N43+0.01</f>
        <v>9.6499999999999989E-2</v>
      </c>
      <c r="O44" s="252">
        <f>$P$30+$P$29*(1+$O$75)/(N44-$O$75)</f>
        <v>49938.420457314496</v>
      </c>
    </row>
    <row r="45" spans="2:19" ht="16" hidden="1" thickBot="1">
      <c r="C45" s="361"/>
      <c r="D45" s="50"/>
      <c r="E45" s="405"/>
      <c r="F45" s="405"/>
      <c r="G45" s="405"/>
      <c r="H45" s="405"/>
      <c r="I45" s="405"/>
      <c r="J45" s="408"/>
      <c r="N45" s="400">
        <f>N44+0.01</f>
        <v>0.10649999999999998</v>
      </c>
      <c r="O45" s="252">
        <f>$P$30+$P$29*(1+$O$75)/(N45-$O$75)</f>
        <v>48309.595228141538</v>
      </c>
    </row>
    <row r="46" spans="2:19" ht="16" hidden="1" thickBot="1">
      <c r="B46" s="362"/>
      <c r="J46" s="362"/>
    </row>
    <row r="47" spans="2:19" ht="16" thickBot="1">
      <c r="C47" s="261" t="s">
        <v>210</v>
      </c>
      <c r="D47" s="386"/>
      <c r="E47" s="422"/>
      <c r="F47" s="405"/>
      <c r="G47" s="405"/>
      <c r="H47" s="405"/>
      <c r="I47" s="405"/>
      <c r="J47" s="408"/>
      <c r="N47" s="402" t="s">
        <v>249</v>
      </c>
      <c r="O47" s="403">
        <f>'2.1 WACC'!F12</f>
        <v>7.6499999999999999E-2</v>
      </c>
    </row>
    <row r="48" spans="2:19" ht="16" thickBot="1">
      <c r="C48" s="261" t="s">
        <v>208</v>
      </c>
      <c r="D48" s="421"/>
      <c r="E48" s="407">
        <f>'4.2 R&amp;D converter'!E37</f>
        <v>1107.2</v>
      </c>
      <c r="F48" s="407">
        <f>E48*(1+'4.2 R&amp;D converter'!$M$26)</f>
        <v>1251.0722160094974</v>
      </c>
      <c r="G48" s="407">
        <f>F48*(1+'4.2 R&amp;D converter'!$M$26)</f>
        <v>1413.6395318559562</v>
      </c>
      <c r="H48" s="407">
        <f>G48*(1+'4.2 R&amp;D converter'!$M$26)</f>
        <v>1597.3312335238977</v>
      </c>
      <c r="I48" s="407">
        <f>H48*(1+'4.2 R&amp;D converter'!$M$26)</f>
        <v>1804.8922742286188</v>
      </c>
      <c r="J48" s="407">
        <f>I48*(1+'4.2 R&amp;D converter'!$M$26)</f>
        <v>2039.4242929711161</v>
      </c>
    </row>
    <row r="49" spans="3:15" ht="16" thickBot="1">
      <c r="C49" s="250" t="s">
        <v>209</v>
      </c>
      <c r="D49" s="250"/>
      <c r="E49" s="407">
        <f>'4.1 Operating lease converter'!G33</f>
        <v>671.94231245401113</v>
      </c>
      <c r="F49" s="407">
        <f>$E$49</f>
        <v>671.94231245401113</v>
      </c>
      <c r="G49" s="407">
        <f>$E$49</f>
        <v>671.94231245401113</v>
      </c>
      <c r="H49" s="407">
        <f>$E$49</f>
        <v>671.94231245401113</v>
      </c>
      <c r="I49" s="407">
        <f>$E$49</f>
        <v>671.94231245401113</v>
      </c>
      <c r="J49" s="407">
        <f>$E$49</f>
        <v>671.94231245401113</v>
      </c>
    </row>
    <row r="50" spans="3:15" ht="16" thickBot="1">
      <c r="C50" s="52" t="s">
        <v>324</v>
      </c>
      <c r="D50" s="53"/>
      <c r="E50" s="54"/>
      <c r="F50" s="54"/>
      <c r="G50" s="54"/>
      <c r="H50" s="54"/>
      <c r="I50" s="54"/>
      <c r="J50" s="55"/>
    </row>
    <row r="51" spans="3:15" ht="16" thickBot="1">
      <c r="C51" s="436" t="s">
        <v>208</v>
      </c>
      <c r="D51" s="439"/>
      <c r="E51" s="468">
        <f>-'4.2 R&amp;D converter'!G7</f>
        <v>-2263</v>
      </c>
      <c r="F51" s="469">
        <f>'3.3 Income Statement'!J10</f>
        <v>-2366.2979515641073</v>
      </c>
      <c r="G51" s="469">
        <f>'3.3 Income Statement'!K10</f>
        <v>-2479.6436234440284</v>
      </c>
      <c r="H51" s="469">
        <f>'3.3 Income Statement'!L10</f>
        <v>-2598.4185530069976</v>
      </c>
      <c r="I51" s="469">
        <f>'3.3 Income Statement'!M10</f>
        <v>-2722.8828016960329</v>
      </c>
      <c r="J51" s="469">
        <f>'3.3 Income Statement'!N10</f>
        <v>-2853.3088878972731</v>
      </c>
    </row>
    <row r="52" spans="3:15" ht="16" thickBot="1">
      <c r="C52" s="437" t="s">
        <v>209</v>
      </c>
      <c r="D52" s="438"/>
      <c r="E52" s="468">
        <f>-'4.1 Operating lease converter'!F3</f>
        <v>-675</v>
      </c>
      <c r="F52" s="469">
        <f>$E$52</f>
        <v>-675</v>
      </c>
      <c r="G52" s="469">
        <f>$E$52</f>
        <v>-675</v>
      </c>
      <c r="H52" s="469">
        <f>$E$52</f>
        <v>-675</v>
      </c>
      <c r="I52" s="469">
        <f>$E$52</f>
        <v>-675</v>
      </c>
      <c r="J52" s="469">
        <f>$E$52</f>
        <v>-675</v>
      </c>
    </row>
    <row r="53" spans="3:15" ht="16" thickBot="1"/>
    <row r="54" spans="3:15" ht="16" thickBot="1">
      <c r="C54" s="199" t="s">
        <v>241</v>
      </c>
      <c r="D54" s="387"/>
      <c r="E54" s="200"/>
      <c r="F54" s="200">
        <v>1997</v>
      </c>
      <c r="G54" s="200">
        <v>1998</v>
      </c>
      <c r="H54" s="200">
        <v>1999</v>
      </c>
      <c r="I54" s="200">
        <v>2000</v>
      </c>
      <c r="J54" s="200">
        <v>2001</v>
      </c>
      <c r="K54" s="201">
        <v>2002</v>
      </c>
      <c r="L54" s="201">
        <v>2003</v>
      </c>
      <c r="M54" s="201">
        <v>2004</v>
      </c>
      <c r="N54" s="201">
        <v>2005</v>
      </c>
      <c r="O54" s="202">
        <v>2006</v>
      </c>
    </row>
    <row r="55" spans="3:15" ht="16" thickBot="1">
      <c r="C55" s="261" t="s">
        <v>214</v>
      </c>
      <c r="D55" s="386"/>
      <c r="E55" s="421"/>
      <c r="F55" s="252">
        <f>'3.2 Balance Sheet'!E33</f>
        <v>4104</v>
      </c>
      <c r="G55" s="252">
        <f>'3.2 Balance Sheet'!F33</f>
        <v>4986</v>
      </c>
      <c r="H55" s="252">
        <f>'3.2 Balance Sheet'!G33</f>
        <v>10911</v>
      </c>
      <c r="I55" s="252">
        <f>'3.2 Balance Sheet'!H33</f>
        <v>11921</v>
      </c>
      <c r="J55" s="252">
        <f>'3.2 Balance Sheet'!I33</f>
        <v>12390</v>
      </c>
      <c r="K55" s="50"/>
      <c r="L55" s="50"/>
      <c r="M55" s="50"/>
      <c r="N55" s="50"/>
      <c r="O55" s="57"/>
    </row>
    <row r="56" spans="3:15" ht="16" thickBot="1">
      <c r="C56" s="261" t="s">
        <v>215</v>
      </c>
      <c r="D56" s="386"/>
      <c r="E56" s="421"/>
      <c r="F56" s="252">
        <f>'3.2 Balance Sheet'!E29+'3.2 Balance Sheet'!E25</f>
        <v>3705</v>
      </c>
      <c r="G56" s="252">
        <f>'3.2 Balance Sheet'!F29+'3.2 Balance Sheet'!F25</f>
        <v>7328</v>
      </c>
      <c r="H56" s="252">
        <f>'3.2 Balance Sheet'!G29+'3.2 Balance Sheet'!G25</f>
        <v>8228</v>
      </c>
      <c r="I56" s="252">
        <f>'3.2 Balance Sheet'!H29+'3.2 Balance Sheet'!H25</f>
        <v>4299</v>
      </c>
      <c r="J56" s="252">
        <f>'3.2 Balance Sheet'!I29+'3.2 Balance Sheet'!I25</f>
        <v>3082</v>
      </c>
      <c r="K56" s="50"/>
      <c r="L56" s="50"/>
      <c r="M56" s="50"/>
      <c r="N56" s="50"/>
      <c r="O56" s="57"/>
    </row>
    <row r="57" spans="3:15" ht="16" thickBot="1">
      <c r="C57" s="199" t="s">
        <v>216</v>
      </c>
      <c r="D57" s="386"/>
      <c r="E57" s="421"/>
      <c r="F57" s="416">
        <f>SUM(F55:F56)</f>
        <v>7809</v>
      </c>
      <c r="G57" s="416">
        <f t="shared" ref="G57:J57" si="3">SUM(G55:G56)</f>
        <v>12314</v>
      </c>
      <c r="H57" s="416">
        <f t="shared" si="3"/>
        <v>19139</v>
      </c>
      <c r="I57" s="416">
        <f t="shared" si="3"/>
        <v>16220</v>
      </c>
      <c r="J57" s="366">
        <f t="shared" si="3"/>
        <v>15472</v>
      </c>
      <c r="K57" s="417">
        <f>J57+1250</f>
        <v>16722</v>
      </c>
      <c r="L57" s="417">
        <f>K57+1250</f>
        <v>17972</v>
      </c>
      <c r="M57" s="417">
        <f>L57+1250</f>
        <v>19222</v>
      </c>
      <c r="N57" s="417">
        <f>M57+1250</f>
        <v>20472</v>
      </c>
      <c r="O57" s="417">
        <f>20000+1250</f>
        <v>21250</v>
      </c>
    </row>
    <row r="58" spans="3:15" ht="16" thickBot="1">
      <c r="C58" s="261" t="s">
        <v>278</v>
      </c>
      <c r="D58" s="386"/>
      <c r="E58" s="421"/>
      <c r="F58" s="50"/>
      <c r="G58" s="50"/>
      <c r="H58" s="50"/>
      <c r="I58" s="50"/>
      <c r="J58" s="375">
        <f>'4.2 R&amp;D converter'!E35</f>
        <v>8930.1</v>
      </c>
      <c r="K58" s="374">
        <f>'4.2 R&amp;D converter'!$E$35*POWER(1+'4.2 R&amp;D converter'!$M$27,'5.1 Free Cash Flow'!L13)</f>
        <v>9732.6896829017296</v>
      </c>
      <c r="L58" s="374">
        <f>'4.2 R&amp;D converter'!$E$35*POWER(1+'4.2 R&amp;D converter'!$M$27,'5.1 Free Cash Flow'!M13)</f>
        <v>10607.411839023274</v>
      </c>
      <c r="M58" s="374">
        <f>'4.2 R&amp;D converter'!$E$35*POWER(1+'4.2 R&amp;D converter'!$M$27,'5.1 Free Cash Flow'!N13)</f>
        <v>11560.749349721893</v>
      </c>
      <c r="N58" s="374">
        <f>'4.2 R&amp;D converter'!$E$35*POWER(1+'4.2 R&amp;D converter'!$M$27,'5.1 Free Cash Flow'!O13)</f>
        <v>12599.767743099306</v>
      </c>
      <c r="O58" s="374">
        <f>'4.2 R&amp;D converter'!$E$35*POWER(1+'4.2 R&amp;D converter'!$M$27,'5.1 Free Cash Flow'!P13)</f>
        <v>13732.167559178577</v>
      </c>
    </row>
    <row r="59" spans="3:15" ht="16" thickBot="1">
      <c r="C59" s="58"/>
      <c r="D59" s="50"/>
      <c r="E59" s="50"/>
      <c r="F59" s="50"/>
      <c r="G59" s="50"/>
      <c r="H59" s="50"/>
      <c r="I59" s="50"/>
      <c r="J59" s="57"/>
      <c r="K59" s="410"/>
      <c r="L59" s="364"/>
      <c r="M59" s="364"/>
      <c r="N59" s="364"/>
      <c r="O59" s="409"/>
    </row>
    <row r="60" spans="3:15" ht="16" thickBot="1">
      <c r="C60" s="199" t="s">
        <v>59</v>
      </c>
      <c r="D60" s="386"/>
      <c r="E60" s="421"/>
      <c r="F60" s="416">
        <f>E21</f>
        <v>950.3039</v>
      </c>
      <c r="G60" s="416">
        <f>F21</f>
        <v>483.58660000000003</v>
      </c>
      <c r="H60" s="416">
        <f>G21</f>
        <v>1492.4888999999998</v>
      </c>
      <c r="I60" s="416">
        <f>H21</f>
        <v>1545.4268999999999</v>
      </c>
      <c r="J60" s="416">
        <f>I21</f>
        <v>2024.4357</v>
      </c>
      <c r="K60" s="417">
        <f>L21</f>
        <v>3651.1888456061183</v>
      </c>
      <c r="L60" s="417">
        <f>M21</f>
        <v>4255.699453816319</v>
      </c>
      <c r="M60" s="417">
        <f>N21</f>
        <v>4362.0377505167353</v>
      </c>
      <c r="N60" s="417">
        <f>O21</f>
        <v>4460.8104261465169</v>
      </c>
      <c r="O60" s="417">
        <f>P21</f>
        <v>4550.0101174210295</v>
      </c>
    </row>
    <row r="61" spans="3:15" ht="16" thickBot="1">
      <c r="C61" s="58"/>
      <c r="D61" s="50"/>
      <c r="E61" s="50"/>
      <c r="F61" s="50"/>
      <c r="G61" s="50"/>
      <c r="H61" s="50"/>
      <c r="I61" s="50"/>
      <c r="J61" s="57"/>
      <c r="K61" s="58"/>
      <c r="L61" s="50"/>
      <c r="M61" s="50"/>
      <c r="N61" s="50"/>
      <c r="O61" s="57"/>
    </row>
    <row r="62" spans="3:15" ht="16" thickBot="1">
      <c r="C62" s="199" t="s">
        <v>714</v>
      </c>
      <c r="D62" s="386"/>
      <c r="E62" s="421"/>
      <c r="F62" s="252"/>
      <c r="G62" s="418">
        <f>G60/F57</f>
        <v>6.1926828018952496E-2</v>
      </c>
      <c r="H62" s="418">
        <f t="shared" ref="H62:J62" si="4">H60/G57</f>
        <v>0.12120260678902062</v>
      </c>
      <c r="I62" s="418">
        <f t="shared" si="4"/>
        <v>8.074752599404357E-2</v>
      </c>
      <c r="J62" s="418">
        <f t="shared" si="4"/>
        <v>0.12481107891491985</v>
      </c>
      <c r="K62" s="418">
        <f>(K60+F48)/(J57+J58)</f>
        <v>0.20089504844319203</v>
      </c>
      <c r="L62" s="418">
        <f>(L60+G48)/(K57+K58)</f>
        <v>0.21430374174211156</v>
      </c>
      <c r="M62" s="418">
        <f>(M60+H48)/(L57+L58)</f>
        <v>0.20851965105536263</v>
      </c>
      <c r="N62" s="418">
        <f>(N60+I48)/(M57+M58)</f>
        <v>0.20354590908013689</v>
      </c>
      <c r="O62" s="418">
        <f>(O60+J48)/(N57+N58)</f>
        <v>0.19924651326710785</v>
      </c>
    </row>
    <row r="63" spans="3:15" ht="16" thickBot="1">
      <c r="C63" s="58"/>
      <c r="D63" s="50"/>
      <c r="E63" s="50"/>
      <c r="F63" s="50"/>
      <c r="G63" s="50"/>
      <c r="H63" s="50"/>
      <c r="I63" s="50"/>
      <c r="J63" s="57"/>
      <c r="K63" s="58"/>
      <c r="L63" s="50"/>
      <c r="M63" s="50"/>
      <c r="N63" s="50"/>
      <c r="O63" s="57"/>
    </row>
    <row r="64" spans="3:15" ht="16" thickBot="1">
      <c r="C64" s="261" t="s">
        <v>304</v>
      </c>
      <c r="D64" s="386"/>
      <c r="E64" s="421"/>
      <c r="F64" s="238">
        <f>'3.4 Cash Flow Statement'!E9</f>
        <v>-644</v>
      </c>
      <c r="G64" s="238">
        <f>'3.4 Cash Flow Statement'!F9</f>
        <v>-859</v>
      </c>
      <c r="H64" s="238">
        <f>'3.4 Cash Flow Statement'!G9</f>
        <v>-1678</v>
      </c>
      <c r="I64" s="238">
        <f>'3.4 Cash Flow Statement'!H9</f>
        <v>-774</v>
      </c>
      <c r="J64" s="238">
        <f>'3.4 Cash Flow Statement'!I9</f>
        <v>-1020</v>
      </c>
      <c r="K64" s="238">
        <f>'3.4 Cash Flow Statement'!J9</f>
        <v>-1289.4393450824002</v>
      </c>
      <c r="L64" s="238">
        <f>'3.4 Cash Flow Statement'!K9</f>
        <v>-1351.2034897118474</v>
      </c>
      <c r="M64" s="238">
        <f>'3.4 Cash Flow Statement'!L9</f>
        <v>-1415.9261368690447</v>
      </c>
      <c r="N64" s="238">
        <f>'3.4 Cash Flow Statement'!M9</f>
        <v>-1483.7489988250722</v>
      </c>
      <c r="O64" s="238">
        <f>'3.4 Cash Flow Statement'!N9</f>
        <v>-1554.8205758687932</v>
      </c>
    </row>
    <row r="65" spans="3:16" ht="16" thickBot="1">
      <c r="C65" s="261" t="s">
        <v>218</v>
      </c>
      <c r="D65" s="386"/>
      <c r="E65" s="421"/>
      <c r="F65" s="375">
        <f>'3.2 Balance Sheet'!E49</f>
        <v>892</v>
      </c>
      <c r="G65" s="375">
        <f>'3.2 Balance Sheet'!F49</f>
        <v>76</v>
      </c>
      <c r="H65" s="375">
        <f>'3.2 Balance Sheet'!G49</f>
        <v>1505</v>
      </c>
      <c r="I65" s="375">
        <f>'3.2 Balance Sheet'!H49</f>
        <v>-2088</v>
      </c>
      <c r="J65" s="375">
        <f>'3.2 Balance Sheet'!I49</f>
        <v>56</v>
      </c>
      <c r="K65" s="375">
        <f>L24</f>
        <v>1200.5491609279275</v>
      </c>
      <c r="L65" s="375">
        <f>M24</f>
        <v>146.98350480844783</v>
      </c>
      <c r="M65" s="375">
        <f>N24</f>
        <v>154.02401468877224</v>
      </c>
      <c r="N65" s="375">
        <f>O24</f>
        <v>161.40176499236486</v>
      </c>
      <c r="O65" s="375">
        <f>P24</f>
        <v>169.13290953549949</v>
      </c>
    </row>
    <row r="66" spans="3:16" ht="16" thickBot="1">
      <c r="C66" s="361"/>
      <c r="D66" s="50"/>
      <c r="E66" s="362"/>
      <c r="F66" s="375"/>
      <c r="G66" s="375"/>
      <c r="H66" s="375"/>
      <c r="I66" s="375"/>
      <c r="J66" s="375"/>
      <c r="K66" s="375"/>
      <c r="L66" s="375"/>
      <c r="M66" s="375"/>
      <c r="N66" s="375"/>
      <c r="O66" s="375"/>
    </row>
    <row r="67" spans="3:16" ht="16" thickBot="1">
      <c r="C67" s="261" t="s">
        <v>244</v>
      </c>
      <c r="D67" s="386"/>
      <c r="E67" s="421"/>
      <c r="F67" s="375">
        <f>9339+'3.2 Balance Sheet'!E7+'3.2 Balance Sheet'!E9</f>
        <v>10847</v>
      </c>
      <c r="G67" s="375">
        <f>9339+'3.2 Balance Sheet'!F7+'3.2 Balance Sheet'!F9</f>
        <v>11150</v>
      </c>
      <c r="H67" s="375">
        <f>9339+'3.2 Balance Sheet'!G7+'3.2 Balance Sheet'!G9</f>
        <v>13844</v>
      </c>
      <c r="I67" s="375">
        <f>9339+'3.2 Balance Sheet'!H7+'3.2 Balance Sheet'!H9</f>
        <v>12893</v>
      </c>
      <c r="J67" s="375">
        <f>9339+'3.2 Balance Sheet'!I7+'3.2 Balance Sheet'!I9</f>
        <v>12298</v>
      </c>
      <c r="K67" s="375">
        <f>((K54-$F$54)*1704.2+11964)*1.01</f>
        <v>20689.849999999999</v>
      </c>
      <c r="L67" s="375">
        <f>(L54-$F$54)*1704.2+11964</f>
        <v>22189.200000000001</v>
      </c>
      <c r="M67" s="375">
        <f>(M54-$F$54)*1704.2+11964</f>
        <v>23893.4</v>
      </c>
      <c r="N67" s="375">
        <f>(N54-$F$54)*1704.2+11964</f>
        <v>25597.599999999999</v>
      </c>
      <c r="O67" s="375">
        <f>(O54-$F$54)*1704.2+11964</f>
        <v>27301.800000000003</v>
      </c>
    </row>
    <row r="68" spans="3:16" ht="16" thickBot="1">
      <c r="C68" s="261" t="s">
        <v>238</v>
      </c>
      <c r="D68" s="386"/>
      <c r="E68" s="421"/>
      <c r="F68" s="375">
        <v>-2320</v>
      </c>
      <c r="G68" s="375">
        <v>-4933</v>
      </c>
      <c r="H68" s="375">
        <v>-3403</v>
      </c>
      <c r="I68" s="375">
        <v>-3392</v>
      </c>
      <c r="J68" s="375">
        <v>-4005</v>
      </c>
      <c r="K68" s="375">
        <f>J68</f>
        <v>-4005</v>
      </c>
      <c r="L68" s="375">
        <f t="shared" ref="L68:O68" si="5">K68</f>
        <v>-4005</v>
      </c>
      <c r="M68" s="375">
        <f t="shared" si="5"/>
        <v>-4005</v>
      </c>
      <c r="N68" s="375">
        <f t="shared" si="5"/>
        <v>-4005</v>
      </c>
      <c r="O68" s="375">
        <f t="shared" si="5"/>
        <v>-4005</v>
      </c>
    </row>
    <row r="69" spans="3:16" ht="16" thickBot="1">
      <c r="C69" s="261" t="s">
        <v>245</v>
      </c>
      <c r="D69" s="386"/>
      <c r="E69" s="421"/>
      <c r="F69" s="375">
        <f>SUM(F67,F68)</f>
        <v>8527</v>
      </c>
      <c r="G69" s="375">
        <f t="shared" ref="G69:O69" si="6">SUM(G67,G68)</f>
        <v>6217</v>
      </c>
      <c r="H69" s="375">
        <f t="shared" si="6"/>
        <v>10441</v>
      </c>
      <c r="I69" s="375">
        <f t="shared" si="6"/>
        <v>9501</v>
      </c>
      <c r="J69" s="375">
        <f t="shared" si="6"/>
        <v>8293</v>
      </c>
      <c r="K69" s="375">
        <f t="shared" si="6"/>
        <v>16684.849999999999</v>
      </c>
      <c r="L69" s="375">
        <f t="shared" si="6"/>
        <v>18184.2</v>
      </c>
      <c r="M69" s="375">
        <f t="shared" si="6"/>
        <v>19888.400000000001</v>
      </c>
      <c r="N69" s="375">
        <f t="shared" si="6"/>
        <v>21592.6</v>
      </c>
      <c r="O69" s="375">
        <f t="shared" si="6"/>
        <v>23296.800000000003</v>
      </c>
    </row>
    <row r="70" spans="3:16" ht="16" thickBot="1">
      <c r="C70" s="261" t="s">
        <v>239</v>
      </c>
      <c r="D70" s="386"/>
      <c r="E70" s="421"/>
      <c r="F70" s="375">
        <f>E17</f>
        <v>-487</v>
      </c>
      <c r="G70" s="375">
        <f>F17</f>
        <v>-518</v>
      </c>
      <c r="H70" s="375">
        <f>G17</f>
        <v>-1145</v>
      </c>
      <c r="I70" s="375">
        <f>H17</f>
        <v>-633</v>
      </c>
      <c r="J70" s="375">
        <f>I17</f>
        <v>-611</v>
      </c>
      <c r="K70" s="375">
        <f>L17</f>
        <v>-870.72788600317665</v>
      </c>
      <c r="L70" s="375">
        <f>M17</f>
        <v>-912.43575174272894</v>
      </c>
      <c r="M70" s="375">
        <f>N17</f>
        <v>-956.14142425120565</v>
      </c>
      <c r="N70" s="375">
        <f>O17</f>
        <v>-1001.9405984728385</v>
      </c>
      <c r="O70" s="375">
        <f>P17</f>
        <v>-1049.9335531396875</v>
      </c>
    </row>
    <row r="71" spans="3:16" ht="16" thickBot="1">
      <c r="C71" s="423" t="s">
        <v>242</v>
      </c>
      <c r="D71" s="424"/>
      <c r="E71" s="425"/>
      <c r="F71" s="417">
        <f>-F67/F70</f>
        <v>22.273100616016428</v>
      </c>
      <c r="G71" s="417">
        <f t="shared" ref="G71:N71" si="7">-G67/G70</f>
        <v>21.525096525096526</v>
      </c>
      <c r="H71" s="417">
        <f t="shared" si="7"/>
        <v>12.090829694323144</v>
      </c>
      <c r="I71" s="417">
        <f t="shared" si="7"/>
        <v>20.368088467614534</v>
      </c>
      <c r="J71" s="417">
        <f t="shared" si="7"/>
        <v>20.127659574468087</v>
      </c>
      <c r="K71" s="417">
        <f t="shared" si="7"/>
        <v>23.761556661485535</v>
      </c>
      <c r="L71" s="417">
        <f t="shared" si="7"/>
        <v>24.318643759430948</v>
      </c>
      <c r="M71" s="417">
        <f t="shared" si="7"/>
        <v>24.989399469552239</v>
      </c>
      <c r="N71" s="417">
        <f t="shared" si="7"/>
        <v>25.548021548399131</v>
      </c>
      <c r="O71" s="417">
        <f>-O67/O70</f>
        <v>26.00335984916148</v>
      </c>
    </row>
    <row r="72" spans="3:16" ht="16" thickBot="1">
      <c r="C72" s="411"/>
      <c r="D72" s="412"/>
      <c r="E72" s="412"/>
      <c r="F72" s="413"/>
      <c r="G72" s="413"/>
      <c r="H72" s="413"/>
      <c r="I72" s="413"/>
      <c r="J72" s="414"/>
      <c r="K72" s="415"/>
      <c r="L72" s="413"/>
      <c r="M72" s="413"/>
      <c r="N72" s="413"/>
      <c r="O72" s="414"/>
    </row>
    <row r="73" spans="3:16" ht="16" thickBot="1">
      <c r="C73" s="261" t="s">
        <v>321</v>
      </c>
      <c r="D73" s="426"/>
      <c r="E73" s="404"/>
      <c r="F73" s="419">
        <v>1.7000000000000001E-2</v>
      </c>
      <c r="G73" s="419">
        <v>1.61E-2</v>
      </c>
      <c r="H73" s="419">
        <v>2.6800000000000001E-2</v>
      </c>
      <c r="I73" s="419">
        <v>3.39E-2</v>
      </c>
      <c r="J73" s="419">
        <v>1.55E-2</v>
      </c>
      <c r="K73" s="419">
        <v>2.3800000000000002E-2</v>
      </c>
      <c r="L73" s="419">
        <v>1.8800000000000001E-2</v>
      </c>
      <c r="M73" s="419">
        <v>3.2599999999999997E-2</v>
      </c>
      <c r="N73" s="419">
        <v>3.4200000000000001E-2</v>
      </c>
      <c r="O73" s="419">
        <v>2.5399999999999999E-2</v>
      </c>
      <c r="P73" s="64"/>
    </row>
    <row r="74" spans="3:16" ht="16" thickBot="1">
      <c r="C74" s="58"/>
      <c r="D74" s="50"/>
      <c r="E74" s="50"/>
      <c r="F74" s="50"/>
      <c r="G74" s="50"/>
      <c r="H74" s="50"/>
      <c r="I74" s="50"/>
      <c r="J74" s="57"/>
      <c r="K74" s="58"/>
      <c r="L74" s="50"/>
      <c r="M74" s="50"/>
      <c r="N74" s="50"/>
      <c r="O74" s="57"/>
    </row>
    <row r="75" spans="3:16" ht="16" thickBot="1">
      <c r="C75" s="199" t="s">
        <v>240</v>
      </c>
      <c r="D75" s="386"/>
      <c r="E75" s="421"/>
      <c r="F75" s="252"/>
      <c r="G75" s="420">
        <f t="shared" ref="G75:N75" si="8">(G64+G65)/G60*G62</f>
        <v>-0.10026892047637342</v>
      </c>
      <c r="H75" s="420">
        <f t="shared" si="8"/>
        <v>-1.4049049861945752E-2</v>
      </c>
      <c r="I75" s="420">
        <f t="shared" si="8"/>
        <v>-0.1495375933956842</v>
      </c>
      <c r="J75" s="420">
        <f t="shared" si="8"/>
        <v>-5.9432799013563499E-2</v>
      </c>
      <c r="K75" s="420">
        <f t="shared" si="8"/>
        <v>-4.8908995417553114E-3</v>
      </c>
      <c r="L75" s="420">
        <f t="shared" si="8"/>
        <v>-6.0640759867100845E-2</v>
      </c>
      <c r="M75" s="420">
        <f t="shared" si="8"/>
        <v>-6.0323042860388115E-2</v>
      </c>
      <c r="N75" s="420">
        <f t="shared" si="8"/>
        <v>-6.0338446182882512E-2</v>
      </c>
      <c r="O75" s="420">
        <f>(O64+O65)/O60*O62</f>
        <v>-6.0679741114649563E-2</v>
      </c>
    </row>
    <row r="76" spans="3:16">
      <c r="C76" s="65" t="s">
        <v>322</v>
      </c>
      <c r="D76" s="50"/>
      <c r="E76" s="50"/>
      <c r="F76" s="50"/>
      <c r="G76" s="66"/>
      <c r="H76" s="66"/>
      <c r="I76" s="66"/>
      <c r="J76" s="66"/>
      <c r="K76" s="66"/>
      <c r="L76" s="66"/>
      <c r="M76" s="66"/>
      <c r="N76" s="66"/>
      <c r="O76" s="66"/>
    </row>
    <row r="77" spans="3:16">
      <c r="C77" s="65" t="s">
        <v>284</v>
      </c>
      <c r="K77" s="67"/>
    </row>
    <row r="78" spans="3:16">
      <c r="C78" s="68" t="s">
        <v>327</v>
      </c>
      <c r="K78" s="69"/>
    </row>
    <row r="79" spans="3:16">
      <c r="E79" s="69"/>
      <c r="K79" s="69"/>
    </row>
    <row r="80" spans="3:16" ht="16" thickBot="1"/>
    <row r="81" spans="3:12" ht="16" thickBot="1">
      <c r="C81" s="199" t="s">
        <v>219</v>
      </c>
      <c r="D81" s="387"/>
      <c r="E81" s="200"/>
      <c r="F81" s="200">
        <v>1997</v>
      </c>
      <c r="G81" s="200">
        <v>1998</v>
      </c>
      <c r="H81" s="200">
        <v>1999</v>
      </c>
      <c r="I81" s="200">
        <v>2000</v>
      </c>
      <c r="J81" s="200">
        <v>2001</v>
      </c>
      <c r="K81" s="426"/>
      <c r="L81" s="428" t="s">
        <v>222</v>
      </c>
    </row>
    <row r="82" spans="3:12" ht="16" thickBot="1">
      <c r="C82" s="250" t="s">
        <v>220</v>
      </c>
      <c r="D82" s="433"/>
      <c r="E82" s="433"/>
      <c r="F82" s="252">
        <v>1.25</v>
      </c>
      <c r="G82" s="252">
        <v>0.93</v>
      </c>
      <c r="H82" s="252">
        <v>1.1499999999999999</v>
      </c>
      <c r="I82" s="252">
        <v>1.17</v>
      </c>
      <c r="J82" s="252">
        <v>1.44</v>
      </c>
      <c r="K82" s="255"/>
      <c r="L82" s="429">
        <v>6.2E-2</v>
      </c>
    </row>
    <row r="83" spans="3:12" ht="16" thickBot="1">
      <c r="C83" s="250" t="s">
        <v>221</v>
      </c>
      <c r="D83" s="389"/>
      <c r="E83" s="389"/>
      <c r="F83" s="252">
        <f>LN(F82)</f>
        <v>0.22314355131420976</v>
      </c>
      <c r="G83" s="252">
        <f t="shared" ref="G83:J83" si="9">LN(G82)</f>
        <v>-7.2570692834835374E-2</v>
      </c>
      <c r="H83" s="252">
        <f t="shared" si="9"/>
        <v>0.13976194237515863</v>
      </c>
      <c r="I83" s="252">
        <f t="shared" si="9"/>
        <v>0.15700374880966469</v>
      </c>
      <c r="J83" s="252">
        <f t="shared" si="9"/>
        <v>0.36464311358790924</v>
      </c>
      <c r="K83" s="255"/>
      <c r="L83" s="430">
        <f>5.13%/5</f>
        <v>1.026E-2</v>
      </c>
    </row>
  </sheetData>
  <phoneticPr fontId="17" type="noConversion"/>
  <dataValidations disablePrompts="1" count="1">
    <dataValidation type="list" allowBlank="1" showInputMessage="1" showErrorMessage="1" sqref="C20" xr:uid="{00000000-0002-0000-1500-000000000000}">
      <formula1>$C$37:$C$38</formula1>
    </dataValidation>
  </dataValidations>
  <pageMargins left="0.7" right="0.7" top="0.75" bottom="0.75" header="0.3" footer="0.3"/>
  <pageSetup paperSize="9" orientation="portrait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/>
  </sheetPr>
  <dimension ref="B1:I25"/>
  <sheetViews>
    <sheetView showGridLines="0" zoomScale="55" zoomScaleNormal="55" workbookViewId="0">
      <selection activeCell="B2" sqref="B2"/>
    </sheetView>
  </sheetViews>
  <sheetFormatPr baseColWidth="10" defaultColWidth="9.1640625" defaultRowHeight="15"/>
  <cols>
    <col min="1" max="1" width="20.1640625" style="37" customWidth="1"/>
    <col min="2" max="2" width="23.83203125" style="37" customWidth="1"/>
    <col min="3" max="3" width="11.83203125" style="37" customWidth="1"/>
    <col min="4" max="4" width="9.1640625" style="37"/>
    <col min="5" max="5" width="11.83203125" style="37" customWidth="1"/>
    <col min="6" max="6" width="12.83203125" style="37" customWidth="1"/>
    <col min="7" max="7" width="17.1640625" style="37" customWidth="1"/>
    <col min="8" max="8" width="12.83203125" style="37" customWidth="1"/>
    <col min="9" max="9" width="11.83203125" style="37" customWidth="1"/>
    <col min="10" max="10" width="12.83203125" style="37" customWidth="1"/>
    <col min="11" max="16384" width="9.1640625" style="37"/>
  </cols>
  <sheetData>
    <row r="1" spans="2:8">
      <c r="D1" s="81"/>
    </row>
    <row r="2" spans="2:8" ht="19">
      <c r="B2" s="448" t="s">
        <v>248</v>
      </c>
      <c r="C2" s="449"/>
      <c r="D2" s="445"/>
    </row>
    <row r="3" spans="2:8" ht="16" thickBot="1"/>
    <row r="4" spans="2:8" ht="16" thickBot="1">
      <c r="B4" s="443"/>
      <c r="C4" s="450">
        <v>2006</v>
      </c>
    </row>
    <row r="5" spans="2:8" ht="16" thickBot="1">
      <c r="B5" s="203" t="s">
        <v>229</v>
      </c>
      <c r="C5" s="451">
        <f>'5.1 Free Cash Flow'!P29</f>
        <v>4556.601155402599</v>
      </c>
    </row>
    <row r="6" spans="2:8" ht="16" thickBot="1">
      <c r="B6" s="203" t="s">
        <v>230</v>
      </c>
      <c r="C6" s="451">
        <f>'5.1 Free Cash Flow'!P30</f>
        <v>22707.762443899948</v>
      </c>
    </row>
    <row r="7" spans="2:8" ht="16" thickBot="1">
      <c r="B7" s="203" t="s">
        <v>285</v>
      </c>
      <c r="C7" s="451">
        <f>'5.1 Free Cash Flow'!$P$31</f>
        <v>31200.727907431366</v>
      </c>
    </row>
    <row r="8" spans="2:8" ht="16" thickBot="1">
      <c r="B8" s="203" t="s">
        <v>212</v>
      </c>
      <c r="C8" s="451">
        <f>'5.1 Free Cash Flow'!$P$32</f>
        <v>53908.490351331318</v>
      </c>
    </row>
    <row r="9" spans="2:8" ht="16" thickBot="1">
      <c r="B9" s="203" t="s">
        <v>286</v>
      </c>
      <c r="C9" s="452">
        <f>'5.1 Free Cash Flow'!O47</f>
        <v>7.6499999999999999E-2</v>
      </c>
    </row>
    <row r="10" spans="2:8" ht="16" thickBot="1">
      <c r="B10" s="203" t="s">
        <v>287</v>
      </c>
      <c r="C10" s="452">
        <f>'5.1 Free Cash Flow'!$O$75</f>
        <v>-6.0679741114649563E-2</v>
      </c>
    </row>
    <row r="11" spans="2:8" ht="16" thickBot="1">
      <c r="B11" s="42"/>
      <c r="C11" s="42"/>
      <c r="E11" s="42"/>
      <c r="F11" s="42"/>
      <c r="G11" s="42"/>
    </row>
    <row r="12" spans="2:8">
      <c r="B12" s="453" t="s">
        <v>712</v>
      </c>
      <c r="C12" s="454"/>
      <c r="D12" s="454"/>
      <c r="E12" s="454" t="s">
        <v>289</v>
      </c>
      <c r="F12" s="454"/>
      <c r="G12" s="454"/>
      <c r="H12" s="455"/>
    </row>
    <row r="13" spans="2:8" ht="16" thickBot="1">
      <c r="B13" s="456"/>
      <c r="C13" s="96"/>
      <c r="D13" s="96"/>
      <c r="E13" s="96"/>
      <c r="F13" s="96" t="s">
        <v>290</v>
      </c>
      <c r="G13" s="96"/>
      <c r="H13" s="457"/>
    </row>
    <row r="14" spans="2:8" ht="16" thickBot="1">
      <c r="B14" s="456"/>
      <c r="C14" s="463">
        <f>C6+C5*(1+C10)/(C9-C10)</f>
        <v>53908.490351331318</v>
      </c>
      <c r="D14" s="464">
        <f>E14-0.01</f>
        <v>5.6500000000000002E-2</v>
      </c>
      <c r="E14" s="464">
        <f>F14-0.01</f>
        <v>6.6500000000000004E-2</v>
      </c>
      <c r="F14" s="465">
        <f>C9</f>
        <v>7.6499999999999999E-2</v>
      </c>
      <c r="G14" s="464">
        <f>F14+0.01</f>
        <v>8.6499999999999994E-2</v>
      </c>
      <c r="H14" s="464">
        <f>G14+0.01</f>
        <v>9.6499999999999989E-2</v>
      </c>
    </row>
    <row r="15" spans="2:8" ht="16" thickBot="1">
      <c r="B15" s="456"/>
      <c r="C15" s="464">
        <f>C16-0.01</f>
        <v>-7.0679741114649558E-2</v>
      </c>
      <c r="D15" s="462">
        <f t="shared" ref="D15:H19" si="0">$C$6+$C$5*(1+$C15)/(D$14-$C15)</f>
        <v>56003.488070190462</v>
      </c>
      <c r="E15" s="460">
        <f t="shared" si="0"/>
        <v>53576.327517491707</v>
      </c>
      <c r="F15" s="460">
        <f t="shared" si="0"/>
        <v>51478.989606729534</v>
      </c>
      <c r="G15" s="460">
        <f t="shared" si="0"/>
        <v>49648.522972874765</v>
      </c>
      <c r="H15" s="459">
        <f t="shared" si="0"/>
        <v>48037.038211063867</v>
      </c>
    </row>
    <row r="16" spans="2:8" ht="16" thickBot="1">
      <c r="B16" s="456"/>
      <c r="C16" s="465">
        <f>C10</f>
        <v>-6.0679741114649563E-2</v>
      </c>
      <c r="D16" s="462">
        <f t="shared" si="0"/>
        <v>59233.767162944052</v>
      </c>
      <c r="E16" s="460">
        <f t="shared" si="0"/>
        <v>56361.768494058822</v>
      </c>
      <c r="F16" s="461">
        <f t="shared" si="0"/>
        <v>53908.490351331318</v>
      </c>
      <c r="G16" s="460">
        <f t="shared" si="0"/>
        <v>51788.583924595136</v>
      </c>
      <c r="H16" s="459">
        <f t="shared" si="0"/>
        <v>49938.420457314496</v>
      </c>
    </row>
    <row r="17" spans="2:9" ht="16" thickBot="1">
      <c r="B17" s="456" t="s">
        <v>288</v>
      </c>
      <c r="C17" s="464">
        <f>C16+0.01</f>
        <v>-5.0679741114649561E-2</v>
      </c>
      <c r="D17" s="462">
        <f t="shared" si="0"/>
        <v>63066.82417980145</v>
      </c>
      <c r="E17" s="460">
        <f t="shared" si="0"/>
        <v>59622.622874013112</v>
      </c>
      <c r="F17" s="460">
        <f t="shared" si="0"/>
        <v>56720.048917927197</v>
      </c>
      <c r="G17" s="460">
        <f t="shared" si="0"/>
        <v>54240.653185170922</v>
      </c>
      <c r="H17" s="459">
        <f t="shared" si="0"/>
        <v>52098.178242460737</v>
      </c>
    </row>
    <row r="18" spans="2:9" ht="16" thickBot="1">
      <c r="B18" s="456"/>
      <c r="C18" s="464">
        <f>C17+0.01</f>
        <v>-4.0679741114649559E-2</v>
      </c>
      <c r="D18" s="462">
        <f t="shared" si="0"/>
        <v>67688.740473889338</v>
      </c>
      <c r="E18" s="459">
        <f t="shared" si="0"/>
        <v>63491.960600921222</v>
      </c>
      <c r="F18" s="459">
        <f t="shared" si="0"/>
        <v>60011.478585082179</v>
      </c>
      <c r="G18" s="459">
        <f t="shared" si="0"/>
        <v>57078.329341795565</v>
      </c>
      <c r="H18" s="459">
        <f t="shared" si="0"/>
        <v>54572.816019010541</v>
      </c>
    </row>
    <row r="19" spans="2:9" ht="16" thickBot="1">
      <c r="B19" s="458"/>
      <c r="C19" s="464">
        <f>C18+0.01</f>
        <v>-3.0679741114649557E-2</v>
      </c>
      <c r="D19" s="462">
        <f t="shared" si="0"/>
        <v>73370.975652845111</v>
      </c>
      <c r="E19" s="459">
        <f t="shared" si="0"/>
        <v>68157.624327986749</v>
      </c>
      <c r="F19" s="459">
        <f t="shared" si="0"/>
        <v>63917.097022040994</v>
      </c>
      <c r="G19" s="459">
        <f t="shared" si="0"/>
        <v>60400.334296151254</v>
      </c>
      <c r="H19" s="459">
        <f t="shared" si="0"/>
        <v>57436.609765663932</v>
      </c>
    </row>
    <row r="20" spans="2:9" ht="16" thickBot="1"/>
    <row r="21" spans="2:9" ht="16" thickBot="1">
      <c r="B21" s="470"/>
      <c r="C21" s="471"/>
      <c r="D21" s="471"/>
      <c r="E21" s="471"/>
      <c r="F21" s="472"/>
      <c r="G21" s="476" t="s">
        <v>212</v>
      </c>
      <c r="H21" s="476" t="s">
        <v>291</v>
      </c>
      <c r="I21" s="476" t="s">
        <v>715</v>
      </c>
    </row>
    <row r="22" spans="2:9" ht="16" thickBot="1">
      <c r="B22" s="473" t="s">
        <v>294</v>
      </c>
      <c r="C22" s="474"/>
      <c r="D22" s="475"/>
      <c r="E22" s="471"/>
      <c r="F22" s="472"/>
      <c r="G22" s="477">
        <f>$F$16</f>
        <v>53908.490351331318</v>
      </c>
      <c r="H22" s="478">
        <v>53147.4</v>
      </c>
      <c r="I22" s="459">
        <f>H22-G22</f>
        <v>-761.09035133131692</v>
      </c>
    </row>
    <row r="23" spans="2:9" ht="16" thickBot="1">
      <c r="B23" s="473" t="s">
        <v>295</v>
      </c>
      <c r="C23" s="474"/>
      <c r="D23" s="475"/>
      <c r="E23" s="471"/>
      <c r="F23" s="472"/>
      <c r="G23" s="477">
        <f>$F$16</f>
        <v>53908.490351331318</v>
      </c>
      <c r="H23" s="478">
        <v>54711.199999999997</v>
      </c>
      <c r="I23" s="459">
        <f>H23-G23</f>
        <v>802.70964866867871</v>
      </c>
    </row>
    <row r="24" spans="2:9" ht="16" thickBot="1">
      <c r="B24" s="473" t="s">
        <v>293</v>
      </c>
      <c r="C24" s="474"/>
      <c r="D24" s="475"/>
      <c r="E24" s="471"/>
      <c r="F24" s="472"/>
      <c r="G24" s="477">
        <f>$F$16</f>
        <v>53908.490351331318</v>
      </c>
      <c r="H24" s="478">
        <v>53670.6</v>
      </c>
      <c r="I24" s="459">
        <f>H24-G24</f>
        <v>-237.89035133131983</v>
      </c>
    </row>
    <row r="25" spans="2:9" ht="16" thickBot="1">
      <c r="B25" s="473" t="s">
        <v>292</v>
      </c>
      <c r="C25" s="474"/>
      <c r="D25" s="475"/>
      <c r="E25" s="471"/>
      <c r="F25" s="472"/>
      <c r="G25" s="477">
        <f>$F$16</f>
        <v>53908.490351331318</v>
      </c>
      <c r="H25" s="478">
        <v>54155.5</v>
      </c>
      <c r="I25" s="459">
        <f>H25-G25</f>
        <v>247.00964866868162</v>
      </c>
    </row>
  </sheetData>
  <phoneticPr fontId="17" type="noConversion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/>
  </sheetPr>
  <dimension ref="A1:Y107"/>
  <sheetViews>
    <sheetView showGridLines="0" zoomScale="40" zoomScaleNormal="40" workbookViewId="0">
      <selection activeCell="B4" sqref="B4"/>
    </sheetView>
  </sheetViews>
  <sheetFormatPr baseColWidth="10" defaultColWidth="8.83203125" defaultRowHeight="15"/>
  <cols>
    <col min="1" max="1" width="21.5" style="37" customWidth="1"/>
    <col min="2" max="2" width="25.83203125" style="37" customWidth="1"/>
    <col min="3" max="3" width="14.83203125" style="37" customWidth="1"/>
    <col min="4" max="6" width="14.1640625" style="37" customWidth="1"/>
    <col min="7" max="7" width="8.83203125" style="37"/>
    <col min="8" max="8" width="13.33203125" style="37" bestFit="1" customWidth="1"/>
    <col min="9" max="13" width="14.1640625" style="37" customWidth="1"/>
    <col min="14" max="14" width="7.5" style="50" customWidth="1"/>
    <col min="15" max="15" width="8.83203125" style="50"/>
    <col min="16" max="16384" width="8.83203125" style="37"/>
  </cols>
  <sheetData>
    <row r="1" spans="1:25">
      <c r="A1" s="84"/>
      <c r="B1" s="84"/>
      <c r="C1" s="84"/>
      <c r="D1" s="84"/>
      <c r="E1" s="84"/>
      <c r="F1" s="84"/>
      <c r="G1" s="84"/>
      <c r="H1" s="84"/>
      <c r="I1" s="85"/>
      <c r="J1" s="84"/>
      <c r="K1" s="84"/>
      <c r="L1" s="84"/>
      <c r="M1" s="84"/>
      <c r="N1" s="90"/>
      <c r="O1" s="90"/>
      <c r="P1" s="84"/>
      <c r="Q1" s="84"/>
      <c r="R1" s="84"/>
      <c r="S1" s="84"/>
      <c r="T1" s="84"/>
      <c r="U1" s="84"/>
      <c r="V1" s="84"/>
      <c r="W1" s="84"/>
      <c r="X1" s="84"/>
      <c r="Y1" s="84"/>
    </row>
    <row r="2" spans="1:25" ht="11" customHeight="1">
      <c r="A2" s="84"/>
      <c r="N2" s="90"/>
      <c r="O2" s="90"/>
      <c r="P2" s="84"/>
      <c r="Q2" s="84"/>
      <c r="R2" s="84"/>
      <c r="S2" s="84"/>
      <c r="T2" s="84"/>
      <c r="U2" s="84"/>
      <c r="V2" s="84"/>
      <c r="W2" s="84"/>
      <c r="X2" s="84"/>
      <c r="Y2" s="84"/>
    </row>
    <row r="3" spans="1:25" ht="11" customHeight="1">
      <c r="A3" s="84"/>
      <c r="N3" s="90"/>
      <c r="O3" s="90"/>
      <c r="P3" s="84"/>
      <c r="Q3" s="84"/>
      <c r="R3" s="84"/>
      <c r="S3" s="84"/>
      <c r="T3" s="84"/>
      <c r="U3" s="84"/>
      <c r="V3" s="84"/>
      <c r="W3" s="84"/>
      <c r="X3" s="84"/>
      <c r="Y3" s="84"/>
    </row>
    <row r="4" spans="1:25" ht="17" customHeight="1">
      <c r="A4" s="86"/>
      <c r="B4" s="448" t="s">
        <v>248</v>
      </c>
      <c r="N4" s="90"/>
      <c r="O4" s="90"/>
      <c r="P4" s="84"/>
      <c r="Q4" s="84"/>
      <c r="R4" s="84"/>
      <c r="S4" s="84"/>
      <c r="T4" s="84"/>
      <c r="U4" s="84"/>
      <c r="V4" s="84"/>
      <c r="W4" s="84"/>
      <c r="X4" s="84"/>
      <c r="Y4" s="84"/>
    </row>
    <row r="5" spans="1:25" ht="9.5" customHeight="1">
      <c r="A5" s="86"/>
      <c r="N5" s="90"/>
      <c r="O5" s="90"/>
      <c r="P5" s="84"/>
      <c r="Q5" s="84"/>
      <c r="R5" s="84"/>
      <c r="S5" s="84"/>
      <c r="T5" s="84"/>
      <c r="U5" s="84"/>
      <c r="V5" s="84"/>
      <c r="W5" s="84"/>
      <c r="X5" s="84"/>
      <c r="Y5" s="84"/>
    </row>
    <row r="6" spans="1:25" ht="17" customHeight="1" thickBot="1">
      <c r="A6" s="84"/>
      <c r="N6" s="90"/>
      <c r="O6" s="90"/>
      <c r="P6" s="84"/>
      <c r="Q6" s="84"/>
      <c r="R6" s="84"/>
      <c r="S6" s="84"/>
      <c r="T6" s="84"/>
      <c r="U6" s="84"/>
      <c r="V6" s="84"/>
      <c r="W6" s="84"/>
      <c r="X6" s="84"/>
      <c r="Y6" s="84"/>
    </row>
    <row r="7" spans="1:25" ht="17" customHeight="1" thickBot="1">
      <c r="A7" s="84"/>
      <c r="B7" s="645">
        <v>2001</v>
      </c>
      <c r="C7" s="646"/>
      <c r="D7" s="646"/>
      <c r="E7" s="646"/>
      <c r="F7" s="647"/>
      <c r="G7" s="84"/>
      <c r="H7" s="402" t="s">
        <v>325</v>
      </c>
      <c r="I7" s="90"/>
      <c r="J7" s="90"/>
      <c r="K7" s="90"/>
      <c r="L7" s="90"/>
      <c r="M7" s="90"/>
      <c r="N7" s="90"/>
      <c r="O7" s="90"/>
      <c r="P7" s="84"/>
      <c r="Q7" s="84"/>
      <c r="R7" s="84"/>
      <c r="S7" s="84"/>
      <c r="T7" s="84"/>
      <c r="U7" s="84"/>
      <c r="V7" s="84"/>
      <c r="W7" s="84"/>
      <c r="X7" s="84"/>
      <c r="Y7" s="84"/>
    </row>
    <row r="8" spans="1:25" ht="17" customHeight="1" thickBot="1">
      <c r="A8" s="84"/>
      <c r="B8" s="648"/>
      <c r="C8" s="649"/>
      <c r="D8" s="649"/>
      <c r="E8" s="649"/>
      <c r="F8" s="650"/>
      <c r="G8" s="84"/>
      <c r="H8" s="250"/>
      <c r="I8" s="250" t="s">
        <v>256</v>
      </c>
      <c r="J8" s="250" t="s">
        <v>257</v>
      </c>
      <c r="K8" s="250" t="s">
        <v>258</v>
      </c>
      <c r="L8" s="250" t="s">
        <v>259</v>
      </c>
      <c r="M8" s="250" t="s">
        <v>260</v>
      </c>
      <c r="N8" s="90"/>
      <c r="O8" s="90"/>
      <c r="P8" s="84"/>
      <c r="Q8" s="84"/>
      <c r="R8" s="84"/>
      <c r="S8" s="84"/>
      <c r="T8" s="84"/>
      <c r="U8" s="84"/>
      <c r="V8" s="84"/>
      <c r="W8" s="84"/>
      <c r="X8" s="84"/>
      <c r="Y8" s="84"/>
    </row>
    <row r="9" spans="1:25" ht="17" customHeight="1" thickBot="1">
      <c r="A9" s="84"/>
      <c r="B9" s="480" t="s">
        <v>251</v>
      </c>
      <c r="C9" s="489" t="s">
        <v>252</v>
      </c>
      <c r="D9" s="489" t="s">
        <v>253</v>
      </c>
      <c r="E9" s="489" t="s">
        <v>254</v>
      </c>
      <c r="F9" s="489" t="s">
        <v>255</v>
      </c>
      <c r="G9" s="84"/>
      <c r="H9" s="250" t="s">
        <v>253</v>
      </c>
      <c r="I9" s="490">
        <f>$D$34</f>
        <v>31820499.999999996</v>
      </c>
      <c r="J9" s="490">
        <f>$D$36-$D$34</f>
        <v>2075250.0000000037</v>
      </c>
      <c r="K9" s="490">
        <f>$D$35-$D$36</f>
        <v>45378800</v>
      </c>
      <c r="L9" s="490">
        <f>$D$37-$D$35</f>
        <v>16671175</v>
      </c>
      <c r="M9" s="490">
        <f>$D$33-$D$37</f>
        <v>9476975</v>
      </c>
      <c r="N9" s="90"/>
      <c r="O9" s="90"/>
      <c r="P9" s="84"/>
      <c r="Q9" s="84"/>
      <c r="R9" s="84"/>
      <c r="S9" s="84"/>
      <c r="T9" s="84"/>
      <c r="U9" s="84"/>
      <c r="V9" s="84"/>
      <c r="W9" s="84"/>
      <c r="X9" s="84"/>
      <c r="Y9" s="84"/>
    </row>
    <row r="10" spans="1:25" ht="17" customHeight="1" thickBot="1">
      <c r="A10" s="84"/>
      <c r="B10" s="90"/>
      <c r="C10" s="479"/>
      <c r="D10" s="88"/>
      <c r="E10" s="88"/>
      <c r="F10" s="88"/>
      <c r="G10" s="84"/>
      <c r="H10" s="250" t="s">
        <v>254</v>
      </c>
      <c r="I10" s="490">
        <f>$E$34</f>
        <v>48112020</v>
      </c>
      <c r="J10" s="490">
        <f>$E$36-$E$34</f>
        <v>4280760</v>
      </c>
      <c r="K10" s="490">
        <f>$E$35-$E$36</f>
        <v>10732920.000000007</v>
      </c>
      <c r="L10" s="490">
        <f>$E$37-$E$35</f>
        <v>2388539.9999999925</v>
      </c>
      <c r="M10" s="490">
        <f>$E$33-$E$37</f>
        <v>341220</v>
      </c>
      <c r="N10" s="90"/>
      <c r="O10" s="90"/>
      <c r="P10" s="84"/>
      <c r="Q10" s="84"/>
      <c r="R10" s="84"/>
      <c r="S10" s="84"/>
      <c r="T10" s="84"/>
      <c r="U10" s="84"/>
      <c r="V10" s="84"/>
      <c r="W10" s="84"/>
      <c r="X10" s="84"/>
      <c r="Y10" s="84"/>
    </row>
    <row r="11" spans="1:25" ht="17" customHeight="1" thickBot="1">
      <c r="A11" s="84"/>
      <c r="B11" s="250" t="s">
        <v>305</v>
      </c>
      <c r="C11" s="484">
        <v>86665.1</v>
      </c>
      <c r="D11" s="484">
        <v>5.73</v>
      </c>
      <c r="E11" s="484">
        <v>21.23</v>
      </c>
      <c r="F11" s="484">
        <v>28.92</v>
      </c>
      <c r="G11" s="84"/>
      <c r="H11" s="250" t="s">
        <v>255</v>
      </c>
      <c r="I11" s="490">
        <f>$F$34</f>
        <v>42870110</v>
      </c>
      <c r="J11" s="490">
        <f>$F$36-$F$34</f>
        <v>5156370</v>
      </c>
      <c r="K11" s="490">
        <f>$F$35-$F$36</f>
        <v>10686390</v>
      </c>
      <c r="L11" s="490">
        <f>$F$37-$F$35</f>
        <v>6825340.0000000075</v>
      </c>
      <c r="M11" s="490">
        <f>$F$33-$F$37</f>
        <v>6501509.9999999925</v>
      </c>
      <c r="N11" s="90"/>
      <c r="O11" s="90"/>
      <c r="P11" s="84"/>
      <c r="Q11" s="84"/>
      <c r="R11" s="84"/>
      <c r="S11" s="84"/>
      <c r="T11" s="84"/>
      <c r="U11" s="84"/>
      <c r="V11" s="84"/>
      <c r="W11" s="84"/>
      <c r="X11" s="84"/>
      <c r="Y11" s="84"/>
    </row>
    <row r="12" spans="1:25" ht="17" customHeight="1" thickBot="1">
      <c r="A12" s="84"/>
      <c r="B12" s="250" t="s">
        <v>319</v>
      </c>
      <c r="C12" s="484">
        <v>98677.68</v>
      </c>
      <c r="D12" s="484">
        <v>2.4500000000000002</v>
      </c>
      <c r="E12" s="484">
        <v>16.89</v>
      </c>
      <c r="F12" s="485">
        <v>19.28</v>
      </c>
      <c r="G12" s="84"/>
      <c r="H12" s="250" t="s">
        <v>262</v>
      </c>
      <c r="I12" s="490">
        <f>F53</f>
        <v>48037038.211063869</v>
      </c>
      <c r="J12" s="506"/>
      <c r="K12" s="506"/>
      <c r="L12" s="506"/>
      <c r="M12" s="490">
        <f>F52</f>
        <v>73370975.652845114</v>
      </c>
      <c r="N12" s="90"/>
      <c r="O12" s="90"/>
      <c r="P12" s="84"/>
      <c r="Q12" s="84"/>
      <c r="R12" s="84"/>
      <c r="S12" s="84"/>
      <c r="T12" s="84"/>
      <c r="U12" s="84"/>
      <c r="V12" s="84"/>
      <c r="W12" s="84"/>
      <c r="X12" s="84"/>
      <c r="Y12" s="84"/>
    </row>
    <row r="13" spans="1:25" ht="17" customHeight="1" thickBot="1">
      <c r="A13" s="84"/>
      <c r="B13" s="250" t="s">
        <v>320</v>
      </c>
      <c r="C13" s="484">
        <v>52461.65</v>
      </c>
      <c r="D13" s="484">
        <v>2.2999999999999998</v>
      </c>
      <c r="E13" s="484">
        <v>15.51</v>
      </c>
      <c r="F13" s="484">
        <v>17.21</v>
      </c>
      <c r="G13" s="84"/>
      <c r="N13" s="90"/>
      <c r="O13" s="90"/>
      <c r="P13" s="84"/>
      <c r="Q13" s="84"/>
      <c r="R13" s="84"/>
      <c r="S13" s="84"/>
      <c r="T13" s="84"/>
      <c r="U13" s="84"/>
      <c r="V13" s="84"/>
      <c r="W13" s="84"/>
      <c r="X13" s="84"/>
      <c r="Y13" s="84"/>
    </row>
    <row r="14" spans="1:25" ht="17" customHeight="1" thickBot="1">
      <c r="A14" s="84"/>
      <c r="B14" s="250" t="s">
        <v>306</v>
      </c>
      <c r="C14" s="484">
        <v>81030.2</v>
      </c>
      <c r="D14" s="484">
        <v>6.25</v>
      </c>
      <c r="E14" s="485">
        <v>20.350000000000001</v>
      </c>
      <c r="F14" s="485">
        <v>23.7</v>
      </c>
      <c r="G14" s="84"/>
      <c r="N14" s="90"/>
      <c r="O14" s="90"/>
      <c r="P14" s="84"/>
      <c r="Q14" s="84"/>
      <c r="R14" s="84"/>
      <c r="S14" s="84"/>
      <c r="T14" s="84"/>
      <c r="U14" s="84"/>
      <c r="V14" s="84"/>
      <c r="W14" s="84"/>
      <c r="X14" s="84"/>
      <c r="Y14" s="84"/>
    </row>
    <row r="15" spans="1:25" ht="17" customHeight="1" thickBot="1">
      <c r="A15" s="84"/>
      <c r="B15" s="250" t="s">
        <v>261</v>
      </c>
      <c r="C15" s="484">
        <v>88295.28</v>
      </c>
      <c r="D15" s="484">
        <v>7.62</v>
      </c>
      <c r="E15" s="484">
        <v>21.01</v>
      </c>
      <c r="F15" s="484">
        <v>23.57</v>
      </c>
      <c r="G15" s="84"/>
      <c r="N15" s="90"/>
      <c r="O15" s="90"/>
      <c r="P15" s="84"/>
      <c r="Q15" s="84"/>
      <c r="R15" s="84"/>
      <c r="S15" s="84"/>
      <c r="T15" s="84"/>
      <c r="U15" s="84"/>
      <c r="V15" s="84"/>
      <c r="W15" s="84"/>
      <c r="X15" s="84"/>
      <c r="Y15" s="84"/>
    </row>
    <row r="16" spans="1:25" ht="17" customHeight="1" thickBot="1">
      <c r="A16" s="84"/>
      <c r="B16" s="402" t="s">
        <v>307</v>
      </c>
      <c r="C16" s="486">
        <v>55328.1</v>
      </c>
      <c r="D16" s="487"/>
      <c r="E16" s="487"/>
      <c r="F16" s="488"/>
      <c r="G16" s="84"/>
      <c r="N16" s="90"/>
      <c r="O16" s="90"/>
      <c r="P16" s="84"/>
      <c r="Q16" s="84"/>
      <c r="R16" s="84"/>
      <c r="S16" s="84"/>
      <c r="T16" s="84"/>
      <c r="U16" s="84"/>
      <c r="V16" s="84"/>
      <c r="W16" s="84"/>
      <c r="X16" s="84"/>
      <c r="Y16" s="84"/>
    </row>
    <row r="17" spans="1:25" ht="17" customHeight="1" thickBot="1">
      <c r="A17" s="84"/>
      <c r="B17" s="84"/>
      <c r="C17" s="84"/>
      <c r="D17" s="89"/>
      <c r="E17" s="89"/>
      <c r="F17" s="89"/>
      <c r="G17" s="84"/>
      <c r="H17" s="90"/>
      <c r="I17" s="90"/>
      <c r="J17" s="90"/>
      <c r="K17" s="90"/>
      <c r="L17" s="90"/>
      <c r="M17" s="90"/>
      <c r="N17" s="90"/>
      <c r="O17" s="90"/>
      <c r="P17" s="84"/>
      <c r="Q17" s="84"/>
      <c r="R17" s="84"/>
      <c r="S17" s="84"/>
      <c r="T17" s="84"/>
      <c r="U17" s="84"/>
      <c r="V17" s="84"/>
      <c r="W17" s="84"/>
      <c r="X17" s="84"/>
      <c r="Y17" s="84"/>
    </row>
    <row r="18" spans="1:25" ht="17" customHeight="1" thickBot="1">
      <c r="A18" s="84"/>
      <c r="B18" s="480" t="s">
        <v>263</v>
      </c>
      <c r="C18" s="480"/>
      <c r="D18" s="489" t="s">
        <v>253</v>
      </c>
      <c r="E18" s="489" t="s">
        <v>254</v>
      </c>
      <c r="F18" s="489" t="s">
        <v>255</v>
      </c>
      <c r="G18" s="84"/>
      <c r="H18" s="90"/>
      <c r="I18" s="90"/>
      <c r="J18" s="90"/>
      <c r="K18" s="90"/>
      <c r="L18" s="90"/>
      <c r="M18" s="90"/>
      <c r="N18" s="90"/>
      <c r="O18" s="90"/>
      <c r="P18" s="84"/>
      <c r="Q18" s="84"/>
      <c r="R18" s="84"/>
      <c r="S18" s="84"/>
      <c r="T18" s="84"/>
      <c r="U18" s="84"/>
      <c r="V18" s="84"/>
      <c r="W18" s="84"/>
      <c r="X18" s="84"/>
      <c r="Y18" s="84"/>
    </row>
    <row r="19" spans="1:25" ht="17" customHeight="1" thickBot="1">
      <c r="A19" s="84"/>
      <c r="B19" s="250" t="s">
        <v>260</v>
      </c>
      <c r="C19" s="90"/>
      <c r="D19" s="482">
        <f>MAX(D11:D15)</f>
        <v>7.62</v>
      </c>
      <c r="E19" s="482">
        <f t="shared" ref="E19:F19" si="0">MAX(E11:E15)</f>
        <v>21.23</v>
      </c>
      <c r="F19" s="482">
        <f t="shared" si="0"/>
        <v>28.92</v>
      </c>
      <c r="G19" s="84"/>
      <c r="H19" s="89"/>
      <c r="I19" s="84"/>
      <c r="J19" s="84"/>
      <c r="K19" s="84"/>
      <c r="L19" s="84"/>
      <c r="M19" s="84"/>
      <c r="N19" s="90"/>
      <c r="O19" s="90"/>
      <c r="P19" s="84"/>
      <c r="Q19" s="84"/>
      <c r="R19" s="84"/>
      <c r="S19" s="84"/>
      <c r="T19" s="84"/>
      <c r="U19" s="84"/>
      <c r="V19" s="84"/>
      <c r="W19" s="84"/>
      <c r="X19" s="84"/>
      <c r="Y19" s="84"/>
    </row>
    <row r="20" spans="1:25" ht="17" customHeight="1" thickBot="1">
      <c r="A20" s="84"/>
      <c r="B20" s="250" t="s">
        <v>256</v>
      </c>
      <c r="C20" s="90"/>
      <c r="D20" s="482">
        <f>MIN(D11:D15)</f>
        <v>2.2999999999999998</v>
      </c>
      <c r="E20" s="482">
        <f t="shared" ref="E20:F20" si="1">MIN(E11:E15)</f>
        <v>15.51</v>
      </c>
      <c r="F20" s="482">
        <f t="shared" si="1"/>
        <v>17.21</v>
      </c>
      <c r="G20" s="84"/>
      <c r="H20" s="84"/>
      <c r="I20" s="91"/>
      <c r="J20" s="91"/>
      <c r="K20" s="91"/>
      <c r="L20" s="91"/>
      <c r="M20" s="91"/>
      <c r="N20" s="90"/>
      <c r="O20" s="90"/>
      <c r="P20" s="84"/>
      <c r="Q20" s="84"/>
      <c r="R20" s="84"/>
      <c r="S20" s="84"/>
      <c r="T20" s="84"/>
      <c r="U20" s="84"/>
      <c r="V20" s="84"/>
      <c r="W20" s="84"/>
      <c r="X20" s="84"/>
      <c r="Y20" s="84"/>
    </row>
    <row r="21" spans="1:25" ht="17" customHeight="1" thickBot="1">
      <c r="A21" s="84"/>
      <c r="B21" s="250" t="s">
        <v>258</v>
      </c>
      <c r="C21" s="90"/>
      <c r="D21" s="482">
        <f>MEDIAN(D11:D15)</f>
        <v>5.73</v>
      </c>
      <c r="E21" s="482">
        <f t="shared" ref="E21:F21" si="2">MEDIAN(E11:E15)</f>
        <v>20.350000000000001</v>
      </c>
      <c r="F21" s="482">
        <f t="shared" si="2"/>
        <v>23.57</v>
      </c>
      <c r="G21" s="84"/>
      <c r="H21" s="84"/>
      <c r="I21" s="91"/>
      <c r="J21" s="91"/>
      <c r="K21" s="91"/>
      <c r="L21" s="91"/>
      <c r="M21" s="91"/>
      <c r="N21" s="90"/>
      <c r="O21" s="90"/>
      <c r="P21" s="84"/>
      <c r="Q21" s="84"/>
      <c r="R21" s="84"/>
      <c r="S21" s="84"/>
      <c r="T21" s="84"/>
      <c r="U21" s="84"/>
      <c r="V21" s="84"/>
      <c r="W21" s="84"/>
      <c r="X21" s="84"/>
      <c r="Y21" s="84"/>
    </row>
    <row r="22" spans="1:25" ht="17" customHeight="1" thickBot="1">
      <c r="A22" s="84"/>
      <c r="B22" s="250" t="s">
        <v>257</v>
      </c>
      <c r="C22" s="90"/>
      <c r="D22" s="482">
        <f>QUARTILE(D11:D15,1)</f>
        <v>2.4500000000000002</v>
      </c>
      <c r="E22" s="482">
        <f t="shared" ref="E22:F22" si="3">QUARTILE(E11:E15,1)</f>
        <v>16.89</v>
      </c>
      <c r="F22" s="482">
        <f t="shared" si="3"/>
        <v>19.28</v>
      </c>
      <c r="G22" s="84"/>
      <c r="H22" s="84"/>
      <c r="I22" s="91"/>
      <c r="J22" s="91"/>
      <c r="K22" s="91"/>
      <c r="L22" s="91"/>
      <c r="M22" s="91"/>
      <c r="N22" s="90"/>
      <c r="O22" s="90"/>
      <c r="P22" s="84"/>
      <c r="Q22" s="84"/>
      <c r="R22" s="84"/>
      <c r="S22" s="84"/>
      <c r="T22" s="84"/>
      <c r="U22" s="84"/>
      <c r="V22" s="84"/>
      <c r="W22" s="84"/>
      <c r="X22" s="84"/>
      <c r="Y22" s="84"/>
    </row>
    <row r="23" spans="1:25" ht="17" customHeight="1" thickBot="1">
      <c r="A23" s="84"/>
      <c r="B23" s="250" t="s">
        <v>259</v>
      </c>
      <c r="C23" s="90"/>
      <c r="D23" s="482">
        <f>_xlfn.QUARTILE.EXC(D11:D15,3)</f>
        <v>6.9350000000000005</v>
      </c>
      <c r="E23" s="482">
        <f t="shared" ref="E23:F23" si="4">_xlfn.QUARTILE.EXC(E11:E15,3)</f>
        <v>21.12</v>
      </c>
      <c r="F23" s="482">
        <f t="shared" si="4"/>
        <v>26.310000000000002</v>
      </c>
      <c r="G23" s="84"/>
      <c r="H23" s="84"/>
      <c r="I23" s="90"/>
      <c r="J23" s="90"/>
      <c r="K23" s="90"/>
      <c r="L23" s="90"/>
      <c r="M23" s="90"/>
      <c r="N23" s="90"/>
      <c r="O23" s="90"/>
      <c r="P23" s="84"/>
      <c r="Q23" s="84"/>
      <c r="R23" s="84"/>
      <c r="S23" s="84"/>
      <c r="T23" s="84"/>
      <c r="U23" s="84"/>
      <c r="V23" s="84"/>
      <c r="W23" s="84"/>
      <c r="X23" s="84"/>
      <c r="Y23" s="84"/>
    </row>
    <row r="24" spans="1:25" ht="17" customHeight="1" thickBot="1">
      <c r="A24" s="84"/>
      <c r="B24" s="250" t="s">
        <v>264</v>
      </c>
      <c r="C24" s="90"/>
      <c r="D24" s="482">
        <f>AVERAGE(D11:D15)</f>
        <v>4.87</v>
      </c>
      <c r="E24" s="482">
        <f t="shared" ref="E24:F24" si="5">AVERAGE(E11:E15)</f>
        <v>18.998000000000001</v>
      </c>
      <c r="F24" s="482">
        <f t="shared" si="5"/>
        <v>22.536000000000001</v>
      </c>
      <c r="G24" s="84"/>
      <c r="H24" s="84"/>
      <c r="I24" s="84"/>
      <c r="J24" s="84"/>
      <c r="K24" s="84"/>
      <c r="L24" s="84"/>
      <c r="M24" s="84"/>
      <c r="N24" s="90"/>
      <c r="O24" s="90"/>
      <c r="P24" s="84"/>
      <c r="Q24" s="84"/>
      <c r="R24" s="84"/>
      <c r="S24" s="84"/>
      <c r="T24" s="84"/>
      <c r="U24" s="84"/>
      <c r="V24" s="84"/>
      <c r="W24" s="84"/>
      <c r="X24" s="84"/>
      <c r="Y24" s="84"/>
    </row>
    <row r="25" spans="1:25" ht="17" customHeight="1" thickBot="1">
      <c r="A25" s="84"/>
      <c r="B25" s="481" t="s">
        <v>265</v>
      </c>
      <c r="C25" s="93"/>
      <c r="D25" s="483">
        <f>_xlfn.STDEV.P(D19:D23)</f>
        <v>2.2331045653976855</v>
      </c>
      <c r="E25" s="483">
        <f t="shared" ref="E25:F25" si="6">_xlfn.STDEV.P(E19:E23)</f>
        <v>2.3630488780386965</v>
      </c>
      <c r="F25" s="483">
        <f t="shared" si="6"/>
        <v>4.3283502630910196</v>
      </c>
      <c r="G25" s="84"/>
      <c r="H25" s="84"/>
      <c r="I25" s="84"/>
      <c r="J25" s="84"/>
      <c r="K25" s="84"/>
      <c r="L25" s="84"/>
      <c r="M25" s="84"/>
      <c r="N25" s="90"/>
      <c r="O25" s="90"/>
      <c r="P25" s="84"/>
      <c r="Q25" s="84"/>
      <c r="R25" s="84"/>
      <c r="S25" s="84"/>
      <c r="T25" s="84"/>
      <c r="U25" s="84"/>
      <c r="V25" s="84"/>
      <c r="W25" s="84"/>
      <c r="X25" s="84"/>
      <c r="Y25" s="84"/>
    </row>
    <row r="26" spans="1:25" ht="17" customHeight="1" thickBot="1">
      <c r="A26" s="84"/>
      <c r="B26" s="250" t="s">
        <v>266</v>
      </c>
      <c r="C26" s="87"/>
      <c r="D26" s="482">
        <f>D20</f>
        <v>2.2999999999999998</v>
      </c>
      <c r="E26" s="482">
        <f t="shared" ref="E26:F26" si="7">E20</f>
        <v>15.51</v>
      </c>
      <c r="F26" s="482">
        <f t="shared" si="7"/>
        <v>17.21</v>
      </c>
      <c r="G26" s="84"/>
      <c r="H26" s="84"/>
      <c r="I26" s="84"/>
      <c r="J26" s="84"/>
      <c r="K26" s="84"/>
      <c r="L26" s="84"/>
      <c r="M26" s="84"/>
      <c r="N26" s="90"/>
      <c r="O26" s="90"/>
      <c r="P26" s="84"/>
      <c r="Q26" s="84"/>
      <c r="R26" s="84"/>
      <c r="S26" s="84"/>
      <c r="T26" s="84"/>
      <c r="U26" s="84"/>
      <c r="V26" s="84"/>
      <c r="W26" s="84"/>
      <c r="X26" s="84"/>
      <c r="Y26" s="84"/>
    </row>
    <row r="27" spans="1:25" ht="17" customHeight="1" thickBot="1">
      <c r="A27" s="84"/>
      <c r="B27" s="250" t="s">
        <v>267</v>
      </c>
      <c r="C27" s="90"/>
      <c r="D27" s="482">
        <f>D22-D20</f>
        <v>0.15000000000000036</v>
      </c>
      <c r="E27" s="482">
        <f t="shared" ref="E27:F27" si="8">E22-E20</f>
        <v>1.3800000000000008</v>
      </c>
      <c r="F27" s="482">
        <f t="shared" si="8"/>
        <v>2.0700000000000003</v>
      </c>
      <c r="G27" s="84"/>
      <c r="H27" s="84"/>
      <c r="I27" s="84"/>
      <c r="J27" s="84"/>
      <c r="K27" s="84"/>
      <c r="L27" s="84"/>
      <c r="M27" s="84"/>
      <c r="N27" s="90"/>
      <c r="O27" s="90"/>
      <c r="P27" s="84"/>
      <c r="Q27" s="84"/>
      <c r="R27" s="84"/>
      <c r="S27" s="84"/>
      <c r="T27" s="84"/>
      <c r="U27" s="84"/>
      <c r="V27" s="84"/>
      <c r="W27" s="84"/>
      <c r="X27" s="84"/>
      <c r="Y27" s="84"/>
    </row>
    <row r="28" spans="1:25" ht="17" customHeight="1" thickBot="1">
      <c r="A28" s="84"/>
      <c r="B28" s="250" t="s">
        <v>268</v>
      </c>
      <c r="C28" s="90"/>
      <c r="D28" s="482">
        <f>D21-D22</f>
        <v>3.2800000000000002</v>
      </c>
      <c r="E28" s="482">
        <f t="shared" ref="E28:F28" si="9">E21-E22</f>
        <v>3.4600000000000009</v>
      </c>
      <c r="F28" s="482">
        <f t="shared" si="9"/>
        <v>4.2899999999999991</v>
      </c>
      <c r="G28" s="84"/>
      <c r="H28" s="84"/>
      <c r="I28" s="84"/>
      <c r="J28" s="84"/>
      <c r="K28" s="84"/>
      <c r="L28" s="84"/>
      <c r="M28" s="84"/>
      <c r="N28" s="90"/>
      <c r="O28" s="90"/>
      <c r="P28" s="84"/>
      <c r="Q28" s="84"/>
      <c r="R28" s="84"/>
      <c r="S28" s="84"/>
      <c r="T28" s="84"/>
      <c r="U28" s="84"/>
      <c r="V28" s="84"/>
      <c r="W28" s="84"/>
      <c r="X28" s="84"/>
      <c r="Y28" s="84"/>
    </row>
    <row r="29" spans="1:25" ht="17" customHeight="1" thickBot="1">
      <c r="A29" s="84"/>
      <c r="B29" s="250" t="s">
        <v>269</v>
      </c>
      <c r="C29" s="90"/>
      <c r="D29" s="482">
        <f>D23-D21</f>
        <v>1.2050000000000001</v>
      </c>
      <c r="E29" s="482">
        <f t="shared" ref="E29:F29" si="10">E23-E21</f>
        <v>0.76999999999999957</v>
      </c>
      <c r="F29" s="482">
        <f t="shared" si="10"/>
        <v>2.740000000000002</v>
      </c>
      <c r="G29" s="84"/>
      <c r="H29" s="84"/>
      <c r="I29" s="84"/>
      <c r="J29" s="84"/>
      <c r="K29" s="84"/>
      <c r="L29" s="84"/>
      <c r="M29" s="84"/>
      <c r="N29" s="90"/>
      <c r="O29" s="90"/>
      <c r="P29" s="84"/>
      <c r="Q29" s="84"/>
      <c r="R29" s="84"/>
      <c r="S29" s="84"/>
      <c r="T29" s="84"/>
      <c r="U29" s="84"/>
      <c r="V29" s="84"/>
      <c r="W29" s="84"/>
      <c r="X29" s="84"/>
      <c r="Y29" s="84"/>
    </row>
    <row r="30" spans="1:25" ht="17" customHeight="1" thickBot="1">
      <c r="A30" s="84"/>
      <c r="B30" s="250" t="s">
        <v>270</v>
      </c>
      <c r="C30" s="92"/>
      <c r="D30" s="482">
        <f>D19-D23</f>
        <v>0.68499999999999961</v>
      </c>
      <c r="E30" s="482">
        <f t="shared" ref="E30:F30" si="11">E19-E23</f>
        <v>0.10999999999999943</v>
      </c>
      <c r="F30" s="482">
        <f t="shared" si="11"/>
        <v>2.6099999999999994</v>
      </c>
      <c r="G30" s="84"/>
      <c r="H30" s="84"/>
      <c r="I30" s="84"/>
      <c r="J30" s="90"/>
      <c r="K30" s="90"/>
      <c r="L30" s="90"/>
      <c r="M30" s="90"/>
      <c r="N30" s="90"/>
      <c r="O30" s="90"/>
      <c r="P30" s="84"/>
      <c r="Q30" s="84"/>
      <c r="R30" s="84"/>
      <c r="S30" s="84"/>
      <c r="T30" s="84"/>
      <c r="U30" s="84"/>
      <c r="V30" s="84"/>
      <c r="W30" s="84"/>
      <c r="X30" s="84"/>
      <c r="Y30" s="84"/>
    </row>
    <row r="31" spans="1:25" ht="17" customHeight="1" thickBot="1">
      <c r="A31" s="84"/>
      <c r="B31" s="90"/>
      <c r="C31" s="90"/>
      <c r="D31" s="94"/>
      <c r="E31" s="94"/>
      <c r="F31" s="94"/>
      <c r="G31" s="84"/>
      <c r="H31" s="84"/>
      <c r="I31" s="84"/>
      <c r="J31" s="84"/>
      <c r="K31" s="84"/>
      <c r="L31" s="84"/>
      <c r="M31" s="84"/>
      <c r="N31" s="90"/>
      <c r="O31" s="90"/>
      <c r="P31" s="84"/>
      <c r="Q31" s="84"/>
      <c r="R31" s="84"/>
      <c r="S31" s="84"/>
      <c r="T31" s="84"/>
      <c r="U31" s="84"/>
      <c r="V31" s="84"/>
      <c r="W31" s="84"/>
      <c r="X31" s="84"/>
      <c r="Y31" s="84"/>
    </row>
    <row r="32" spans="1:25" ht="17" customHeight="1" thickBot="1">
      <c r="A32" s="84"/>
      <c r="B32" s="199" t="s">
        <v>331</v>
      </c>
      <c r="C32" s="386"/>
      <c r="D32" s="496" t="s">
        <v>271</v>
      </c>
      <c r="E32" s="496" t="s">
        <v>272</v>
      </c>
      <c r="F32" s="496" t="s">
        <v>273</v>
      </c>
      <c r="G32" s="84"/>
      <c r="H32" s="84"/>
      <c r="I32" s="84"/>
      <c r="J32" s="84"/>
      <c r="K32" s="84"/>
      <c r="L32" s="84"/>
      <c r="M32" s="84"/>
      <c r="N32" s="90"/>
      <c r="O32" s="90"/>
      <c r="P32" s="84"/>
      <c r="Q32" s="84"/>
      <c r="R32" s="84"/>
      <c r="S32" s="84"/>
      <c r="T32" s="84"/>
      <c r="U32" s="84"/>
      <c r="V32" s="84"/>
      <c r="W32" s="84"/>
      <c r="X32" s="84"/>
      <c r="Y32" s="84"/>
    </row>
    <row r="33" spans="1:25" ht="17" customHeight="1" thickBot="1">
      <c r="A33" s="84"/>
      <c r="B33" s="250" t="s">
        <v>260</v>
      </c>
      <c r="C33" s="90"/>
      <c r="D33" s="491">
        <f t="shared" ref="D33:D39" si="12">D19*$C$46</f>
        <v>105422700</v>
      </c>
      <c r="E33" s="491">
        <f t="shared" ref="E33:E39" si="13">E19*$C$47</f>
        <v>65855460</v>
      </c>
      <c r="F33" s="491">
        <f t="shared" ref="F33:F39" si="14">F19*$C$48</f>
        <v>72039720</v>
      </c>
      <c r="G33" s="84"/>
      <c r="H33" s="84"/>
      <c r="I33" s="84"/>
      <c r="J33" s="84"/>
      <c r="K33" s="84"/>
      <c r="L33" s="84"/>
      <c r="M33" s="84"/>
      <c r="N33" s="90"/>
      <c r="O33" s="90"/>
      <c r="P33" s="84"/>
      <c r="Q33" s="84"/>
      <c r="R33" s="84"/>
      <c r="S33" s="84"/>
      <c r="T33" s="84"/>
      <c r="U33" s="84"/>
      <c r="V33" s="84"/>
      <c r="W33" s="84"/>
      <c r="X33" s="84"/>
      <c r="Y33" s="84"/>
    </row>
    <row r="34" spans="1:25" ht="17" customHeight="1" thickBot="1">
      <c r="A34" s="84"/>
      <c r="B34" s="250" t="s">
        <v>256</v>
      </c>
      <c r="C34" s="90"/>
      <c r="D34" s="491">
        <f t="shared" si="12"/>
        <v>31820499.999999996</v>
      </c>
      <c r="E34" s="491">
        <f t="shared" si="13"/>
        <v>48112020</v>
      </c>
      <c r="F34" s="491">
        <f t="shared" si="14"/>
        <v>42870110</v>
      </c>
      <c r="G34" s="84"/>
      <c r="H34" s="84"/>
      <c r="I34" s="84"/>
      <c r="J34" s="84"/>
      <c r="K34" s="84"/>
      <c r="L34" s="84"/>
      <c r="M34" s="84"/>
      <c r="N34" s="90"/>
      <c r="O34" s="90"/>
      <c r="P34" s="84"/>
      <c r="Q34" s="84"/>
      <c r="R34" s="84"/>
      <c r="S34" s="84"/>
      <c r="T34" s="84"/>
      <c r="U34" s="84"/>
      <c r="V34" s="84"/>
      <c r="W34" s="84"/>
      <c r="X34" s="84"/>
      <c r="Y34" s="84"/>
    </row>
    <row r="35" spans="1:25" ht="16" thickBot="1">
      <c r="A35" s="84"/>
      <c r="B35" s="250" t="s">
        <v>258</v>
      </c>
      <c r="C35" s="90"/>
      <c r="D35" s="491">
        <f t="shared" si="12"/>
        <v>79274550</v>
      </c>
      <c r="E35" s="491">
        <f t="shared" si="13"/>
        <v>63125700.000000007</v>
      </c>
      <c r="F35" s="491">
        <f t="shared" si="14"/>
        <v>58712870</v>
      </c>
      <c r="G35" s="84"/>
      <c r="H35" s="84"/>
      <c r="I35" s="84"/>
      <c r="J35" s="84"/>
      <c r="K35" s="84"/>
      <c r="L35" s="84"/>
      <c r="M35" s="84"/>
      <c r="N35" s="90"/>
      <c r="O35" s="90"/>
      <c r="P35" s="84"/>
      <c r="Q35" s="84"/>
      <c r="R35" s="84"/>
      <c r="S35" s="84"/>
      <c r="T35" s="84"/>
      <c r="U35" s="84"/>
      <c r="V35" s="84"/>
      <c r="W35" s="84"/>
      <c r="X35" s="84"/>
      <c r="Y35" s="84"/>
    </row>
    <row r="36" spans="1:25" ht="16" thickBot="1">
      <c r="A36" s="84"/>
      <c r="B36" s="250" t="s">
        <v>257</v>
      </c>
      <c r="C36" s="90"/>
      <c r="D36" s="491">
        <f t="shared" si="12"/>
        <v>33895750</v>
      </c>
      <c r="E36" s="491">
        <f t="shared" si="13"/>
        <v>52392780</v>
      </c>
      <c r="F36" s="491">
        <f t="shared" si="14"/>
        <v>48026480</v>
      </c>
      <c r="G36" s="84"/>
      <c r="H36" s="84"/>
      <c r="I36" s="84"/>
      <c r="J36" s="84"/>
      <c r="K36" s="84"/>
      <c r="L36" s="84"/>
      <c r="M36" s="84"/>
      <c r="N36" s="90"/>
      <c r="O36" s="90"/>
      <c r="P36" s="84"/>
      <c r="Q36" s="84"/>
      <c r="R36" s="84"/>
      <c r="S36" s="84"/>
      <c r="T36" s="84"/>
      <c r="U36" s="84"/>
      <c r="V36" s="84"/>
      <c r="W36" s="84"/>
      <c r="X36" s="84"/>
      <c r="Y36" s="84"/>
    </row>
    <row r="37" spans="1:25" ht="16" thickBot="1">
      <c r="A37" s="84"/>
      <c r="B37" s="250" t="s">
        <v>259</v>
      </c>
      <c r="C37" s="90"/>
      <c r="D37" s="491">
        <f t="shared" si="12"/>
        <v>95945725</v>
      </c>
      <c r="E37" s="491">
        <f t="shared" si="13"/>
        <v>65514240</v>
      </c>
      <c r="F37" s="491">
        <f t="shared" si="14"/>
        <v>65538210.000000007</v>
      </c>
      <c r="G37" s="84"/>
      <c r="H37" s="84"/>
      <c r="I37" s="84"/>
      <c r="J37" s="84"/>
      <c r="K37" s="84"/>
      <c r="L37" s="84"/>
      <c r="M37" s="84"/>
      <c r="N37" s="90"/>
      <c r="O37" s="90"/>
      <c r="P37" s="84"/>
      <c r="Q37" s="84"/>
      <c r="R37" s="84"/>
      <c r="S37" s="84"/>
      <c r="T37" s="84"/>
      <c r="U37" s="84"/>
      <c r="V37" s="84"/>
      <c r="W37" s="84"/>
      <c r="X37" s="84"/>
      <c r="Y37" s="84"/>
    </row>
    <row r="38" spans="1:25" ht="16" thickBot="1">
      <c r="A38" s="84"/>
      <c r="B38" s="250" t="s">
        <v>264</v>
      </c>
      <c r="C38" s="90"/>
      <c r="D38" s="491">
        <f t="shared" si="12"/>
        <v>67376450</v>
      </c>
      <c r="E38" s="491">
        <f t="shared" si="13"/>
        <v>58931796</v>
      </c>
      <c r="F38" s="491">
        <f t="shared" si="14"/>
        <v>56137176</v>
      </c>
      <c r="G38" s="84"/>
      <c r="H38" s="84"/>
      <c r="I38" s="84"/>
      <c r="J38" s="84"/>
      <c r="K38" s="84"/>
      <c r="L38" s="84"/>
      <c r="M38" s="84"/>
      <c r="N38" s="90"/>
      <c r="O38" s="90"/>
      <c r="P38" s="84"/>
      <c r="Q38" s="84"/>
      <c r="R38" s="84"/>
      <c r="S38" s="84"/>
      <c r="T38" s="84"/>
      <c r="U38" s="84"/>
      <c r="V38" s="84"/>
      <c r="W38" s="84"/>
      <c r="X38" s="84"/>
      <c r="Y38" s="84"/>
    </row>
    <row r="39" spans="1:25" ht="16" thickBot="1">
      <c r="A39" s="84"/>
      <c r="B39" s="250" t="s">
        <v>265</v>
      </c>
      <c r="C39" s="92"/>
      <c r="D39" s="491">
        <f t="shared" si="12"/>
        <v>30895001.66227698</v>
      </c>
      <c r="E39" s="491">
        <f t="shared" si="13"/>
        <v>7330177.6196760368</v>
      </c>
      <c r="F39" s="491">
        <f t="shared" si="14"/>
        <v>10781920.50535973</v>
      </c>
      <c r="G39" s="84"/>
      <c r="H39" s="84"/>
      <c r="I39" s="84"/>
      <c r="J39" s="84"/>
      <c r="K39" s="84"/>
      <c r="L39" s="84"/>
      <c r="M39" s="84"/>
      <c r="N39" s="90"/>
      <c r="O39" s="90"/>
      <c r="P39" s="84"/>
      <c r="Q39" s="84"/>
      <c r="R39" s="84"/>
      <c r="S39" s="84"/>
      <c r="T39" s="84"/>
      <c r="U39" s="84"/>
      <c r="V39" s="84"/>
      <c r="W39" s="84"/>
      <c r="X39" s="84"/>
      <c r="Y39" s="84"/>
    </row>
    <row r="40" spans="1:25" ht="16" thickBot="1">
      <c r="A40" s="84"/>
      <c r="B40" s="250" t="s">
        <v>266</v>
      </c>
      <c r="C40" s="87"/>
      <c r="D40" s="492">
        <f>$D$34</f>
        <v>31820499.999999996</v>
      </c>
      <c r="E40" s="492">
        <f>$E$34</f>
        <v>48112020</v>
      </c>
      <c r="F40" s="492">
        <f>$F$34</f>
        <v>42870110</v>
      </c>
      <c r="G40" s="84"/>
      <c r="H40" s="90"/>
      <c r="I40" s="90"/>
      <c r="J40" s="90"/>
      <c r="K40" s="90"/>
      <c r="L40" s="90"/>
      <c r="M40" s="90"/>
      <c r="N40" s="90"/>
      <c r="O40" s="90"/>
      <c r="P40" s="84"/>
      <c r="Q40" s="84"/>
      <c r="R40" s="84"/>
      <c r="S40" s="84"/>
      <c r="T40" s="84"/>
      <c r="U40" s="84"/>
      <c r="V40" s="84"/>
      <c r="W40" s="84"/>
      <c r="X40" s="84"/>
      <c r="Y40" s="84"/>
    </row>
    <row r="41" spans="1:25" ht="16" thickBot="1">
      <c r="A41" s="84"/>
      <c r="B41" s="250" t="s">
        <v>267</v>
      </c>
      <c r="C41" s="90"/>
      <c r="D41" s="492">
        <f>$D$36-$D$34</f>
        <v>2075250.0000000037</v>
      </c>
      <c r="E41" s="492">
        <f>$E$36-$E$34</f>
        <v>4280760</v>
      </c>
      <c r="F41" s="492">
        <f>$F$36-$F$34</f>
        <v>5156370</v>
      </c>
      <c r="G41" s="84"/>
      <c r="H41" s="90"/>
      <c r="I41" s="90"/>
      <c r="J41" s="90"/>
      <c r="K41" s="90"/>
      <c r="L41" s="90"/>
      <c r="M41" s="90"/>
      <c r="N41" s="90"/>
      <c r="O41" s="90"/>
      <c r="P41" s="84"/>
      <c r="Q41" s="84"/>
      <c r="R41" s="84"/>
      <c r="S41" s="84"/>
      <c r="T41" s="84"/>
      <c r="U41" s="84"/>
      <c r="V41" s="84"/>
      <c r="W41" s="84"/>
      <c r="X41" s="84"/>
      <c r="Y41" s="84"/>
    </row>
    <row r="42" spans="1:25" ht="16" thickBot="1">
      <c r="A42" s="84"/>
      <c r="B42" s="250" t="s">
        <v>268</v>
      </c>
      <c r="C42" s="90"/>
      <c r="D42" s="492">
        <f>$D$35-$D$36</f>
        <v>45378800</v>
      </c>
      <c r="E42" s="492">
        <f>$E$35-$E$36</f>
        <v>10732920.000000007</v>
      </c>
      <c r="F42" s="492">
        <f>$F$35-$F$36</f>
        <v>10686390</v>
      </c>
      <c r="G42" s="84"/>
      <c r="H42" s="90"/>
      <c r="I42" s="90"/>
      <c r="J42" s="90"/>
      <c r="K42" s="90"/>
      <c r="L42" s="90"/>
      <c r="M42" s="90"/>
      <c r="N42" s="90"/>
      <c r="O42" s="90"/>
      <c r="P42" s="84"/>
      <c r="Q42" s="84"/>
      <c r="R42" s="84"/>
      <c r="S42" s="84"/>
      <c r="T42" s="84"/>
      <c r="U42" s="84"/>
      <c r="V42" s="84"/>
      <c r="W42" s="84"/>
      <c r="X42" s="84"/>
      <c r="Y42" s="84"/>
    </row>
    <row r="43" spans="1:25" ht="16" thickBot="1">
      <c r="A43" s="84"/>
      <c r="B43" s="250" t="s">
        <v>269</v>
      </c>
      <c r="C43" s="90"/>
      <c r="D43" s="492">
        <f>$D$37-$D$35</f>
        <v>16671175</v>
      </c>
      <c r="E43" s="492">
        <f>$E$37-$E$35</f>
        <v>2388539.9999999925</v>
      </c>
      <c r="F43" s="492">
        <f>$F$37-$F$35</f>
        <v>6825340.0000000075</v>
      </c>
      <c r="G43" s="84"/>
      <c r="H43" s="90"/>
      <c r="I43" s="90"/>
      <c r="J43" s="90"/>
      <c r="K43" s="90"/>
      <c r="L43" s="90"/>
      <c r="M43" s="90"/>
      <c r="N43" s="90"/>
      <c r="O43" s="90"/>
      <c r="P43" s="84"/>
      <c r="Q43" s="84"/>
      <c r="R43" s="84"/>
      <c r="S43" s="84"/>
      <c r="T43" s="84"/>
      <c r="U43" s="84"/>
      <c r="V43" s="84"/>
      <c r="W43" s="84"/>
      <c r="X43" s="84"/>
      <c r="Y43" s="84"/>
    </row>
    <row r="44" spans="1:25" ht="16" thickBot="1">
      <c r="A44" s="84"/>
      <c r="B44" s="250" t="s">
        <v>270</v>
      </c>
      <c r="C44" s="493"/>
      <c r="D44" s="492">
        <f>$D$33-$D$37</f>
        <v>9476975</v>
      </c>
      <c r="E44" s="492">
        <f>$E$33-$E$37</f>
        <v>341220</v>
      </c>
      <c r="F44" s="492">
        <f>$F$33-$F$37</f>
        <v>6501509.9999999925</v>
      </c>
      <c r="G44" s="84"/>
      <c r="H44" s="90"/>
      <c r="I44" s="88"/>
      <c r="J44" s="90"/>
      <c r="K44" s="90"/>
      <c r="L44" s="90"/>
      <c r="M44" s="90"/>
      <c r="N44" s="90"/>
      <c r="O44" s="90"/>
      <c r="P44" s="84"/>
      <c r="Q44" s="84"/>
      <c r="R44" s="84"/>
      <c r="S44" s="84"/>
      <c r="T44" s="84"/>
      <c r="U44" s="84"/>
      <c r="V44" s="84"/>
      <c r="W44" s="84"/>
      <c r="X44" s="84"/>
      <c r="Y44" s="84"/>
    </row>
    <row r="45" spans="1:25" ht="16" thickBot="1">
      <c r="A45" s="84"/>
      <c r="B45" s="84"/>
      <c r="C45" s="84"/>
      <c r="D45" s="84"/>
      <c r="E45" s="84"/>
      <c r="F45" s="84"/>
      <c r="G45" s="84"/>
      <c r="H45" s="90"/>
      <c r="I45" s="88"/>
      <c r="J45" s="90"/>
      <c r="K45" s="90"/>
      <c r="L45" s="90"/>
      <c r="M45" s="90"/>
      <c r="N45" s="90"/>
      <c r="O45" s="90"/>
      <c r="P45" s="84"/>
      <c r="Q45" s="84"/>
      <c r="R45" s="84"/>
      <c r="S45" s="84"/>
      <c r="T45" s="84"/>
      <c r="U45" s="84"/>
      <c r="V45" s="84"/>
      <c r="W45" s="84"/>
      <c r="X45" s="84"/>
      <c r="Y45" s="84"/>
    </row>
    <row r="46" spans="1:25" ht="16" thickBot="1">
      <c r="A46" s="84"/>
      <c r="B46" s="402" t="s">
        <v>28</v>
      </c>
      <c r="C46" s="501">
        <f>'3.3 Income Statement'!I7*1000</f>
        <v>13835000</v>
      </c>
      <c r="D46" s="502" t="s">
        <v>274</v>
      </c>
      <c r="E46" s="497"/>
      <c r="F46" s="498"/>
      <c r="G46" s="84"/>
      <c r="H46" s="90"/>
      <c r="I46" s="88"/>
      <c r="J46" s="90"/>
      <c r="K46" s="90"/>
      <c r="L46" s="90"/>
      <c r="M46" s="90"/>
      <c r="N46" s="90"/>
      <c r="O46" s="90"/>
      <c r="P46" s="84"/>
      <c r="Q46" s="84"/>
      <c r="R46" s="84"/>
      <c r="S46" s="84"/>
      <c r="T46" s="84"/>
      <c r="U46" s="84"/>
      <c r="V46" s="84"/>
      <c r="W46" s="84"/>
      <c r="X46" s="84"/>
      <c r="Y46" s="84"/>
    </row>
    <row r="47" spans="1:25" ht="16" thickBot="1">
      <c r="A47" s="84"/>
      <c r="B47" s="402" t="s">
        <v>29</v>
      </c>
      <c r="C47" s="501">
        <f>'3.3 Income Statement'!I11*1000</f>
        <v>3102000</v>
      </c>
      <c r="D47" s="502" t="s">
        <v>274</v>
      </c>
      <c r="E47" s="95"/>
      <c r="F47" s="499"/>
      <c r="G47" s="84"/>
      <c r="H47" s="90"/>
      <c r="I47" s="90"/>
      <c r="J47" s="90"/>
      <c r="K47" s="90"/>
      <c r="L47" s="90"/>
      <c r="M47" s="90"/>
      <c r="N47" s="90"/>
      <c r="O47" s="90"/>
      <c r="P47" s="84"/>
      <c r="Q47" s="84"/>
      <c r="R47" s="84"/>
      <c r="S47" s="84"/>
      <c r="T47" s="84"/>
      <c r="U47" s="84"/>
      <c r="V47" s="84"/>
      <c r="W47" s="84"/>
      <c r="X47" s="84"/>
      <c r="Y47" s="84"/>
    </row>
    <row r="48" spans="1:25" ht="16" thickBot="1">
      <c r="A48" s="84"/>
      <c r="B48" s="402" t="s">
        <v>275</v>
      </c>
      <c r="C48" s="501">
        <f>'3.3 Income Statement'!I15*1000</f>
        <v>2491000</v>
      </c>
      <c r="D48" s="502" t="s">
        <v>274</v>
      </c>
      <c r="E48" s="95"/>
      <c r="F48" s="499"/>
      <c r="G48" s="84"/>
      <c r="H48" s="90"/>
      <c r="I48" s="90"/>
      <c r="J48" s="90"/>
      <c r="K48" s="90"/>
      <c r="L48" s="90"/>
      <c r="M48" s="90"/>
      <c r="N48" s="90"/>
      <c r="O48" s="90"/>
      <c r="P48" s="84"/>
      <c r="Q48" s="84"/>
      <c r="R48" s="84"/>
      <c r="S48" s="84"/>
      <c r="T48" s="84"/>
      <c r="U48" s="84"/>
      <c r="V48" s="84"/>
      <c r="W48" s="84"/>
      <c r="X48" s="84"/>
      <c r="Y48" s="84"/>
    </row>
    <row r="49" spans="1:25" ht="16" thickBot="1">
      <c r="A49" s="84"/>
      <c r="B49" s="402" t="s">
        <v>212</v>
      </c>
      <c r="C49" s="501">
        <v>57273100</v>
      </c>
      <c r="D49" s="502" t="s">
        <v>274</v>
      </c>
      <c r="E49" s="493"/>
      <c r="F49" s="500"/>
      <c r="G49" s="84"/>
      <c r="H49" s="90"/>
      <c r="I49" s="90"/>
      <c r="J49" s="90"/>
      <c r="K49" s="90"/>
      <c r="L49" s="90"/>
      <c r="M49" s="90"/>
      <c r="N49" s="90"/>
      <c r="O49" s="90"/>
      <c r="P49" s="84"/>
      <c r="Q49" s="84"/>
      <c r="R49" s="84"/>
      <c r="S49" s="84"/>
      <c r="T49" s="84"/>
      <c r="U49" s="84"/>
      <c r="V49" s="84"/>
      <c r="W49" s="84"/>
      <c r="X49" s="84"/>
      <c r="Y49" s="84"/>
    </row>
    <row r="50" spans="1:25" ht="16" thickBot="1">
      <c r="A50" s="84"/>
      <c r="B50" s="84"/>
      <c r="C50" s="84"/>
      <c r="D50" s="84"/>
      <c r="E50" s="84"/>
      <c r="F50" s="84"/>
      <c r="G50" s="84"/>
      <c r="H50" s="90"/>
      <c r="I50" s="90"/>
      <c r="J50" s="90"/>
      <c r="K50" s="90"/>
      <c r="L50" s="90"/>
      <c r="M50" s="90"/>
      <c r="N50" s="90"/>
      <c r="O50" s="90"/>
      <c r="P50" s="84"/>
      <c r="Q50" s="84"/>
      <c r="R50" s="84"/>
      <c r="S50" s="84"/>
      <c r="T50" s="84"/>
      <c r="U50" s="84"/>
      <c r="V50" s="84"/>
      <c r="W50" s="84"/>
      <c r="X50" s="84"/>
      <c r="Y50" s="84"/>
    </row>
    <row r="51" spans="1:25" ht="16" thickBot="1">
      <c r="A51" s="84"/>
      <c r="B51" s="250"/>
      <c r="C51" s="504" t="s">
        <v>255</v>
      </c>
      <c r="D51" s="504" t="s">
        <v>254</v>
      </c>
      <c r="E51" s="504" t="s">
        <v>253</v>
      </c>
      <c r="F51" s="504" t="s">
        <v>262</v>
      </c>
      <c r="G51" s="84"/>
      <c r="H51" s="84"/>
      <c r="I51" s="84"/>
      <c r="J51" s="84"/>
      <c r="K51" s="84"/>
      <c r="L51" s="84"/>
      <c r="M51" s="84"/>
      <c r="N51" s="90"/>
      <c r="O51" s="90"/>
      <c r="P51" s="84"/>
      <c r="Q51" s="84"/>
      <c r="R51" s="84"/>
      <c r="S51" s="84"/>
      <c r="T51" s="84"/>
      <c r="U51" s="84"/>
      <c r="V51" s="84"/>
      <c r="W51" s="84"/>
      <c r="X51" s="84"/>
      <c r="Y51" s="84"/>
    </row>
    <row r="52" spans="1:25" ht="16" thickBot="1">
      <c r="A52" s="84"/>
      <c r="B52" s="402" t="s">
        <v>276</v>
      </c>
      <c r="C52" s="505">
        <f>F33</f>
        <v>72039720</v>
      </c>
      <c r="D52" s="491">
        <f>E33</f>
        <v>65855460</v>
      </c>
      <c r="E52" s="491">
        <f>D33</f>
        <v>105422700</v>
      </c>
      <c r="F52" s="491">
        <f>'5.2 Sensitivity Analysis'!D19*1000</f>
        <v>73370975.652845114</v>
      </c>
      <c r="G52" s="84"/>
      <c r="H52" s="84"/>
      <c r="I52" s="84"/>
      <c r="J52" s="84"/>
      <c r="K52" s="84"/>
      <c r="L52" s="84"/>
      <c r="M52" s="84"/>
      <c r="N52" s="90"/>
      <c r="O52" s="90"/>
      <c r="P52" s="84"/>
      <c r="Q52" s="84"/>
      <c r="R52" s="84"/>
      <c r="S52" s="84"/>
      <c r="T52" s="84"/>
      <c r="U52" s="84"/>
      <c r="V52" s="84"/>
      <c r="W52" s="84"/>
      <c r="X52" s="84"/>
      <c r="Y52" s="84"/>
    </row>
    <row r="53" spans="1:25" ht="16" thickBot="1">
      <c r="A53" s="84"/>
      <c r="B53" s="402" t="s">
        <v>277</v>
      </c>
      <c r="C53" s="505">
        <f>F34</f>
        <v>42870110</v>
      </c>
      <c r="D53" s="491">
        <f>E34</f>
        <v>48112020</v>
      </c>
      <c r="E53" s="491">
        <f>D34</f>
        <v>31820499.999999996</v>
      </c>
      <c r="F53" s="491">
        <f>'5.2 Sensitivity Analysis'!H15*1000</f>
        <v>48037038.211063869</v>
      </c>
      <c r="G53" s="84"/>
      <c r="H53" s="84"/>
      <c r="I53" s="84"/>
      <c r="J53" s="84"/>
      <c r="K53" s="84"/>
      <c r="L53" s="84"/>
      <c r="M53" s="84"/>
      <c r="N53" s="90"/>
      <c r="O53" s="90"/>
      <c r="P53" s="84"/>
      <c r="Q53" s="84"/>
      <c r="R53" s="84"/>
      <c r="S53" s="84"/>
      <c r="T53" s="84"/>
      <c r="U53" s="84"/>
      <c r="V53" s="84"/>
      <c r="W53" s="84"/>
      <c r="X53" s="84"/>
      <c r="Y53" s="84"/>
    </row>
    <row r="54" spans="1:25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90"/>
      <c r="O54" s="90"/>
      <c r="P54" s="84"/>
      <c r="Q54" s="84"/>
      <c r="R54" s="84"/>
      <c r="S54" s="84"/>
      <c r="T54" s="84"/>
      <c r="U54" s="84"/>
      <c r="V54" s="84"/>
      <c r="W54" s="84"/>
      <c r="X54" s="84"/>
      <c r="Y54" s="84"/>
    </row>
    <row r="55" spans="1:25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90"/>
      <c r="O55" s="90"/>
      <c r="P55" s="84"/>
      <c r="Q55" s="84"/>
      <c r="R55" s="84"/>
      <c r="S55" s="84"/>
      <c r="T55" s="84"/>
      <c r="U55" s="84"/>
      <c r="V55" s="84"/>
      <c r="W55" s="84"/>
      <c r="X55" s="84"/>
      <c r="Y55" s="84"/>
    </row>
    <row r="56" spans="1:25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90"/>
      <c r="O56" s="90"/>
      <c r="P56" s="84"/>
      <c r="Q56" s="84"/>
      <c r="R56" s="84"/>
      <c r="S56" s="84"/>
      <c r="T56" s="84"/>
      <c r="U56" s="84"/>
      <c r="V56" s="84"/>
      <c r="W56" s="84"/>
      <c r="X56" s="84"/>
      <c r="Y56" s="84"/>
    </row>
    <row r="57" spans="1:25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90"/>
      <c r="O57" s="90"/>
      <c r="P57" s="84"/>
      <c r="Q57" s="84"/>
      <c r="R57" s="84"/>
      <c r="S57" s="84"/>
      <c r="T57" s="84"/>
      <c r="U57" s="84"/>
      <c r="V57" s="84"/>
      <c r="W57" s="84"/>
      <c r="X57" s="84"/>
      <c r="Y57" s="84"/>
    </row>
    <row r="58" spans="1:25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90"/>
      <c r="O58" s="90"/>
      <c r="P58" s="84"/>
      <c r="Q58" s="84"/>
      <c r="R58" s="84"/>
      <c r="S58" s="84"/>
      <c r="T58" s="84"/>
      <c r="U58" s="84"/>
      <c r="V58" s="84"/>
      <c r="W58" s="84"/>
      <c r="X58" s="84"/>
      <c r="Y58" s="84"/>
    </row>
    <row r="59" spans="1:25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90"/>
      <c r="O59" s="90"/>
      <c r="P59" s="84"/>
      <c r="Q59" s="84"/>
      <c r="R59" s="84"/>
      <c r="S59" s="84"/>
      <c r="T59" s="84"/>
      <c r="U59" s="84"/>
      <c r="V59" s="84"/>
      <c r="W59" s="84"/>
      <c r="X59" s="84"/>
      <c r="Y59" s="84"/>
    </row>
    <row r="60" spans="1:25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90"/>
      <c r="O60" s="90"/>
      <c r="P60" s="84"/>
      <c r="Q60" s="84"/>
      <c r="R60" s="84"/>
      <c r="S60" s="84"/>
      <c r="T60" s="84"/>
      <c r="U60" s="84"/>
      <c r="V60" s="84"/>
      <c r="W60" s="84"/>
      <c r="X60" s="84"/>
      <c r="Y60" s="84"/>
    </row>
    <row r="61" spans="1:25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90"/>
      <c r="O61" s="90"/>
      <c r="P61" s="84"/>
      <c r="Q61" s="84"/>
      <c r="R61" s="84"/>
      <c r="S61" s="84"/>
      <c r="T61" s="84"/>
      <c r="U61" s="84"/>
      <c r="V61" s="84"/>
      <c r="W61" s="84"/>
      <c r="X61" s="84"/>
      <c r="Y61" s="84"/>
    </row>
    <row r="62" spans="1:25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90"/>
      <c r="O62" s="90"/>
      <c r="P62" s="84"/>
      <c r="Q62" s="84"/>
      <c r="R62" s="84"/>
      <c r="S62" s="84"/>
      <c r="T62" s="84"/>
      <c r="U62" s="84"/>
      <c r="V62" s="84"/>
      <c r="W62" s="84"/>
      <c r="X62" s="84"/>
      <c r="Y62" s="84"/>
    </row>
    <row r="63" spans="1:25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90"/>
      <c r="O63" s="90"/>
      <c r="P63" s="84"/>
      <c r="Q63" s="84"/>
      <c r="R63" s="84"/>
      <c r="S63" s="84"/>
      <c r="T63" s="84"/>
      <c r="U63" s="84"/>
      <c r="V63" s="84"/>
      <c r="W63" s="84"/>
      <c r="X63" s="84"/>
      <c r="Y63" s="84"/>
    </row>
    <row r="64" spans="1:25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90"/>
      <c r="O64" s="90"/>
      <c r="P64" s="84"/>
      <c r="Q64" s="84"/>
      <c r="R64" s="84"/>
      <c r="S64" s="84"/>
      <c r="T64" s="84"/>
      <c r="U64" s="84"/>
      <c r="V64" s="84"/>
      <c r="W64" s="84"/>
      <c r="X64" s="84"/>
      <c r="Y64" s="84"/>
    </row>
    <row r="65" spans="1:25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90"/>
      <c r="O65" s="90"/>
      <c r="P65" s="84"/>
      <c r="Q65" s="84"/>
      <c r="R65" s="84"/>
      <c r="S65" s="84"/>
      <c r="T65" s="84"/>
      <c r="U65" s="84"/>
      <c r="V65" s="84"/>
      <c r="W65" s="84"/>
      <c r="X65" s="84"/>
      <c r="Y65" s="84"/>
    </row>
    <row r="66" spans="1:25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90"/>
      <c r="O66" s="90"/>
      <c r="P66" s="84"/>
      <c r="Q66" s="84"/>
      <c r="R66" s="84"/>
      <c r="S66" s="84"/>
      <c r="T66" s="84"/>
      <c r="U66" s="84"/>
      <c r="V66" s="84"/>
      <c r="W66" s="84"/>
      <c r="X66" s="84"/>
      <c r="Y66" s="84"/>
    </row>
    <row r="67" spans="1:25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90"/>
      <c r="O67" s="90"/>
      <c r="P67" s="84"/>
      <c r="Q67" s="84"/>
      <c r="R67" s="84"/>
      <c r="S67" s="84"/>
      <c r="T67" s="84"/>
      <c r="U67" s="84"/>
      <c r="V67" s="84"/>
      <c r="W67" s="84"/>
      <c r="X67" s="84"/>
      <c r="Y67" s="84"/>
    </row>
    <row r="68" spans="1:25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90"/>
      <c r="O68" s="90"/>
      <c r="P68" s="84"/>
      <c r="Q68" s="84"/>
      <c r="R68" s="84"/>
      <c r="S68" s="84"/>
      <c r="T68" s="84"/>
      <c r="U68" s="84"/>
      <c r="V68" s="84"/>
      <c r="W68" s="84"/>
      <c r="X68" s="84"/>
      <c r="Y68" s="84"/>
    </row>
    <row r="69" spans="1:25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90"/>
      <c r="O69" s="90"/>
      <c r="P69" s="84"/>
      <c r="Q69" s="84"/>
      <c r="R69" s="84"/>
      <c r="S69" s="84"/>
      <c r="T69" s="84"/>
      <c r="U69" s="84"/>
      <c r="V69" s="84"/>
      <c r="W69" s="84"/>
      <c r="X69" s="84"/>
      <c r="Y69" s="84"/>
    </row>
    <row r="70" spans="1:25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90"/>
      <c r="O70" s="90"/>
      <c r="P70" s="84"/>
      <c r="Q70" s="84"/>
      <c r="R70" s="84"/>
      <c r="S70" s="84"/>
      <c r="T70" s="84"/>
      <c r="U70" s="84"/>
      <c r="V70" s="84"/>
      <c r="W70" s="84"/>
      <c r="X70" s="84"/>
      <c r="Y70" s="84"/>
    </row>
    <row r="71" spans="1:25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90"/>
      <c r="O71" s="90"/>
      <c r="P71" s="84"/>
      <c r="Q71" s="84"/>
      <c r="R71" s="84"/>
      <c r="S71" s="84"/>
      <c r="T71" s="84"/>
      <c r="U71" s="84"/>
      <c r="V71" s="84"/>
      <c r="W71" s="84"/>
      <c r="X71" s="84"/>
      <c r="Y71" s="84"/>
    </row>
    <row r="72" spans="1:25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90"/>
      <c r="O72" s="90"/>
      <c r="P72" s="84"/>
      <c r="Q72" s="84"/>
      <c r="R72" s="84"/>
      <c r="S72" s="84"/>
      <c r="T72" s="84"/>
      <c r="U72" s="84"/>
      <c r="V72" s="84"/>
      <c r="W72" s="84"/>
      <c r="X72" s="84"/>
      <c r="Y72" s="84"/>
    </row>
    <row r="73" spans="1:25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90"/>
      <c r="O73" s="90"/>
      <c r="P73" s="84"/>
      <c r="Q73" s="84"/>
      <c r="R73" s="84"/>
      <c r="S73" s="84"/>
      <c r="T73" s="84"/>
      <c r="U73" s="84"/>
      <c r="V73" s="84"/>
      <c r="W73" s="84"/>
      <c r="X73" s="84"/>
      <c r="Y73" s="84"/>
    </row>
    <row r="74" spans="1:25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90"/>
      <c r="O74" s="90"/>
      <c r="P74" s="84"/>
      <c r="Q74" s="84"/>
      <c r="R74" s="84"/>
      <c r="S74" s="84"/>
      <c r="T74" s="84"/>
      <c r="U74" s="84"/>
      <c r="V74" s="84"/>
      <c r="W74" s="84"/>
      <c r="X74" s="84"/>
      <c r="Y74" s="84"/>
    </row>
    <row r="75" spans="1:25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90"/>
      <c r="O75" s="90"/>
      <c r="P75" s="84"/>
      <c r="Q75" s="84"/>
      <c r="R75" s="84"/>
      <c r="S75" s="84"/>
      <c r="T75" s="84"/>
      <c r="U75" s="84"/>
      <c r="V75" s="84"/>
      <c r="W75" s="84"/>
      <c r="X75" s="84"/>
      <c r="Y75" s="84"/>
    </row>
    <row r="76" spans="1:25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90"/>
      <c r="O76" s="90"/>
      <c r="P76" s="84"/>
      <c r="Q76" s="84"/>
      <c r="R76" s="84"/>
      <c r="S76" s="84"/>
      <c r="T76" s="84"/>
      <c r="U76" s="84"/>
      <c r="V76" s="84"/>
      <c r="W76" s="84"/>
      <c r="X76" s="84"/>
      <c r="Y76" s="84"/>
    </row>
    <row r="77" spans="1:25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90"/>
      <c r="O77" s="90"/>
      <c r="P77" s="84"/>
      <c r="Q77" s="84"/>
      <c r="R77" s="84"/>
      <c r="S77" s="84"/>
      <c r="T77" s="84"/>
      <c r="U77" s="84"/>
      <c r="V77" s="84"/>
      <c r="W77" s="84"/>
      <c r="X77" s="84"/>
      <c r="Y77" s="84"/>
    </row>
    <row r="78" spans="1:25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90"/>
      <c r="O78" s="90"/>
      <c r="P78" s="84"/>
      <c r="Q78" s="84"/>
      <c r="R78" s="84"/>
      <c r="S78" s="84"/>
      <c r="T78" s="84"/>
      <c r="U78" s="84"/>
      <c r="V78" s="84"/>
      <c r="W78" s="84"/>
      <c r="X78" s="84"/>
      <c r="Y78" s="84"/>
    </row>
    <row r="79" spans="1:25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90"/>
      <c r="O79" s="90"/>
      <c r="P79" s="84"/>
      <c r="Q79" s="84"/>
      <c r="R79" s="84"/>
      <c r="S79" s="84"/>
      <c r="T79" s="84"/>
      <c r="U79" s="84"/>
      <c r="V79" s="84"/>
      <c r="W79" s="84"/>
      <c r="X79" s="84"/>
      <c r="Y79" s="84"/>
    </row>
    <row r="80" spans="1:25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90"/>
      <c r="O80" s="90"/>
      <c r="P80" s="84"/>
      <c r="Q80" s="84"/>
      <c r="R80" s="84"/>
      <c r="S80" s="84"/>
      <c r="T80" s="84"/>
      <c r="U80" s="84"/>
      <c r="V80" s="84"/>
      <c r="W80" s="84"/>
      <c r="X80" s="84"/>
      <c r="Y80" s="84"/>
    </row>
    <row r="81" spans="1:25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90"/>
      <c r="O81" s="90"/>
      <c r="P81" s="84"/>
      <c r="Q81" s="84"/>
      <c r="R81" s="84"/>
      <c r="S81" s="84"/>
      <c r="T81" s="84"/>
      <c r="U81" s="84"/>
      <c r="V81" s="84"/>
      <c r="W81" s="84"/>
      <c r="X81" s="84"/>
      <c r="Y81" s="84"/>
    </row>
    <row r="82" spans="1:25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90"/>
      <c r="O82" s="90"/>
      <c r="P82" s="84"/>
      <c r="Q82" s="84"/>
      <c r="R82" s="84"/>
      <c r="S82" s="84"/>
      <c r="T82" s="84"/>
      <c r="U82" s="84"/>
      <c r="V82" s="84"/>
      <c r="W82" s="84"/>
      <c r="X82" s="84"/>
      <c r="Y82" s="84"/>
    </row>
    <row r="83" spans="1:25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90"/>
      <c r="O83" s="90"/>
      <c r="P83" s="84"/>
      <c r="Q83" s="84"/>
      <c r="R83" s="84"/>
      <c r="S83" s="84"/>
      <c r="T83" s="84"/>
      <c r="U83" s="84"/>
      <c r="V83" s="84"/>
      <c r="W83" s="84"/>
      <c r="X83" s="84"/>
      <c r="Y83" s="84"/>
    </row>
    <row r="84" spans="1:25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90"/>
      <c r="O84" s="90"/>
      <c r="P84" s="84"/>
      <c r="Q84" s="84"/>
      <c r="R84" s="84"/>
      <c r="S84" s="84"/>
      <c r="T84" s="84"/>
      <c r="U84" s="84"/>
      <c r="V84" s="84"/>
      <c r="W84" s="84"/>
      <c r="X84" s="84"/>
      <c r="Y84" s="84"/>
    </row>
    <row r="85" spans="1:25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90"/>
      <c r="O85" s="90"/>
      <c r="P85" s="84"/>
      <c r="Q85" s="84"/>
      <c r="R85" s="84"/>
      <c r="S85" s="84"/>
      <c r="T85" s="84"/>
      <c r="U85" s="84"/>
      <c r="V85" s="84"/>
      <c r="W85" s="84"/>
      <c r="X85" s="84"/>
      <c r="Y85" s="84"/>
    </row>
    <row r="86" spans="1:25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90"/>
      <c r="O86" s="90"/>
      <c r="P86" s="84"/>
      <c r="Q86" s="84"/>
      <c r="R86" s="84"/>
      <c r="S86" s="84"/>
      <c r="T86" s="84"/>
      <c r="U86" s="84"/>
      <c r="V86" s="84"/>
      <c r="W86" s="84"/>
      <c r="X86" s="84"/>
      <c r="Y86" s="84"/>
    </row>
    <row r="87" spans="1:25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90"/>
      <c r="O87" s="90"/>
      <c r="P87" s="84"/>
      <c r="Q87" s="84"/>
      <c r="R87" s="84"/>
      <c r="S87" s="84"/>
      <c r="T87" s="84"/>
      <c r="U87" s="84"/>
      <c r="V87" s="84"/>
      <c r="W87" s="84"/>
      <c r="X87" s="84"/>
      <c r="Y87" s="84"/>
    </row>
    <row r="88" spans="1:25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90"/>
      <c r="O88" s="90"/>
      <c r="P88" s="84"/>
      <c r="Q88" s="84"/>
      <c r="R88" s="84"/>
      <c r="S88" s="84"/>
      <c r="T88" s="84"/>
      <c r="U88" s="84"/>
      <c r="V88" s="84"/>
      <c r="W88" s="84"/>
      <c r="X88" s="84"/>
      <c r="Y88" s="84"/>
    </row>
    <row r="89" spans="1:25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90"/>
      <c r="O89" s="90"/>
      <c r="P89" s="84"/>
      <c r="Q89" s="84"/>
      <c r="R89" s="84"/>
      <c r="S89" s="84"/>
      <c r="T89" s="84"/>
      <c r="U89" s="84"/>
      <c r="V89" s="84"/>
      <c r="W89" s="84"/>
      <c r="X89" s="84"/>
      <c r="Y89" s="84"/>
    </row>
    <row r="90" spans="1:25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90"/>
      <c r="O90" s="90"/>
      <c r="P90" s="84"/>
      <c r="Q90" s="84"/>
      <c r="R90" s="84"/>
      <c r="S90" s="84"/>
      <c r="T90" s="84"/>
      <c r="U90" s="84"/>
      <c r="V90" s="84"/>
      <c r="W90" s="84"/>
      <c r="X90" s="84"/>
      <c r="Y90" s="84"/>
    </row>
    <row r="91" spans="1:25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90"/>
      <c r="O91" s="90"/>
      <c r="P91" s="84"/>
      <c r="Q91" s="84"/>
      <c r="R91" s="84"/>
      <c r="S91" s="84"/>
      <c r="T91" s="84"/>
      <c r="U91" s="84"/>
      <c r="V91" s="84"/>
      <c r="W91" s="84"/>
      <c r="X91" s="84"/>
      <c r="Y91" s="84"/>
    </row>
    <row r="92" spans="1:25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90"/>
      <c r="O92" s="90"/>
      <c r="P92" s="84"/>
      <c r="Q92" s="84"/>
      <c r="R92" s="84"/>
      <c r="S92" s="84"/>
      <c r="T92" s="84"/>
      <c r="U92" s="84"/>
      <c r="V92" s="84"/>
      <c r="W92" s="84"/>
      <c r="X92" s="84"/>
      <c r="Y92" s="84"/>
    </row>
    <row r="93" spans="1:25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90"/>
      <c r="O93" s="90"/>
      <c r="P93" s="84"/>
      <c r="Q93" s="84"/>
      <c r="R93" s="84"/>
      <c r="S93" s="84"/>
      <c r="T93" s="84"/>
      <c r="U93" s="84"/>
      <c r="V93" s="84"/>
      <c r="W93" s="84"/>
      <c r="X93" s="84"/>
      <c r="Y93" s="84"/>
    </row>
    <row r="94" spans="1:25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90"/>
      <c r="O94" s="90"/>
      <c r="P94" s="84"/>
      <c r="Q94" s="84"/>
      <c r="R94" s="84"/>
      <c r="S94" s="84"/>
      <c r="T94" s="84"/>
      <c r="U94" s="84"/>
      <c r="V94" s="84"/>
      <c r="W94" s="84"/>
      <c r="X94" s="84"/>
      <c r="Y94" s="84"/>
    </row>
    <row r="95" spans="1:25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90"/>
      <c r="O95" s="90"/>
      <c r="P95" s="84"/>
      <c r="Q95" s="84"/>
      <c r="R95" s="84"/>
      <c r="S95" s="84"/>
      <c r="T95" s="84"/>
      <c r="U95" s="84"/>
      <c r="V95" s="84"/>
      <c r="W95" s="84"/>
      <c r="X95" s="84"/>
      <c r="Y95" s="84"/>
    </row>
    <row r="96" spans="1:25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90"/>
      <c r="O96" s="90"/>
      <c r="P96" s="84"/>
      <c r="Q96" s="84"/>
      <c r="R96" s="84"/>
      <c r="S96" s="84"/>
      <c r="T96" s="84"/>
      <c r="U96" s="84"/>
      <c r="V96" s="84"/>
      <c r="W96" s="84"/>
      <c r="X96" s="84"/>
      <c r="Y96" s="84"/>
    </row>
    <row r="97" spans="1:25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90"/>
      <c r="O97" s="90"/>
      <c r="P97" s="84"/>
      <c r="Q97" s="84"/>
      <c r="R97" s="84"/>
      <c r="S97" s="84"/>
      <c r="T97" s="84"/>
      <c r="U97" s="84"/>
      <c r="V97" s="84"/>
      <c r="W97" s="84"/>
      <c r="X97" s="84"/>
      <c r="Y97" s="84"/>
    </row>
    <row r="98" spans="1:25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90"/>
      <c r="O98" s="90"/>
      <c r="P98" s="84"/>
      <c r="Q98" s="84"/>
      <c r="R98" s="84"/>
      <c r="S98" s="84"/>
      <c r="T98" s="84"/>
      <c r="U98" s="84"/>
      <c r="V98" s="84"/>
      <c r="W98" s="84"/>
      <c r="X98" s="84"/>
      <c r="Y98" s="84"/>
    </row>
    <row r="99" spans="1:25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90"/>
      <c r="O99" s="90"/>
      <c r="P99" s="84"/>
      <c r="Q99" s="84"/>
      <c r="R99" s="84"/>
      <c r="S99" s="84"/>
      <c r="T99" s="84"/>
      <c r="U99" s="84"/>
      <c r="V99" s="84"/>
      <c r="W99" s="84"/>
      <c r="X99" s="84"/>
      <c r="Y99" s="84"/>
    </row>
    <row r="100" spans="1:25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90"/>
      <c r="O100" s="90"/>
      <c r="P100" s="84"/>
      <c r="Q100" s="84"/>
      <c r="R100" s="84"/>
      <c r="S100" s="84"/>
      <c r="T100" s="84"/>
      <c r="U100" s="84"/>
      <c r="V100" s="84"/>
      <c r="W100" s="84"/>
      <c r="X100" s="84"/>
      <c r="Y100" s="84"/>
    </row>
    <row r="101" spans="1:25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90"/>
      <c r="O101" s="90"/>
      <c r="P101" s="84"/>
      <c r="Q101" s="84"/>
      <c r="R101" s="84"/>
      <c r="S101" s="84"/>
      <c r="T101" s="84"/>
      <c r="U101" s="84"/>
      <c r="V101" s="84"/>
      <c r="W101" s="84"/>
      <c r="X101" s="84"/>
      <c r="Y101" s="84"/>
    </row>
    <row r="102" spans="1:25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90"/>
      <c r="O102" s="90"/>
      <c r="P102" s="84"/>
      <c r="Q102" s="84"/>
      <c r="R102" s="84"/>
      <c r="S102" s="84"/>
      <c r="T102" s="84"/>
      <c r="U102" s="84"/>
      <c r="V102" s="84"/>
      <c r="W102" s="84"/>
      <c r="X102" s="84"/>
      <c r="Y102" s="84"/>
    </row>
    <row r="103" spans="1:25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90"/>
      <c r="O103" s="90"/>
      <c r="P103" s="84"/>
      <c r="Q103" s="84"/>
      <c r="R103" s="84"/>
      <c r="S103" s="84"/>
      <c r="T103" s="84"/>
      <c r="U103" s="84"/>
      <c r="V103" s="84"/>
      <c r="W103" s="84"/>
      <c r="X103" s="84"/>
      <c r="Y103" s="84"/>
    </row>
    <row r="104" spans="1:25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90"/>
      <c r="O104" s="90"/>
      <c r="P104" s="84"/>
      <c r="Q104" s="84"/>
      <c r="R104" s="84"/>
      <c r="S104" s="84"/>
      <c r="T104" s="84"/>
      <c r="U104" s="84"/>
      <c r="V104" s="84"/>
      <c r="W104" s="84"/>
      <c r="X104" s="84"/>
      <c r="Y104" s="84"/>
    </row>
    <row r="105" spans="1:2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90"/>
      <c r="O105" s="90"/>
      <c r="P105" s="84"/>
      <c r="Q105" s="84"/>
      <c r="R105" s="84"/>
      <c r="S105" s="84"/>
      <c r="T105" s="84"/>
      <c r="U105" s="84"/>
      <c r="V105" s="84"/>
      <c r="W105" s="84"/>
      <c r="X105" s="84"/>
      <c r="Y105" s="84"/>
    </row>
    <row r="106" spans="1:25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90"/>
      <c r="O106" s="90"/>
      <c r="P106" s="84"/>
      <c r="Q106" s="84"/>
      <c r="R106" s="84"/>
      <c r="S106" s="84"/>
      <c r="T106" s="84"/>
      <c r="U106" s="84"/>
      <c r="V106" s="84"/>
      <c r="W106" s="84"/>
      <c r="X106" s="84"/>
      <c r="Y106" s="84"/>
    </row>
    <row r="107" spans="1:25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90"/>
      <c r="O107" s="90"/>
      <c r="P107" s="84"/>
      <c r="Q107" s="84"/>
      <c r="R107" s="84"/>
      <c r="S107" s="84"/>
      <c r="T107" s="84"/>
      <c r="U107" s="84"/>
      <c r="V107" s="84"/>
      <c r="W107" s="84"/>
      <c r="X107" s="84"/>
      <c r="Y107" s="84"/>
    </row>
  </sheetData>
  <mergeCells count="1">
    <mergeCell ref="B7:F8"/>
  </mergeCells>
  <phoneticPr fontId="17" type="noConversion"/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F2ABB-C06F-46E1-A867-D479498B8DEF}">
  <sheetPr>
    <tabColor theme="4"/>
  </sheetPr>
  <dimension ref="B3:M61"/>
  <sheetViews>
    <sheetView showGridLines="0" zoomScale="40" zoomScaleNormal="40" workbookViewId="0">
      <selection activeCell="A17" sqref="A17"/>
    </sheetView>
  </sheetViews>
  <sheetFormatPr baseColWidth="10" defaultColWidth="10.83203125" defaultRowHeight="15"/>
  <cols>
    <col min="1" max="1" width="28.83203125" style="37" customWidth="1"/>
    <col min="2" max="2" width="18.83203125" style="37" customWidth="1"/>
    <col min="3" max="3" width="20.6640625" style="37" bestFit="1" customWidth="1"/>
    <col min="4" max="5" width="12.5" style="37" customWidth="1"/>
    <col min="6" max="10" width="10.83203125" style="37"/>
    <col min="11" max="11" width="18.1640625" style="37" customWidth="1"/>
    <col min="12" max="12" width="13.83203125" style="37" customWidth="1"/>
    <col min="13" max="13" width="10.83203125" style="37" customWidth="1"/>
    <col min="14" max="17" width="10.83203125" style="37"/>
    <col min="18" max="18" width="18.83203125" style="37" bestFit="1" customWidth="1"/>
    <col min="19" max="16384" width="10.83203125" style="37"/>
  </cols>
  <sheetData>
    <row r="3" spans="2:10" ht="19">
      <c r="B3" s="448" t="s">
        <v>728</v>
      </c>
    </row>
    <row r="7" spans="2:10" ht="16" thickBot="1"/>
    <row r="8" spans="2:10" ht="16" thickBot="1">
      <c r="B8" s="261" t="s">
        <v>398</v>
      </c>
      <c r="C8" s="421"/>
      <c r="D8" s="507"/>
      <c r="E8" s="252"/>
      <c r="G8" s="250" t="s">
        <v>392</v>
      </c>
      <c r="H8" s="250"/>
      <c r="I8" s="250"/>
      <c r="J8" s="263"/>
    </row>
    <row r="9" spans="2:10" ht="16" thickBot="1">
      <c r="B9" s="261" t="s">
        <v>720</v>
      </c>
      <c r="C9" s="421"/>
      <c r="D9" s="50"/>
      <c r="E9" s="252">
        <v>0.63</v>
      </c>
      <c r="G9" s="250" t="s">
        <v>722</v>
      </c>
      <c r="H9" s="250"/>
      <c r="I9" s="250"/>
      <c r="J9" s="513">
        <f>E22/E21</f>
        <v>16.125490196078431</v>
      </c>
    </row>
    <row r="10" spans="2:10" ht="16" thickBot="1">
      <c r="B10" s="261" t="s">
        <v>397</v>
      </c>
      <c r="C10" s="421"/>
      <c r="D10" s="50"/>
      <c r="E10" s="251">
        <v>0.4</v>
      </c>
      <c r="G10" s="250" t="s">
        <v>723</v>
      </c>
      <c r="H10" s="250"/>
      <c r="I10" s="250"/>
      <c r="J10" s="252" t="str">
        <f>VLOOKUP(J9,$G$21:$K$35,3,TRUE)</f>
        <v>Aaa/AAA</v>
      </c>
    </row>
    <row r="11" spans="2:10" ht="16" thickBot="1">
      <c r="B11" s="261" t="s">
        <v>396</v>
      </c>
      <c r="C11" s="421"/>
      <c r="D11" s="50"/>
      <c r="E11" s="376">
        <v>55328.1</v>
      </c>
      <c r="G11" s="250" t="s">
        <v>724</v>
      </c>
      <c r="H11" s="250"/>
      <c r="I11" s="250"/>
      <c r="J11" s="514">
        <f>VLOOKUP(J10,I21:K35,2,FALSE)+E15</f>
        <v>5.6509999999999998E-2</v>
      </c>
    </row>
    <row r="12" spans="2:10" ht="16" thickBot="1">
      <c r="B12" s="261" t="s">
        <v>395</v>
      </c>
      <c r="C12" s="421"/>
      <c r="D12" s="50"/>
      <c r="E12" s="376">
        <v>3082</v>
      </c>
      <c r="G12" s="250" t="s">
        <v>725</v>
      </c>
      <c r="H12" s="250"/>
      <c r="I12" s="250"/>
      <c r="J12" s="252" t="s">
        <v>360</v>
      </c>
    </row>
    <row r="13" spans="2:10" ht="16" thickBot="1">
      <c r="B13" s="261" t="s">
        <v>394</v>
      </c>
      <c r="C13" s="421"/>
      <c r="D13" s="50"/>
      <c r="E13" s="252">
        <f>E9/(1+(1-E10)*E12/E11)</f>
        <v>0.60962485112098685</v>
      </c>
      <c r="G13" s="250" t="s">
        <v>726</v>
      </c>
      <c r="H13" s="250"/>
      <c r="I13" s="250"/>
      <c r="J13" s="514">
        <f>VLOOKUP(J12,$I$21:$K$35,2,FALSE)+E15</f>
        <v>6.3009999999999997E-2</v>
      </c>
    </row>
    <row r="14" spans="2:10" ht="16" thickBot="1">
      <c r="B14" s="261" t="s">
        <v>718</v>
      </c>
      <c r="C14" s="421"/>
      <c r="D14" s="50"/>
      <c r="E14" s="419">
        <v>4.4519999999999997E-2</v>
      </c>
      <c r="G14" s="250" t="s">
        <v>727</v>
      </c>
      <c r="H14" s="250"/>
      <c r="I14" s="250"/>
      <c r="J14" s="514">
        <f>VLOOKUP(J12,$I$21:$K$35,3,FALSE)</f>
        <v>2.5000000000000001E-2</v>
      </c>
    </row>
    <row r="15" spans="2:10" ht="16" thickBot="1">
      <c r="B15" s="261" t="s">
        <v>719</v>
      </c>
      <c r="C15" s="421"/>
      <c r="D15" s="50"/>
      <c r="E15" s="419">
        <v>5.0509999999999999E-2</v>
      </c>
      <c r="G15" s="250" t="s">
        <v>721</v>
      </c>
      <c r="H15" s="261"/>
      <c r="I15" s="421"/>
      <c r="J15" s="262">
        <v>0.25</v>
      </c>
    </row>
    <row r="16" spans="2:10" ht="16" thickBot="1">
      <c r="B16" s="509"/>
      <c r="C16" s="433"/>
      <c r="D16" s="50"/>
      <c r="E16" s="252"/>
    </row>
    <row r="17" spans="2:11" ht="16" thickBot="1">
      <c r="B17" s="261" t="s">
        <v>393</v>
      </c>
      <c r="C17" s="421"/>
      <c r="D17" s="50"/>
      <c r="E17" s="252"/>
    </row>
    <row r="18" spans="2:11" ht="16" thickBot="1">
      <c r="B18" s="261" t="s">
        <v>29</v>
      </c>
      <c r="C18" s="421"/>
      <c r="D18" s="50"/>
      <c r="E18" s="376">
        <v>3102</v>
      </c>
      <c r="G18" s="494" t="s">
        <v>383</v>
      </c>
      <c r="H18" s="495"/>
      <c r="I18" s="495"/>
      <c r="J18" s="495"/>
      <c r="K18" s="525"/>
    </row>
    <row r="19" spans="2:11" ht="16" thickBot="1">
      <c r="B19" s="261" t="s">
        <v>366</v>
      </c>
      <c r="C19" s="421"/>
      <c r="D19" s="50"/>
      <c r="E19" s="376">
        <v>611</v>
      </c>
      <c r="G19" s="523" t="s">
        <v>382</v>
      </c>
      <c r="H19" s="524"/>
      <c r="I19" s="521"/>
      <c r="J19" s="522"/>
      <c r="K19" s="515"/>
    </row>
    <row r="20" spans="2:11" ht="16" thickBot="1">
      <c r="B20" s="261" t="s">
        <v>32</v>
      </c>
      <c r="C20" s="421"/>
      <c r="D20" s="50"/>
      <c r="E20" s="376">
        <f>E18-E19</f>
        <v>2491</v>
      </c>
      <c r="G20" s="476" t="s">
        <v>381</v>
      </c>
      <c r="H20" s="476" t="s">
        <v>716</v>
      </c>
      <c r="I20" s="476" t="s">
        <v>380</v>
      </c>
      <c r="J20" s="476" t="s">
        <v>379</v>
      </c>
      <c r="K20" s="516" t="s">
        <v>378</v>
      </c>
    </row>
    <row r="21" spans="2:11" ht="16" thickBot="1">
      <c r="B21" s="261" t="s">
        <v>391</v>
      </c>
      <c r="C21" s="421"/>
      <c r="D21" s="50"/>
      <c r="E21" s="252">
        <v>255</v>
      </c>
      <c r="G21" s="517">
        <v>-100000</v>
      </c>
      <c r="H21" s="517">
        <v>0.19999900000000001</v>
      </c>
      <c r="I21" s="517" t="s">
        <v>377</v>
      </c>
      <c r="J21" s="518">
        <v>0.14000000000000001</v>
      </c>
      <c r="K21" s="519">
        <v>1</v>
      </c>
    </row>
    <row r="22" spans="2:11" ht="16" thickBot="1">
      <c r="B22" s="261" t="s">
        <v>390</v>
      </c>
      <c r="C22" s="421"/>
      <c r="D22" s="50"/>
      <c r="E22" s="376">
        <v>4112</v>
      </c>
      <c r="F22" s="81"/>
      <c r="G22" s="517">
        <v>0.2</v>
      </c>
      <c r="H22" s="517">
        <v>0.64999899999999999</v>
      </c>
      <c r="I22" s="517" t="s">
        <v>375</v>
      </c>
      <c r="J22" s="520">
        <v>0.105</v>
      </c>
      <c r="K22" s="519">
        <v>0.85</v>
      </c>
    </row>
    <row r="23" spans="2:11" ht="16" thickBot="1">
      <c r="B23" s="261" t="s">
        <v>389</v>
      </c>
      <c r="C23" s="421"/>
      <c r="D23" s="50"/>
      <c r="E23" s="376">
        <f>E11+E12</f>
        <v>58410.1</v>
      </c>
      <c r="G23" s="517">
        <v>0.65</v>
      </c>
      <c r="H23" s="517">
        <v>0.79999900000000002</v>
      </c>
      <c r="I23" s="517" t="s">
        <v>373</v>
      </c>
      <c r="J23" s="520">
        <v>0.08</v>
      </c>
      <c r="K23" s="520">
        <v>0.7</v>
      </c>
    </row>
    <row r="24" spans="2:11" ht="16" thickBot="1">
      <c r="B24" s="261" t="s">
        <v>389</v>
      </c>
      <c r="C24" s="421"/>
      <c r="D24" s="510"/>
      <c r="E24" s="376">
        <f>E11+E12</f>
        <v>58410.1</v>
      </c>
      <c r="G24" s="517">
        <v>0.8</v>
      </c>
      <c r="H24" s="517">
        <v>1.2499990000000001</v>
      </c>
      <c r="I24" s="517" t="s">
        <v>371</v>
      </c>
      <c r="J24" s="520">
        <v>6.5000000000000002E-2</v>
      </c>
      <c r="K24" s="520">
        <v>0.59009999999999996</v>
      </c>
    </row>
    <row r="25" spans="2:11" ht="16" thickBot="1">
      <c r="G25" s="517">
        <v>1.25</v>
      </c>
      <c r="H25" s="517">
        <v>1.4999990000000001</v>
      </c>
      <c r="I25" s="517" t="s">
        <v>369</v>
      </c>
      <c r="J25" s="520">
        <v>5.5E-2</v>
      </c>
      <c r="K25" s="520">
        <v>0.45</v>
      </c>
    </row>
    <row r="26" spans="2:11" ht="16" thickBot="1">
      <c r="B26" s="503" t="s">
        <v>388</v>
      </c>
      <c r="C26" s="385"/>
      <c r="D26" s="385"/>
      <c r="E26" s="511"/>
      <c r="G26" s="517">
        <v>1.5</v>
      </c>
      <c r="H26" s="517">
        <v>1.7499990000000001</v>
      </c>
      <c r="I26" s="517" t="s">
        <v>368</v>
      </c>
      <c r="J26" s="520">
        <v>4.4999999999999998E-2</v>
      </c>
      <c r="K26" s="520">
        <v>0.1</v>
      </c>
    </row>
    <row r="27" spans="2:11" ht="16" thickBot="1">
      <c r="B27" s="512" t="s">
        <v>387</v>
      </c>
      <c r="C27" s="512" t="s">
        <v>386</v>
      </c>
      <c r="D27" s="512" t="s">
        <v>385</v>
      </c>
      <c r="E27" s="512" t="s">
        <v>384</v>
      </c>
      <c r="G27" s="517">
        <v>1.75</v>
      </c>
      <c r="H27" s="517">
        <v>1.9999990000000001</v>
      </c>
      <c r="I27" s="517" t="s">
        <v>367</v>
      </c>
      <c r="J27" s="520">
        <v>3.7499999999999999E-2</v>
      </c>
      <c r="K27" s="520">
        <v>0.1663</v>
      </c>
    </row>
    <row r="28" spans="2:11" ht="16" thickBot="1">
      <c r="B28" s="264">
        <v>0</v>
      </c>
      <c r="C28" s="535">
        <f t="shared" ref="C28:C37" si="0">B28/(1-B28)</f>
        <v>0</v>
      </c>
      <c r="D28" s="269">
        <f t="shared" ref="D28:D37" si="1">$E$13*(1+(1-$E$10)*C28)</f>
        <v>0.60962485112098685</v>
      </c>
      <c r="E28" s="532">
        <f t="shared" ref="E28:E37" si="2">$E$15+D28*$E$14</f>
        <v>7.7650498371906337E-2</v>
      </c>
      <c r="G28" s="517">
        <v>2</v>
      </c>
      <c r="H28" s="517">
        <v>2.2499999000000002</v>
      </c>
      <c r="I28" s="517" t="s">
        <v>365</v>
      </c>
      <c r="J28" s="520">
        <v>0.03</v>
      </c>
      <c r="K28" s="520">
        <v>0.25</v>
      </c>
    </row>
    <row r="29" spans="2:11" ht="16" thickBot="1">
      <c r="B29" s="264">
        <v>0.1</v>
      </c>
      <c r="C29" s="535">
        <f t="shared" si="0"/>
        <v>0.11111111111111112</v>
      </c>
      <c r="D29" s="269">
        <f t="shared" si="1"/>
        <v>0.65026650786238593</v>
      </c>
      <c r="E29" s="532">
        <f t="shared" si="2"/>
        <v>7.9459864930033416E-2</v>
      </c>
      <c r="G29" s="517">
        <v>2.25</v>
      </c>
      <c r="H29" s="517">
        <v>2.4999899999999999</v>
      </c>
      <c r="I29" s="517" t="s">
        <v>363</v>
      </c>
      <c r="J29" s="520">
        <v>2.5000000000000001E-2</v>
      </c>
      <c r="K29" s="520">
        <v>0.36799999999999999</v>
      </c>
    </row>
    <row r="30" spans="2:11" ht="16" thickBot="1">
      <c r="B30" s="264">
        <v>0.2</v>
      </c>
      <c r="C30" s="535">
        <f t="shared" si="0"/>
        <v>0.25</v>
      </c>
      <c r="D30" s="269">
        <f t="shared" si="1"/>
        <v>0.70106857878913487</v>
      </c>
      <c r="E30" s="532">
        <f t="shared" si="2"/>
        <v>8.1721573127692279E-2</v>
      </c>
      <c r="G30" s="517">
        <v>2.5</v>
      </c>
      <c r="H30" s="517">
        <v>2.9999989999999999</v>
      </c>
      <c r="I30" s="517" t="s">
        <v>361</v>
      </c>
      <c r="J30" s="520">
        <v>1.6E-2</v>
      </c>
      <c r="K30" s="520">
        <v>7.5399999999999995E-2</v>
      </c>
    </row>
    <row r="31" spans="2:11" ht="16" thickBot="1">
      <c r="B31" s="264">
        <v>0.3</v>
      </c>
      <c r="C31" s="535">
        <f t="shared" si="0"/>
        <v>0.4285714285714286</v>
      </c>
      <c r="D31" s="269">
        <f t="shared" si="1"/>
        <v>0.76638552712352637</v>
      </c>
      <c r="E31" s="532">
        <f t="shared" si="2"/>
        <v>8.462948366753939E-2</v>
      </c>
      <c r="G31" s="517">
        <v>3</v>
      </c>
      <c r="H31" s="517">
        <v>4.2499989999999999</v>
      </c>
      <c r="I31" s="517" t="s">
        <v>360</v>
      </c>
      <c r="J31" s="520">
        <v>1.2500000000000001E-2</v>
      </c>
      <c r="K31" s="520">
        <v>2.5000000000000001E-2</v>
      </c>
    </row>
    <row r="32" spans="2:11" ht="16" thickBot="1">
      <c r="B32" s="264">
        <v>0.4</v>
      </c>
      <c r="C32" s="535">
        <f t="shared" si="0"/>
        <v>0.66666666666666674</v>
      </c>
      <c r="D32" s="269">
        <f t="shared" si="1"/>
        <v>0.85347479156938155</v>
      </c>
      <c r="E32" s="532">
        <f t="shared" si="2"/>
        <v>8.8506697720668853E-2</v>
      </c>
      <c r="G32" s="517">
        <v>4.25</v>
      </c>
      <c r="H32" s="517">
        <v>5.4999989999999999</v>
      </c>
      <c r="I32" s="517" t="s">
        <v>357</v>
      </c>
      <c r="J32" s="520">
        <v>1.0999999999999999E-2</v>
      </c>
      <c r="K32" s="520">
        <v>6.6E-3</v>
      </c>
    </row>
    <row r="33" spans="2:13" ht="16" thickBot="1">
      <c r="B33" s="264">
        <v>0.5</v>
      </c>
      <c r="C33" s="535">
        <f t="shared" si="0"/>
        <v>1</v>
      </c>
      <c r="D33" s="269">
        <f t="shared" si="1"/>
        <v>0.97539976179357901</v>
      </c>
      <c r="E33" s="532">
        <f t="shared" si="2"/>
        <v>9.3934797395050132E-2</v>
      </c>
      <c r="G33" s="517">
        <v>5.5</v>
      </c>
      <c r="H33" s="517">
        <v>6.4999989999999999</v>
      </c>
      <c r="I33" s="517" t="s">
        <v>355</v>
      </c>
      <c r="J33" s="520">
        <v>0.01</v>
      </c>
      <c r="K33" s="520">
        <v>6.0000000000000001E-3</v>
      </c>
    </row>
    <row r="34" spans="2:13" ht="16" thickBot="1">
      <c r="B34" s="264">
        <v>0.6</v>
      </c>
      <c r="C34" s="535">
        <f t="shared" si="0"/>
        <v>1.4999999999999998</v>
      </c>
      <c r="D34" s="269">
        <f t="shared" si="1"/>
        <v>1.158287217129875</v>
      </c>
      <c r="E34" s="532">
        <f t="shared" si="2"/>
        <v>0.10207694690662203</v>
      </c>
      <c r="G34" s="517">
        <v>6.5</v>
      </c>
      <c r="H34" s="517">
        <v>8.4999990000000007</v>
      </c>
      <c r="I34" s="517" t="s">
        <v>353</v>
      </c>
      <c r="J34" s="520">
        <v>8.0000000000000002E-3</v>
      </c>
      <c r="K34" s="520">
        <v>5.1000000000000004E-3</v>
      </c>
    </row>
    <row r="35" spans="2:13" ht="16" thickBot="1">
      <c r="B35" s="264">
        <v>0.7</v>
      </c>
      <c r="C35" s="535">
        <f t="shared" si="0"/>
        <v>2.333333333333333</v>
      </c>
      <c r="D35" s="269">
        <f t="shared" si="1"/>
        <v>1.4630996426903682</v>
      </c>
      <c r="E35" s="532">
        <f t="shared" si="2"/>
        <v>0.11564719609257519</v>
      </c>
      <c r="G35" s="517">
        <v>8.5</v>
      </c>
      <c r="H35" s="517">
        <v>100000</v>
      </c>
      <c r="I35" s="517" t="s">
        <v>351</v>
      </c>
      <c r="J35" s="520">
        <v>6.0000000000000001E-3</v>
      </c>
      <c r="K35" s="520">
        <v>6.9999999999999999E-4</v>
      </c>
    </row>
    <row r="36" spans="2:13" ht="16" thickBot="1">
      <c r="B36" s="264">
        <v>0.8</v>
      </c>
      <c r="C36" s="535">
        <f t="shared" si="0"/>
        <v>4.0000000000000009</v>
      </c>
      <c r="D36" s="269">
        <f t="shared" si="1"/>
        <v>2.0727244938113554</v>
      </c>
      <c r="E36" s="532">
        <f t="shared" si="2"/>
        <v>0.14278769446448153</v>
      </c>
      <c r="G36" s="82"/>
      <c r="H36" s="82"/>
      <c r="I36" s="82"/>
      <c r="J36" s="83"/>
      <c r="K36" s="83"/>
    </row>
    <row r="37" spans="2:13" ht="16" thickBot="1">
      <c r="B37" s="264">
        <v>0.9</v>
      </c>
      <c r="C37" s="535">
        <f t="shared" si="0"/>
        <v>9.0000000000000018</v>
      </c>
      <c r="D37" s="269">
        <f t="shared" si="1"/>
        <v>3.9015990471743165</v>
      </c>
      <c r="E37" s="532">
        <f t="shared" si="2"/>
        <v>0.22420918958020056</v>
      </c>
      <c r="G37" s="37" t="s">
        <v>348</v>
      </c>
    </row>
    <row r="38" spans="2:13" ht="16" thickBot="1">
      <c r="B38" s="80"/>
    </row>
    <row r="39" spans="2:13" ht="16" thickBot="1">
      <c r="B39" s="250" t="s">
        <v>376</v>
      </c>
      <c r="C39" s="385"/>
      <c r="D39" s="385"/>
      <c r="E39" s="385"/>
      <c r="F39" s="385"/>
      <c r="G39" s="385"/>
      <c r="H39" s="385"/>
      <c r="I39" s="385"/>
      <c r="J39" s="385"/>
      <c r="K39" s="385"/>
      <c r="L39" s="385"/>
      <c r="M39" s="511"/>
    </row>
    <row r="40" spans="2:13" ht="16" thickBot="1">
      <c r="B40" s="250" t="s">
        <v>374</v>
      </c>
      <c r="C40" s="280">
        <v>0</v>
      </c>
      <c r="D40" s="280">
        <v>0.1</v>
      </c>
      <c r="E40" s="537">
        <v>0.2</v>
      </c>
      <c r="F40" s="280">
        <v>0.3</v>
      </c>
      <c r="G40" s="280">
        <v>0.4</v>
      </c>
      <c r="H40" s="280">
        <v>0.5</v>
      </c>
      <c r="I40" s="280">
        <v>0.6</v>
      </c>
      <c r="J40" s="280">
        <v>0.7</v>
      </c>
      <c r="K40" s="280">
        <v>0.8</v>
      </c>
      <c r="L40" s="280">
        <v>0.9</v>
      </c>
      <c r="M40" s="280">
        <f>E12/E24</f>
        <v>5.2764847175402883E-2</v>
      </c>
    </row>
    <row r="41" spans="2:13" ht="16" thickBot="1">
      <c r="B41" s="250" t="s">
        <v>372</v>
      </c>
      <c r="C41" s="264">
        <f t="shared" ref="C41:M41" si="3">C40/(1-C40)</f>
        <v>0</v>
      </c>
      <c r="D41" s="264">
        <f t="shared" si="3"/>
        <v>0.11111111111111112</v>
      </c>
      <c r="E41" s="538">
        <f t="shared" si="3"/>
        <v>0.25</v>
      </c>
      <c r="F41" s="264">
        <f t="shared" si="3"/>
        <v>0.4285714285714286</v>
      </c>
      <c r="G41" s="264">
        <f t="shared" si="3"/>
        <v>0.66666666666666674</v>
      </c>
      <c r="H41" s="264">
        <f t="shared" si="3"/>
        <v>1</v>
      </c>
      <c r="I41" s="264">
        <f t="shared" si="3"/>
        <v>1.4999999999999998</v>
      </c>
      <c r="J41" s="264">
        <f t="shared" si="3"/>
        <v>2.333333333333333</v>
      </c>
      <c r="K41" s="264">
        <f t="shared" si="3"/>
        <v>4.0000000000000009</v>
      </c>
      <c r="L41" s="264">
        <f t="shared" si="3"/>
        <v>9.0000000000000018</v>
      </c>
      <c r="M41" s="264">
        <f t="shared" si="3"/>
        <v>5.5704063577097347E-2</v>
      </c>
    </row>
    <row r="42" spans="2:13" ht="16" thickBot="1">
      <c r="B42" s="250" t="s">
        <v>370</v>
      </c>
      <c r="C42" s="529">
        <f t="shared" ref="C42:M42" si="4">C40*$E$24</f>
        <v>0</v>
      </c>
      <c r="D42" s="529">
        <f t="shared" si="4"/>
        <v>5841.01</v>
      </c>
      <c r="E42" s="539">
        <f t="shared" si="4"/>
        <v>11682.02</v>
      </c>
      <c r="F42" s="529">
        <f t="shared" si="4"/>
        <v>17523.03</v>
      </c>
      <c r="G42" s="529">
        <f t="shared" si="4"/>
        <v>23364.04</v>
      </c>
      <c r="H42" s="529">
        <f t="shared" si="4"/>
        <v>29205.05</v>
      </c>
      <c r="I42" s="529">
        <f t="shared" si="4"/>
        <v>35046.06</v>
      </c>
      <c r="J42" s="529">
        <f t="shared" si="4"/>
        <v>40887.07</v>
      </c>
      <c r="K42" s="529">
        <f t="shared" si="4"/>
        <v>46728.08</v>
      </c>
      <c r="L42" s="529">
        <f t="shared" si="4"/>
        <v>52569.09</v>
      </c>
      <c r="M42" s="529">
        <f t="shared" si="4"/>
        <v>3082</v>
      </c>
    </row>
    <row r="43" spans="2:13" ht="16" thickBot="1">
      <c r="B43" s="250"/>
      <c r="C43" s="529"/>
      <c r="D43" s="529"/>
      <c r="E43" s="539"/>
      <c r="F43" s="529"/>
      <c r="G43" s="529"/>
      <c r="H43" s="529"/>
      <c r="I43" s="529"/>
      <c r="J43" s="529"/>
      <c r="K43" s="529"/>
      <c r="L43" s="529"/>
      <c r="M43" s="269"/>
    </row>
    <row r="44" spans="2:13" ht="16" thickBot="1">
      <c r="B44" s="250" t="s">
        <v>29</v>
      </c>
      <c r="C44" s="529">
        <f t="shared" ref="C44:M44" si="5">$E$18</f>
        <v>3102</v>
      </c>
      <c r="D44" s="529">
        <f t="shared" si="5"/>
        <v>3102</v>
      </c>
      <c r="E44" s="539">
        <f t="shared" si="5"/>
        <v>3102</v>
      </c>
      <c r="F44" s="529">
        <f t="shared" si="5"/>
        <v>3102</v>
      </c>
      <c r="G44" s="529">
        <f t="shared" si="5"/>
        <v>3102</v>
      </c>
      <c r="H44" s="529">
        <f t="shared" si="5"/>
        <v>3102</v>
      </c>
      <c r="I44" s="529">
        <f t="shared" si="5"/>
        <v>3102</v>
      </c>
      <c r="J44" s="529">
        <f t="shared" si="5"/>
        <v>3102</v>
      </c>
      <c r="K44" s="529">
        <f t="shared" si="5"/>
        <v>3102</v>
      </c>
      <c r="L44" s="529">
        <f t="shared" si="5"/>
        <v>3102</v>
      </c>
      <c r="M44" s="529">
        <f t="shared" si="5"/>
        <v>3102</v>
      </c>
    </row>
    <row r="45" spans="2:13" ht="16" thickBot="1">
      <c r="B45" s="250" t="s">
        <v>366</v>
      </c>
      <c r="C45" s="529">
        <f t="shared" ref="C45:M45" si="6">$E$19</f>
        <v>611</v>
      </c>
      <c r="D45" s="529">
        <f t="shared" si="6"/>
        <v>611</v>
      </c>
      <c r="E45" s="539">
        <f t="shared" si="6"/>
        <v>611</v>
      </c>
      <c r="F45" s="529">
        <f t="shared" si="6"/>
        <v>611</v>
      </c>
      <c r="G45" s="529">
        <f t="shared" si="6"/>
        <v>611</v>
      </c>
      <c r="H45" s="529">
        <f t="shared" si="6"/>
        <v>611</v>
      </c>
      <c r="I45" s="529">
        <f t="shared" si="6"/>
        <v>611</v>
      </c>
      <c r="J45" s="529">
        <f t="shared" si="6"/>
        <v>611</v>
      </c>
      <c r="K45" s="529">
        <f t="shared" si="6"/>
        <v>611</v>
      </c>
      <c r="L45" s="529">
        <f t="shared" si="6"/>
        <v>611</v>
      </c>
      <c r="M45" s="529">
        <f t="shared" si="6"/>
        <v>611</v>
      </c>
    </row>
    <row r="46" spans="2:13" ht="16" thickBot="1">
      <c r="B46" s="250" t="s">
        <v>364</v>
      </c>
      <c r="C46" s="529">
        <f t="shared" ref="C46:M46" si="7">$E$22</f>
        <v>4112</v>
      </c>
      <c r="D46" s="529">
        <f t="shared" si="7"/>
        <v>4112</v>
      </c>
      <c r="E46" s="539">
        <f t="shared" si="7"/>
        <v>4112</v>
      </c>
      <c r="F46" s="529">
        <f t="shared" si="7"/>
        <v>4112</v>
      </c>
      <c r="G46" s="529">
        <f t="shared" si="7"/>
        <v>4112</v>
      </c>
      <c r="H46" s="529">
        <f t="shared" si="7"/>
        <v>4112</v>
      </c>
      <c r="I46" s="529">
        <f t="shared" si="7"/>
        <v>4112</v>
      </c>
      <c r="J46" s="529">
        <f t="shared" si="7"/>
        <v>4112</v>
      </c>
      <c r="K46" s="529">
        <f t="shared" si="7"/>
        <v>4112</v>
      </c>
      <c r="L46" s="529">
        <f t="shared" si="7"/>
        <v>4112</v>
      </c>
      <c r="M46" s="529">
        <f t="shared" si="7"/>
        <v>4112</v>
      </c>
    </row>
    <row r="47" spans="2:13" ht="16" thickBot="1">
      <c r="B47" s="250" t="s">
        <v>362</v>
      </c>
      <c r="C47" s="529">
        <v>0</v>
      </c>
      <c r="D47" s="529">
        <f>D42*6.1%</f>
        <v>356.30160999999998</v>
      </c>
      <c r="E47" s="539">
        <f>E42*0.11</f>
        <v>1285.0222000000001</v>
      </c>
      <c r="F47" s="529">
        <f>F42*0.12</f>
        <v>2102.7635999999998</v>
      </c>
      <c r="G47" s="529">
        <f>G42*0.16</f>
        <v>3738.2464</v>
      </c>
      <c r="H47" s="529">
        <f>H42*0.16</f>
        <v>4672.808</v>
      </c>
      <c r="I47" s="529">
        <f>I42*0.16</f>
        <v>5607.3696</v>
      </c>
      <c r="J47" s="529">
        <f>J42*I51</f>
        <v>5336.1715057000001</v>
      </c>
      <c r="K47" s="529">
        <f>K42*J51</f>
        <v>6098.4817208000013</v>
      </c>
      <c r="L47" s="529">
        <f>L42*K51</f>
        <v>6860.7919359000007</v>
      </c>
      <c r="M47" s="529">
        <f>M42*6.3%</f>
        <v>194.166</v>
      </c>
    </row>
    <row r="48" spans="2:13" ht="16" thickBot="1">
      <c r="B48" s="263"/>
      <c r="C48" s="269"/>
      <c r="D48" s="269"/>
      <c r="E48" s="540"/>
      <c r="F48" s="269"/>
      <c r="G48" s="269"/>
      <c r="H48" s="269"/>
      <c r="I48" s="269"/>
      <c r="J48" s="269"/>
      <c r="K48" s="269"/>
      <c r="L48" s="269"/>
      <c r="M48" s="269"/>
    </row>
    <row r="49" spans="2:13" ht="16" thickBot="1">
      <c r="B49" s="250" t="s">
        <v>359</v>
      </c>
      <c r="C49" s="269" t="s">
        <v>358</v>
      </c>
      <c r="D49" s="530">
        <f t="shared" ref="D49:M49" si="8">D46/D47</f>
        <v>11.540784224915516</v>
      </c>
      <c r="E49" s="541">
        <f t="shared" si="8"/>
        <v>3.1999447169083926</v>
      </c>
      <c r="F49" s="530">
        <f t="shared" si="8"/>
        <v>1.9555217714440181</v>
      </c>
      <c r="G49" s="530">
        <f t="shared" si="8"/>
        <v>1.09998099643726</v>
      </c>
      <c r="H49" s="530">
        <f t="shared" si="8"/>
        <v>0.87998479714980804</v>
      </c>
      <c r="I49" s="530">
        <f t="shared" si="8"/>
        <v>0.73332066429150666</v>
      </c>
      <c r="J49" s="530">
        <f t="shared" si="8"/>
        <v>0.77058992493169254</v>
      </c>
      <c r="K49" s="530">
        <f t="shared" si="8"/>
        <v>0.67426618431523089</v>
      </c>
      <c r="L49" s="530">
        <f t="shared" si="8"/>
        <v>0.59934771939131637</v>
      </c>
      <c r="M49" s="530">
        <f t="shared" si="8"/>
        <v>21.177755116755765</v>
      </c>
    </row>
    <row r="50" spans="2:13" ht="16" thickBot="1">
      <c r="B50" s="250" t="s">
        <v>356</v>
      </c>
      <c r="C50" s="269" t="s">
        <v>351</v>
      </c>
      <c r="D50" s="269" t="s">
        <v>351</v>
      </c>
      <c r="E50" s="542" t="str">
        <f t="shared" ref="E50:M50" si="9">VLOOKUP(E49,$G$21:$K$35,3,TRUE)</f>
        <v>A3/A-</v>
      </c>
      <c r="F50" s="531" t="str">
        <f t="shared" si="9"/>
        <v>Ba2/BB</v>
      </c>
      <c r="G50" s="531" t="str">
        <f t="shared" si="9"/>
        <v>Caa/CCC</v>
      </c>
      <c r="H50" s="531" t="str">
        <f t="shared" si="9"/>
        <v>Caa/CCC</v>
      </c>
      <c r="I50" s="531" t="str">
        <f t="shared" si="9"/>
        <v>Ca2/CC</v>
      </c>
      <c r="J50" s="531" t="str">
        <f t="shared" si="9"/>
        <v>Ca2/CC</v>
      </c>
      <c r="K50" s="531" t="str">
        <f t="shared" si="9"/>
        <v>Ca2/CC</v>
      </c>
      <c r="L50" s="531" t="str">
        <f t="shared" si="9"/>
        <v>C2/C</v>
      </c>
      <c r="M50" s="531" t="str">
        <f t="shared" si="9"/>
        <v>Aaa/AAA</v>
      </c>
    </row>
    <row r="51" spans="2:13" ht="16" thickBot="1">
      <c r="B51" s="250" t="s">
        <v>354</v>
      </c>
      <c r="C51" s="532">
        <f t="shared" ref="C51:M51" si="10">$E$15+VLOOKUP(C50,$I$21:$J$35,2,FALSE)</f>
        <v>5.6509999999999998E-2</v>
      </c>
      <c r="D51" s="532">
        <f t="shared" si="10"/>
        <v>5.6509999999999998E-2</v>
      </c>
      <c r="E51" s="543">
        <f t="shared" si="10"/>
        <v>6.3009999999999997E-2</v>
      </c>
      <c r="F51" s="532">
        <f t="shared" si="10"/>
        <v>8.8010000000000005E-2</v>
      </c>
      <c r="G51" s="532">
        <f t="shared" si="10"/>
        <v>0.11551</v>
      </c>
      <c r="H51" s="532">
        <f t="shared" si="10"/>
        <v>0.11551</v>
      </c>
      <c r="I51" s="532">
        <f t="shared" si="10"/>
        <v>0.13051000000000001</v>
      </c>
      <c r="J51" s="532">
        <f t="shared" si="10"/>
        <v>0.13051000000000001</v>
      </c>
      <c r="K51" s="532">
        <f t="shared" si="10"/>
        <v>0.13051000000000001</v>
      </c>
      <c r="L51" s="532">
        <f t="shared" si="10"/>
        <v>0.15550999999999998</v>
      </c>
      <c r="M51" s="532">
        <f t="shared" si="10"/>
        <v>5.6509999999999998E-2</v>
      </c>
    </row>
    <row r="52" spans="2:13" ht="16" thickBot="1">
      <c r="B52" s="250" t="s">
        <v>352</v>
      </c>
      <c r="C52" s="532">
        <f t="shared" ref="C52:M52" si="11">VLOOKUP(C50,$I$21:$K$35,3,FALSE)</f>
        <v>6.9999999999999999E-4</v>
      </c>
      <c r="D52" s="400">
        <f t="shared" si="11"/>
        <v>6.9999999999999999E-4</v>
      </c>
      <c r="E52" s="543">
        <f t="shared" si="11"/>
        <v>2.5000000000000001E-2</v>
      </c>
      <c r="F52" s="532">
        <f t="shared" si="11"/>
        <v>0.1663</v>
      </c>
      <c r="G52" s="532">
        <f t="shared" si="11"/>
        <v>0.59009999999999996</v>
      </c>
      <c r="H52" s="532">
        <f t="shared" si="11"/>
        <v>0.59009999999999996</v>
      </c>
      <c r="I52" s="532">
        <f t="shared" si="11"/>
        <v>0.7</v>
      </c>
      <c r="J52" s="532">
        <f t="shared" si="11"/>
        <v>0.7</v>
      </c>
      <c r="K52" s="532">
        <f t="shared" si="11"/>
        <v>0.7</v>
      </c>
      <c r="L52" s="532">
        <f t="shared" si="11"/>
        <v>0.85</v>
      </c>
      <c r="M52" s="532">
        <f t="shared" si="11"/>
        <v>6.9999999999999999E-4</v>
      </c>
    </row>
    <row r="53" spans="2:13" ht="16" thickBot="1">
      <c r="B53" s="250" t="s">
        <v>350</v>
      </c>
      <c r="C53" s="532">
        <f t="shared" ref="C53:M53" si="12">C51*(1-$E$10)</f>
        <v>3.3905999999999999E-2</v>
      </c>
      <c r="D53" s="532">
        <f t="shared" si="12"/>
        <v>3.3905999999999999E-2</v>
      </c>
      <c r="E53" s="543">
        <f t="shared" si="12"/>
        <v>3.7805999999999999E-2</v>
      </c>
      <c r="F53" s="532">
        <f t="shared" si="12"/>
        <v>5.2805999999999999E-2</v>
      </c>
      <c r="G53" s="532">
        <f t="shared" si="12"/>
        <v>6.9305999999999993E-2</v>
      </c>
      <c r="H53" s="532">
        <f t="shared" si="12"/>
        <v>6.9305999999999993E-2</v>
      </c>
      <c r="I53" s="532">
        <f t="shared" si="12"/>
        <v>7.8306000000000001E-2</v>
      </c>
      <c r="J53" s="532">
        <f t="shared" si="12"/>
        <v>7.8306000000000001E-2</v>
      </c>
      <c r="K53" s="532">
        <f t="shared" si="12"/>
        <v>7.8306000000000001E-2</v>
      </c>
      <c r="L53" s="532">
        <f t="shared" si="12"/>
        <v>9.3305999999999986E-2</v>
      </c>
      <c r="M53" s="532">
        <f t="shared" si="12"/>
        <v>3.3905999999999999E-2</v>
      </c>
    </row>
    <row r="54" spans="2:13" ht="16" thickBot="1">
      <c r="B54" s="250" t="s">
        <v>349</v>
      </c>
      <c r="C54" s="533">
        <f>$E$12/($E$11+$E$12)*C51+$E$12/($E$11+$E$12)*E28</f>
        <v>7.0789581935695248E-3</v>
      </c>
      <c r="D54" s="269"/>
      <c r="E54" s="540"/>
      <c r="F54" s="269"/>
      <c r="G54" s="269"/>
      <c r="H54" s="269"/>
      <c r="I54" s="269"/>
      <c r="J54" s="269"/>
      <c r="K54" s="269"/>
      <c r="L54" s="269"/>
      <c r="M54" s="269"/>
    </row>
    <row r="55" spans="2:13" ht="16" thickBot="1">
      <c r="B55" s="250" t="s">
        <v>347</v>
      </c>
      <c r="C55" s="529">
        <f t="shared" ref="C55:M55" si="13">$E$24-$E$12*$E$10+$E$24*$J$14*$J$15</f>
        <v>57542.363124999996</v>
      </c>
      <c r="D55" s="529">
        <f t="shared" si="13"/>
        <v>57542.363124999996</v>
      </c>
      <c r="E55" s="539">
        <f t="shared" si="13"/>
        <v>57542.363124999996</v>
      </c>
      <c r="F55" s="529">
        <f t="shared" si="13"/>
        <v>57542.363124999996</v>
      </c>
      <c r="G55" s="529">
        <f t="shared" si="13"/>
        <v>57542.363124999996</v>
      </c>
      <c r="H55" s="529">
        <f t="shared" si="13"/>
        <v>57542.363124999996</v>
      </c>
      <c r="I55" s="529">
        <f t="shared" si="13"/>
        <v>57542.363124999996</v>
      </c>
      <c r="J55" s="529">
        <f t="shared" si="13"/>
        <v>57542.363124999996</v>
      </c>
      <c r="K55" s="529">
        <f t="shared" si="13"/>
        <v>57542.363124999996</v>
      </c>
      <c r="L55" s="529">
        <f t="shared" si="13"/>
        <v>57542.363124999996</v>
      </c>
      <c r="M55" s="529">
        <f t="shared" si="13"/>
        <v>57542.363124999996</v>
      </c>
    </row>
    <row r="56" spans="2:13" ht="16" thickBot="1">
      <c r="B56" s="250" t="s">
        <v>346</v>
      </c>
      <c r="C56" s="264">
        <f>E10</f>
        <v>0.4</v>
      </c>
      <c r="D56" s="264">
        <f>E10</f>
        <v>0.4</v>
      </c>
      <c r="E56" s="538">
        <f>E10</f>
        <v>0.4</v>
      </c>
      <c r="F56" s="264">
        <f>E10</f>
        <v>0.4</v>
      </c>
      <c r="G56" s="531">
        <f t="shared" ref="G56:L56" si="14">$G$46*$E$10/G47</f>
        <v>0.43999239857490402</v>
      </c>
      <c r="H56" s="531">
        <f t="shared" si="14"/>
        <v>0.35199391885992326</v>
      </c>
      <c r="I56" s="531">
        <f t="shared" si="14"/>
        <v>0.2933282657166027</v>
      </c>
      <c r="J56" s="531">
        <f t="shared" si="14"/>
        <v>0.30823596997267705</v>
      </c>
      <c r="K56" s="531">
        <f t="shared" si="14"/>
        <v>0.26970647372609236</v>
      </c>
      <c r="L56" s="531">
        <f t="shared" si="14"/>
        <v>0.23973908775652658</v>
      </c>
      <c r="M56" s="531">
        <f>E10</f>
        <v>0.4</v>
      </c>
    </row>
    <row r="57" spans="2:13" ht="16" thickBot="1">
      <c r="B57" s="250" t="s">
        <v>345</v>
      </c>
      <c r="C57" s="529">
        <f t="shared" ref="C57:M57" si="15">C47*C56</f>
        <v>0</v>
      </c>
      <c r="D57" s="529">
        <f t="shared" si="15"/>
        <v>142.520644</v>
      </c>
      <c r="E57" s="539">
        <f t="shared" si="15"/>
        <v>514.00888000000009</v>
      </c>
      <c r="F57" s="529">
        <f t="shared" si="15"/>
        <v>841.10543999999993</v>
      </c>
      <c r="G57" s="529">
        <f t="shared" si="15"/>
        <v>1644.8000000000002</v>
      </c>
      <c r="H57" s="529">
        <f t="shared" si="15"/>
        <v>1644.8000000000002</v>
      </c>
      <c r="I57" s="529">
        <f t="shared" si="15"/>
        <v>1644.8000000000002</v>
      </c>
      <c r="J57" s="529">
        <f t="shared" si="15"/>
        <v>1644.8000000000002</v>
      </c>
      <c r="K57" s="529">
        <f t="shared" si="15"/>
        <v>1644.8</v>
      </c>
      <c r="L57" s="529">
        <f t="shared" si="15"/>
        <v>1644.8000000000002</v>
      </c>
      <c r="M57" s="529">
        <f t="shared" si="15"/>
        <v>77.66640000000001</v>
      </c>
    </row>
    <row r="58" spans="2:13" ht="16" thickBot="1">
      <c r="B58" s="250" t="s">
        <v>344</v>
      </c>
      <c r="C58" s="529">
        <f t="shared" ref="C58:M58" si="16">C52*$J$15*(C55+C57)</f>
        <v>10.069913546875</v>
      </c>
      <c r="D58" s="529">
        <f t="shared" si="16"/>
        <v>10.094854659574999</v>
      </c>
      <c r="E58" s="539">
        <f t="shared" si="16"/>
        <v>362.85232503125002</v>
      </c>
      <c r="F58" s="529">
        <f t="shared" si="16"/>
        <v>2427.2927055898749</v>
      </c>
      <c r="G58" s="529">
        <f t="shared" si="16"/>
        <v>8731.5862400156238</v>
      </c>
      <c r="H58" s="529">
        <f t="shared" si="16"/>
        <v>8731.5862400156238</v>
      </c>
      <c r="I58" s="529">
        <f t="shared" si="16"/>
        <v>10357.753546874999</v>
      </c>
      <c r="J58" s="529">
        <f t="shared" si="16"/>
        <v>10357.753546874999</v>
      </c>
      <c r="K58" s="529">
        <f t="shared" si="16"/>
        <v>10357.753546874999</v>
      </c>
      <c r="L58" s="534">
        <f t="shared" si="16"/>
        <v>12577.272164062499</v>
      </c>
      <c r="M58" s="534">
        <f t="shared" si="16"/>
        <v>10.083505166875</v>
      </c>
    </row>
    <row r="59" spans="2:13" ht="16" thickBot="1">
      <c r="B59" s="250" t="s">
        <v>343</v>
      </c>
      <c r="C59" s="529">
        <f t="shared" ref="C59:M59" si="17">C55+C57-C58</f>
        <v>57532.293211453121</v>
      </c>
      <c r="D59" s="529">
        <f t="shared" si="17"/>
        <v>57674.788914340417</v>
      </c>
      <c r="E59" s="539">
        <f t="shared" si="17"/>
        <v>57693.519679968747</v>
      </c>
      <c r="F59" s="529">
        <f t="shared" si="17"/>
        <v>55956.175859410119</v>
      </c>
      <c r="G59" s="529">
        <f t="shared" si="17"/>
        <v>50455.576884984373</v>
      </c>
      <c r="H59" s="529">
        <f t="shared" si="17"/>
        <v>50455.576884984373</v>
      </c>
      <c r="I59" s="529">
        <f t="shared" si="17"/>
        <v>48829.409578125</v>
      </c>
      <c r="J59" s="529">
        <f t="shared" si="17"/>
        <v>48829.409578125</v>
      </c>
      <c r="K59" s="529">
        <f t="shared" si="17"/>
        <v>48829.409578125</v>
      </c>
      <c r="L59" s="529">
        <f t="shared" si="17"/>
        <v>46609.890960937497</v>
      </c>
      <c r="M59" s="529">
        <f t="shared" si="17"/>
        <v>57609.946019833122</v>
      </c>
    </row>
    <row r="60" spans="2:13" ht="16" thickBot="1">
      <c r="B60" s="528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362"/>
    </row>
    <row r="61" spans="2:13" ht="16" thickBot="1">
      <c r="B61" s="527" t="s">
        <v>399</v>
      </c>
      <c r="C61" s="536">
        <f>(1-E56)*E40*E51+(1-E40)*E30</f>
        <v>7.293845850215383E-2</v>
      </c>
      <c r="D61" s="510"/>
      <c r="E61" s="510"/>
      <c r="F61" s="510"/>
      <c r="G61" s="510"/>
      <c r="H61" s="510"/>
      <c r="I61" s="510"/>
      <c r="J61" s="510"/>
      <c r="K61" s="510"/>
      <c r="L61" s="510"/>
      <c r="M61" s="526"/>
    </row>
  </sheetData>
  <phoneticPr fontId="17" type="noConversion"/>
  <conditionalFormatting sqref="C59:M59">
    <cfRule type="top10" dxfId="0" priority="1" rank="1"/>
  </conditionalFormatting>
  <pageMargins left="0.7" right="0.7" top="0.75" bottom="0.75" header="0.3" footer="0.3"/>
  <pageSetup paperSize="9" orientation="portrait" verticalDpi="3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F8B55-6593-4D09-B1E8-3BC962A72C35}">
  <sheetPr>
    <tabColor theme="4"/>
  </sheetPr>
  <dimension ref="C3:Y90"/>
  <sheetViews>
    <sheetView showGridLines="0" zoomScale="55" zoomScaleNormal="55" workbookViewId="0">
      <selection activeCell="C11" sqref="C11"/>
    </sheetView>
  </sheetViews>
  <sheetFormatPr baseColWidth="10" defaultColWidth="11.5" defaultRowHeight="15"/>
  <cols>
    <col min="1" max="1" width="24.1640625" style="37" customWidth="1"/>
    <col min="2" max="2" width="11.5" style="37"/>
    <col min="3" max="3" width="11.5" style="37" customWidth="1"/>
    <col min="4" max="4" width="10.83203125" style="37" customWidth="1"/>
    <col min="5" max="5" width="12" style="37" customWidth="1"/>
    <col min="6" max="10" width="11.5" style="37"/>
    <col min="11" max="11" width="11.5" style="37" customWidth="1"/>
    <col min="12" max="15" width="13.83203125" style="37" bestFit="1" customWidth="1"/>
    <col min="16" max="16" width="14.83203125" style="37" bestFit="1" customWidth="1"/>
    <col min="17" max="16384" width="11.5" style="37"/>
  </cols>
  <sheetData>
    <row r="3" spans="3:23" ht="19">
      <c r="C3" s="448" t="s">
        <v>729</v>
      </c>
      <c r="D3" s="445"/>
    </row>
    <row r="7" spans="3:23" ht="16" thickBot="1"/>
    <row r="8" spans="3:23">
      <c r="C8" s="156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8"/>
      <c r="S8" s="607" t="s">
        <v>248</v>
      </c>
      <c r="T8" s="41"/>
    </row>
    <row r="9" spans="3:23" ht="20" thickBot="1">
      <c r="C9" s="159" t="s">
        <v>25</v>
      </c>
      <c r="D9" s="155"/>
      <c r="E9" s="155"/>
      <c r="F9" s="74" t="s">
        <v>26</v>
      </c>
      <c r="G9" s="74"/>
      <c r="H9" s="74" t="s">
        <v>27</v>
      </c>
      <c r="I9" s="74"/>
      <c r="J9" s="74"/>
      <c r="K9" s="74"/>
      <c r="L9" s="74"/>
      <c r="M9" s="75"/>
      <c r="N9" s="75"/>
      <c r="O9" s="75"/>
      <c r="P9" s="75"/>
      <c r="Q9" s="160"/>
      <c r="S9" s="42"/>
      <c r="T9" s="42"/>
    </row>
    <row r="10" spans="3:23" ht="16" thickBot="1">
      <c r="C10" s="161" t="s">
        <v>731</v>
      </c>
      <c r="D10" s="162"/>
      <c r="E10" s="162"/>
      <c r="F10" s="163">
        <v>1997</v>
      </c>
      <c r="G10" s="163">
        <v>1998</v>
      </c>
      <c r="H10" s="163">
        <v>1999</v>
      </c>
      <c r="I10" s="163">
        <v>2000</v>
      </c>
      <c r="J10" s="163">
        <v>2001</v>
      </c>
      <c r="K10" s="544" t="s">
        <v>57</v>
      </c>
      <c r="L10" s="360">
        <v>2001</v>
      </c>
      <c r="M10" s="162">
        <v>2002</v>
      </c>
      <c r="N10" s="162">
        <v>2003</v>
      </c>
      <c r="O10" s="162">
        <v>2004</v>
      </c>
      <c r="P10" s="162">
        <v>2005</v>
      </c>
      <c r="Q10" s="164">
        <v>2006</v>
      </c>
      <c r="S10" s="504" t="s">
        <v>249</v>
      </c>
      <c r="T10" s="606">
        <f>Q33</f>
        <v>55507.411957587043</v>
      </c>
      <c r="W10" s="42"/>
    </row>
    <row r="11" spans="3:23" ht="16" thickBot="1">
      <c r="J11" s="256"/>
      <c r="K11" s="368"/>
      <c r="S11" s="400">
        <f>S12-0.01</f>
        <v>5.2938458502153833E-2</v>
      </c>
      <c r="T11" s="252">
        <f>$Q$31+$Q$30*(1+$P$76)/(S11-$P$76)</f>
        <v>61240.218550699836</v>
      </c>
      <c r="W11" s="42"/>
    </row>
    <row r="12" spans="3:23" ht="16" thickBot="1">
      <c r="D12" s="562" t="s">
        <v>56</v>
      </c>
      <c r="E12" s="563"/>
      <c r="F12" s="381"/>
      <c r="G12" s="381"/>
      <c r="H12" s="381"/>
      <c r="I12" s="381"/>
      <c r="J12" s="381"/>
      <c r="K12" s="381"/>
      <c r="L12" s="381"/>
      <c r="M12" s="381"/>
      <c r="N12" s="381"/>
      <c r="O12" s="381"/>
      <c r="P12" s="381"/>
      <c r="Q12" s="382"/>
      <c r="S12" s="400">
        <f>S13-0.01</f>
        <v>6.2938458502153835E-2</v>
      </c>
      <c r="T12" s="252">
        <f>$Q$31+$Q$30*(1+$P$76)/(S12-$P$76)</f>
        <v>58141.939745080716</v>
      </c>
      <c r="W12" s="43"/>
    </row>
    <row r="13" spans="3:23" ht="16" thickBot="1">
      <c r="D13" s="503"/>
      <c r="E13" s="385"/>
      <c r="F13" s="507"/>
      <c r="G13" s="507"/>
      <c r="H13" s="507"/>
      <c r="I13" s="507"/>
      <c r="J13" s="508"/>
      <c r="K13" s="564"/>
      <c r="L13" s="507"/>
      <c r="M13" s="507"/>
      <c r="N13" s="507"/>
      <c r="O13" s="507"/>
      <c r="P13" s="507"/>
      <c r="Q13" s="508"/>
      <c r="S13" s="400">
        <f>T19</f>
        <v>7.293845850215383E-2</v>
      </c>
      <c r="T13" s="252">
        <f>$Q$31+$Q$30*(1+$P$76)/(S13-$P$76)</f>
        <v>55507.411957587043</v>
      </c>
    </row>
    <row r="14" spans="3:23" ht="16" thickBot="1">
      <c r="D14" s="258" t="s">
        <v>58</v>
      </c>
      <c r="E14" s="421"/>
      <c r="F14" s="122"/>
      <c r="G14" s="122"/>
      <c r="H14" s="50"/>
      <c r="I14" s="50"/>
      <c r="J14" s="362"/>
      <c r="K14" s="394"/>
      <c r="L14" s="50"/>
      <c r="M14" s="249">
        <v>1</v>
      </c>
      <c r="N14" s="249">
        <v>2</v>
      </c>
      <c r="O14" s="249">
        <v>3</v>
      </c>
      <c r="P14" s="249">
        <v>4</v>
      </c>
      <c r="Q14" s="363">
        <v>5</v>
      </c>
      <c r="S14" s="400"/>
      <c r="T14" s="252"/>
    </row>
    <row r="15" spans="3:23" ht="16" thickBot="1">
      <c r="D15" s="509"/>
      <c r="E15" s="433"/>
      <c r="F15" s="122"/>
      <c r="G15" s="122"/>
      <c r="H15" s="122"/>
      <c r="I15" s="122"/>
      <c r="J15" s="550"/>
      <c r="K15" s="395"/>
      <c r="L15" s="122"/>
      <c r="M15" s="122"/>
      <c r="N15" s="122"/>
      <c r="O15" s="122"/>
      <c r="P15" s="122"/>
      <c r="Q15" s="209"/>
      <c r="S15" s="400">
        <f>S13+0.01</f>
        <v>8.2938458502153825E-2</v>
      </c>
      <c r="T15" s="252">
        <f>$Q$31+$Q$30*(1+$P$76)/(S15-$P$76)</f>
        <v>53239.763548128045</v>
      </c>
    </row>
    <row r="16" spans="3:23" ht="16" thickBot="1">
      <c r="D16" s="260" t="s">
        <v>29</v>
      </c>
      <c r="E16" s="565"/>
      <c r="F16" s="566">
        <f>'3.3 Income Statement'!E11</f>
        <v>1670</v>
      </c>
      <c r="G16" s="566">
        <f>'3.3 Income Statement'!F11</f>
        <v>1120</v>
      </c>
      <c r="H16" s="566">
        <f>'3.3 Income Statement'!G11</f>
        <v>3314</v>
      </c>
      <c r="I16" s="566">
        <f>'3.3 Income Statement'!H11</f>
        <v>2632</v>
      </c>
      <c r="J16" s="566">
        <f>'3.3 Income Statement'!I11</f>
        <v>3102</v>
      </c>
      <c r="K16" s="567">
        <v>0</v>
      </c>
      <c r="L16" s="566">
        <f>J16+K16</f>
        <v>3102</v>
      </c>
      <c r="M16" s="566">
        <f>'3.3 Income Statement'!J11</f>
        <v>5391.6689113575976</v>
      </c>
      <c r="N16" s="566">
        <f>'3.3 Income Statement'!K11</f>
        <v>6509.8047590006372</v>
      </c>
      <c r="O16" s="566">
        <f>'3.3 Income Statement'!L11</f>
        <v>6821.6244069567692</v>
      </c>
      <c r="P16" s="566">
        <f>'3.3 Income Statement'!M11</f>
        <v>7148.3802160499981</v>
      </c>
      <c r="Q16" s="566">
        <f>'3.3 Income Statement'!N11</f>
        <v>7490.7876283987944</v>
      </c>
      <c r="S16" s="400">
        <f>S15+0.01</f>
        <v>9.293845850215382E-2</v>
      </c>
      <c r="T16" s="252">
        <f>$Q$31+$Q$30*(1+$P$76)/(S16-$P$76)</f>
        <v>51267.346877501499</v>
      </c>
    </row>
    <row r="17" spans="4:25" ht="16" thickBot="1">
      <c r="D17" s="509"/>
      <c r="E17" s="433"/>
      <c r="F17" s="568"/>
      <c r="G17" s="568"/>
      <c r="H17" s="568"/>
      <c r="I17" s="568"/>
      <c r="J17" s="558"/>
      <c r="K17" s="569"/>
      <c r="L17" s="568"/>
      <c r="M17" s="568"/>
      <c r="N17" s="568"/>
      <c r="O17" s="568"/>
      <c r="P17" s="568"/>
      <c r="Q17" s="570"/>
      <c r="S17" s="400">
        <f>S16+0.01</f>
        <v>0.10293845850215382</v>
      </c>
      <c r="T17" s="252">
        <f>$Q$31+$Q$30*(1+$P$76)/(S17-$P$76)</f>
        <v>49536.030118161842</v>
      </c>
    </row>
    <row r="18" spans="4:25" ht="16" thickBot="1">
      <c r="D18" s="258" t="s">
        <v>323</v>
      </c>
      <c r="E18" s="421"/>
      <c r="F18" s="571">
        <f>'3.3 Income Statement'!E14</f>
        <v>-487</v>
      </c>
      <c r="G18" s="571">
        <f>'3.3 Income Statement'!F14</f>
        <v>-518</v>
      </c>
      <c r="H18" s="571">
        <f>'3.3 Income Statement'!G14</f>
        <v>-1145</v>
      </c>
      <c r="I18" s="571">
        <f>'3.3 Income Statement'!H14</f>
        <v>-633</v>
      </c>
      <c r="J18" s="571">
        <f>'3.3 Income Statement'!I14</f>
        <v>-611</v>
      </c>
      <c r="K18" s="572">
        <v>0</v>
      </c>
      <c r="L18" s="571">
        <f>'3.3 Income Statement'!I14</f>
        <v>-611</v>
      </c>
      <c r="M18" s="571">
        <f>'3.3 Income Statement'!J14</f>
        <v>-870.72788600317665</v>
      </c>
      <c r="N18" s="571">
        <f>'3.3 Income Statement'!K14</f>
        <v>-912.43575174272894</v>
      </c>
      <c r="O18" s="571">
        <f>'3.3 Income Statement'!L14</f>
        <v>-956.14142425120565</v>
      </c>
      <c r="P18" s="571">
        <f>'3.3 Income Statement'!M14</f>
        <v>-1001.9405984728385</v>
      </c>
      <c r="Q18" s="571">
        <f>'3.3 Income Statement'!N14</f>
        <v>-1049.9335531396875</v>
      </c>
      <c r="X18" s="42"/>
      <c r="Y18" s="42"/>
    </row>
    <row r="19" spans="4:25" ht="16" thickBot="1">
      <c r="D19" s="260" t="s">
        <v>32</v>
      </c>
      <c r="E19" s="565"/>
      <c r="F19" s="566">
        <f>SUM(F16+F18)</f>
        <v>1183</v>
      </c>
      <c r="G19" s="566">
        <f>SUM(G16+G18)</f>
        <v>602</v>
      </c>
      <c r="H19" s="566">
        <f>SUM(H16+H18)</f>
        <v>2169</v>
      </c>
      <c r="I19" s="566">
        <f>SUM(I16+I18)</f>
        <v>1999</v>
      </c>
      <c r="J19" s="566">
        <f>SUM(J16+J18)</f>
        <v>2491</v>
      </c>
      <c r="K19" s="573">
        <f>F43+F45+F44</f>
        <v>1621.1776875459889</v>
      </c>
      <c r="L19" s="566">
        <f>J19+K19</f>
        <v>4112.1776875459891</v>
      </c>
      <c r="M19" s="566">
        <f>'3.3 Income Statement'!J15+G43+G44+G45</f>
        <v>6085.3147426768637</v>
      </c>
      <c r="N19" s="566">
        <f>'3.3 Income Statement'!K15+H43+H44+H45</f>
        <v>7092.8324230271992</v>
      </c>
      <c r="O19" s="566">
        <f>'3.3 Income Statement'!L15+I43+I44+I45</f>
        <v>7270.0629175278928</v>
      </c>
      <c r="P19" s="566">
        <f>'3.3 Income Statement'!M15+J43+J44+J45</f>
        <v>7434.6840435775284</v>
      </c>
      <c r="Q19" s="566">
        <f>'3.3 Income Statement'!N15+K43+K44+K45</f>
        <v>7583.3501957017161</v>
      </c>
      <c r="S19" s="252" t="s">
        <v>400</v>
      </c>
      <c r="T19" s="605">
        <f>'5.4 Opti K structure'!C61</f>
        <v>7.293845850215383E-2</v>
      </c>
      <c r="X19" s="42"/>
      <c r="Y19" s="42"/>
    </row>
    <row r="20" spans="4:25" ht="16" thickBot="1">
      <c r="D20" s="509"/>
      <c r="E20" s="433"/>
      <c r="F20" s="568"/>
      <c r="G20" s="568"/>
      <c r="H20" s="568"/>
      <c r="I20" s="568"/>
      <c r="J20" s="558"/>
      <c r="K20" s="574"/>
      <c r="L20" s="568"/>
      <c r="M20" s="568"/>
      <c r="N20" s="568"/>
      <c r="O20" s="568"/>
      <c r="P20" s="568"/>
      <c r="Q20" s="570"/>
      <c r="S20" s="46"/>
    </row>
    <row r="21" spans="4:25" ht="16" thickBot="1">
      <c r="D21" s="258" t="s">
        <v>206</v>
      </c>
      <c r="E21" s="421"/>
      <c r="F21" s="575">
        <f>IF($D$21="Marginal tax rate",F39,F38)</f>
        <v>0.19670000000000001</v>
      </c>
      <c r="G21" s="575">
        <f>IF($D$21="Marginal tax rate",G39,G38)</f>
        <v>0.19670000000000001</v>
      </c>
      <c r="H21" s="575">
        <f>IF($D$21="Marginal tax rate",H39,H38)</f>
        <v>0.31190000000000001</v>
      </c>
      <c r="I21" s="575">
        <f>IF($D$21="Marginal tax rate",I39,I38)</f>
        <v>0.22689999999999999</v>
      </c>
      <c r="J21" s="575">
        <f>IF($D$21="Marginal tax rate",J39,J38)</f>
        <v>0.18729999999999999</v>
      </c>
      <c r="K21" s="572">
        <v>0</v>
      </c>
      <c r="L21" s="576">
        <v>0.22</v>
      </c>
      <c r="M21" s="575">
        <v>0.4</v>
      </c>
      <c r="N21" s="575">
        <v>0.4</v>
      </c>
      <c r="O21" s="575">
        <v>0.4</v>
      </c>
      <c r="P21" s="575">
        <v>0.4</v>
      </c>
      <c r="Q21" s="575">
        <v>0.4</v>
      </c>
      <c r="S21" s="43"/>
    </row>
    <row r="22" spans="4:25" ht="16" thickBot="1">
      <c r="D22" s="260" t="s">
        <v>59</v>
      </c>
      <c r="E22" s="421"/>
      <c r="F22" s="577">
        <f>F19*(1-F21)</f>
        <v>950.3039</v>
      </c>
      <c r="G22" s="577">
        <f>G19*(1-G21)</f>
        <v>483.58660000000003</v>
      </c>
      <c r="H22" s="577">
        <f>H19*(1-H21)</f>
        <v>1492.4888999999998</v>
      </c>
      <c r="I22" s="577">
        <f>I19*(1-I21)</f>
        <v>1545.4268999999999</v>
      </c>
      <c r="J22" s="577">
        <f>J19*(1-J21)</f>
        <v>2024.4357</v>
      </c>
      <c r="K22" s="578">
        <f>K19*(1-J21)</f>
        <v>1317.5311066686252</v>
      </c>
      <c r="L22" s="579">
        <f>J22+K22</f>
        <v>3341.9668066686254</v>
      </c>
      <c r="M22" s="579">
        <f>M19*(1-M21)</f>
        <v>3651.1888456061183</v>
      </c>
      <c r="N22" s="579">
        <f>N19*(1-N21)</f>
        <v>4255.699453816319</v>
      </c>
      <c r="O22" s="579">
        <f>O19*(1-O21)</f>
        <v>4362.0377505167353</v>
      </c>
      <c r="P22" s="579">
        <f>P19*(1-P21)</f>
        <v>4460.8104261465169</v>
      </c>
      <c r="Q22" s="579">
        <f>Q19*(1-Q21)</f>
        <v>4550.0101174210295</v>
      </c>
      <c r="S22" s="47"/>
    </row>
    <row r="23" spans="4:25" ht="16" thickBot="1">
      <c r="D23" s="509"/>
      <c r="E23" s="433"/>
      <c r="F23" s="551"/>
      <c r="G23" s="551"/>
      <c r="H23" s="551"/>
      <c r="I23" s="551"/>
      <c r="J23" s="580"/>
      <c r="K23" s="581"/>
      <c r="L23" s="551"/>
      <c r="M23" s="551"/>
      <c r="N23" s="551"/>
      <c r="O23" s="551"/>
      <c r="P23" s="551"/>
      <c r="Q23" s="552"/>
      <c r="S23" s="47"/>
    </row>
    <row r="24" spans="4:25" ht="16" thickBot="1">
      <c r="D24" s="258" t="s">
        <v>31</v>
      </c>
      <c r="E24" s="421"/>
      <c r="F24" s="571">
        <f>-F18</f>
        <v>487</v>
      </c>
      <c r="G24" s="571">
        <f>-G18</f>
        <v>518</v>
      </c>
      <c r="H24" s="571">
        <f>-H18</f>
        <v>1145</v>
      </c>
      <c r="I24" s="571">
        <f>-I18</f>
        <v>633</v>
      </c>
      <c r="J24" s="571">
        <f>-J18</f>
        <v>611</v>
      </c>
      <c r="K24" s="573">
        <f>F48+F49</f>
        <v>1779.1423124540111</v>
      </c>
      <c r="L24" s="582">
        <f>J24+K24</f>
        <v>2390.1423124540111</v>
      </c>
      <c r="M24" s="583">
        <f>-M18+G48+G49</f>
        <v>2793.7424144666852</v>
      </c>
      <c r="N24" s="583">
        <f>-N18+H48+H49</f>
        <v>2998.0175960526963</v>
      </c>
      <c r="O24" s="583">
        <f>-O18+I48+I49</f>
        <v>3225.4149702291147</v>
      </c>
      <c r="P24" s="583">
        <f>-P18+J48+J49</f>
        <v>3478.7751851554685</v>
      </c>
      <c r="Q24" s="583">
        <f>-Q18+K48+K49</f>
        <v>3761.3001585648149</v>
      </c>
      <c r="S24" s="47"/>
    </row>
    <row r="25" spans="4:25" ht="16" thickBot="1">
      <c r="D25" s="258" t="s">
        <v>60</v>
      </c>
      <c r="E25" s="421"/>
      <c r="F25" s="571">
        <f>'3.2 Balance Sheet'!E49</f>
        <v>892</v>
      </c>
      <c r="G25" s="571">
        <f>'3.2 Balance Sheet'!F49</f>
        <v>76</v>
      </c>
      <c r="H25" s="571">
        <f>'3.2 Balance Sheet'!G49</f>
        <v>1505</v>
      </c>
      <c r="I25" s="571">
        <f>'3.2 Balance Sheet'!H49</f>
        <v>-2088</v>
      </c>
      <c r="J25" s="571">
        <f>'3.2 Balance Sheet'!I49</f>
        <v>56</v>
      </c>
      <c r="K25" s="584">
        <v>0</v>
      </c>
      <c r="L25" s="582">
        <f>J25+K25</f>
        <v>56</v>
      </c>
      <c r="M25" s="585">
        <f>'3.2 Balance Sheet'!J49</f>
        <v>1200.5491609279275</v>
      </c>
      <c r="N25" s="585">
        <f>'3.2 Balance Sheet'!K49</f>
        <v>146.98350480844783</v>
      </c>
      <c r="O25" s="585">
        <f>'3.2 Balance Sheet'!L49</f>
        <v>154.02401468877224</v>
      </c>
      <c r="P25" s="585">
        <f>'3.2 Balance Sheet'!M49</f>
        <v>161.40176499236486</v>
      </c>
      <c r="Q25" s="585">
        <f>'3.2 Balance Sheet'!N49</f>
        <v>169.13290953549949</v>
      </c>
      <c r="S25" s="47"/>
    </row>
    <row r="26" spans="4:25" ht="16" thickBot="1">
      <c r="D26" s="258" t="s">
        <v>55</v>
      </c>
      <c r="E26" s="421"/>
      <c r="F26" s="571">
        <f>'3.4 Cash Flow Statement'!E9</f>
        <v>-644</v>
      </c>
      <c r="G26" s="571">
        <f>'3.4 Cash Flow Statement'!F9</f>
        <v>-859</v>
      </c>
      <c r="H26" s="571">
        <f>'3.4 Cash Flow Statement'!G9</f>
        <v>-1678</v>
      </c>
      <c r="I26" s="571">
        <f>'3.4 Cash Flow Statement'!H9</f>
        <v>-774</v>
      </c>
      <c r="J26" s="571">
        <f>'3.4 Cash Flow Statement'!I9</f>
        <v>-1020</v>
      </c>
      <c r="K26" s="572">
        <v>0</v>
      </c>
      <c r="L26" s="571">
        <f>J26+K26</f>
        <v>-1020</v>
      </c>
      <c r="M26" s="571">
        <f>'3.4 Cash Flow Statement'!J9</f>
        <v>-1289.4393450824002</v>
      </c>
      <c r="N26" s="571">
        <f>'3.4 Cash Flow Statement'!K9</f>
        <v>-1351.2034897118474</v>
      </c>
      <c r="O26" s="571">
        <f>'3.4 Cash Flow Statement'!L9</f>
        <v>-1415.9261368690447</v>
      </c>
      <c r="P26" s="571">
        <f>'3.4 Cash Flow Statement'!M9</f>
        <v>-1483.7489988250722</v>
      </c>
      <c r="Q26" s="571">
        <f>'3.4 Cash Flow Statement'!N9</f>
        <v>-1554.8205758687932</v>
      </c>
      <c r="S26" s="47"/>
    </row>
    <row r="27" spans="4:25" ht="16" thickBot="1">
      <c r="D27" s="509"/>
      <c r="E27" s="433"/>
      <c r="F27" s="551"/>
      <c r="G27" s="551"/>
      <c r="H27" s="551"/>
      <c r="I27" s="551"/>
      <c r="J27" s="580"/>
      <c r="K27" s="586"/>
      <c r="L27" s="551"/>
      <c r="M27" s="551"/>
      <c r="N27" s="551"/>
      <c r="O27" s="551"/>
      <c r="P27" s="551"/>
      <c r="Q27" s="552"/>
    </row>
    <row r="28" spans="4:25" ht="16" thickBot="1">
      <c r="D28" s="199" t="s">
        <v>65</v>
      </c>
      <c r="E28" s="421"/>
      <c r="F28" s="587">
        <f>F22+F24-F25+F26</f>
        <v>-98.696100000000115</v>
      </c>
      <c r="G28" s="587">
        <f>G22+G24-G25+G26</f>
        <v>66.586600000000089</v>
      </c>
      <c r="H28" s="587">
        <f>H22+H24-H25+H26</f>
        <v>-545.51110000000017</v>
      </c>
      <c r="I28" s="587">
        <f>I22+I24-I25+I26</f>
        <v>3492.4269000000004</v>
      </c>
      <c r="J28" s="587">
        <f>J22+J24-J25+J26</f>
        <v>1559.4357</v>
      </c>
      <c r="K28" s="588" t="s">
        <v>228</v>
      </c>
      <c r="L28" s="587">
        <f t="shared" ref="L28:Q28" si="0">L22+L24-L25+L26</f>
        <v>4656.1091191226369</v>
      </c>
      <c r="M28" s="587">
        <f t="shared" si="0"/>
        <v>3954.9427540624756</v>
      </c>
      <c r="N28" s="587">
        <f t="shared" si="0"/>
        <v>5755.5300553487205</v>
      </c>
      <c r="O28" s="587">
        <f t="shared" si="0"/>
        <v>6017.5025691880337</v>
      </c>
      <c r="P28" s="587">
        <f t="shared" si="0"/>
        <v>6294.4348474845483</v>
      </c>
      <c r="Q28" s="587">
        <f t="shared" si="0"/>
        <v>6587.3567905815526</v>
      </c>
    </row>
    <row r="29" spans="4:25" ht="16" thickBot="1">
      <c r="D29" s="509"/>
      <c r="E29" s="433"/>
      <c r="F29" s="551"/>
      <c r="G29" s="551"/>
      <c r="H29" s="551"/>
      <c r="I29" s="551"/>
      <c r="J29" s="551"/>
      <c r="K29" s="551"/>
      <c r="L29" s="551"/>
      <c r="M29" s="551"/>
      <c r="N29" s="551"/>
      <c r="O29" s="551"/>
      <c r="P29" s="551"/>
      <c r="Q29" s="552"/>
    </row>
    <row r="30" spans="4:25" ht="16" thickBot="1">
      <c r="D30" s="199" t="s">
        <v>229</v>
      </c>
      <c r="E30" s="421"/>
      <c r="F30" s="553"/>
      <c r="G30" s="554"/>
      <c r="H30" s="554"/>
      <c r="I30" s="554"/>
      <c r="J30" s="554"/>
      <c r="K30" s="554"/>
      <c r="L30" s="555"/>
      <c r="M30" s="587">
        <f>M28/(1+$T$19)^'5.5 Value of Control'!M14</f>
        <v>3686.0853693171412</v>
      </c>
      <c r="N30" s="587">
        <f>N28/(1+$T$19)^'5.5 Value of Control'!N14</f>
        <v>4999.6050864087129</v>
      </c>
      <c r="O30" s="587">
        <f>O28/(1+$T$19)^'5.5 Value of Control'!O14</f>
        <v>4871.826876763731</v>
      </c>
      <c r="P30" s="587">
        <f>P28/(1+$T$19)^'5.5 Value of Control'!P14</f>
        <v>4749.604996205876</v>
      </c>
      <c r="Q30" s="587">
        <f>Q28/(1+$T$19)^'5.5 Value of Control'!Q14</f>
        <v>4632.7314358507147</v>
      </c>
    </row>
    <row r="31" spans="4:25" ht="16" thickBot="1">
      <c r="D31" s="199" t="s">
        <v>230</v>
      </c>
      <c r="E31" s="421"/>
      <c r="F31" s="556"/>
      <c r="G31" s="557"/>
      <c r="H31" s="557"/>
      <c r="I31" s="557"/>
      <c r="J31" s="557"/>
      <c r="K31" s="557"/>
      <c r="L31" s="557"/>
      <c r="M31" s="589"/>
      <c r="N31" s="589"/>
      <c r="O31" s="589"/>
      <c r="P31" s="590"/>
      <c r="Q31" s="587">
        <f>SUM(M30:Q30)</f>
        <v>22939.853764546173</v>
      </c>
    </row>
    <row r="32" spans="4:25" ht="16" thickBot="1">
      <c r="D32" s="199" t="s">
        <v>282</v>
      </c>
      <c r="E32" s="421"/>
      <c r="F32" s="556"/>
      <c r="G32" s="557"/>
      <c r="H32" s="557"/>
      <c r="I32" s="557"/>
      <c r="J32" s="557"/>
      <c r="K32" s="557"/>
      <c r="L32" s="557"/>
      <c r="M32" s="589"/>
      <c r="N32" s="589"/>
      <c r="O32" s="589"/>
      <c r="P32" s="590"/>
      <c r="Q32" s="587">
        <f>Q30*(1+P76)/(T19-P76)</f>
        <v>32567.558193040866</v>
      </c>
    </row>
    <row r="33" spans="4:17" ht="16" thickBot="1">
      <c r="D33" s="199" t="s">
        <v>283</v>
      </c>
      <c r="E33" s="421"/>
      <c r="F33" s="556"/>
      <c r="G33" s="557"/>
      <c r="H33" s="557"/>
      <c r="I33" s="557"/>
      <c r="J33" s="557"/>
      <c r="K33" s="557"/>
      <c r="L33" s="557"/>
      <c r="M33" s="589"/>
      <c r="N33" s="589"/>
      <c r="O33" s="589"/>
      <c r="P33" s="590"/>
      <c r="Q33" s="591">
        <f>Q31+Q32</f>
        <v>55507.411957587043</v>
      </c>
    </row>
    <row r="34" spans="4:17" ht="16" thickBot="1">
      <c r="D34" s="199" t="s">
        <v>281</v>
      </c>
      <c r="E34" s="421"/>
      <c r="F34" s="556"/>
      <c r="G34" s="557"/>
      <c r="H34" s="557"/>
      <c r="I34" s="557"/>
      <c r="J34" s="557"/>
      <c r="K34" s="557"/>
      <c r="L34" s="557"/>
      <c r="M34" s="557"/>
      <c r="N34" s="557"/>
      <c r="O34" s="557"/>
      <c r="P34" s="558"/>
      <c r="Q34" s="587">
        <f>Q33*(1-'5.4 Opti K structure'!E40)</f>
        <v>44405.929566069637</v>
      </c>
    </row>
    <row r="35" spans="4:17" ht="16" thickBot="1">
      <c r="D35" s="199" t="s">
        <v>403</v>
      </c>
      <c r="E35" s="421"/>
      <c r="F35" s="559"/>
      <c r="G35" s="559"/>
      <c r="H35" s="559"/>
      <c r="I35" s="559"/>
      <c r="J35" s="559"/>
      <c r="K35" s="559"/>
      <c r="L35" s="559"/>
      <c r="M35" s="559"/>
      <c r="N35" s="559"/>
      <c r="O35" s="559"/>
      <c r="P35" s="559"/>
      <c r="Q35" s="592">
        <f>Q33-'5.1 Free Cash Flow'!P32</f>
        <v>1598.9216062557243</v>
      </c>
    </row>
    <row r="36" spans="4:17" ht="16" thickBot="1"/>
    <row r="37" spans="4:17" ht="16" thickBot="1">
      <c r="D37" s="199" t="s">
        <v>205</v>
      </c>
      <c r="E37" s="404"/>
      <c r="F37" s="241">
        <v>1997</v>
      </c>
      <c r="G37" s="241">
        <v>1998</v>
      </c>
      <c r="H37" s="241">
        <v>1999</v>
      </c>
      <c r="I37" s="241">
        <v>2000</v>
      </c>
      <c r="J37" s="241">
        <v>2001</v>
      </c>
      <c r="Q37" s="45"/>
    </row>
    <row r="38" spans="4:17" ht="16" thickBot="1">
      <c r="D38" s="261" t="s">
        <v>206</v>
      </c>
      <c r="E38" s="421"/>
      <c r="F38" s="262">
        <v>0.19670000000000001</v>
      </c>
      <c r="G38" s="262">
        <v>0.19670000000000001</v>
      </c>
      <c r="H38" s="262">
        <v>0.31190000000000001</v>
      </c>
      <c r="I38" s="262">
        <v>0.22689999999999999</v>
      </c>
      <c r="J38" s="262">
        <v>0.18729999999999999</v>
      </c>
      <c r="K38" s="51"/>
    </row>
    <row r="39" spans="4:17" ht="16" thickBot="1">
      <c r="D39" s="261" t="s">
        <v>207</v>
      </c>
      <c r="E39" s="421"/>
      <c r="F39" s="262">
        <v>0.4</v>
      </c>
      <c r="G39" s="262">
        <v>0.4</v>
      </c>
      <c r="H39" s="262">
        <v>0.4</v>
      </c>
      <c r="I39" s="262">
        <v>0.4</v>
      </c>
      <c r="J39" s="262">
        <v>0.4</v>
      </c>
    </row>
    <row r="40" spans="4:17" ht="16" thickBot="1"/>
    <row r="41" spans="4:17" ht="16" thickBot="1">
      <c r="D41" s="199" t="s">
        <v>211</v>
      </c>
      <c r="E41" s="387"/>
      <c r="F41" s="241">
        <v>2001</v>
      </c>
      <c r="G41" s="241">
        <v>2002</v>
      </c>
      <c r="H41" s="241">
        <v>2003</v>
      </c>
      <c r="I41" s="241">
        <v>2004</v>
      </c>
      <c r="J41" s="241">
        <v>2005</v>
      </c>
      <c r="K41" s="241">
        <v>2006</v>
      </c>
    </row>
    <row r="42" spans="4:17" ht="16" thickBot="1">
      <c r="D42" s="261" t="s">
        <v>217</v>
      </c>
      <c r="E42" s="386"/>
      <c r="F42" s="406"/>
      <c r="G42" s="252">
        <v>1</v>
      </c>
      <c r="H42" s="252">
        <v>2</v>
      </c>
      <c r="I42" s="252">
        <v>3</v>
      </c>
      <c r="J42" s="252">
        <v>4</v>
      </c>
      <c r="K42" s="252">
        <v>5</v>
      </c>
    </row>
    <row r="43" spans="4:17" ht="16" thickBot="1">
      <c r="D43" s="261" t="s">
        <v>208</v>
      </c>
      <c r="E43" s="386"/>
      <c r="F43" s="407">
        <f>'4.2 R&amp;D converter'!E39</f>
        <v>1155.8</v>
      </c>
      <c r="G43" s="407">
        <f>-'3.3 Income Statement'!J10-'4.2 R&amp;D converter'!$E$37*POWER((1+'4.2 R&amp;D converter'!$M$26),G42)</f>
        <v>1115.2257355546099</v>
      </c>
      <c r="H43" s="407">
        <f>-'3.3 Income Statement'!K10-'4.2 R&amp;D converter'!$E$37*POWER((1+'4.2 R&amp;D converter'!$M$26),H42)</f>
        <v>1066.0040915880725</v>
      </c>
      <c r="I43" s="407">
        <f>-'3.3 Income Statement'!L10-'4.2 R&amp;D converter'!$E$37*POWER((1+'4.2 R&amp;D converter'!$M$26),I42)</f>
        <v>1001.0873194830999</v>
      </c>
      <c r="J43" s="407">
        <f>-'3.3 Income Statement'!M10-'4.2 R&amp;D converter'!$E$37*POWER((1+'4.2 R&amp;D converter'!$M$26),J42)</f>
        <v>917.99052746741404</v>
      </c>
      <c r="K43" s="407">
        <f>-'3.3 Income Statement'!N10-'4.2 R&amp;D converter'!$E$37*POWER((1+'4.2 R&amp;D converter'!$M$26),K42)</f>
        <v>813.88459492615698</v>
      </c>
      <c r="Q43" s="79"/>
    </row>
    <row r="44" spans="4:17" ht="16" hidden="1" thickBot="1">
      <c r="D44" s="432" t="s">
        <v>213</v>
      </c>
      <c r="E44" s="433"/>
      <c r="F44" s="407">
        <f>'4.2 R&amp;D converter'!E40</f>
        <v>462.32</v>
      </c>
      <c r="G44" s="407">
        <f>G43*M21</f>
        <v>446.09029422184398</v>
      </c>
      <c r="H44" s="407">
        <f>H43*N21</f>
        <v>426.40163663522901</v>
      </c>
      <c r="I44" s="407">
        <f>I43*O21</f>
        <v>400.43492779323998</v>
      </c>
      <c r="J44" s="407">
        <f>J43*P21</f>
        <v>367.19621098696564</v>
      </c>
      <c r="K44" s="407">
        <f>K43*Q21</f>
        <v>325.55383797046284</v>
      </c>
    </row>
    <row r="45" spans="4:17" ht="16" hidden="1" thickBot="1">
      <c r="D45" s="432" t="s">
        <v>209</v>
      </c>
      <c r="E45" s="433"/>
      <c r="F45" s="407">
        <f>'4.1 Operating lease converter'!G34</f>
        <v>3.0576875459888697</v>
      </c>
      <c r="G45" s="407">
        <f>$F$45</f>
        <v>3.0576875459888697</v>
      </c>
      <c r="H45" s="407">
        <f>$F$45</f>
        <v>3.0576875459888697</v>
      </c>
      <c r="I45" s="407">
        <f>$F$45</f>
        <v>3.0576875459888697</v>
      </c>
      <c r="J45" s="407">
        <f>$F$45</f>
        <v>3.0576875459888697</v>
      </c>
      <c r="K45" s="407">
        <f>$F$45</f>
        <v>3.0576875459888697</v>
      </c>
    </row>
    <row r="46" spans="4:17" ht="16" hidden="1" thickBot="1">
      <c r="D46" s="432"/>
      <c r="E46" s="433"/>
      <c r="F46" s="407"/>
      <c r="G46" s="407"/>
      <c r="H46" s="407"/>
      <c r="I46" s="407"/>
      <c r="J46" s="407"/>
      <c r="K46" s="407"/>
      <c r="O46" s="56"/>
    </row>
    <row r="47" spans="4:17" ht="16" thickBot="1">
      <c r="D47" s="261" t="s">
        <v>210</v>
      </c>
      <c r="E47" s="386"/>
      <c r="F47" s="407"/>
      <c r="G47" s="407"/>
      <c r="H47" s="407"/>
      <c r="I47" s="407"/>
      <c r="J47" s="407"/>
      <c r="K47" s="407"/>
    </row>
    <row r="48" spans="4:17" ht="16" thickBot="1">
      <c r="D48" s="261" t="s">
        <v>208</v>
      </c>
      <c r="E48" s="386"/>
      <c r="F48" s="407">
        <f>'4.2 R&amp;D converter'!E37</f>
        <v>1107.2</v>
      </c>
      <c r="G48" s="407">
        <f>F48*(1+'4.2 R&amp;D converter'!$M$26)</f>
        <v>1251.0722160094974</v>
      </c>
      <c r="H48" s="407">
        <f>G48*(1+'4.2 R&amp;D converter'!$M$26)</f>
        <v>1413.6395318559562</v>
      </c>
      <c r="I48" s="407">
        <f>H48*(1+'4.2 R&amp;D converter'!$M$26)</f>
        <v>1597.3312335238977</v>
      </c>
      <c r="J48" s="407">
        <f>I48*(1+'4.2 R&amp;D converter'!$M$26)</f>
        <v>1804.8922742286188</v>
      </c>
      <c r="K48" s="407">
        <f>J48*(1+'4.2 R&amp;D converter'!$M$26)</f>
        <v>2039.4242929711161</v>
      </c>
    </row>
    <row r="49" spans="4:16" ht="16" thickBot="1">
      <c r="D49" s="261" t="s">
        <v>209</v>
      </c>
      <c r="E49" s="386"/>
      <c r="F49" s="407">
        <f>'4.1 Operating lease converter'!G33</f>
        <v>671.94231245401113</v>
      </c>
      <c r="G49" s="407">
        <f>$F$49</f>
        <v>671.94231245401113</v>
      </c>
      <c r="H49" s="407">
        <f>$F$49</f>
        <v>671.94231245401113</v>
      </c>
      <c r="I49" s="407">
        <f>$F$49</f>
        <v>671.94231245401113</v>
      </c>
      <c r="J49" s="407">
        <f>$F$49</f>
        <v>671.94231245401113</v>
      </c>
      <c r="K49" s="407">
        <f>$F$49</f>
        <v>671.94231245401113</v>
      </c>
    </row>
    <row r="50" spans="4:16" ht="16" thickBot="1">
      <c r="D50" s="261"/>
      <c r="E50" s="421"/>
      <c r="F50" s="593"/>
      <c r="G50" s="594"/>
      <c r="H50" s="594"/>
      <c r="I50" s="594"/>
      <c r="J50" s="594"/>
      <c r="K50" s="595"/>
    </row>
    <row r="51" spans="4:16" ht="16" thickBot="1">
      <c r="D51" s="261" t="s">
        <v>324</v>
      </c>
      <c r="E51" s="421"/>
      <c r="F51" s="405"/>
      <c r="G51" s="405"/>
      <c r="H51" s="405"/>
      <c r="I51" s="405"/>
      <c r="J51" s="405"/>
      <c r="K51" s="596"/>
    </row>
    <row r="52" spans="4:16" ht="16" thickBot="1">
      <c r="D52" s="261" t="s">
        <v>208</v>
      </c>
      <c r="E52" s="421"/>
      <c r="F52" s="597">
        <f>-'4.2 R&amp;D converter'!G7</f>
        <v>-2263</v>
      </c>
      <c r="G52" s="407">
        <f>'3.3 Income Statement'!J10</f>
        <v>-2366.2979515641073</v>
      </c>
      <c r="H52" s="407">
        <f>'3.3 Income Statement'!K10</f>
        <v>-2479.6436234440284</v>
      </c>
      <c r="I52" s="407">
        <f>'3.3 Income Statement'!L10</f>
        <v>-2598.4185530069976</v>
      </c>
      <c r="J52" s="407">
        <f>'3.3 Income Statement'!M10</f>
        <v>-2722.8828016960329</v>
      </c>
      <c r="K52" s="407">
        <f>'3.3 Income Statement'!N10</f>
        <v>-2853.3088878972731</v>
      </c>
    </row>
    <row r="53" spans="4:16" ht="16" thickBot="1">
      <c r="D53" s="261" t="s">
        <v>209</v>
      </c>
      <c r="E53" s="421"/>
      <c r="F53" s="597">
        <f>-'4.1 Operating lease converter'!F3</f>
        <v>-675</v>
      </c>
      <c r="G53" s="407">
        <f>$F$53</f>
        <v>-675</v>
      </c>
      <c r="H53" s="407">
        <f>$F$53</f>
        <v>-675</v>
      </c>
      <c r="I53" s="407">
        <f>$F$53</f>
        <v>-675</v>
      </c>
      <c r="J53" s="407">
        <f>$F$53</f>
        <v>-675</v>
      </c>
      <c r="K53" s="407">
        <f>$F$53</f>
        <v>-675</v>
      </c>
    </row>
    <row r="54" spans="4:16" ht="16" thickBot="1"/>
    <row r="55" spans="4:16" ht="16" thickBot="1">
      <c r="D55" s="494" t="s">
        <v>241</v>
      </c>
      <c r="E55" s="387"/>
      <c r="F55" s="248"/>
      <c r="G55" s="240">
        <v>1997</v>
      </c>
      <c r="H55" s="240">
        <v>1998</v>
      </c>
      <c r="I55" s="240">
        <v>1999</v>
      </c>
      <c r="J55" s="240">
        <v>2000</v>
      </c>
      <c r="K55" s="240">
        <v>2001</v>
      </c>
      <c r="L55" s="602">
        <v>2002</v>
      </c>
      <c r="M55" s="602">
        <v>2003</v>
      </c>
      <c r="N55" s="602">
        <v>2004</v>
      </c>
      <c r="O55" s="602">
        <v>2005</v>
      </c>
      <c r="P55" s="602">
        <v>2006</v>
      </c>
    </row>
    <row r="56" spans="4:16" ht="16" thickBot="1">
      <c r="D56" s="561" t="s">
        <v>214</v>
      </c>
      <c r="E56" s="386"/>
      <c r="F56" s="421"/>
      <c r="G56" s="252">
        <f>'3.2 Balance Sheet'!E33</f>
        <v>4104</v>
      </c>
      <c r="H56" s="252">
        <f>'3.2 Balance Sheet'!F33</f>
        <v>4986</v>
      </c>
      <c r="I56" s="252">
        <f>'3.2 Balance Sheet'!G33</f>
        <v>10911</v>
      </c>
      <c r="J56" s="252">
        <f>'3.2 Balance Sheet'!H33</f>
        <v>11921</v>
      </c>
      <c r="K56" s="252">
        <f>'3.2 Balance Sheet'!I33</f>
        <v>12390</v>
      </c>
      <c r="L56" s="252"/>
      <c r="M56" s="252"/>
      <c r="N56" s="252"/>
      <c r="O56" s="252"/>
      <c r="P56" s="252"/>
    </row>
    <row r="57" spans="4:16" ht="16" thickBot="1">
      <c r="D57" s="561" t="s">
        <v>215</v>
      </c>
      <c r="E57" s="386"/>
      <c r="F57" s="421"/>
      <c r="G57" s="252">
        <f>'3.2 Balance Sheet'!E29+'3.2 Balance Sheet'!E25</f>
        <v>3705</v>
      </c>
      <c r="H57" s="252">
        <f>'3.2 Balance Sheet'!F29+'3.2 Balance Sheet'!F25</f>
        <v>7328</v>
      </c>
      <c r="I57" s="252">
        <f>'3.2 Balance Sheet'!G29+'3.2 Balance Sheet'!G25</f>
        <v>8228</v>
      </c>
      <c r="J57" s="252">
        <f>'3.2 Balance Sheet'!H29+'3.2 Balance Sheet'!H25</f>
        <v>4299</v>
      </c>
      <c r="K57" s="252">
        <f>'3.2 Balance Sheet'!I29+'3.2 Balance Sheet'!I25</f>
        <v>3082</v>
      </c>
      <c r="L57" s="252"/>
      <c r="M57" s="252"/>
      <c r="N57" s="252"/>
      <c r="O57" s="252"/>
      <c r="P57" s="252"/>
    </row>
    <row r="58" spans="4:16" ht="16" thickBot="1">
      <c r="D58" s="494" t="s">
        <v>216</v>
      </c>
      <c r="E58" s="386"/>
      <c r="F58" s="421"/>
      <c r="G58" s="416">
        <f>SUM(G56:G57)</f>
        <v>7809</v>
      </c>
      <c r="H58" s="416">
        <f>SUM(H56:H57)</f>
        <v>12314</v>
      </c>
      <c r="I58" s="416">
        <f>SUM(I56:I57)</f>
        <v>19139</v>
      </c>
      <c r="J58" s="416">
        <f>SUM(J56:J57)</f>
        <v>16220</v>
      </c>
      <c r="K58" s="416">
        <f>SUM(K56:K57)</f>
        <v>15472</v>
      </c>
      <c r="L58" s="600">
        <f>K58+1250</f>
        <v>16722</v>
      </c>
      <c r="M58" s="600">
        <f>L58+1250</f>
        <v>17972</v>
      </c>
      <c r="N58" s="600">
        <f>M58+1250</f>
        <v>19222</v>
      </c>
      <c r="O58" s="600">
        <f>N58+1250</f>
        <v>20472</v>
      </c>
      <c r="P58" s="600">
        <f>20000+1250</f>
        <v>21250</v>
      </c>
    </row>
    <row r="59" spans="4:16" ht="16" thickBot="1">
      <c r="D59" s="561" t="s">
        <v>278</v>
      </c>
      <c r="E59" s="386"/>
      <c r="F59" s="421"/>
      <c r="G59" s="252"/>
      <c r="H59" s="252"/>
      <c r="I59" s="252"/>
      <c r="J59" s="252"/>
      <c r="K59" s="549">
        <f>'4.2 R&amp;D converter'!E35</f>
        <v>8930.1</v>
      </c>
      <c r="L59" s="548">
        <f>'4.2 R&amp;D converter'!$E$35*POWER(1+'4.2 R&amp;D converter'!$M$27,'5.5 Value of Control'!M14)</f>
        <v>9732.6896829017296</v>
      </c>
      <c r="M59" s="548">
        <f>'4.2 R&amp;D converter'!$E$35*POWER(1+'4.2 R&amp;D converter'!$M$27,'5.5 Value of Control'!N14)</f>
        <v>10607.411839023274</v>
      </c>
      <c r="N59" s="548">
        <f>'4.2 R&amp;D converter'!$E$35*POWER(1+'4.2 R&amp;D converter'!$M$27,'5.5 Value of Control'!O14)</f>
        <v>11560.749349721893</v>
      </c>
      <c r="O59" s="548">
        <f>'4.2 R&amp;D converter'!$E$35*POWER(1+'4.2 R&amp;D converter'!$M$27,'5.5 Value of Control'!P14)</f>
        <v>12599.767743099306</v>
      </c>
      <c r="P59" s="548">
        <f>'4.2 R&amp;D converter'!$E$35*POWER(1+'4.2 R&amp;D converter'!$M$27,'5.5 Value of Control'!Q14)</f>
        <v>13732.167559178577</v>
      </c>
    </row>
    <row r="60" spans="4:16" ht="16" thickBot="1">
      <c r="D60" s="545"/>
      <c r="E60" s="433"/>
      <c r="F60" s="433"/>
      <c r="G60" s="50"/>
      <c r="H60" s="50"/>
      <c r="I60" s="50"/>
      <c r="J60" s="50"/>
      <c r="K60" s="57"/>
      <c r="L60" s="60"/>
      <c r="M60" s="59"/>
      <c r="N60" s="59"/>
      <c r="O60" s="59"/>
      <c r="P60" s="546"/>
    </row>
    <row r="61" spans="4:16" ht="16" thickBot="1">
      <c r="D61" s="494" t="s">
        <v>59</v>
      </c>
      <c r="E61" s="386"/>
      <c r="F61" s="421"/>
      <c r="G61" s="416">
        <f>F22</f>
        <v>950.3039</v>
      </c>
      <c r="H61" s="416">
        <f>G22</f>
        <v>483.58660000000003</v>
      </c>
      <c r="I61" s="416">
        <f>H22</f>
        <v>1492.4888999999998</v>
      </c>
      <c r="J61" s="416">
        <f>I22</f>
        <v>1545.4268999999999</v>
      </c>
      <c r="K61" s="416">
        <f>J22</f>
        <v>2024.4357</v>
      </c>
      <c r="L61" s="600">
        <f>M22</f>
        <v>3651.1888456061183</v>
      </c>
      <c r="M61" s="600">
        <f>N22</f>
        <v>4255.699453816319</v>
      </c>
      <c r="N61" s="600">
        <f>O22</f>
        <v>4362.0377505167353</v>
      </c>
      <c r="O61" s="600">
        <f>P22</f>
        <v>4460.8104261465169</v>
      </c>
      <c r="P61" s="600">
        <f>Q22</f>
        <v>4550.0101174210295</v>
      </c>
    </row>
    <row r="62" spans="4:16" ht="16" thickBot="1">
      <c r="D62" s="545"/>
      <c r="E62" s="433"/>
      <c r="F62" s="433"/>
      <c r="G62" s="50"/>
      <c r="H62" s="50"/>
      <c r="I62" s="50"/>
      <c r="J62" s="50"/>
      <c r="K62" s="57"/>
      <c r="L62" s="58"/>
      <c r="M62" s="50"/>
      <c r="N62" s="50"/>
      <c r="O62" s="50"/>
      <c r="P62" s="362"/>
    </row>
    <row r="63" spans="4:16" ht="16" thickBot="1">
      <c r="D63" s="494" t="s">
        <v>280</v>
      </c>
      <c r="E63" s="386"/>
      <c r="F63" s="421"/>
      <c r="G63" s="252"/>
      <c r="H63" s="418">
        <f>H61/G58</f>
        <v>6.1926828018952496E-2</v>
      </c>
      <c r="I63" s="418">
        <f>I61/H58</f>
        <v>0.12120260678902062</v>
      </c>
      <c r="J63" s="418">
        <f>J61/I58</f>
        <v>8.074752599404357E-2</v>
      </c>
      <c r="K63" s="418">
        <f>K61/J58</f>
        <v>0.12481107891491985</v>
      </c>
      <c r="L63" s="418">
        <f>(L61+G48)/(K58+K59)</f>
        <v>0.20089504844319203</v>
      </c>
      <c r="M63" s="418">
        <f>(M61+H48)/(L58+L59)</f>
        <v>0.21430374174211156</v>
      </c>
      <c r="N63" s="418">
        <f>(N61+I48)/(M58+M59)</f>
        <v>0.20851965105536263</v>
      </c>
      <c r="O63" s="418">
        <f>(O61+J48)/(N58+N59)</f>
        <v>0.20354590908013689</v>
      </c>
      <c r="P63" s="418">
        <f>(P61+K48)/(O58+O59)</f>
        <v>0.19924651326710785</v>
      </c>
    </row>
    <row r="64" spans="4:16" ht="16" thickBot="1">
      <c r="D64" s="545"/>
      <c r="E64" s="433"/>
      <c r="F64" s="433"/>
      <c r="G64" s="50"/>
      <c r="H64" s="50"/>
      <c r="I64" s="50"/>
      <c r="J64" s="50"/>
      <c r="K64" s="57"/>
      <c r="L64" s="58"/>
      <c r="M64" s="50"/>
      <c r="N64" s="50"/>
      <c r="O64" s="50"/>
      <c r="P64" s="362"/>
    </row>
    <row r="65" spans="4:17" ht="16" thickBot="1">
      <c r="D65" s="561" t="s">
        <v>304</v>
      </c>
      <c r="E65" s="386"/>
      <c r="F65" s="386"/>
      <c r="G65" s="547">
        <f>'3.4 Cash Flow Statement'!E9</f>
        <v>-644</v>
      </c>
      <c r="H65" s="547">
        <f>'3.4 Cash Flow Statement'!F9</f>
        <v>-859</v>
      </c>
      <c r="I65" s="547">
        <f>'3.4 Cash Flow Statement'!G9</f>
        <v>-1678</v>
      </c>
      <c r="J65" s="547">
        <f>'3.4 Cash Flow Statement'!H9</f>
        <v>-774</v>
      </c>
      <c r="K65" s="547">
        <f>'3.4 Cash Flow Statement'!I9</f>
        <v>-1020</v>
      </c>
      <c r="L65" s="547">
        <f>'3.4 Cash Flow Statement'!J9</f>
        <v>-1289.4393450824002</v>
      </c>
      <c r="M65" s="547">
        <f>'3.4 Cash Flow Statement'!K9</f>
        <v>-1351.2034897118474</v>
      </c>
      <c r="N65" s="547">
        <f>'3.4 Cash Flow Statement'!L9</f>
        <v>-1415.9261368690447</v>
      </c>
      <c r="O65" s="547">
        <f>'3.4 Cash Flow Statement'!M9</f>
        <v>-1483.7489988250722</v>
      </c>
      <c r="P65" s="547">
        <f>'3.4 Cash Flow Statement'!N9</f>
        <v>-1554.8205758687932</v>
      </c>
    </row>
    <row r="66" spans="4:17" ht="16" thickBot="1">
      <c r="D66" s="561" t="s">
        <v>218</v>
      </c>
      <c r="E66" s="495"/>
      <c r="F66" s="495"/>
      <c r="G66" s="549">
        <f>'3.2 Balance Sheet'!E49</f>
        <v>892</v>
      </c>
      <c r="H66" s="549">
        <f>'3.2 Balance Sheet'!F49</f>
        <v>76</v>
      </c>
      <c r="I66" s="549">
        <f>'3.2 Balance Sheet'!G49</f>
        <v>1505</v>
      </c>
      <c r="J66" s="549">
        <f>'3.2 Balance Sheet'!H49</f>
        <v>-2088</v>
      </c>
      <c r="K66" s="549">
        <f>'3.2 Balance Sheet'!I49</f>
        <v>56</v>
      </c>
      <c r="L66" s="549">
        <f>M25</f>
        <v>1200.5491609279275</v>
      </c>
      <c r="M66" s="549">
        <f>N25</f>
        <v>146.98350480844783</v>
      </c>
      <c r="N66" s="549">
        <f>O25</f>
        <v>154.02401468877224</v>
      </c>
      <c r="O66" s="549">
        <f>P25</f>
        <v>161.40176499236486</v>
      </c>
      <c r="P66" s="549">
        <f>Q25</f>
        <v>169.13290953549949</v>
      </c>
    </row>
    <row r="67" spans="4:17" ht="16" thickBot="1">
      <c r="D67" s="545"/>
      <c r="E67" s="439"/>
      <c r="F67" s="439"/>
      <c r="G67" s="549"/>
      <c r="H67" s="549"/>
      <c r="I67" s="549"/>
      <c r="J67" s="549"/>
      <c r="K67" s="549"/>
      <c r="L67" s="549"/>
      <c r="M67" s="549"/>
      <c r="N67" s="549"/>
      <c r="O67" s="549"/>
      <c r="P67" s="549"/>
    </row>
    <row r="68" spans="4:17" ht="16" thickBot="1">
      <c r="D68" s="561" t="s">
        <v>244</v>
      </c>
      <c r="E68" s="495"/>
      <c r="F68" s="495"/>
      <c r="G68" s="549">
        <f>9339+'3.2 Balance Sheet'!E7+'3.2 Balance Sheet'!E9</f>
        <v>10847</v>
      </c>
      <c r="H68" s="549">
        <f>9339+'3.2 Balance Sheet'!F7+'3.2 Balance Sheet'!F9</f>
        <v>11150</v>
      </c>
      <c r="I68" s="549">
        <f>9339+'3.2 Balance Sheet'!G7+'3.2 Balance Sheet'!G9</f>
        <v>13844</v>
      </c>
      <c r="J68" s="549">
        <f>9339+'3.2 Balance Sheet'!H7+'3.2 Balance Sheet'!H9</f>
        <v>12893</v>
      </c>
      <c r="K68" s="549">
        <f>9339+'3.2 Balance Sheet'!I7+'3.2 Balance Sheet'!I9</f>
        <v>12298</v>
      </c>
      <c r="L68" s="549">
        <f>((L55-$G$55)*1704.2+11964)*1.01</f>
        <v>20689.849999999999</v>
      </c>
      <c r="M68" s="549">
        <f>(M55-$G$55)*1704.2+11964</f>
        <v>22189.200000000001</v>
      </c>
      <c r="N68" s="549">
        <f>(N55-$G$55)*1704.2+11964</f>
        <v>23893.4</v>
      </c>
      <c r="O68" s="549">
        <f>(O55-$G$55)*1704.2+11964</f>
        <v>25597.599999999999</v>
      </c>
      <c r="P68" s="549">
        <f>(P55-$G$55)*1704.2+11964</f>
        <v>27301.800000000003</v>
      </c>
    </row>
    <row r="69" spans="4:17" ht="16" thickBot="1">
      <c r="D69" s="561" t="s">
        <v>238</v>
      </c>
      <c r="E69" s="495"/>
      <c r="F69" s="495"/>
      <c r="G69" s="549">
        <v>-2320</v>
      </c>
      <c r="H69" s="549">
        <v>-4933</v>
      </c>
      <c r="I69" s="549">
        <v>-3403</v>
      </c>
      <c r="J69" s="549">
        <v>-3392</v>
      </c>
      <c r="K69" s="549">
        <v>-4005</v>
      </c>
      <c r="L69" s="549">
        <f>K69</f>
        <v>-4005</v>
      </c>
      <c r="M69" s="549">
        <f>L69</f>
        <v>-4005</v>
      </c>
      <c r="N69" s="549">
        <f>M69</f>
        <v>-4005</v>
      </c>
      <c r="O69" s="549">
        <f>N69</f>
        <v>-4005</v>
      </c>
      <c r="P69" s="549">
        <f>O69</f>
        <v>-4005</v>
      </c>
    </row>
    <row r="70" spans="4:17" ht="16" thickBot="1">
      <c r="D70" s="561" t="s">
        <v>245</v>
      </c>
      <c r="E70" s="495"/>
      <c r="F70" s="495"/>
      <c r="G70" s="549">
        <f t="shared" ref="G70:P70" si="1">SUM(G68,G69)</f>
        <v>8527</v>
      </c>
      <c r="H70" s="549">
        <f t="shared" si="1"/>
        <v>6217</v>
      </c>
      <c r="I70" s="549">
        <f t="shared" si="1"/>
        <v>10441</v>
      </c>
      <c r="J70" s="549">
        <f t="shared" si="1"/>
        <v>9501</v>
      </c>
      <c r="K70" s="549">
        <f t="shared" si="1"/>
        <v>8293</v>
      </c>
      <c r="L70" s="549">
        <f t="shared" si="1"/>
        <v>16684.849999999999</v>
      </c>
      <c r="M70" s="549">
        <f t="shared" si="1"/>
        <v>18184.2</v>
      </c>
      <c r="N70" s="549">
        <f t="shared" si="1"/>
        <v>19888.400000000001</v>
      </c>
      <c r="O70" s="549">
        <f t="shared" si="1"/>
        <v>21592.6</v>
      </c>
      <c r="P70" s="549">
        <f t="shared" si="1"/>
        <v>23296.800000000003</v>
      </c>
    </row>
    <row r="71" spans="4:17" ht="16" thickBot="1">
      <c r="D71" s="561" t="s">
        <v>239</v>
      </c>
      <c r="E71" s="495"/>
      <c r="F71" s="495"/>
      <c r="G71" s="549">
        <f>F18</f>
        <v>-487</v>
      </c>
      <c r="H71" s="549">
        <f>G18</f>
        <v>-518</v>
      </c>
      <c r="I71" s="549">
        <f>H18</f>
        <v>-1145</v>
      </c>
      <c r="J71" s="549">
        <f>I18</f>
        <v>-633</v>
      </c>
      <c r="K71" s="549">
        <f>J18</f>
        <v>-611</v>
      </c>
      <c r="L71" s="549">
        <f>M18</f>
        <v>-870.72788600317665</v>
      </c>
      <c r="M71" s="549">
        <f>N18</f>
        <v>-912.43575174272894</v>
      </c>
      <c r="N71" s="549">
        <f>O18</f>
        <v>-956.14142425120565</v>
      </c>
      <c r="O71" s="549">
        <f>P18</f>
        <v>-1001.9405984728385</v>
      </c>
      <c r="P71" s="549">
        <f>Q18</f>
        <v>-1049.9335531396875</v>
      </c>
    </row>
    <row r="72" spans="4:17" ht="16" thickBot="1">
      <c r="D72" s="494" t="s">
        <v>242</v>
      </c>
      <c r="E72" s="599"/>
      <c r="F72" s="599"/>
      <c r="G72" s="600">
        <f t="shared" ref="G72:P72" si="2">-G68/G71</f>
        <v>22.273100616016428</v>
      </c>
      <c r="H72" s="600">
        <f t="shared" si="2"/>
        <v>21.525096525096526</v>
      </c>
      <c r="I72" s="600">
        <f t="shared" si="2"/>
        <v>12.090829694323144</v>
      </c>
      <c r="J72" s="600">
        <f t="shared" si="2"/>
        <v>20.368088467614534</v>
      </c>
      <c r="K72" s="600">
        <f t="shared" si="2"/>
        <v>20.127659574468087</v>
      </c>
      <c r="L72" s="600">
        <f t="shared" si="2"/>
        <v>23.761556661485535</v>
      </c>
      <c r="M72" s="600">
        <f t="shared" si="2"/>
        <v>24.318643759430948</v>
      </c>
      <c r="N72" s="600">
        <f t="shared" si="2"/>
        <v>24.989399469552239</v>
      </c>
      <c r="O72" s="600">
        <f t="shared" si="2"/>
        <v>25.548021548399131</v>
      </c>
      <c r="P72" s="600">
        <f t="shared" si="2"/>
        <v>26.00335984916148</v>
      </c>
    </row>
    <row r="73" spans="4:17" ht="16" thickBot="1">
      <c r="D73" s="444"/>
      <c r="E73" s="440"/>
      <c r="F73" s="440"/>
      <c r="G73" s="61"/>
      <c r="H73" s="61"/>
      <c r="I73" s="61"/>
      <c r="J73" s="61"/>
      <c r="K73" s="62"/>
      <c r="L73" s="63"/>
      <c r="M73" s="61"/>
      <c r="N73" s="61"/>
      <c r="O73" s="61"/>
      <c r="P73" s="598"/>
    </row>
    <row r="74" spans="4:17" ht="16" thickBot="1">
      <c r="D74" s="561" t="s">
        <v>321</v>
      </c>
      <c r="E74" s="599"/>
      <c r="F74" s="560"/>
      <c r="G74" s="601">
        <v>1.7000000000000001E-2</v>
      </c>
      <c r="H74" s="601">
        <v>1.61E-2</v>
      </c>
      <c r="I74" s="601">
        <v>2.6800000000000001E-2</v>
      </c>
      <c r="J74" s="601">
        <v>3.39E-2</v>
      </c>
      <c r="K74" s="601">
        <v>1.55E-2</v>
      </c>
      <c r="L74" s="601">
        <v>2.3800000000000002E-2</v>
      </c>
      <c r="M74" s="601">
        <v>1.8800000000000001E-2</v>
      </c>
      <c r="N74" s="601">
        <v>3.2599999999999997E-2</v>
      </c>
      <c r="O74" s="601">
        <v>3.4200000000000001E-2</v>
      </c>
      <c r="P74" s="601">
        <v>2.5399999999999999E-2</v>
      </c>
      <c r="Q74" s="64"/>
    </row>
    <row r="75" spans="4:17" ht="16" thickBot="1">
      <c r="D75" s="545"/>
      <c r="E75" s="433"/>
      <c r="F75" s="433"/>
      <c r="G75" s="50"/>
      <c r="H75" s="50"/>
      <c r="I75" s="50"/>
      <c r="J75" s="50"/>
      <c r="K75" s="57"/>
      <c r="L75" s="58"/>
      <c r="M75" s="50"/>
      <c r="N75" s="50"/>
      <c r="O75" s="50"/>
      <c r="P75" s="362"/>
    </row>
    <row r="76" spans="4:17" ht="16" thickBot="1">
      <c r="D76" s="494" t="s">
        <v>240</v>
      </c>
      <c r="E76" s="386"/>
      <c r="F76" s="421"/>
      <c r="G76" s="252"/>
      <c r="H76" s="420">
        <f t="shared" ref="H76:P76" si="3">(H65+H66)/H61*H63</f>
        <v>-0.10026892047637342</v>
      </c>
      <c r="I76" s="420">
        <f t="shared" si="3"/>
        <v>-1.4049049861945752E-2</v>
      </c>
      <c r="J76" s="420">
        <f t="shared" si="3"/>
        <v>-0.1495375933956842</v>
      </c>
      <c r="K76" s="420">
        <f t="shared" si="3"/>
        <v>-5.9432799013563499E-2</v>
      </c>
      <c r="L76" s="420">
        <f t="shared" si="3"/>
        <v>-4.8908995417553114E-3</v>
      </c>
      <c r="M76" s="420">
        <f t="shared" si="3"/>
        <v>-6.0640759867100845E-2</v>
      </c>
      <c r="N76" s="420">
        <f t="shared" si="3"/>
        <v>-6.0323042860388115E-2</v>
      </c>
      <c r="O76" s="420">
        <f t="shared" si="3"/>
        <v>-6.0338446182882512E-2</v>
      </c>
      <c r="P76" s="420">
        <f t="shared" si="3"/>
        <v>-6.0679741114649563E-2</v>
      </c>
    </row>
    <row r="77" spans="4:17">
      <c r="D77" s="65" t="s">
        <v>322</v>
      </c>
      <c r="E77" s="50"/>
      <c r="F77" s="50"/>
      <c r="G77" s="50"/>
      <c r="H77" s="66"/>
      <c r="I77" s="66"/>
      <c r="J77" s="66"/>
      <c r="K77" s="66"/>
      <c r="L77" s="66"/>
      <c r="M77" s="66"/>
      <c r="N77" s="66"/>
      <c r="O77" s="66"/>
      <c r="P77" s="66"/>
    </row>
    <row r="78" spans="4:17">
      <c r="D78" s="65" t="s">
        <v>284</v>
      </c>
      <c r="L78" s="67"/>
    </row>
    <row r="79" spans="4:17">
      <c r="D79" s="68" t="s">
        <v>327</v>
      </c>
      <c r="L79" s="69"/>
    </row>
    <row r="82" spans="4:13" ht="16" thickBot="1"/>
    <row r="83" spans="4:13" ht="16" thickBot="1">
      <c r="D83" s="494" t="s">
        <v>219</v>
      </c>
      <c r="E83" s="387"/>
      <c r="F83" s="248"/>
      <c r="G83" s="240">
        <v>1997</v>
      </c>
      <c r="H83" s="240">
        <v>1998</v>
      </c>
      <c r="I83" s="240">
        <v>1999</v>
      </c>
      <c r="J83" s="240">
        <v>2000</v>
      </c>
      <c r="K83" s="240">
        <v>2001</v>
      </c>
      <c r="L83" s="203"/>
      <c r="M83" s="603" t="s">
        <v>222</v>
      </c>
    </row>
    <row r="84" spans="4:13" ht="16" thickBot="1">
      <c r="D84" s="261" t="s">
        <v>220</v>
      </c>
      <c r="E84" s="386"/>
      <c r="F84" s="421"/>
      <c r="G84" s="252">
        <v>1.25</v>
      </c>
      <c r="H84" s="252">
        <v>0.93</v>
      </c>
      <c r="I84" s="252">
        <v>1.1499999999999999</v>
      </c>
      <c r="J84" s="252">
        <v>1.17</v>
      </c>
      <c r="K84" s="252">
        <v>1.44</v>
      </c>
      <c r="L84" s="252"/>
      <c r="M84" s="604">
        <v>6.2E-2</v>
      </c>
    </row>
    <row r="85" spans="4:13" ht="16" thickBot="1">
      <c r="D85" s="261" t="s">
        <v>221</v>
      </c>
      <c r="E85" s="386"/>
      <c r="F85" s="421"/>
      <c r="G85" s="252">
        <f>LN(G84)</f>
        <v>0.22314355131420976</v>
      </c>
      <c r="H85" s="252">
        <f>LN(H84)</f>
        <v>-7.2570692834835374E-2</v>
      </c>
      <c r="I85" s="252">
        <f>LN(I84)</f>
        <v>0.13976194237515863</v>
      </c>
      <c r="J85" s="252">
        <f>LN(J84)</f>
        <v>0.15700374880966469</v>
      </c>
      <c r="K85" s="252">
        <f>LN(K84)</f>
        <v>0.36464311358790924</v>
      </c>
      <c r="L85" s="252"/>
      <c r="M85" s="420">
        <f>5.13%/5</f>
        <v>1.026E-2</v>
      </c>
    </row>
    <row r="89" spans="4:13">
      <c r="G89" s="69"/>
      <c r="M89" s="69"/>
    </row>
    <row r="90" spans="4:13">
      <c r="G90" s="69"/>
      <c r="M90" s="69"/>
    </row>
  </sheetData>
  <phoneticPr fontId="17" type="noConversion"/>
  <dataValidations count="1">
    <dataValidation type="list" allowBlank="1" showInputMessage="1" showErrorMessage="1" sqref="D21" xr:uid="{00000000-0002-0000-1500-000000000000}">
      <formula1>$D$38:$D$39</formula1>
    </dataValidation>
  </dataValidations>
  <pageMargins left="0.7" right="0.7" top="0.75" bottom="0.75" header="0.3" footer="0.3"/>
  <pageSetup paperSize="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24</vt:i4>
      </vt:variant>
    </vt:vector>
  </HeadingPairs>
  <TitlesOfParts>
    <vt:vector size="24" baseType="lpstr">
      <vt:lpstr>Overview</vt:lpstr>
      <vt:lpstr>1. DATA&gt;&gt;&gt;&gt;</vt:lpstr>
      <vt:lpstr>1.1 Balance Sheet Raw</vt:lpstr>
      <vt:lpstr>1.2 Income Statement Raw</vt:lpstr>
      <vt:lpstr>1.3 Cash Flow - Standardized</vt:lpstr>
      <vt:lpstr>1.4 CAPEX &amp; Depreciation</vt:lpstr>
      <vt:lpstr>1.5 Stock Value</vt:lpstr>
      <vt:lpstr>2. WACC &gt;&gt;&gt;&gt;</vt:lpstr>
      <vt:lpstr>2.1 WACC</vt:lpstr>
      <vt:lpstr>3. FINANCIALS &gt;&gt;&gt;&gt;</vt:lpstr>
      <vt:lpstr>3.1 Assumption</vt:lpstr>
      <vt:lpstr>3.2 Balance Sheet</vt:lpstr>
      <vt:lpstr>3.3 Income Statement</vt:lpstr>
      <vt:lpstr>3.4 Cash Flow Statement</vt:lpstr>
      <vt:lpstr>3.5 Value of Control Inputs</vt:lpstr>
      <vt:lpstr>4. ADJUSTMENTS &gt;&gt;&gt;&gt;</vt:lpstr>
      <vt:lpstr>4.1 Operating lease converter</vt:lpstr>
      <vt:lpstr>4.2 R&amp;D converter</vt:lpstr>
      <vt:lpstr>5. VALUATION &gt;&gt;&gt;&gt;</vt:lpstr>
      <vt:lpstr>5.1 Free Cash Flow</vt:lpstr>
      <vt:lpstr>5.2 Sensitivity Analysis</vt:lpstr>
      <vt:lpstr>5.3 Multiples</vt:lpstr>
      <vt:lpstr>5.4 Opti K structure</vt:lpstr>
      <vt:lpstr>5.5 Value of 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Kalu</dc:creator>
  <cp:lastModifiedBy>Microsoft Office User</cp:lastModifiedBy>
  <dcterms:created xsi:type="dcterms:W3CDTF">2017-03-23T10:47:50Z</dcterms:created>
  <dcterms:modified xsi:type="dcterms:W3CDTF">2019-05-07T13:38:28Z</dcterms:modified>
</cp:coreProperties>
</file>