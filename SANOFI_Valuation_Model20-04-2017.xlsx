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drawings/drawing3.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1.xml" ContentType="application/vnd.openxmlformats-officedocument.spreadsheetml.comments+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830"/>
  <workbookPr defaultThemeVersion="166925"/>
  <mc:AlternateContent xmlns:mc="http://schemas.openxmlformats.org/markup-compatibility/2006">
    <mc:Choice Requires="x15">
      <x15ac:absPath xmlns:x15ac="http://schemas.microsoft.com/office/spreadsheetml/2010/11/ac" url="C:\Users\Luka T\Documents\EBS\M&amp;A\Valuation Models\20042017\"/>
    </mc:Choice>
  </mc:AlternateContent>
  <bookViews>
    <workbookView xWindow="0" yWindow="0" windowWidth="20490" windowHeight="7230" tabRatio="879" firstSheet="9" activeTab="16"/>
  </bookViews>
  <sheets>
    <sheet name="DATA &gt;&gt;&gt;&gt;" sheetId="28" r:id="rId1"/>
    <sheet name="Capital structure" sheetId="1" r:id="rId2"/>
    <sheet name="cost of equity(use Fama French)" sheetId="19" r:id="rId3"/>
    <sheet name="LR1" sheetId="20" r:id="rId4"/>
    <sheet name="Raw material" sheetId="21" r:id="rId5"/>
    <sheet name="use 10-year bond" sheetId="22" r:id="rId6"/>
    <sheet name="France 10-Year Bond Yield" sheetId="23" r:id="rId7"/>
    <sheet name="LR2" sheetId="24" r:id="rId8"/>
    <sheet name="cost of equity(use French bond)" sheetId="25" r:id="rId9"/>
    <sheet name="WACC &gt;&gt;&gt;&gt;" sheetId="29" r:id="rId10"/>
    <sheet name="Cost of Equity" sheetId="26" r:id="rId11"/>
    <sheet name="Cost of Debt" sheetId="3" r:id="rId12"/>
    <sheet name="WACC" sheetId="18" r:id="rId13"/>
    <sheet name="FINANCIALS &gt;&gt;&gt;&gt;" sheetId="31" r:id="rId14"/>
    <sheet name="Assumption" sheetId="17" r:id="rId15"/>
    <sheet name="Balance Sheet" sheetId="12" r:id="rId16"/>
    <sheet name="Income Statement" sheetId="11" r:id="rId17"/>
    <sheet name="Cash Flow Statement" sheetId="13" r:id="rId18"/>
    <sheet name="ADJUSTMENTS &gt;&gt;&gt;&gt;" sheetId="32" r:id="rId19"/>
    <sheet name="Operating lease converter" sheetId="15" r:id="rId20"/>
    <sheet name="R&amp;D converter" sheetId="16" r:id="rId21"/>
    <sheet name="Free Cash Flow" sheetId="14" r:id="rId22"/>
    <sheet name="Sensitivity Analysis" sheetId="33" r:id="rId23"/>
    <sheet name="Multiples" sheetId="30" r:id="rId24"/>
    <sheet name="Optimum K structure" sheetId="34" r:id="rId25"/>
  </sheets>
  <externalReferences>
    <externalReference r:id="rId26"/>
    <externalReference r:id="rId27"/>
    <externalReference r:id="rId28"/>
    <externalReference r:id="rId29"/>
  </externalReferences>
  <definedNames>
    <definedName name="acq">[1]Assumptions!$H$8</definedName>
    <definedName name="acq_fye">[1]Assumptions!$H$32</definedName>
    <definedName name="acq_price">[1]Assumptions!$J$11</definedName>
    <definedName name="assume">[1]Assumptions!$T$11</definedName>
    <definedName name="base_year">[2]Control!$D$11</definedName>
    <definedName name="case">[1]Assumptions!$T$7</definedName>
    <definedName name="cash_rate">[1]Assumptions!$T$20</definedName>
    <definedName name="circ">[2]Control!$D$13</definedName>
    <definedName name="comments" localSheetId="6">'France 10-Year Bond Yield'!$A$211</definedName>
    <definedName name="curr">[2]Control!$D$9</definedName>
    <definedName name="debt_rate">[1]Assumptions!$T$16</definedName>
    <definedName name="eps">[1]Assumptions!$T$41</definedName>
    <definedName name="fees">[1]Assumptions!$T$24</definedName>
    <definedName name="libor">[3]LBO!$AF$34</definedName>
    <definedName name="min_cash">[1]Assumptions!$T$21</definedName>
    <definedName name="pct_cash">[1]Assumptions!$T$8</definedName>
    <definedName name="project">[2]Control!$D$5</definedName>
    <definedName name="sec_338">[1]Assumptions!$T$13</definedName>
    <definedName name="synergies">[1]Assumptions!$T$28</definedName>
    <definedName name="tax_rate">[1]Assumptions!$T$39</definedName>
    <definedName name="tgt">[1]Assumptions!$L$8</definedName>
    <definedName name="tgt_price">[1]Assumptions!$N$11</definedName>
    <definedName name="type">[1]Assumptions!$T$12</definedName>
    <definedName name="year">[1]Assumptions!$T$40</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3" i="33" l="1"/>
  <c r="J22" i="33"/>
  <c r="H21" i="33"/>
  <c r="H23" i="33"/>
  <c r="H22" i="33"/>
  <c r="H20" i="33"/>
  <c r="J21" i="33"/>
  <c r="J20" i="33"/>
  <c r="I11" i="17"/>
  <c r="J11" i="17"/>
  <c r="I7" i="11"/>
  <c r="J7" i="11"/>
  <c r="K7" i="11"/>
  <c r="L7" i="11"/>
  <c r="M7" i="11"/>
  <c r="I8" i="11"/>
  <c r="J8" i="11"/>
  <c r="K8" i="11"/>
  <c r="L8" i="11"/>
  <c r="M8" i="11"/>
  <c r="M9" i="11"/>
  <c r="M10" i="11"/>
  <c r="M11" i="11"/>
  <c r="M12" i="11"/>
  <c r="I7" i="13"/>
  <c r="J7" i="13"/>
  <c r="K7" i="13"/>
  <c r="L7" i="13"/>
  <c r="M7" i="13"/>
  <c r="M15" i="11"/>
  <c r="M16" i="11"/>
  <c r="L11" i="11"/>
  <c r="I15" i="16"/>
  <c r="L15" i="16"/>
  <c r="K11" i="11"/>
  <c r="I16" i="16"/>
  <c r="L16" i="16"/>
  <c r="J11" i="11"/>
  <c r="I17" i="16"/>
  <c r="L17" i="16"/>
  <c r="I11" i="11"/>
  <c r="I18" i="16"/>
  <c r="L18" i="16"/>
  <c r="L25" i="16"/>
  <c r="L26" i="16"/>
  <c r="I35" i="14"/>
  <c r="I36" i="14"/>
  <c r="O12" i="14"/>
  <c r="O15" i="14"/>
  <c r="O11" i="14"/>
  <c r="E40" i="14"/>
  <c r="F40" i="14"/>
  <c r="G40" i="14"/>
  <c r="H40" i="14"/>
  <c r="I40" i="14"/>
  <c r="O17" i="14"/>
  <c r="M47" i="12"/>
  <c r="L47" i="12"/>
  <c r="M49" i="12"/>
  <c r="O18" i="14"/>
  <c r="M11" i="13"/>
  <c r="H44" i="14"/>
  <c r="O19" i="14"/>
  <c r="O21" i="14"/>
  <c r="O23" i="14"/>
  <c r="E18" i="34"/>
  <c r="F36" i="34" s="1"/>
  <c r="F41" i="34" s="1"/>
  <c r="F51" i="34" s="1"/>
  <c r="E6" i="34"/>
  <c r="E7" i="34" s="1"/>
  <c r="K17" i="34"/>
  <c r="E16" i="34"/>
  <c r="K40" i="34" s="1"/>
  <c r="K43" i="34" s="1"/>
  <c r="K44" i="34" s="1"/>
  <c r="K36" i="34"/>
  <c r="K41" i="34" s="1"/>
  <c r="K51" i="34" s="1"/>
  <c r="K50" i="34"/>
  <c r="J50" i="34"/>
  <c r="I50" i="34"/>
  <c r="H49" i="34"/>
  <c r="H36" i="34"/>
  <c r="H41" i="34" s="1"/>
  <c r="H51" i="34" s="1"/>
  <c r="H50" i="34"/>
  <c r="G50" i="34"/>
  <c r="G40" i="34"/>
  <c r="F50" i="34"/>
  <c r="E49" i="34"/>
  <c r="E50" i="34"/>
  <c r="D50" i="34"/>
  <c r="D40" i="34"/>
  <c r="C50" i="34"/>
  <c r="C51" i="34"/>
  <c r="C46" i="34"/>
  <c r="E5" i="34"/>
  <c r="C31" i="34"/>
  <c r="C30" i="34"/>
  <c r="C29" i="34"/>
  <c r="C27" i="34"/>
  <c r="C26" i="34"/>
  <c r="C25" i="34"/>
  <c r="C24" i="34"/>
  <c r="C23" i="34"/>
  <c r="C22" i="34"/>
  <c r="C45" i="34"/>
  <c r="C47" i="34"/>
  <c r="C40" i="34"/>
  <c r="E13" i="34"/>
  <c r="G39" i="34" s="1"/>
  <c r="E39" i="34"/>
  <c r="E12" i="34"/>
  <c r="J38" i="34" s="1"/>
  <c r="I38" i="34"/>
  <c r="H38" i="34"/>
  <c r="L35" i="34"/>
  <c r="K35" i="34"/>
  <c r="J35" i="34"/>
  <c r="I35" i="34"/>
  <c r="H35" i="34"/>
  <c r="G35" i="34"/>
  <c r="F35" i="34"/>
  <c r="E35" i="34"/>
  <c r="D35" i="34"/>
  <c r="C35" i="34"/>
  <c r="C28" i="34"/>
  <c r="K16" i="34"/>
  <c r="E14" i="34"/>
  <c r="D14" i="33"/>
  <c r="D15" i="33"/>
  <c r="D16" i="33"/>
  <c r="D17" i="33"/>
  <c r="G12" i="33"/>
  <c r="H12" i="33"/>
  <c r="I12" i="33"/>
  <c r="I17" i="33"/>
  <c r="H17" i="33"/>
  <c r="G17" i="33"/>
  <c r="F12" i="33"/>
  <c r="F17" i="33"/>
  <c r="E12" i="33"/>
  <c r="E17" i="33"/>
  <c r="I16" i="33"/>
  <c r="H16" i="33"/>
  <c r="G16" i="33"/>
  <c r="F16" i="33"/>
  <c r="E16" i="33"/>
  <c r="I15" i="33"/>
  <c r="H15" i="33"/>
  <c r="G15" i="33"/>
  <c r="F15" i="33"/>
  <c r="E15" i="33"/>
  <c r="I14" i="33"/>
  <c r="H14" i="33"/>
  <c r="G14" i="33"/>
  <c r="F14" i="33"/>
  <c r="E14" i="33"/>
  <c r="D13" i="33"/>
  <c r="I13" i="33"/>
  <c r="H13" i="33"/>
  <c r="G13" i="33"/>
  <c r="F13" i="33"/>
  <c r="E13" i="33"/>
  <c r="D12" i="33"/>
  <c r="H11" i="17"/>
  <c r="H32" i="17"/>
  <c r="I32" i="17"/>
  <c r="J32" i="17"/>
  <c r="E12" i="17"/>
  <c r="E33" i="17"/>
  <c r="F12" i="17"/>
  <c r="F33" i="17"/>
  <c r="G12" i="17"/>
  <c r="G33" i="17"/>
  <c r="H12" i="17"/>
  <c r="H33" i="17"/>
  <c r="I33" i="17"/>
  <c r="J33" i="17"/>
  <c r="K33" i="17"/>
  <c r="L33" i="17"/>
  <c r="M33" i="17"/>
  <c r="E15" i="17"/>
  <c r="E36" i="17"/>
  <c r="F15" i="17"/>
  <c r="F36" i="17"/>
  <c r="G15" i="17"/>
  <c r="G36" i="17"/>
  <c r="H15" i="17"/>
  <c r="H36" i="17"/>
  <c r="I36" i="17"/>
  <c r="J36" i="17"/>
  <c r="K36" i="17"/>
  <c r="L36" i="17"/>
  <c r="M36" i="17"/>
  <c r="D37" i="14"/>
  <c r="I37" i="14"/>
  <c r="D40" i="14"/>
  <c r="D41" i="14"/>
  <c r="I41" i="14"/>
  <c r="D45" i="14"/>
  <c r="H45" i="14"/>
  <c r="N57" i="14"/>
  <c r="N58" i="14"/>
  <c r="N53" i="14"/>
  <c r="I14" i="16"/>
  <c r="K14" i="16"/>
  <c r="K15" i="16"/>
  <c r="K16" i="16"/>
  <c r="K17" i="16"/>
  <c r="K18" i="16"/>
  <c r="K25" i="16"/>
  <c r="L27" i="16"/>
  <c r="M51" i="14"/>
  <c r="M50" i="14"/>
  <c r="N55" i="14"/>
  <c r="N68" i="14"/>
  <c r="N63" i="14"/>
  <c r="N64" i="14"/>
  <c r="O25" i="14"/>
  <c r="E35" i="14"/>
  <c r="E36" i="14"/>
  <c r="E37" i="14"/>
  <c r="I9" i="11"/>
  <c r="I10" i="11"/>
  <c r="I12" i="11"/>
  <c r="I15" i="11"/>
  <c r="I16" i="11"/>
  <c r="K12" i="14"/>
  <c r="K15" i="14"/>
  <c r="K11" i="14"/>
  <c r="E41" i="14"/>
  <c r="K17" i="14"/>
  <c r="I47" i="12"/>
  <c r="I49" i="12"/>
  <c r="K18" i="14"/>
  <c r="D44" i="14"/>
  <c r="I11" i="13"/>
  <c r="K19" i="14"/>
  <c r="K21" i="14"/>
  <c r="K23" i="14"/>
  <c r="F35" i="14"/>
  <c r="F36" i="14"/>
  <c r="F37" i="14"/>
  <c r="J9" i="11"/>
  <c r="J10" i="11"/>
  <c r="J12" i="11"/>
  <c r="J15" i="11"/>
  <c r="J16" i="11"/>
  <c r="L12" i="14"/>
  <c r="L15" i="14"/>
  <c r="L11" i="14"/>
  <c r="F41" i="14"/>
  <c r="L17" i="14"/>
  <c r="J47" i="12"/>
  <c r="J49" i="12"/>
  <c r="L18" i="14"/>
  <c r="E44" i="14"/>
  <c r="E45" i="14"/>
  <c r="J11" i="13"/>
  <c r="L19" i="14"/>
  <c r="L21" i="14"/>
  <c r="L23" i="14"/>
  <c r="G35" i="14"/>
  <c r="G36" i="14"/>
  <c r="G37" i="14"/>
  <c r="K9" i="11"/>
  <c r="K10" i="11"/>
  <c r="K12" i="11"/>
  <c r="K15" i="11"/>
  <c r="K16" i="11"/>
  <c r="M12" i="14"/>
  <c r="M15" i="14"/>
  <c r="M11" i="14"/>
  <c r="G41" i="14"/>
  <c r="M17" i="14"/>
  <c r="K47" i="12"/>
  <c r="K49" i="12"/>
  <c r="M18" i="14"/>
  <c r="F44" i="14"/>
  <c r="F45" i="14"/>
  <c r="K11" i="13"/>
  <c r="M19" i="14"/>
  <c r="M21" i="14"/>
  <c r="M23" i="14"/>
  <c r="H35" i="14"/>
  <c r="H36" i="14"/>
  <c r="H37" i="14"/>
  <c r="L9" i="11"/>
  <c r="L10" i="11"/>
  <c r="L12" i="11"/>
  <c r="L15" i="11"/>
  <c r="L16" i="11"/>
  <c r="N12" i="14"/>
  <c r="N15" i="14"/>
  <c r="N11" i="14"/>
  <c r="H41" i="14"/>
  <c r="N17" i="14"/>
  <c r="L49" i="12"/>
  <c r="N18" i="14"/>
  <c r="G44" i="14"/>
  <c r="G45" i="14"/>
  <c r="L11" i="13"/>
  <c r="N19" i="14"/>
  <c r="N21" i="14"/>
  <c r="N23" i="14"/>
  <c r="O24" i="14"/>
  <c r="N60" i="14"/>
  <c r="O26" i="14"/>
  <c r="O27" i="14"/>
  <c r="D5" i="18"/>
  <c r="D6" i="18"/>
  <c r="E5" i="18"/>
  <c r="D15" i="17"/>
  <c r="I15" i="17"/>
  <c r="J15" i="17"/>
  <c r="K15" i="17"/>
  <c r="G11" i="17"/>
  <c r="L15" i="17"/>
  <c r="H11" i="14"/>
  <c r="H17" i="14"/>
  <c r="I17" i="14"/>
  <c r="J17" i="14"/>
  <c r="I12" i="17"/>
  <c r="J12" i="17"/>
  <c r="D13" i="17"/>
  <c r="E13" i="17"/>
  <c r="F13" i="17"/>
  <c r="G13" i="17"/>
  <c r="H13" i="17"/>
  <c r="J13" i="17"/>
  <c r="J14" i="17"/>
  <c r="E22" i="17"/>
  <c r="F22" i="17"/>
  <c r="G22" i="17"/>
  <c r="H22" i="17"/>
  <c r="I22" i="17"/>
  <c r="J22" i="17"/>
  <c r="K12" i="17"/>
  <c r="K13" i="17"/>
  <c r="K14" i="17"/>
  <c r="K22" i="17"/>
  <c r="L12" i="17"/>
  <c r="L13" i="17"/>
  <c r="L14" i="17"/>
  <c r="L22" i="17"/>
  <c r="M15" i="17"/>
  <c r="M12" i="17"/>
  <c r="M13" i="17"/>
  <c r="M14" i="17"/>
  <c r="M22" i="17"/>
  <c r="I13" i="17"/>
  <c r="I14" i="17"/>
  <c r="H9" i="14"/>
  <c r="H12" i="14"/>
  <c r="H14" i="14"/>
  <c r="H15" i="14"/>
  <c r="D35" i="14"/>
  <c r="D40" i="16"/>
  <c r="D36" i="14"/>
  <c r="I12" i="14"/>
  <c r="I15" i="14"/>
  <c r="J15" i="14"/>
  <c r="J12" i="14"/>
  <c r="J9" i="14"/>
  <c r="E9" i="14"/>
  <c r="E11" i="14"/>
  <c r="E12" i="14"/>
  <c r="E14" i="14"/>
  <c r="E15" i="14"/>
  <c r="F9" i="14"/>
  <c r="F11" i="14"/>
  <c r="F12" i="14"/>
  <c r="F14" i="14"/>
  <c r="F15" i="14"/>
  <c r="G9" i="14"/>
  <c r="G11" i="14"/>
  <c r="G12" i="14"/>
  <c r="G14" i="14"/>
  <c r="G15" i="14"/>
  <c r="D9" i="14"/>
  <c r="D11" i="14"/>
  <c r="D12" i="14"/>
  <c r="D14" i="14"/>
  <c r="D15" i="14"/>
  <c r="E17" i="14"/>
  <c r="F17" i="14"/>
  <c r="G17" i="14"/>
  <c r="D17" i="14"/>
  <c r="K9" i="14"/>
  <c r="L9" i="14"/>
  <c r="M9" i="14"/>
  <c r="N9" i="14"/>
  <c r="O9" i="14"/>
  <c r="J35" i="17"/>
  <c r="K35" i="17"/>
  <c r="L35" i="17"/>
  <c r="M35" i="17"/>
  <c r="I35" i="17"/>
  <c r="D39" i="16"/>
  <c r="J51" i="14"/>
  <c r="K53" i="14"/>
  <c r="K55" i="14"/>
  <c r="K51" i="14"/>
  <c r="L53" i="14"/>
  <c r="K50" i="14"/>
  <c r="L55" i="14"/>
  <c r="L51" i="14"/>
  <c r="M53" i="14"/>
  <c r="M55" i="14"/>
  <c r="J53" i="14"/>
  <c r="I48" i="14"/>
  <c r="I49" i="14"/>
  <c r="I50" i="14"/>
  <c r="I51" i="14"/>
  <c r="J55" i="14"/>
  <c r="N51" i="14"/>
  <c r="D11" i="18"/>
  <c r="G36" i="26"/>
  <c r="K44" i="3"/>
  <c r="F47" i="3"/>
  <c r="D18" i="15"/>
  <c r="D4" i="18"/>
  <c r="G37" i="26"/>
  <c r="G34" i="26"/>
  <c r="B35" i="26"/>
  <c r="B37" i="26"/>
  <c r="D8" i="18"/>
  <c r="H19" i="17"/>
  <c r="E19" i="17"/>
  <c r="D19" i="17"/>
  <c r="F19" i="17"/>
  <c r="I19" i="17"/>
  <c r="G19" i="17"/>
  <c r="J19" i="17"/>
  <c r="K19" i="17"/>
  <c r="L19" i="17"/>
  <c r="M19" i="17"/>
  <c r="D24" i="17"/>
  <c r="E24" i="17"/>
  <c r="F24" i="17"/>
  <c r="G24" i="17"/>
  <c r="H24" i="17"/>
  <c r="M24" i="17"/>
  <c r="H25" i="17"/>
  <c r="F25" i="17"/>
  <c r="E25" i="17"/>
  <c r="D25" i="17"/>
  <c r="M25" i="17"/>
  <c r="M26" i="17"/>
  <c r="F23" i="3"/>
  <c r="F22" i="3"/>
  <c r="D23" i="3"/>
  <c r="D22" i="3"/>
  <c r="H5" i="3"/>
  <c r="J5" i="3"/>
  <c r="H6" i="3"/>
  <c r="J6" i="3"/>
  <c r="H7" i="3"/>
  <c r="J7" i="3"/>
  <c r="H8" i="3"/>
  <c r="J8" i="3"/>
  <c r="H9" i="3"/>
  <c r="J9" i="3"/>
  <c r="H10" i="3"/>
  <c r="J10" i="3"/>
  <c r="H11" i="3"/>
  <c r="J11" i="3"/>
  <c r="H12" i="3"/>
  <c r="J12" i="3"/>
  <c r="H22" i="3"/>
  <c r="J22" i="3"/>
  <c r="H23" i="3"/>
  <c r="J23" i="3"/>
  <c r="J25" i="3"/>
  <c r="D9" i="18"/>
  <c r="D47" i="3"/>
  <c r="F49" i="3"/>
  <c r="D49" i="3"/>
  <c r="K45" i="3"/>
  <c r="D15" i="30"/>
  <c r="D29" i="30"/>
  <c r="E48" i="30"/>
  <c r="E15" i="30"/>
  <c r="E29" i="30"/>
  <c r="D48" i="30"/>
  <c r="F15" i="30"/>
  <c r="F29" i="30"/>
  <c r="C48" i="30"/>
  <c r="D14" i="30"/>
  <c r="D28" i="30"/>
  <c r="E47" i="30"/>
  <c r="E14" i="30"/>
  <c r="E28" i="30"/>
  <c r="D47" i="30"/>
  <c r="F14" i="30"/>
  <c r="F28" i="30"/>
  <c r="C47" i="30"/>
  <c r="F18" i="30"/>
  <c r="F32" i="30"/>
  <c r="F39" i="30"/>
  <c r="E18" i="30"/>
  <c r="E32" i="30"/>
  <c r="E39" i="30"/>
  <c r="D18" i="30"/>
  <c r="D32" i="30"/>
  <c r="D39" i="30"/>
  <c r="F16" i="30"/>
  <c r="F30" i="30"/>
  <c r="F38" i="30"/>
  <c r="E16" i="30"/>
  <c r="E30" i="30"/>
  <c r="E38" i="30"/>
  <c r="D16" i="30"/>
  <c r="D30" i="30"/>
  <c r="D38" i="30"/>
  <c r="F17" i="30"/>
  <c r="F31" i="30"/>
  <c r="F37" i="30"/>
  <c r="E17" i="30"/>
  <c r="E31" i="30"/>
  <c r="E37" i="30"/>
  <c r="D17" i="30"/>
  <c r="D31" i="30"/>
  <c r="D37" i="30"/>
  <c r="F36" i="30"/>
  <c r="E36" i="30"/>
  <c r="D36" i="30"/>
  <c r="F35" i="30"/>
  <c r="E35" i="30"/>
  <c r="D35" i="30"/>
  <c r="F20" i="30"/>
  <c r="F34" i="30"/>
  <c r="E20" i="30"/>
  <c r="E34" i="30"/>
  <c r="D20" i="30"/>
  <c r="D34" i="30"/>
  <c r="F19" i="30"/>
  <c r="F33" i="30"/>
  <c r="E19" i="30"/>
  <c r="E33" i="30"/>
  <c r="D19" i="30"/>
  <c r="D33" i="30"/>
  <c r="F25" i="30"/>
  <c r="E25" i="30"/>
  <c r="D25" i="30"/>
  <c r="F24" i="30"/>
  <c r="E24" i="30"/>
  <c r="D24" i="30"/>
  <c r="F23" i="30"/>
  <c r="E23" i="30"/>
  <c r="D23" i="30"/>
  <c r="F22" i="30"/>
  <c r="E22" i="30"/>
  <c r="D22" i="30"/>
  <c r="F21" i="30"/>
  <c r="E21" i="30"/>
  <c r="D21" i="30"/>
  <c r="M11" i="30"/>
  <c r="I11" i="30"/>
  <c r="M10" i="30"/>
  <c r="L10" i="30"/>
  <c r="K10" i="30"/>
  <c r="J10" i="30"/>
  <c r="I10" i="30"/>
  <c r="M9" i="30"/>
  <c r="L9" i="30"/>
  <c r="K9" i="30"/>
  <c r="J9" i="30"/>
  <c r="I9" i="30"/>
  <c r="M8" i="30"/>
  <c r="L8" i="30"/>
  <c r="K8" i="30"/>
  <c r="J8" i="30"/>
  <c r="I8" i="30"/>
  <c r="F12" i="3"/>
  <c r="F15" i="3"/>
  <c r="H15" i="3"/>
  <c r="J15" i="3"/>
  <c r="F5" i="3"/>
  <c r="D17" i="3"/>
  <c r="C14" i="15"/>
  <c r="C24" i="15"/>
  <c r="C25" i="15"/>
  <c r="C26" i="15"/>
  <c r="C27" i="15"/>
  <c r="C28" i="15"/>
  <c r="C29" i="15"/>
  <c r="C30" i="15"/>
  <c r="F33" i="15"/>
  <c r="L24" i="17"/>
  <c r="L26" i="17"/>
  <c r="M57" i="14"/>
  <c r="F34" i="15"/>
  <c r="F35" i="15"/>
  <c r="H7" i="13"/>
  <c r="E7" i="13"/>
  <c r="D7" i="13"/>
  <c r="F7" i="13"/>
  <c r="G7" i="13"/>
  <c r="A25" i="16"/>
  <c r="B25" i="16"/>
  <c r="E25" i="16"/>
  <c r="A12" i="16"/>
  <c r="A26" i="16"/>
  <c r="B26" i="16"/>
  <c r="E26" i="16"/>
  <c r="A13" i="16"/>
  <c r="A27" i="16"/>
  <c r="B27" i="16"/>
  <c r="E27" i="16"/>
  <c r="A14" i="16"/>
  <c r="A28" i="16"/>
  <c r="B28" i="16"/>
  <c r="E28" i="16"/>
  <c r="A15" i="16"/>
  <c r="A29" i="16"/>
  <c r="B29" i="16"/>
  <c r="E29" i="16"/>
  <c r="A16" i="16"/>
  <c r="A30" i="16"/>
  <c r="B30" i="16"/>
  <c r="E30" i="16"/>
  <c r="A17" i="16"/>
  <c r="A31" i="16"/>
  <c r="B31" i="16"/>
  <c r="E31" i="16"/>
  <c r="A18" i="16"/>
  <c r="A32" i="16"/>
  <c r="B32" i="16"/>
  <c r="E32" i="16"/>
  <c r="A19" i="16"/>
  <c r="A33" i="16"/>
  <c r="B33" i="16"/>
  <c r="E33" i="16"/>
  <c r="A20" i="16"/>
  <c r="A34" i="16"/>
  <c r="B34" i="16"/>
  <c r="E34" i="16"/>
  <c r="E35" i="16"/>
  <c r="D37" i="16"/>
  <c r="H15" i="16"/>
  <c r="H16" i="16"/>
  <c r="H17" i="16"/>
  <c r="H18" i="16"/>
  <c r="H19" i="16"/>
  <c r="F7" i="16"/>
  <c r="I19" i="16"/>
  <c r="L19" i="16"/>
  <c r="H20" i="16"/>
  <c r="I20" i="16"/>
  <c r="L20" i="16"/>
  <c r="H21" i="16"/>
  <c r="I21" i="16"/>
  <c r="L21" i="16"/>
  <c r="H22" i="16"/>
  <c r="I22" i="16"/>
  <c r="L22" i="16"/>
  <c r="H23" i="16"/>
  <c r="I23" i="16"/>
  <c r="L23" i="16"/>
  <c r="H24" i="16"/>
  <c r="I24" i="16"/>
  <c r="L24" i="16"/>
  <c r="B24" i="15"/>
  <c r="A24" i="15"/>
  <c r="B25" i="15"/>
  <c r="A25" i="15"/>
  <c r="B26" i="15"/>
  <c r="A26" i="15"/>
  <c r="B27" i="15"/>
  <c r="A27" i="15"/>
  <c r="B28" i="15"/>
  <c r="A28" i="15"/>
  <c r="D20" i="15"/>
  <c r="B29" i="15"/>
  <c r="H11" i="12"/>
  <c r="H43" i="12"/>
  <c r="H44" i="12"/>
  <c r="H26" i="12"/>
  <c r="H45" i="12"/>
  <c r="H46" i="12"/>
  <c r="H47" i="12"/>
  <c r="E11" i="12"/>
  <c r="E43" i="12"/>
  <c r="E44" i="12"/>
  <c r="E26" i="12"/>
  <c r="E45" i="12"/>
  <c r="E46" i="12"/>
  <c r="E47" i="12"/>
  <c r="D11" i="12"/>
  <c r="D43" i="12"/>
  <c r="D44" i="12"/>
  <c r="D26" i="12"/>
  <c r="D45" i="12"/>
  <c r="D46" i="12"/>
  <c r="D47" i="12"/>
  <c r="F11" i="12"/>
  <c r="F43" i="12"/>
  <c r="F44" i="12"/>
  <c r="F26" i="12"/>
  <c r="F45" i="12"/>
  <c r="F46" i="12"/>
  <c r="F47" i="12"/>
  <c r="I24" i="17"/>
  <c r="I25" i="17"/>
  <c r="I26" i="17"/>
  <c r="J2" i="21"/>
  <c r="L2" i="19"/>
  <c r="L4" i="19"/>
  <c r="B30" i="26"/>
  <c r="E21" i="19"/>
  <c r="G8" i="19"/>
  <c r="B29" i="26"/>
  <c r="G2" i="26"/>
  <c r="H2" i="26"/>
  <c r="J2" i="26"/>
  <c r="G3" i="26"/>
  <c r="H3" i="26"/>
  <c r="J3" i="26"/>
  <c r="G4" i="26"/>
  <c r="H4" i="26"/>
  <c r="J4" i="26"/>
  <c r="G5" i="26"/>
  <c r="H5" i="26"/>
  <c r="J5" i="26"/>
  <c r="G6" i="26"/>
  <c r="H6" i="26"/>
  <c r="J6" i="26"/>
  <c r="G7" i="26"/>
  <c r="H7" i="26"/>
  <c r="J7" i="26"/>
  <c r="G8" i="26"/>
  <c r="H8" i="26"/>
  <c r="J8" i="26"/>
  <c r="G9" i="26"/>
  <c r="H9" i="26"/>
  <c r="J9" i="26"/>
  <c r="G10" i="26"/>
  <c r="H10" i="26"/>
  <c r="J10" i="26"/>
  <c r="G11" i="26"/>
  <c r="H11" i="26"/>
  <c r="J11" i="26"/>
  <c r="G12" i="26"/>
  <c r="H12" i="26"/>
  <c r="J12" i="26"/>
  <c r="G13" i="26"/>
  <c r="H13" i="26"/>
  <c r="J13" i="26"/>
  <c r="G14" i="26"/>
  <c r="H14" i="26"/>
  <c r="J14" i="26"/>
  <c r="G15" i="26"/>
  <c r="H15" i="26"/>
  <c r="J15" i="26"/>
  <c r="G16" i="26"/>
  <c r="H16" i="26"/>
  <c r="J16" i="26"/>
  <c r="G17" i="26"/>
  <c r="H17" i="26"/>
  <c r="J17" i="26"/>
  <c r="G18" i="26"/>
  <c r="H18" i="26"/>
  <c r="J18" i="26"/>
  <c r="G19" i="26"/>
  <c r="H19" i="26"/>
  <c r="J19" i="26"/>
  <c r="G20" i="26"/>
  <c r="H20" i="26"/>
  <c r="J20" i="26"/>
  <c r="G21" i="26"/>
  <c r="H21" i="26"/>
  <c r="J21" i="26"/>
  <c r="G22" i="26"/>
  <c r="H22" i="26"/>
  <c r="J22" i="26"/>
  <c r="G23" i="26"/>
  <c r="H23" i="26"/>
  <c r="J23" i="26"/>
  <c r="G24" i="26"/>
  <c r="H24" i="26"/>
  <c r="J24" i="26"/>
  <c r="J25" i="26"/>
  <c r="B34" i="26"/>
  <c r="G35" i="26"/>
  <c r="G11" i="12"/>
  <c r="G43" i="12"/>
  <c r="G44" i="12"/>
  <c r="G26" i="12"/>
  <c r="G45" i="12"/>
  <c r="G46" i="12"/>
  <c r="G47" i="12"/>
  <c r="J24" i="17"/>
  <c r="J26" i="17"/>
  <c r="K24" i="17"/>
  <c r="K25" i="17"/>
  <c r="K26" i="17"/>
  <c r="R15" i="14"/>
  <c r="T15" i="14"/>
  <c r="T14" i="14"/>
  <c r="U14" i="14"/>
  <c r="U15" i="14"/>
  <c r="T17" i="14"/>
  <c r="U17" i="14"/>
  <c r="T18" i="14"/>
  <c r="U18" i="14"/>
  <c r="T19" i="14"/>
  <c r="U19" i="14"/>
  <c r="T21" i="14"/>
  <c r="U21" i="14"/>
  <c r="T13" i="14"/>
  <c r="U13" i="14"/>
  <c r="U12" i="14"/>
  <c r="N61" i="14"/>
  <c r="N62" i="14"/>
  <c r="E11" i="18"/>
  <c r="E3" i="19"/>
  <c r="E4" i="19"/>
  <c r="E5" i="19"/>
  <c r="E6" i="19"/>
  <c r="E7" i="19"/>
  <c r="E8" i="19"/>
  <c r="E9" i="19"/>
  <c r="E10" i="19"/>
  <c r="E11" i="19"/>
  <c r="E12" i="19"/>
  <c r="E13" i="19"/>
  <c r="E14" i="19"/>
  <c r="E15" i="19"/>
  <c r="E16" i="19"/>
  <c r="E17" i="19"/>
  <c r="E18" i="19"/>
  <c r="E19" i="19"/>
  <c r="E20" i="19"/>
  <c r="E2" i="19"/>
  <c r="I34" i="26"/>
  <c r="B43" i="26"/>
  <c r="F2" i="26"/>
  <c r="F3" i="26"/>
  <c r="F4" i="26"/>
  <c r="F5" i="26"/>
  <c r="F6" i="26"/>
  <c r="F7" i="26"/>
  <c r="F8" i="26"/>
  <c r="F9" i="26"/>
  <c r="F10" i="26"/>
  <c r="F11" i="26"/>
  <c r="F12" i="26"/>
  <c r="F13" i="26"/>
  <c r="F14" i="26"/>
  <c r="F15" i="26"/>
  <c r="F16" i="26"/>
  <c r="F17" i="26"/>
  <c r="F18" i="26"/>
  <c r="F19" i="26"/>
  <c r="F20" i="26"/>
  <c r="F21" i="26"/>
  <c r="F22" i="26"/>
  <c r="F23" i="26"/>
  <c r="F24" i="26"/>
  <c r="F25" i="26"/>
  <c r="B33" i="26"/>
  <c r="I2" i="26"/>
  <c r="I3" i="26"/>
  <c r="I4" i="26"/>
  <c r="I5" i="26"/>
  <c r="I6" i="26"/>
  <c r="I7" i="26"/>
  <c r="I8" i="26"/>
  <c r="I9" i="26"/>
  <c r="I10" i="26"/>
  <c r="I11" i="26"/>
  <c r="I12" i="26"/>
  <c r="I13" i="26"/>
  <c r="I14" i="26"/>
  <c r="I15" i="26"/>
  <c r="I16" i="26"/>
  <c r="I17" i="26"/>
  <c r="I18" i="26"/>
  <c r="I19" i="26"/>
  <c r="I20" i="26"/>
  <c r="I21" i="26"/>
  <c r="I22" i="26"/>
  <c r="I23" i="26"/>
  <c r="I24" i="26"/>
  <c r="I25" i="26"/>
  <c r="H25" i="26"/>
  <c r="G25" i="26"/>
  <c r="E25" i="26"/>
  <c r="D5" i="25"/>
  <c r="D6" i="25"/>
  <c r="I4" i="25"/>
  <c r="L3" i="25"/>
  <c r="J283" i="22"/>
  <c r="K283" i="22"/>
  <c r="J282" i="22"/>
  <c r="K282" i="22"/>
  <c r="J281" i="22"/>
  <c r="K281" i="22"/>
  <c r="J280" i="22"/>
  <c r="K280" i="22"/>
  <c r="J279" i="22"/>
  <c r="K279" i="22"/>
  <c r="J278" i="22"/>
  <c r="K278" i="22"/>
  <c r="J277" i="22"/>
  <c r="K277" i="22"/>
  <c r="J276" i="22"/>
  <c r="K276" i="22"/>
  <c r="J275" i="22"/>
  <c r="K275" i="22"/>
  <c r="J274" i="22"/>
  <c r="K274" i="22"/>
  <c r="J273" i="22"/>
  <c r="K273" i="22"/>
  <c r="J272" i="22"/>
  <c r="K272" i="22"/>
  <c r="J271" i="22"/>
  <c r="K271" i="22"/>
  <c r="J270" i="22"/>
  <c r="K270" i="22"/>
  <c r="J269" i="22"/>
  <c r="K269" i="22"/>
  <c r="J268" i="22"/>
  <c r="K268" i="22"/>
  <c r="J267" i="22"/>
  <c r="K267" i="22"/>
  <c r="J266" i="22"/>
  <c r="K266" i="22"/>
  <c r="J265" i="22"/>
  <c r="K265" i="22"/>
  <c r="J264" i="22"/>
  <c r="K264" i="22"/>
  <c r="J263" i="22"/>
  <c r="K263" i="22"/>
  <c r="J262" i="22"/>
  <c r="K262" i="22"/>
  <c r="J261" i="22"/>
  <c r="K261" i="22"/>
  <c r="J260" i="22"/>
  <c r="K260" i="22"/>
  <c r="J259" i="22"/>
  <c r="K259" i="22"/>
  <c r="J258" i="22"/>
  <c r="K258" i="22"/>
  <c r="J257" i="22"/>
  <c r="K257" i="22"/>
  <c r="J256" i="22"/>
  <c r="K256" i="22"/>
  <c r="J255" i="22"/>
  <c r="K255" i="22"/>
  <c r="J254" i="22"/>
  <c r="K254" i="22"/>
  <c r="J253" i="22"/>
  <c r="K253" i="22"/>
  <c r="J252" i="22"/>
  <c r="K252" i="22"/>
  <c r="J251" i="22"/>
  <c r="K251" i="22"/>
  <c r="J250" i="22"/>
  <c r="K250" i="22"/>
  <c r="J249" i="22"/>
  <c r="K249" i="22"/>
  <c r="J248" i="22"/>
  <c r="K248" i="22"/>
  <c r="J247" i="22"/>
  <c r="K247" i="22"/>
  <c r="J246" i="22"/>
  <c r="K246" i="22"/>
  <c r="J245" i="22"/>
  <c r="K245" i="22"/>
  <c r="J244" i="22"/>
  <c r="K244" i="22"/>
  <c r="J243" i="22"/>
  <c r="K243" i="22"/>
  <c r="J242" i="22"/>
  <c r="K242" i="22"/>
  <c r="E242" i="22"/>
  <c r="H241" i="22"/>
  <c r="J241" i="22"/>
  <c r="K241" i="22"/>
  <c r="D241" i="22"/>
  <c r="E241" i="22"/>
  <c r="F241" i="22"/>
  <c r="H240" i="22"/>
  <c r="J240" i="22"/>
  <c r="K240" i="22"/>
  <c r="D240" i="22"/>
  <c r="E240" i="22"/>
  <c r="F240" i="22"/>
  <c r="H239" i="22"/>
  <c r="J239" i="22"/>
  <c r="K239" i="22"/>
  <c r="D239" i="22"/>
  <c r="E239" i="22"/>
  <c r="F239" i="22"/>
  <c r="H238" i="22"/>
  <c r="J238" i="22"/>
  <c r="K238" i="22"/>
  <c r="D238" i="22"/>
  <c r="E238" i="22"/>
  <c r="F238" i="22"/>
  <c r="H237" i="22"/>
  <c r="J237" i="22"/>
  <c r="K237" i="22"/>
  <c r="D237" i="22"/>
  <c r="E237" i="22"/>
  <c r="F237" i="22"/>
  <c r="H236" i="22"/>
  <c r="J236" i="22"/>
  <c r="K236" i="22"/>
  <c r="D236" i="22"/>
  <c r="E236" i="22"/>
  <c r="F236" i="22"/>
  <c r="H235" i="22"/>
  <c r="J235" i="22"/>
  <c r="K235" i="22"/>
  <c r="D235" i="22"/>
  <c r="E235" i="22"/>
  <c r="F235" i="22"/>
  <c r="H234" i="22"/>
  <c r="J234" i="22"/>
  <c r="K234" i="22"/>
  <c r="D234" i="22"/>
  <c r="E234" i="22"/>
  <c r="F234" i="22"/>
  <c r="H233" i="22"/>
  <c r="J233" i="22"/>
  <c r="K233" i="22"/>
  <c r="D233" i="22"/>
  <c r="E233" i="22"/>
  <c r="F233" i="22"/>
  <c r="H232" i="22"/>
  <c r="J232" i="22"/>
  <c r="K232" i="22"/>
  <c r="D232" i="22"/>
  <c r="E232" i="22"/>
  <c r="F232" i="22"/>
  <c r="H231" i="22"/>
  <c r="J231" i="22"/>
  <c r="K231" i="22"/>
  <c r="D231" i="22"/>
  <c r="E231" i="22"/>
  <c r="F231" i="22"/>
  <c r="H230" i="22"/>
  <c r="J230" i="22"/>
  <c r="K230" i="22"/>
  <c r="D230" i="22"/>
  <c r="E230" i="22"/>
  <c r="F230" i="22"/>
  <c r="H229" i="22"/>
  <c r="J229" i="22"/>
  <c r="K229" i="22"/>
  <c r="D229" i="22"/>
  <c r="E229" i="22"/>
  <c r="F229" i="22"/>
  <c r="H228" i="22"/>
  <c r="J228" i="22"/>
  <c r="K228" i="22"/>
  <c r="D228" i="22"/>
  <c r="E228" i="22"/>
  <c r="F228" i="22"/>
  <c r="H227" i="22"/>
  <c r="J227" i="22"/>
  <c r="K227" i="22"/>
  <c r="D227" i="22"/>
  <c r="E227" i="22"/>
  <c r="F227" i="22"/>
  <c r="H226" i="22"/>
  <c r="J226" i="22"/>
  <c r="K226" i="22"/>
  <c r="D226" i="22"/>
  <c r="E226" i="22"/>
  <c r="F226" i="22"/>
  <c r="H225" i="22"/>
  <c r="J225" i="22"/>
  <c r="K225" i="22"/>
  <c r="D225" i="22"/>
  <c r="E225" i="22"/>
  <c r="F225" i="22"/>
  <c r="H224" i="22"/>
  <c r="J224" i="22"/>
  <c r="K224" i="22"/>
  <c r="D224" i="22"/>
  <c r="E224" i="22"/>
  <c r="F224" i="22"/>
  <c r="H223" i="22"/>
  <c r="J223" i="22"/>
  <c r="K223" i="22"/>
  <c r="D223" i="22"/>
  <c r="E223" i="22"/>
  <c r="F223" i="22"/>
  <c r="H222" i="22"/>
  <c r="J222" i="22"/>
  <c r="K222" i="22"/>
  <c r="D222" i="22"/>
  <c r="E222" i="22"/>
  <c r="F222" i="22"/>
  <c r="H221" i="22"/>
  <c r="J221" i="22"/>
  <c r="K221" i="22"/>
  <c r="D221" i="22"/>
  <c r="E221" i="22"/>
  <c r="F221" i="22"/>
  <c r="H220" i="22"/>
  <c r="J220" i="22"/>
  <c r="K220" i="22"/>
  <c r="D220" i="22"/>
  <c r="E220" i="22"/>
  <c r="F220" i="22"/>
  <c r="H219" i="22"/>
  <c r="J219" i="22"/>
  <c r="K219" i="22"/>
  <c r="D219" i="22"/>
  <c r="E219" i="22"/>
  <c r="F219" i="22"/>
  <c r="H218" i="22"/>
  <c r="J218" i="22"/>
  <c r="K218" i="22"/>
  <c r="D218" i="22"/>
  <c r="E218" i="22"/>
  <c r="F218" i="22"/>
  <c r="H217" i="22"/>
  <c r="J217" i="22"/>
  <c r="K217" i="22"/>
  <c r="D217" i="22"/>
  <c r="E217" i="22"/>
  <c r="F217" i="22"/>
  <c r="H216" i="22"/>
  <c r="J216" i="22"/>
  <c r="K216" i="22"/>
  <c r="D216" i="22"/>
  <c r="E216" i="22"/>
  <c r="F216" i="22"/>
  <c r="H215" i="22"/>
  <c r="J215" i="22"/>
  <c r="K215" i="22"/>
  <c r="D215" i="22"/>
  <c r="E215" i="22"/>
  <c r="F215" i="22"/>
  <c r="H214" i="22"/>
  <c r="J214" i="22"/>
  <c r="K214" i="22"/>
  <c r="D214" i="22"/>
  <c r="E214" i="22"/>
  <c r="F214" i="22"/>
  <c r="H213" i="22"/>
  <c r="J213" i="22"/>
  <c r="K213" i="22"/>
  <c r="D213" i="22"/>
  <c r="E213" i="22"/>
  <c r="F213" i="22"/>
  <c r="H212" i="22"/>
  <c r="J212" i="22"/>
  <c r="K212" i="22"/>
  <c r="D212" i="22"/>
  <c r="E212" i="22"/>
  <c r="F212" i="22"/>
  <c r="H211" i="22"/>
  <c r="J211" i="22"/>
  <c r="K211" i="22"/>
  <c r="D211" i="22"/>
  <c r="E211" i="22"/>
  <c r="F211" i="22"/>
  <c r="H210" i="22"/>
  <c r="J210" i="22"/>
  <c r="K210" i="22"/>
  <c r="D210" i="22"/>
  <c r="E210" i="22"/>
  <c r="F210" i="22"/>
  <c r="H209" i="22"/>
  <c r="J209" i="22"/>
  <c r="K209" i="22"/>
  <c r="D209" i="22"/>
  <c r="E209" i="22"/>
  <c r="F209" i="22"/>
  <c r="H208" i="22"/>
  <c r="J208" i="22"/>
  <c r="K208" i="22"/>
  <c r="D208" i="22"/>
  <c r="E208" i="22"/>
  <c r="F208" i="22"/>
  <c r="H207" i="22"/>
  <c r="J207" i="22"/>
  <c r="K207" i="22"/>
  <c r="D207" i="22"/>
  <c r="E207" i="22"/>
  <c r="F207" i="22"/>
  <c r="H206" i="22"/>
  <c r="J206" i="22"/>
  <c r="K206" i="22"/>
  <c r="D206" i="22"/>
  <c r="E206" i="22"/>
  <c r="F206" i="22"/>
  <c r="H205" i="22"/>
  <c r="J205" i="22"/>
  <c r="K205" i="22"/>
  <c r="D205" i="22"/>
  <c r="E205" i="22"/>
  <c r="F205" i="22"/>
  <c r="H204" i="22"/>
  <c r="J204" i="22"/>
  <c r="K204" i="22"/>
  <c r="D204" i="22"/>
  <c r="E204" i="22"/>
  <c r="F204" i="22"/>
  <c r="D203" i="22"/>
  <c r="E203" i="22"/>
  <c r="F203" i="22"/>
  <c r="J203" i="22"/>
  <c r="L203" i="22"/>
  <c r="H203" i="22"/>
  <c r="K203" i="22"/>
  <c r="D202" i="22"/>
  <c r="E202" i="22"/>
  <c r="F202" i="22"/>
  <c r="J202" i="22"/>
  <c r="L202" i="22"/>
  <c r="H202" i="22"/>
  <c r="K202" i="22"/>
  <c r="D201" i="22"/>
  <c r="E201" i="22"/>
  <c r="F201" i="22"/>
  <c r="J201" i="22"/>
  <c r="L201" i="22"/>
  <c r="H201" i="22"/>
  <c r="K201" i="22"/>
  <c r="D200" i="22"/>
  <c r="E200" i="22"/>
  <c r="F200" i="22"/>
  <c r="J200" i="22"/>
  <c r="L200" i="22"/>
  <c r="H200" i="22"/>
  <c r="K200" i="22"/>
  <c r="D199" i="22"/>
  <c r="E199" i="22"/>
  <c r="F199" i="22"/>
  <c r="J199" i="22"/>
  <c r="L199" i="22"/>
  <c r="H199" i="22"/>
  <c r="K199" i="22"/>
  <c r="D198" i="22"/>
  <c r="E198" i="22"/>
  <c r="F198" i="22"/>
  <c r="J198" i="22"/>
  <c r="L198" i="22"/>
  <c r="H198" i="22"/>
  <c r="K198" i="22"/>
  <c r="D197" i="22"/>
  <c r="E197" i="22"/>
  <c r="F197" i="22"/>
  <c r="J197" i="22"/>
  <c r="L197" i="22"/>
  <c r="H197" i="22"/>
  <c r="K197" i="22"/>
  <c r="D196" i="22"/>
  <c r="E196" i="22"/>
  <c r="F196" i="22"/>
  <c r="J196" i="22"/>
  <c r="L196" i="22"/>
  <c r="H196" i="22"/>
  <c r="K196" i="22"/>
  <c r="D195" i="22"/>
  <c r="E195" i="22"/>
  <c r="F195" i="22"/>
  <c r="J195" i="22"/>
  <c r="L195" i="22"/>
  <c r="H195" i="22"/>
  <c r="K195" i="22"/>
  <c r="D194" i="22"/>
  <c r="E194" i="22"/>
  <c r="F194" i="22"/>
  <c r="J194" i="22"/>
  <c r="L194" i="22"/>
  <c r="H194" i="22"/>
  <c r="K194" i="22"/>
  <c r="D193" i="22"/>
  <c r="E193" i="22"/>
  <c r="F193" i="22"/>
  <c r="J193" i="22"/>
  <c r="L193" i="22"/>
  <c r="H193" i="22"/>
  <c r="K193" i="22"/>
  <c r="D192" i="22"/>
  <c r="E192" i="22"/>
  <c r="F192" i="22"/>
  <c r="J192" i="22"/>
  <c r="L192" i="22"/>
  <c r="H192" i="22"/>
  <c r="K192" i="22"/>
  <c r="D191" i="22"/>
  <c r="E191" i="22"/>
  <c r="F191" i="22"/>
  <c r="J191" i="22"/>
  <c r="L191" i="22"/>
  <c r="H191" i="22"/>
  <c r="K191" i="22"/>
  <c r="D190" i="22"/>
  <c r="E190" i="22"/>
  <c r="F190" i="22"/>
  <c r="J190" i="22"/>
  <c r="L190" i="22"/>
  <c r="H190" i="22"/>
  <c r="K190" i="22"/>
  <c r="D189" i="22"/>
  <c r="E189" i="22"/>
  <c r="F189" i="22"/>
  <c r="J189" i="22"/>
  <c r="L189" i="22"/>
  <c r="H189" i="22"/>
  <c r="K189" i="22"/>
  <c r="D188" i="22"/>
  <c r="E188" i="22"/>
  <c r="F188" i="22"/>
  <c r="J188" i="22"/>
  <c r="L188" i="22"/>
  <c r="H188" i="22"/>
  <c r="K188" i="22"/>
  <c r="D187" i="22"/>
  <c r="E187" i="22"/>
  <c r="F187" i="22"/>
  <c r="J187" i="22"/>
  <c r="L187" i="22"/>
  <c r="H187" i="22"/>
  <c r="K187" i="22"/>
  <c r="D186" i="22"/>
  <c r="E186" i="22"/>
  <c r="F186" i="22"/>
  <c r="J186" i="22"/>
  <c r="L186" i="22"/>
  <c r="H186" i="22"/>
  <c r="K186" i="22"/>
  <c r="D185" i="22"/>
  <c r="E185" i="22"/>
  <c r="F185" i="22"/>
  <c r="J185" i="22"/>
  <c r="L185" i="22"/>
  <c r="H185" i="22"/>
  <c r="K185" i="22"/>
  <c r="D184" i="22"/>
  <c r="E184" i="22"/>
  <c r="F184" i="22"/>
  <c r="J184" i="22"/>
  <c r="L184" i="22"/>
  <c r="H184" i="22"/>
  <c r="K184" i="22"/>
  <c r="D183" i="22"/>
  <c r="E183" i="22"/>
  <c r="F183" i="22"/>
  <c r="J183" i="22"/>
  <c r="L183" i="22"/>
  <c r="H183" i="22"/>
  <c r="K183" i="22"/>
  <c r="D182" i="22"/>
  <c r="E182" i="22"/>
  <c r="F182" i="22"/>
  <c r="J182" i="22"/>
  <c r="L182" i="22"/>
  <c r="H182" i="22"/>
  <c r="K182" i="22"/>
  <c r="D181" i="22"/>
  <c r="E181" i="22"/>
  <c r="F181" i="22"/>
  <c r="J181" i="22"/>
  <c r="L181" i="22"/>
  <c r="H181" i="22"/>
  <c r="K181" i="22"/>
  <c r="D180" i="22"/>
  <c r="E180" i="22"/>
  <c r="F180" i="22"/>
  <c r="J180" i="22"/>
  <c r="L180" i="22"/>
  <c r="H180" i="22"/>
  <c r="K180" i="22"/>
  <c r="D179" i="22"/>
  <c r="E179" i="22"/>
  <c r="F179" i="22"/>
  <c r="J179" i="22"/>
  <c r="L179" i="22"/>
  <c r="H179" i="22"/>
  <c r="K179" i="22"/>
  <c r="D178" i="22"/>
  <c r="E178" i="22"/>
  <c r="F178" i="22"/>
  <c r="J178" i="22"/>
  <c r="L178" i="22"/>
  <c r="H178" i="22"/>
  <c r="K178" i="22"/>
  <c r="D177" i="22"/>
  <c r="E177" i="22"/>
  <c r="F177" i="22"/>
  <c r="J177" i="22"/>
  <c r="L177" i="22"/>
  <c r="H177" i="22"/>
  <c r="K177" i="22"/>
  <c r="D176" i="22"/>
  <c r="E176" i="22"/>
  <c r="F176" i="22"/>
  <c r="J176" i="22"/>
  <c r="L176" i="22"/>
  <c r="H176" i="22"/>
  <c r="K176" i="22"/>
  <c r="D175" i="22"/>
  <c r="E175" i="22"/>
  <c r="F175" i="22"/>
  <c r="J175" i="22"/>
  <c r="L175" i="22"/>
  <c r="H175" i="22"/>
  <c r="K175" i="22"/>
  <c r="D174" i="22"/>
  <c r="E174" i="22"/>
  <c r="F174" i="22"/>
  <c r="J174" i="22"/>
  <c r="L174" i="22"/>
  <c r="H174" i="22"/>
  <c r="K174" i="22"/>
  <c r="D173" i="22"/>
  <c r="E173" i="22"/>
  <c r="F173" i="22"/>
  <c r="J173" i="22"/>
  <c r="L173" i="22"/>
  <c r="H173" i="22"/>
  <c r="K173" i="22"/>
  <c r="D172" i="22"/>
  <c r="E172" i="22"/>
  <c r="F172" i="22"/>
  <c r="J172" i="22"/>
  <c r="L172" i="22"/>
  <c r="H172" i="22"/>
  <c r="K172" i="22"/>
  <c r="D171" i="22"/>
  <c r="E171" i="22"/>
  <c r="F171" i="22"/>
  <c r="J171" i="22"/>
  <c r="L171" i="22"/>
  <c r="H171" i="22"/>
  <c r="K171" i="22"/>
  <c r="D170" i="22"/>
  <c r="E170" i="22"/>
  <c r="F170" i="22"/>
  <c r="J170" i="22"/>
  <c r="L170" i="22"/>
  <c r="H170" i="22"/>
  <c r="K170" i="22"/>
  <c r="D169" i="22"/>
  <c r="E169" i="22"/>
  <c r="F169" i="22"/>
  <c r="J169" i="22"/>
  <c r="L169" i="22"/>
  <c r="H169" i="22"/>
  <c r="K169" i="22"/>
  <c r="D168" i="22"/>
  <c r="E168" i="22"/>
  <c r="F168" i="22"/>
  <c r="J168" i="22"/>
  <c r="L168" i="22"/>
  <c r="H168" i="22"/>
  <c r="K168" i="22"/>
  <c r="D167" i="22"/>
  <c r="E167" i="22"/>
  <c r="F167" i="22"/>
  <c r="J167" i="22"/>
  <c r="L167" i="22"/>
  <c r="H167" i="22"/>
  <c r="K167" i="22"/>
  <c r="D166" i="22"/>
  <c r="E166" i="22"/>
  <c r="F166" i="22"/>
  <c r="J166" i="22"/>
  <c r="L166" i="22"/>
  <c r="H166" i="22"/>
  <c r="K166" i="22"/>
  <c r="D165" i="22"/>
  <c r="E165" i="22"/>
  <c r="F165" i="22"/>
  <c r="J165" i="22"/>
  <c r="L165" i="22"/>
  <c r="H165" i="22"/>
  <c r="K165" i="22"/>
  <c r="D164" i="22"/>
  <c r="E164" i="22"/>
  <c r="F164" i="22"/>
  <c r="J164" i="22"/>
  <c r="L164" i="22"/>
  <c r="H164" i="22"/>
  <c r="K164" i="22"/>
  <c r="D163" i="22"/>
  <c r="E163" i="22"/>
  <c r="F163" i="22"/>
  <c r="J163" i="22"/>
  <c r="L163" i="22"/>
  <c r="H163" i="22"/>
  <c r="K163" i="22"/>
  <c r="D162" i="22"/>
  <c r="E162" i="22"/>
  <c r="F162" i="22"/>
  <c r="J162" i="22"/>
  <c r="L162" i="22"/>
  <c r="H162" i="22"/>
  <c r="K162" i="22"/>
  <c r="D161" i="22"/>
  <c r="E161" i="22"/>
  <c r="F161" i="22"/>
  <c r="J161" i="22"/>
  <c r="L161" i="22"/>
  <c r="H161" i="22"/>
  <c r="K161" i="22"/>
  <c r="D160" i="22"/>
  <c r="E160" i="22"/>
  <c r="F160" i="22"/>
  <c r="J160" i="22"/>
  <c r="L160" i="22"/>
  <c r="H160" i="22"/>
  <c r="K160" i="22"/>
  <c r="D159" i="22"/>
  <c r="E159" i="22"/>
  <c r="F159" i="22"/>
  <c r="J159" i="22"/>
  <c r="L159" i="22"/>
  <c r="H159" i="22"/>
  <c r="K159" i="22"/>
  <c r="D158" i="22"/>
  <c r="E158" i="22"/>
  <c r="F158" i="22"/>
  <c r="J158" i="22"/>
  <c r="L158" i="22"/>
  <c r="H158" i="22"/>
  <c r="K158" i="22"/>
  <c r="D157" i="22"/>
  <c r="E157" i="22"/>
  <c r="F157" i="22"/>
  <c r="J157" i="22"/>
  <c r="L157" i="22"/>
  <c r="H157" i="22"/>
  <c r="K157" i="22"/>
  <c r="D156" i="22"/>
  <c r="E156" i="22"/>
  <c r="F156" i="22"/>
  <c r="J156" i="22"/>
  <c r="L156" i="22"/>
  <c r="H156" i="22"/>
  <c r="K156" i="22"/>
  <c r="D155" i="22"/>
  <c r="E155" i="22"/>
  <c r="F155" i="22"/>
  <c r="J155" i="22"/>
  <c r="L155" i="22"/>
  <c r="H155" i="22"/>
  <c r="K155" i="22"/>
  <c r="D154" i="22"/>
  <c r="E154" i="22"/>
  <c r="F154" i="22"/>
  <c r="J154" i="22"/>
  <c r="L154" i="22"/>
  <c r="H154" i="22"/>
  <c r="K154" i="22"/>
  <c r="D153" i="22"/>
  <c r="E153" i="22"/>
  <c r="F153" i="22"/>
  <c r="J153" i="22"/>
  <c r="L153" i="22"/>
  <c r="H153" i="22"/>
  <c r="K153" i="22"/>
  <c r="D152" i="22"/>
  <c r="E152" i="22"/>
  <c r="F152" i="22"/>
  <c r="J152" i="22"/>
  <c r="L152" i="22"/>
  <c r="H152" i="22"/>
  <c r="K152" i="22"/>
  <c r="D151" i="22"/>
  <c r="E151" i="22"/>
  <c r="F151" i="22"/>
  <c r="J151" i="22"/>
  <c r="L151" i="22"/>
  <c r="H151" i="22"/>
  <c r="K151" i="22"/>
  <c r="D150" i="22"/>
  <c r="E150" i="22"/>
  <c r="F150" i="22"/>
  <c r="J150" i="22"/>
  <c r="L150" i="22"/>
  <c r="H150" i="22"/>
  <c r="K150" i="22"/>
  <c r="D149" i="22"/>
  <c r="E149" i="22"/>
  <c r="F149" i="22"/>
  <c r="J149" i="22"/>
  <c r="L149" i="22"/>
  <c r="H149" i="22"/>
  <c r="K149" i="22"/>
  <c r="D148" i="22"/>
  <c r="E148" i="22"/>
  <c r="F148" i="22"/>
  <c r="J148" i="22"/>
  <c r="L148" i="22"/>
  <c r="H148" i="22"/>
  <c r="K148" i="22"/>
  <c r="D147" i="22"/>
  <c r="E147" i="22"/>
  <c r="F147" i="22"/>
  <c r="J147" i="22"/>
  <c r="L147" i="22"/>
  <c r="H147" i="22"/>
  <c r="K147" i="22"/>
  <c r="D146" i="22"/>
  <c r="E146" i="22"/>
  <c r="F146" i="22"/>
  <c r="J146" i="22"/>
  <c r="L146" i="22"/>
  <c r="H146" i="22"/>
  <c r="K146" i="22"/>
  <c r="D145" i="22"/>
  <c r="E145" i="22"/>
  <c r="F145" i="22"/>
  <c r="J145" i="22"/>
  <c r="L145" i="22"/>
  <c r="H145" i="22"/>
  <c r="K145" i="22"/>
  <c r="D144" i="22"/>
  <c r="E144" i="22"/>
  <c r="F144" i="22"/>
  <c r="J144" i="22"/>
  <c r="L144" i="22"/>
  <c r="H144" i="22"/>
  <c r="K144" i="22"/>
  <c r="D143" i="22"/>
  <c r="E143" i="22"/>
  <c r="F143" i="22"/>
  <c r="J143" i="22"/>
  <c r="L143" i="22"/>
  <c r="H143" i="22"/>
  <c r="K143" i="22"/>
  <c r="D142" i="22"/>
  <c r="E142" i="22"/>
  <c r="F142" i="22"/>
  <c r="J142" i="22"/>
  <c r="L142" i="22"/>
  <c r="H142" i="22"/>
  <c r="K142" i="22"/>
  <c r="D141" i="22"/>
  <c r="E141" i="22"/>
  <c r="F141" i="22"/>
  <c r="J141" i="22"/>
  <c r="L141" i="22"/>
  <c r="H141" i="22"/>
  <c r="K141" i="22"/>
  <c r="D140" i="22"/>
  <c r="E140" i="22"/>
  <c r="F140" i="22"/>
  <c r="J140" i="22"/>
  <c r="L140" i="22"/>
  <c r="H140" i="22"/>
  <c r="K140" i="22"/>
  <c r="D139" i="22"/>
  <c r="E139" i="22"/>
  <c r="F139" i="22"/>
  <c r="J139" i="22"/>
  <c r="L139" i="22"/>
  <c r="H139" i="22"/>
  <c r="K139" i="22"/>
  <c r="D138" i="22"/>
  <c r="E138" i="22"/>
  <c r="F138" i="22"/>
  <c r="J138" i="22"/>
  <c r="L138" i="22"/>
  <c r="H138" i="22"/>
  <c r="K138" i="22"/>
  <c r="D137" i="22"/>
  <c r="E137" i="22"/>
  <c r="F137" i="22"/>
  <c r="J137" i="22"/>
  <c r="L137" i="22"/>
  <c r="H137" i="22"/>
  <c r="K137" i="22"/>
  <c r="D136" i="22"/>
  <c r="E136" i="22"/>
  <c r="F136" i="22"/>
  <c r="J136" i="22"/>
  <c r="L136" i="22"/>
  <c r="H136" i="22"/>
  <c r="K136" i="22"/>
  <c r="D135" i="22"/>
  <c r="E135" i="22"/>
  <c r="F135" i="22"/>
  <c r="J135" i="22"/>
  <c r="L135" i="22"/>
  <c r="H135" i="22"/>
  <c r="K135" i="22"/>
  <c r="D134" i="22"/>
  <c r="E134" i="22"/>
  <c r="F134" i="22"/>
  <c r="J134" i="22"/>
  <c r="L134" i="22"/>
  <c r="H134" i="22"/>
  <c r="K134" i="22"/>
  <c r="D133" i="22"/>
  <c r="E133" i="22"/>
  <c r="F133" i="22"/>
  <c r="J133" i="22"/>
  <c r="L133" i="22"/>
  <c r="H133" i="22"/>
  <c r="K133" i="22"/>
  <c r="D132" i="22"/>
  <c r="E132" i="22"/>
  <c r="F132" i="22"/>
  <c r="J132" i="22"/>
  <c r="L132" i="22"/>
  <c r="H132" i="22"/>
  <c r="K132" i="22"/>
  <c r="D131" i="22"/>
  <c r="E131" i="22"/>
  <c r="F131" i="22"/>
  <c r="J131" i="22"/>
  <c r="L131" i="22"/>
  <c r="H131" i="22"/>
  <c r="K131" i="22"/>
  <c r="D130" i="22"/>
  <c r="E130" i="22"/>
  <c r="F130" i="22"/>
  <c r="J130" i="22"/>
  <c r="L130" i="22"/>
  <c r="H130" i="22"/>
  <c r="K130" i="22"/>
  <c r="D129" i="22"/>
  <c r="E129" i="22"/>
  <c r="F129" i="22"/>
  <c r="J129" i="22"/>
  <c r="L129" i="22"/>
  <c r="H129" i="22"/>
  <c r="K129" i="22"/>
  <c r="D128" i="22"/>
  <c r="E128" i="22"/>
  <c r="F128" i="22"/>
  <c r="J128" i="22"/>
  <c r="L128" i="22"/>
  <c r="H128" i="22"/>
  <c r="K128" i="22"/>
  <c r="D127" i="22"/>
  <c r="E127" i="22"/>
  <c r="F127" i="22"/>
  <c r="J127" i="22"/>
  <c r="L127" i="22"/>
  <c r="H127" i="22"/>
  <c r="K127" i="22"/>
  <c r="D126" i="22"/>
  <c r="E126" i="22"/>
  <c r="F126" i="22"/>
  <c r="J126" i="22"/>
  <c r="L126" i="22"/>
  <c r="H126" i="22"/>
  <c r="K126" i="22"/>
  <c r="D125" i="22"/>
  <c r="E125" i="22"/>
  <c r="F125" i="22"/>
  <c r="J125" i="22"/>
  <c r="L125" i="22"/>
  <c r="H125" i="22"/>
  <c r="K125" i="22"/>
  <c r="D124" i="22"/>
  <c r="E124" i="22"/>
  <c r="F124" i="22"/>
  <c r="J124" i="22"/>
  <c r="L124" i="22"/>
  <c r="H124" i="22"/>
  <c r="K124" i="22"/>
  <c r="D123" i="22"/>
  <c r="E123" i="22"/>
  <c r="F123" i="22"/>
  <c r="J123" i="22"/>
  <c r="L123" i="22"/>
  <c r="H123" i="22"/>
  <c r="K123" i="22"/>
  <c r="D122" i="22"/>
  <c r="E122" i="22"/>
  <c r="F122" i="22"/>
  <c r="J122" i="22"/>
  <c r="L122" i="22"/>
  <c r="H122" i="22"/>
  <c r="K122" i="22"/>
  <c r="D121" i="22"/>
  <c r="E121" i="22"/>
  <c r="F121" i="22"/>
  <c r="J121" i="22"/>
  <c r="L121" i="22"/>
  <c r="H121" i="22"/>
  <c r="K121" i="22"/>
  <c r="D120" i="22"/>
  <c r="E120" i="22"/>
  <c r="F120" i="22"/>
  <c r="J120" i="22"/>
  <c r="L120" i="22"/>
  <c r="H120" i="22"/>
  <c r="K120" i="22"/>
  <c r="D119" i="22"/>
  <c r="E119" i="22"/>
  <c r="F119" i="22"/>
  <c r="J119" i="22"/>
  <c r="L119" i="22"/>
  <c r="H119" i="22"/>
  <c r="K119" i="22"/>
  <c r="D118" i="22"/>
  <c r="E118" i="22"/>
  <c r="F118" i="22"/>
  <c r="J118" i="22"/>
  <c r="L118" i="22"/>
  <c r="H118" i="22"/>
  <c r="K118" i="22"/>
  <c r="D117" i="22"/>
  <c r="E117" i="22"/>
  <c r="F117" i="22"/>
  <c r="J117" i="22"/>
  <c r="L117" i="22"/>
  <c r="H117" i="22"/>
  <c r="K117" i="22"/>
  <c r="D116" i="22"/>
  <c r="E116" i="22"/>
  <c r="F116" i="22"/>
  <c r="J116" i="22"/>
  <c r="L116" i="22"/>
  <c r="H116" i="22"/>
  <c r="K116" i="22"/>
  <c r="D115" i="22"/>
  <c r="E115" i="22"/>
  <c r="F115" i="22"/>
  <c r="J115" i="22"/>
  <c r="L115" i="22"/>
  <c r="H115" i="22"/>
  <c r="K115" i="22"/>
  <c r="D114" i="22"/>
  <c r="E114" i="22"/>
  <c r="F114" i="22"/>
  <c r="J114" i="22"/>
  <c r="L114" i="22"/>
  <c r="H114" i="22"/>
  <c r="K114" i="22"/>
  <c r="D113" i="22"/>
  <c r="E113" i="22"/>
  <c r="F113" i="22"/>
  <c r="J113" i="22"/>
  <c r="L113" i="22"/>
  <c r="H113" i="22"/>
  <c r="K113" i="22"/>
  <c r="D112" i="22"/>
  <c r="E112" i="22"/>
  <c r="F112" i="22"/>
  <c r="J112" i="22"/>
  <c r="L112" i="22"/>
  <c r="H112" i="22"/>
  <c r="K112" i="22"/>
  <c r="D111" i="22"/>
  <c r="E111" i="22"/>
  <c r="F111" i="22"/>
  <c r="J111" i="22"/>
  <c r="L111" i="22"/>
  <c r="H111" i="22"/>
  <c r="K111" i="22"/>
  <c r="D110" i="22"/>
  <c r="E110" i="22"/>
  <c r="F110" i="22"/>
  <c r="J110" i="22"/>
  <c r="L110" i="22"/>
  <c r="H110" i="22"/>
  <c r="K110" i="22"/>
  <c r="D109" i="22"/>
  <c r="E109" i="22"/>
  <c r="F109" i="22"/>
  <c r="J109" i="22"/>
  <c r="L109" i="22"/>
  <c r="H109" i="22"/>
  <c r="K109" i="22"/>
  <c r="D108" i="22"/>
  <c r="E108" i="22"/>
  <c r="F108" i="22"/>
  <c r="J108" i="22"/>
  <c r="L108" i="22"/>
  <c r="H108" i="22"/>
  <c r="K108" i="22"/>
  <c r="D107" i="22"/>
  <c r="E107" i="22"/>
  <c r="F107" i="22"/>
  <c r="J107" i="22"/>
  <c r="L107" i="22"/>
  <c r="H107" i="22"/>
  <c r="K107" i="22"/>
  <c r="D106" i="22"/>
  <c r="E106" i="22"/>
  <c r="F106" i="22"/>
  <c r="J106" i="22"/>
  <c r="L106" i="22"/>
  <c r="H106" i="22"/>
  <c r="K106" i="22"/>
  <c r="D105" i="22"/>
  <c r="E105" i="22"/>
  <c r="F105" i="22"/>
  <c r="J105" i="22"/>
  <c r="L105" i="22"/>
  <c r="H105" i="22"/>
  <c r="K105" i="22"/>
  <c r="D104" i="22"/>
  <c r="E104" i="22"/>
  <c r="F104" i="22"/>
  <c r="J104" i="22"/>
  <c r="L104" i="22"/>
  <c r="H104" i="22"/>
  <c r="K104" i="22"/>
  <c r="D103" i="22"/>
  <c r="E103" i="22"/>
  <c r="F103" i="22"/>
  <c r="J103" i="22"/>
  <c r="L103" i="22"/>
  <c r="H103" i="22"/>
  <c r="K103" i="22"/>
  <c r="D102" i="22"/>
  <c r="E102" i="22"/>
  <c r="F102" i="22"/>
  <c r="J102" i="22"/>
  <c r="L102" i="22"/>
  <c r="H102" i="22"/>
  <c r="K102" i="22"/>
  <c r="D101" i="22"/>
  <c r="E101" i="22"/>
  <c r="F101" i="22"/>
  <c r="J101" i="22"/>
  <c r="L101" i="22"/>
  <c r="H101" i="22"/>
  <c r="K101" i="22"/>
  <c r="D100" i="22"/>
  <c r="E100" i="22"/>
  <c r="F100" i="22"/>
  <c r="J100" i="22"/>
  <c r="L100" i="22"/>
  <c r="H100" i="22"/>
  <c r="K100" i="22"/>
  <c r="D99" i="22"/>
  <c r="E99" i="22"/>
  <c r="F99" i="22"/>
  <c r="J99" i="22"/>
  <c r="L99" i="22"/>
  <c r="H99" i="22"/>
  <c r="K99" i="22"/>
  <c r="D98" i="22"/>
  <c r="E98" i="22"/>
  <c r="F98" i="22"/>
  <c r="J98" i="22"/>
  <c r="L98" i="22"/>
  <c r="H98" i="22"/>
  <c r="K98" i="22"/>
  <c r="D97" i="22"/>
  <c r="E97" i="22"/>
  <c r="F97" i="22"/>
  <c r="J97" i="22"/>
  <c r="L97" i="22"/>
  <c r="H97" i="22"/>
  <c r="K97" i="22"/>
  <c r="D96" i="22"/>
  <c r="E96" i="22"/>
  <c r="F96" i="22"/>
  <c r="J96" i="22"/>
  <c r="L96" i="22"/>
  <c r="H96" i="22"/>
  <c r="K96" i="22"/>
  <c r="D95" i="22"/>
  <c r="E95" i="22"/>
  <c r="F95" i="22"/>
  <c r="J95" i="22"/>
  <c r="L95" i="22"/>
  <c r="H95" i="22"/>
  <c r="K95" i="22"/>
  <c r="D94" i="22"/>
  <c r="E94" i="22"/>
  <c r="F94" i="22"/>
  <c r="J94" i="22"/>
  <c r="L94" i="22"/>
  <c r="H94" i="22"/>
  <c r="K94" i="22"/>
  <c r="D93" i="22"/>
  <c r="E93" i="22"/>
  <c r="F93" i="22"/>
  <c r="J93" i="22"/>
  <c r="L93" i="22"/>
  <c r="H93" i="22"/>
  <c r="K93" i="22"/>
  <c r="D92" i="22"/>
  <c r="E92" i="22"/>
  <c r="F92" i="22"/>
  <c r="J92" i="22"/>
  <c r="L92" i="22"/>
  <c r="H92" i="22"/>
  <c r="K92" i="22"/>
  <c r="D91" i="22"/>
  <c r="E91" i="22"/>
  <c r="F91" i="22"/>
  <c r="J91" i="22"/>
  <c r="L91" i="22"/>
  <c r="H91" i="22"/>
  <c r="K91" i="22"/>
  <c r="D90" i="22"/>
  <c r="E90" i="22"/>
  <c r="F90" i="22"/>
  <c r="J90" i="22"/>
  <c r="L90" i="22"/>
  <c r="H90" i="22"/>
  <c r="K90" i="22"/>
  <c r="D89" i="22"/>
  <c r="E89" i="22"/>
  <c r="F89" i="22"/>
  <c r="J89" i="22"/>
  <c r="L89" i="22"/>
  <c r="H89" i="22"/>
  <c r="K89" i="22"/>
  <c r="D88" i="22"/>
  <c r="E88" i="22"/>
  <c r="F88" i="22"/>
  <c r="J88" i="22"/>
  <c r="L88" i="22"/>
  <c r="H88" i="22"/>
  <c r="K88" i="22"/>
  <c r="D87" i="22"/>
  <c r="E87" i="22"/>
  <c r="F87" i="22"/>
  <c r="J87" i="22"/>
  <c r="L87" i="22"/>
  <c r="H87" i="22"/>
  <c r="K87" i="22"/>
  <c r="D86" i="22"/>
  <c r="E86" i="22"/>
  <c r="F86" i="22"/>
  <c r="J86" i="22"/>
  <c r="L86" i="22"/>
  <c r="H86" i="22"/>
  <c r="K86" i="22"/>
  <c r="D85" i="22"/>
  <c r="E85" i="22"/>
  <c r="F85" i="22"/>
  <c r="J85" i="22"/>
  <c r="L85" i="22"/>
  <c r="H85" i="22"/>
  <c r="K85" i="22"/>
  <c r="D84" i="22"/>
  <c r="E84" i="22"/>
  <c r="F84" i="22"/>
  <c r="J84" i="22"/>
  <c r="L84" i="22"/>
  <c r="H84" i="22"/>
  <c r="K84" i="22"/>
  <c r="D83" i="22"/>
  <c r="E83" i="22"/>
  <c r="F83" i="22"/>
  <c r="J83" i="22"/>
  <c r="L83" i="22"/>
  <c r="H83" i="22"/>
  <c r="K83" i="22"/>
  <c r="D82" i="22"/>
  <c r="E82" i="22"/>
  <c r="F82" i="22"/>
  <c r="J82" i="22"/>
  <c r="L82" i="22"/>
  <c r="H82" i="22"/>
  <c r="K82" i="22"/>
  <c r="D81" i="22"/>
  <c r="E81" i="22"/>
  <c r="F81" i="22"/>
  <c r="J81" i="22"/>
  <c r="L81" i="22"/>
  <c r="H81" i="22"/>
  <c r="K81" i="22"/>
  <c r="D80" i="22"/>
  <c r="E80" i="22"/>
  <c r="F80" i="22"/>
  <c r="J80" i="22"/>
  <c r="L80" i="22"/>
  <c r="H80" i="22"/>
  <c r="K80" i="22"/>
  <c r="D79" i="22"/>
  <c r="E79" i="22"/>
  <c r="F79" i="22"/>
  <c r="J79" i="22"/>
  <c r="L79" i="22"/>
  <c r="H79" i="22"/>
  <c r="K79" i="22"/>
  <c r="D78" i="22"/>
  <c r="E78" i="22"/>
  <c r="F78" i="22"/>
  <c r="J78" i="22"/>
  <c r="L78" i="22"/>
  <c r="H78" i="22"/>
  <c r="K78" i="22"/>
  <c r="D77" i="22"/>
  <c r="E77" i="22"/>
  <c r="F77" i="22"/>
  <c r="J77" i="22"/>
  <c r="L77" i="22"/>
  <c r="H77" i="22"/>
  <c r="K77" i="22"/>
  <c r="D76" i="22"/>
  <c r="E76" i="22"/>
  <c r="F76" i="22"/>
  <c r="J76" i="22"/>
  <c r="L76" i="22"/>
  <c r="H76" i="22"/>
  <c r="K76" i="22"/>
  <c r="D75" i="22"/>
  <c r="E75" i="22"/>
  <c r="F75" i="22"/>
  <c r="J75" i="22"/>
  <c r="L75" i="22"/>
  <c r="H75" i="22"/>
  <c r="K75" i="22"/>
  <c r="D74" i="22"/>
  <c r="E74" i="22"/>
  <c r="F74" i="22"/>
  <c r="J74" i="22"/>
  <c r="L74" i="22"/>
  <c r="H74" i="22"/>
  <c r="K74" i="22"/>
  <c r="D73" i="22"/>
  <c r="E73" i="22"/>
  <c r="F73" i="22"/>
  <c r="J73" i="22"/>
  <c r="L73" i="22"/>
  <c r="H73" i="22"/>
  <c r="K73" i="22"/>
  <c r="D72" i="22"/>
  <c r="E72" i="22"/>
  <c r="F72" i="22"/>
  <c r="J72" i="22"/>
  <c r="L72" i="22"/>
  <c r="H72" i="22"/>
  <c r="K72" i="22"/>
  <c r="D71" i="22"/>
  <c r="E71" i="22"/>
  <c r="F71" i="22"/>
  <c r="J71" i="22"/>
  <c r="L71" i="22"/>
  <c r="H71" i="22"/>
  <c r="K71" i="22"/>
  <c r="D70" i="22"/>
  <c r="E70" i="22"/>
  <c r="F70" i="22"/>
  <c r="J70" i="22"/>
  <c r="L70" i="22"/>
  <c r="H70" i="22"/>
  <c r="K70" i="22"/>
  <c r="D69" i="22"/>
  <c r="E69" i="22"/>
  <c r="F69" i="22"/>
  <c r="J69" i="22"/>
  <c r="L69" i="22"/>
  <c r="H69" i="22"/>
  <c r="K69" i="22"/>
  <c r="D68" i="22"/>
  <c r="E68" i="22"/>
  <c r="F68" i="22"/>
  <c r="J68" i="22"/>
  <c r="L68" i="22"/>
  <c r="H68" i="22"/>
  <c r="K68" i="22"/>
  <c r="D67" i="22"/>
  <c r="E67" i="22"/>
  <c r="F67" i="22"/>
  <c r="J67" i="22"/>
  <c r="L67" i="22"/>
  <c r="H67" i="22"/>
  <c r="K67" i="22"/>
  <c r="D66" i="22"/>
  <c r="E66" i="22"/>
  <c r="F66" i="22"/>
  <c r="J66" i="22"/>
  <c r="L66" i="22"/>
  <c r="H66" i="22"/>
  <c r="K66" i="22"/>
  <c r="D65" i="22"/>
  <c r="E65" i="22"/>
  <c r="F65" i="22"/>
  <c r="J65" i="22"/>
  <c r="L65" i="22"/>
  <c r="H65" i="22"/>
  <c r="K65" i="22"/>
  <c r="D64" i="22"/>
  <c r="E64" i="22"/>
  <c r="F64" i="22"/>
  <c r="J64" i="22"/>
  <c r="L64" i="22"/>
  <c r="H64" i="22"/>
  <c r="K64" i="22"/>
  <c r="D63" i="22"/>
  <c r="E63" i="22"/>
  <c r="F63" i="22"/>
  <c r="J63" i="22"/>
  <c r="L63" i="22"/>
  <c r="H63" i="22"/>
  <c r="K63" i="22"/>
  <c r="D62" i="22"/>
  <c r="E62" i="22"/>
  <c r="F62" i="22"/>
  <c r="J62" i="22"/>
  <c r="L62" i="22"/>
  <c r="H62" i="22"/>
  <c r="K62" i="22"/>
  <c r="D61" i="22"/>
  <c r="E61" i="22"/>
  <c r="F61" i="22"/>
  <c r="J61" i="22"/>
  <c r="L61" i="22"/>
  <c r="H61" i="22"/>
  <c r="K61" i="22"/>
  <c r="D60" i="22"/>
  <c r="E60" i="22"/>
  <c r="F60" i="22"/>
  <c r="J60" i="22"/>
  <c r="L60" i="22"/>
  <c r="H60" i="22"/>
  <c r="K60" i="22"/>
  <c r="D59" i="22"/>
  <c r="E59" i="22"/>
  <c r="F59" i="22"/>
  <c r="J59" i="22"/>
  <c r="L59" i="22"/>
  <c r="H59" i="22"/>
  <c r="K59" i="22"/>
  <c r="D58" i="22"/>
  <c r="E58" i="22"/>
  <c r="F58" i="22"/>
  <c r="J58" i="22"/>
  <c r="L58" i="22"/>
  <c r="H58" i="22"/>
  <c r="K58" i="22"/>
  <c r="D57" i="22"/>
  <c r="E57" i="22"/>
  <c r="F57" i="22"/>
  <c r="J57" i="22"/>
  <c r="L57" i="22"/>
  <c r="H57" i="22"/>
  <c r="K57" i="22"/>
  <c r="D56" i="22"/>
  <c r="E56" i="22"/>
  <c r="F56" i="22"/>
  <c r="J56" i="22"/>
  <c r="L56" i="22"/>
  <c r="H56" i="22"/>
  <c r="K56" i="22"/>
  <c r="D55" i="22"/>
  <c r="E55" i="22"/>
  <c r="F55" i="22"/>
  <c r="J55" i="22"/>
  <c r="L55" i="22"/>
  <c r="H55" i="22"/>
  <c r="K55" i="22"/>
  <c r="D54" i="22"/>
  <c r="E54" i="22"/>
  <c r="F54" i="22"/>
  <c r="J54" i="22"/>
  <c r="L54" i="22"/>
  <c r="H54" i="22"/>
  <c r="K54" i="22"/>
  <c r="D53" i="22"/>
  <c r="E53" i="22"/>
  <c r="F53" i="22"/>
  <c r="J53" i="22"/>
  <c r="L53" i="22"/>
  <c r="H53" i="22"/>
  <c r="K53" i="22"/>
  <c r="D52" i="22"/>
  <c r="E52" i="22"/>
  <c r="F52" i="22"/>
  <c r="J52" i="22"/>
  <c r="L52" i="22"/>
  <c r="H52" i="22"/>
  <c r="K52" i="22"/>
  <c r="D51" i="22"/>
  <c r="E51" i="22"/>
  <c r="F51" i="22"/>
  <c r="J51" i="22"/>
  <c r="L51" i="22"/>
  <c r="H51" i="22"/>
  <c r="K51" i="22"/>
  <c r="D50" i="22"/>
  <c r="E50" i="22"/>
  <c r="F50" i="22"/>
  <c r="J50" i="22"/>
  <c r="L50" i="22"/>
  <c r="H50" i="22"/>
  <c r="K50" i="22"/>
  <c r="D49" i="22"/>
  <c r="E49" i="22"/>
  <c r="F49" i="22"/>
  <c r="J49" i="22"/>
  <c r="L49" i="22"/>
  <c r="H49" i="22"/>
  <c r="K49" i="22"/>
  <c r="D48" i="22"/>
  <c r="E48" i="22"/>
  <c r="F48" i="22"/>
  <c r="J48" i="22"/>
  <c r="L48" i="22"/>
  <c r="H48" i="22"/>
  <c r="K48" i="22"/>
  <c r="D47" i="22"/>
  <c r="E47" i="22"/>
  <c r="F47" i="22"/>
  <c r="J47" i="22"/>
  <c r="L47" i="22"/>
  <c r="H47" i="22"/>
  <c r="K47" i="22"/>
  <c r="D46" i="22"/>
  <c r="E46" i="22"/>
  <c r="F46" i="22"/>
  <c r="J46" i="22"/>
  <c r="L46" i="22"/>
  <c r="H46" i="22"/>
  <c r="K46" i="22"/>
  <c r="D45" i="22"/>
  <c r="E45" i="22"/>
  <c r="F45" i="22"/>
  <c r="J45" i="22"/>
  <c r="L45" i="22"/>
  <c r="H45" i="22"/>
  <c r="K45" i="22"/>
  <c r="D44" i="22"/>
  <c r="E44" i="22"/>
  <c r="F44" i="22"/>
  <c r="J44" i="22"/>
  <c r="L44" i="22"/>
  <c r="H44" i="22"/>
  <c r="K44" i="22"/>
  <c r="D43" i="22"/>
  <c r="E43" i="22"/>
  <c r="F43" i="22"/>
  <c r="J43" i="22"/>
  <c r="L43" i="22"/>
  <c r="H43" i="22"/>
  <c r="K43" i="22"/>
  <c r="D42" i="22"/>
  <c r="E42" i="22"/>
  <c r="F42" i="22"/>
  <c r="J42" i="22"/>
  <c r="L42" i="22"/>
  <c r="H42" i="22"/>
  <c r="K42" i="22"/>
  <c r="D41" i="22"/>
  <c r="E41" i="22"/>
  <c r="F41" i="22"/>
  <c r="J41" i="22"/>
  <c r="L41" i="22"/>
  <c r="H41" i="22"/>
  <c r="K41" i="22"/>
  <c r="D40" i="22"/>
  <c r="E40" i="22"/>
  <c r="F40" i="22"/>
  <c r="J40" i="22"/>
  <c r="L40" i="22"/>
  <c r="H40" i="22"/>
  <c r="K40" i="22"/>
  <c r="D39" i="22"/>
  <c r="E39" i="22"/>
  <c r="F39" i="22"/>
  <c r="J39" i="22"/>
  <c r="L39" i="22"/>
  <c r="H39" i="22"/>
  <c r="K39" i="22"/>
  <c r="D38" i="22"/>
  <c r="E38" i="22"/>
  <c r="F38" i="22"/>
  <c r="J38" i="22"/>
  <c r="L38" i="22"/>
  <c r="H38" i="22"/>
  <c r="K38" i="22"/>
  <c r="D37" i="22"/>
  <c r="E37" i="22"/>
  <c r="F37" i="22"/>
  <c r="J37" i="22"/>
  <c r="L37" i="22"/>
  <c r="H37" i="22"/>
  <c r="K37" i="22"/>
  <c r="D36" i="22"/>
  <c r="E36" i="22"/>
  <c r="F36" i="22"/>
  <c r="J36" i="22"/>
  <c r="L36" i="22"/>
  <c r="H36" i="22"/>
  <c r="K36" i="22"/>
  <c r="D35" i="22"/>
  <c r="E35" i="22"/>
  <c r="F35" i="22"/>
  <c r="J35" i="22"/>
  <c r="L35" i="22"/>
  <c r="H35" i="22"/>
  <c r="K35" i="22"/>
  <c r="D34" i="22"/>
  <c r="E34" i="22"/>
  <c r="F34" i="22"/>
  <c r="J34" i="22"/>
  <c r="L34" i="22"/>
  <c r="H34" i="22"/>
  <c r="K34" i="22"/>
  <c r="D33" i="22"/>
  <c r="E33" i="22"/>
  <c r="F33" i="22"/>
  <c r="J33" i="22"/>
  <c r="L33" i="22"/>
  <c r="H33" i="22"/>
  <c r="K33" i="22"/>
  <c r="D32" i="22"/>
  <c r="E32" i="22"/>
  <c r="F32" i="22"/>
  <c r="J32" i="22"/>
  <c r="L32" i="22"/>
  <c r="H32" i="22"/>
  <c r="K32" i="22"/>
  <c r="D31" i="22"/>
  <c r="E31" i="22"/>
  <c r="F31" i="22"/>
  <c r="J31" i="22"/>
  <c r="L31" i="22"/>
  <c r="H31" i="22"/>
  <c r="K31" i="22"/>
  <c r="D30" i="22"/>
  <c r="E30" i="22"/>
  <c r="F30" i="22"/>
  <c r="J30" i="22"/>
  <c r="L30" i="22"/>
  <c r="H30" i="22"/>
  <c r="K30" i="22"/>
  <c r="D29" i="22"/>
  <c r="E29" i="22"/>
  <c r="F29" i="22"/>
  <c r="J29" i="22"/>
  <c r="L29" i="22"/>
  <c r="H29" i="22"/>
  <c r="K29" i="22"/>
  <c r="D28" i="22"/>
  <c r="E28" i="22"/>
  <c r="F28" i="22"/>
  <c r="J28" i="22"/>
  <c r="L28" i="22"/>
  <c r="H28" i="22"/>
  <c r="K28" i="22"/>
  <c r="D27" i="22"/>
  <c r="E27" i="22"/>
  <c r="F27" i="22"/>
  <c r="J27" i="22"/>
  <c r="L27" i="22"/>
  <c r="H27" i="22"/>
  <c r="K27" i="22"/>
  <c r="D26" i="22"/>
  <c r="E26" i="22"/>
  <c r="F26" i="22"/>
  <c r="J26" i="22"/>
  <c r="L26" i="22"/>
  <c r="H26" i="22"/>
  <c r="K26" i="22"/>
  <c r="D25" i="22"/>
  <c r="E25" i="22"/>
  <c r="F25" i="22"/>
  <c r="J25" i="22"/>
  <c r="L25" i="22"/>
  <c r="H25" i="22"/>
  <c r="K25" i="22"/>
  <c r="D24" i="22"/>
  <c r="E24" i="22"/>
  <c r="F24" i="22"/>
  <c r="J24" i="22"/>
  <c r="L24" i="22"/>
  <c r="H24" i="22"/>
  <c r="K24" i="22"/>
  <c r="D23" i="22"/>
  <c r="E23" i="22"/>
  <c r="F23" i="22"/>
  <c r="J23" i="22"/>
  <c r="L23" i="22"/>
  <c r="H23" i="22"/>
  <c r="K23" i="22"/>
  <c r="D22" i="22"/>
  <c r="E22" i="22"/>
  <c r="F22" i="22"/>
  <c r="J22" i="22"/>
  <c r="L22" i="22"/>
  <c r="H22" i="22"/>
  <c r="K22" i="22"/>
  <c r="D21" i="22"/>
  <c r="E21" i="22"/>
  <c r="F21" i="22"/>
  <c r="J21" i="22"/>
  <c r="L21" i="22"/>
  <c r="H21" i="22"/>
  <c r="K21" i="22"/>
  <c r="D20" i="22"/>
  <c r="E20" i="22"/>
  <c r="F20" i="22"/>
  <c r="J20" i="22"/>
  <c r="L20" i="22"/>
  <c r="H20" i="22"/>
  <c r="K20" i="22"/>
  <c r="D19" i="22"/>
  <c r="E19" i="22"/>
  <c r="F19" i="22"/>
  <c r="J19" i="22"/>
  <c r="L19" i="22"/>
  <c r="H19" i="22"/>
  <c r="K19" i="22"/>
  <c r="D18" i="22"/>
  <c r="E18" i="22"/>
  <c r="F18" i="22"/>
  <c r="J18" i="22"/>
  <c r="L18" i="22"/>
  <c r="H18" i="22"/>
  <c r="K18" i="22"/>
  <c r="D17" i="22"/>
  <c r="E17" i="22"/>
  <c r="F17" i="22"/>
  <c r="J17" i="22"/>
  <c r="L17" i="22"/>
  <c r="H17" i="22"/>
  <c r="K17" i="22"/>
  <c r="D16" i="22"/>
  <c r="E16" i="22"/>
  <c r="F16" i="22"/>
  <c r="J16" i="22"/>
  <c r="L16" i="22"/>
  <c r="H16" i="22"/>
  <c r="K16" i="22"/>
  <c r="D15" i="22"/>
  <c r="E15" i="22"/>
  <c r="F15" i="22"/>
  <c r="J15" i="22"/>
  <c r="L15" i="22"/>
  <c r="H15" i="22"/>
  <c r="K15" i="22"/>
  <c r="D14" i="22"/>
  <c r="E14" i="22"/>
  <c r="F14" i="22"/>
  <c r="J14" i="22"/>
  <c r="L14" i="22"/>
  <c r="H14" i="22"/>
  <c r="K14" i="22"/>
  <c r="D13" i="22"/>
  <c r="E13" i="22"/>
  <c r="F13" i="22"/>
  <c r="J13" i="22"/>
  <c r="L13" i="22"/>
  <c r="H13" i="22"/>
  <c r="K13" i="22"/>
  <c r="D12" i="22"/>
  <c r="E12" i="22"/>
  <c r="F12" i="22"/>
  <c r="J12" i="22"/>
  <c r="L12" i="22"/>
  <c r="H12" i="22"/>
  <c r="K12" i="22"/>
  <c r="D11" i="22"/>
  <c r="E11" i="22"/>
  <c r="F11" i="22"/>
  <c r="J11" i="22"/>
  <c r="L11" i="22"/>
  <c r="H11" i="22"/>
  <c r="K11" i="22"/>
  <c r="D10" i="22"/>
  <c r="E10" i="22"/>
  <c r="F10" i="22"/>
  <c r="J10" i="22"/>
  <c r="L10" i="22"/>
  <c r="H10" i="22"/>
  <c r="K10" i="22"/>
  <c r="D9" i="22"/>
  <c r="E9" i="22"/>
  <c r="F9" i="22"/>
  <c r="J9" i="22"/>
  <c r="L9" i="22"/>
  <c r="H9" i="22"/>
  <c r="K9" i="22"/>
  <c r="D8" i="22"/>
  <c r="E8" i="22"/>
  <c r="F8" i="22"/>
  <c r="J8" i="22"/>
  <c r="L8" i="22"/>
  <c r="H8" i="22"/>
  <c r="K8" i="22"/>
  <c r="D7" i="22"/>
  <c r="E7" i="22"/>
  <c r="F7" i="22"/>
  <c r="J7" i="22"/>
  <c r="L7" i="22"/>
  <c r="H7" i="22"/>
  <c r="K7" i="22"/>
  <c r="D6" i="22"/>
  <c r="E6" i="22"/>
  <c r="F6" i="22"/>
  <c r="J6" i="22"/>
  <c r="L6" i="22"/>
  <c r="H6" i="22"/>
  <c r="K6" i="22"/>
  <c r="D5" i="22"/>
  <c r="E5" i="22"/>
  <c r="F5" i="22"/>
  <c r="J5" i="22"/>
  <c r="L5" i="22"/>
  <c r="H5" i="22"/>
  <c r="K5" i="22"/>
  <c r="D4" i="22"/>
  <c r="E4" i="22"/>
  <c r="F4" i="22"/>
  <c r="J4" i="22"/>
  <c r="L4" i="22"/>
  <c r="H4" i="22"/>
  <c r="K4" i="22"/>
  <c r="D3" i="22"/>
  <c r="E3" i="22"/>
  <c r="F3" i="22"/>
  <c r="J3" i="22"/>
  <c r="L3" i="22"/>
  <c r="H3" i="22"/>
  <c r="K3" i="22"/>
  <c r="D2" i="22"/>
  <c r="E2" i="22"/>
  <c r="F2" i="22"/>
  <c r="J2" i="22"/>
  <c r="L2" i="22"/>
  <c r="H2" i="22"/>
  <c r="K2" i="22"/>
  <c r="H247" i="21"/>
  <c r="J247" i="21"/>
  <c r="K247" i="21"/>
  <c r="H246" i="21"/>
  <c r="J246" i="21"/>
  <c r="K246" i="21"/>
  <c r="H245" i="21"/>
  <c r="J245" i="21"/>
  <c r="K245" i="21"/>
  <c r="H244" i="21"/>
  <c r="J244" i="21"/>
  <c r="K244" i="21"/>
  <c r="H243" i="21"/>
  <c r="J243" i="21"/>
  <c r="K243" i="21"/>
  <c r="H242" i="21"/>
  <c r="J242" i="21"/>
  <c r="K242" i="21"/>
  <c r="E242" i="21"/>
  <c r="D241" i="21"/>
  <c r="E241" i="21"/>
  <c r="F241" i="21"/>
  <c r="J241" i="21"/>
  <c r="L241" i="21"/>
  <c r="H241" i="21"/>
  <c r="K241" i="21"/>
  <c r="D240" i="21"/>
  <c r="E240" i="21"/>
  <c r="F240" i="21"/>
  <c r="J240" i="21"/>
  <c r="L240" i="21"/>
  <c r="H240" i="21"/>
  <c r="K240" i="21"/>
  <c r="D239" i="21"/>
  <c r="E239" i="21"/>
  <c r="F239" i="21"/>
  <c r="J239" i="21"/>
  <c r="L239" i="21"/>
  <c r="H239" i="21"/>
  <c r="K239" i="21"/>
  <c r="D238" i="21"/>
  <c r="E238" i="21"/>
  <c r="F238" i="21"/>
  <c r="J238" i="21"/>
  <c r="L238" i="21"/>
  <c r="H238" i="21"/>
  <c r="K238" i="21"/>
  <c r="D237" i="21"/>
  <c r="E237" i="21"/>
  <c r="F237" i="21"/>
  <c r="J237" i="21"/>
  <c r="L237" i="21"/>
  <c r="H237" i="21"/>
  <c r="K237" i="21"/>
  <c r="D236" i="21"/>
  <c r="E236" i="21"/>
  <c r="F236" i="21"/>
  <c r="J236" i="21"/>
  <c r="L236" i="21"/>
  <c r="H236" i="21"/>
  <c r="K236" i="21"/>
  <c r="D235" i="21"/>
  <c r="E235" i="21"/>
  <c r="F235" i="21"/>
  <c r="J235" i="21"/>
  <c r="L235" i="21"/>
  <c r="H235" i="21"/>
  <c r="K235" i="21"/>
  <c r="D234" i="21"/>
  <c r="E234" i="21"/>
  <c r="F234" i="21"/>
  <c r="J234" i="21"/>
  <c r="L234" i="21"/>
  <c r="H234" i="21"/>
  <c r="K234" i="21"/>
  <c r="D233" i="21"/>
  <c r="E233" i="21"/>
  <c r="F233" i="21"/>
  <c r="J233" i="21"/>
  <c r="L233" i="21"/>
  <c r="H233" i="21"/>
  <c r="K233" i="21"/>
  <c r="D232" i="21"/>
  <c r="E232" i="21"/>
  <c r="F232" i="21"/>
  <c r="J232" i="21"/>
  <c r="L232" i="21"/>
  <c r="H232" i="21"/>
  <c r="K232" i="21"/>
  <c r="D231" i="21"/>
  <c r="E231" i="21"/>
  <c r="F231" i="21"/>
  <c r="J231" i="21"/>
  <c r="L231" i="21"/>
  <c r="H231" i="21"/>
  <c r="K231" i="21"/>
  <c r="D230" i="21"/>
  <c r="E230" i="21"/>
  <c r="F230" i="21"/>
  <c r="J230" i="21"/>
  <c r="L230" i="21"/>
  <c r="H230" i="21"/>
  <c r="K230" i="21"/>
  <c r="D229" i="21"/>
  <c r="E229" i="21"/>
  <c r="F229" i="21"/>
  <c r="J229" i="21"/>
  <c r="L229" i="21"/>
  <c r="H229" i="21"/>
  <c r="K229" i="21"/>
  <c r="D228" i="21"/>
  <c r="E228" i="21"/>
  <c r="F228" i="21"/>
  <c r="J228" i="21"/>
  <c r="L228" i="21"/>
  <c r="H228" i="21"/>
  <c r="K228" i="21"/>
  <c r="D227" i="21"/>
  <c r="E227" i="21"/>
  <c r="F227" i="21"/>
  <c r="J227" i="21"/>
  <c r="L227" i="21"/>
  <c r="H227" i="21"/>
  <c r="K227" i="21"/>
  <c r="D226" i="21"/>
  <c r="E226" i="21"/>
  <c r="F226" i="21"/>
  <c r="J226" i="21"/>
  <c r="L226" i="21"/>
  <c r="H226" i="21"/>
  <c r="K226" i="21"/>
  <c r="D225" i="21"/>
  <c r="E225" i="21"/>
  <c r="F225" i="21"/>
  <c r="J225" i="21"/>
  <c r="L225" i="21"/>
  <c r="H225" i="21"/>
  <c r="K225" i="21"/>
  <c r="D224" i="21"/>
  <c r="E224" i="21"/>
  <c r="F224" i="21"/>
  <c r="J224" i="21"/>
  <c r="L224" i="21"/>
  <c r="H224" i="21"/>
  <c r="K224" i="21"/>
  <c r="D223" i="21"/>
  <c r="E223" i="21"/>
  <c r="F223" i="21"/>
  <c r="J223" i="21"/>
  <c r="L223" i="21"/>
  <c r="H223" i="21"/>
  <c r="K223" i="21"/>
  <c r="D222" i="21"/>
  <c r="E222" i="21"/>
  <c r="F222" i="21"/>
  <c r="J222" i="21"/>
  <c r="L222" i="21"/>
  <c r="H222" i="21"/>
  <c r="K222" i="21"/>
  <c r="D221" i="21"/>
  <c r="E221" i="21"/>
  <c r="F221" i="21"/>
  <c r="J221" i="21"/>
  <c r="L221" i="21"/>
  <c r="H221" i="21"/>
  <c r="K221" i="21"/>
  <c r="D220" i="21"/>
  <c r="E220" i="21"/>
  <c r="F220" i="21"/>
  <c r="J220" i="21"/>
  <c r="L220" i="21"/>
  <c r="H220" i="21"/>
  <c r="K220" i="21"/>
  <c r="D219" i="21"/>
  <c r="E219" i="21"/>
  <c r="F219" i="21"/>
  <c r="J219" i="21"/>
  <c r="L219" i="21"/>
  <c r="H219" i="21"/>
  <c r="K219" i="21"/>
  <c r="D218" i="21"/>
  <c r="E218" i="21"/>
  <c r="F218" i="21"/>
  <c r="J218" i="21"/>
  <c r="L218" i="21"/>
  <c r="H218" i="21"/>
  <c r="K218" i="21"/>
  <c r="D217" i="21"/>
  <c r="E217" i="21"/>
  <c r="F217" i="21"/>
  <c r="J217" i="21"/>
  <c r="L217" i="21"/>
  <c r="H217" i="21"/>
  <c r="K217" i="21"/>
  <c r="D216" i="21"/>
  <c r="E216" i="21"/>
  <c r="F216" i="21"/>
  <c r="J216" i="21"/>
  <c r="L216" i="21"/>
  <c r="H216" i="21"/>
  <c r="K216" i="21"/>
  <c r="D215" i="21"/>
  <c r="E215" i="21"/>
  <c r="F215" i="21"/>
  <c r="J215" i="21"/>
  <c r="L215" i="21"/>
  <c r="H215" i="21"/>
  <c r="K215" i="21"/>
  <c r="D214" i="21"/>
  <c r="E214" i="21"/>
  <c r="F214" i="21"/>
  <c r="J214" i="21"/>
  <c r="L214" i="21"/>
  <c r="H214" i="21"/>
  <c r="K214" i="21"/>
  <c r="D213" i="21"/>
  <c r="E213" i="21"/>
  <c r="F213" i="21"/>
  <c r="J213" i="21"/>
  <c r="L213" i="21"/>
  <c r="H213" i="21"/>
  <c r="K213" i="21"/>
  <c r="D212" i="21"/>
  <c r="E212" i="21"/>
  <c r="F212" i="21"/>
  <c r="J212" i="21"/>
  <c r="L212" i="21"/>
  <c r="H212" i="21"/>
  <c r="K212" i="21"/>
  <c r="D211" i="21"/>
  <c r="E211" i="21"/>
  <c r="F211" i="21"/>
  <c r="J211" i="21"/>
  <c r="L211" i="21"/>
  <c r="H211" i="21"/>
  <c r="K211" i="21"/>
  <c r="D210" i="21"/>
  <c r="E210" i="21"/>
  <c r="F210" i="21"/>
  <c r="J210" i="21"/>
  <c r="L210" i="21"/>
  <c r="H210" i="21"/>
  <c r="K210" i="21"/>
  <c r="D209" i="21"/>
  <c r="E209" i="21"/>
  <c r="F209" i="21"/>
  <c r="J209" i="21"/>
  <c r="L209" i="21"/>
  <c r="H209" i="21"/>
  <c r="K209" i="21"/>
  <c r="D208" i="21"/>
  <c r="E208" i="21"/>
  <c r="F208" i="21"/>
  <c r="J208" i="21"/>
  <c r="L208" i="21"/>
  <c r="H208" i="21"/>
  <c r="K208" i="21"/>
  <c r="D207" i="21"/>
  <c r="E207" i="21"/>
  <c r="F207" i="21"/>
  <c r="J207" i="21"/>
  <c r="L207" i="21"/>
  <c r="H207" i="21"/>
  <c r="K207" i="21"/>
  <c r="D206" i="21"/>
  <c r="E206" i="21"/>
  <c r="F206" i="21"/>
  <c r="J206" i="21"/>
  <c r="L206" i="21"/>
  <c r="H206" i="21"/>
  <c r="K206" i="21"/>
  <c r="D205" i="21"/>
  <c r="E205" i="21"/>
  <c r="F205" i="21"/>
  <c r="J205" i="21"/>
  <c r="L205" i="21"/>
  <c r="H205" i="21"/>
  <c r="K205" i="21"/>
  <c r="D204" i="21"/>
  <c r="E204" i="21"/>
  <c r="F204" i="21"/>
  <c r="J204" i="21"/>
  <c r="L204" i="21"/>
  <c r="H204" i="21"/>
  <c r="K204" i="21"/>
  <c r="D203" i="21"/>
  <c r="E203" i="21"/>
  <c r="F203" i="21"/>
  <c r="J203" i="21"/>
  <c r="L203" i="21"/>
  <c r="H203" i="21"/>
  <c r="K203" i="21"/>
  <c r="D202" i="21"/>
  <c r="E202" i="21"/>
  <c r="F202" i="21"/>
  <c r="J202" i="21"/>
  <c r="L202" i="21"/>
  <c r="H202" i="21"/>
  <c r="K202" i="21"/>
  <c r="D201" i="21"/>
  <c r="E201" i="21"/>
  <c r="F201" i="21"/>
  <c r="J201" i="21"/>
  <c r="L201" i="21"/>
  <c r="H201" i="21"/>
  <c r="K201" i="21"/>
  <c r="D200" i="21"/>
  <c r="E200" i="21"/>
  <c r="F200" i="21"/>
  <c r="J200" i="21"/>
  <c r="L200" i="21"/>
  <c r="H200" i="21"/>
  <c r="K200" i="21"/>
  <c r="D199" i="21"/>
  <c r="E199" i="21"/>
  <c r="F199" i="21"/>
  <c r="J199" i="21"/>
  <c r="L199" i="21"/>
  <c r="H199" i="21"/>
  <c r="K199" i="21"/>
  <c r="D198" i="21"/>
  <c r="E198" i="21"/>
  <c r="F198" i="21"/>
  <c r="J198" i="21"/>
  <c r="L198" i="21"/>
  <c r="H198" i="21"/>
  <c r="K198" i="21"/>
  <c r="D197" i="21"/>
  <c r="E197" i="21"/>
  <c r="F197" i="21"/>
  <c r="J197" i="21"/>
  <c r="L197" i="21"/>
  <c r="H197" i="21"/>
  <c r="K197" i="21"/>
  <c r="D196" i="21"/>
  <c r="E196" i="21"/>
  <c r="F196" i="21"/>
  <c r="J196" i="21"/>
  <c r="L196" i="21"/>
  <c r="H196" i="21"/>
  <c r="K196" i="21"/>
  <c r="D195" i="21"/>
  <c r="E195" i="21"/>
  <c r="F195" i="21"/>
  <c r="J195" i="21"/>
  <c r="L195" i="21"/>
  <c r="H195" i="21"/>
  <c r="K195" i="21"/>
  <c r="D194" i="21"/>
  <c r="E194" i="21"/>
  <c r="F194" i="21"/>
  <c r="J194" i="21"/>
  <c r="L194" i="21"/>
  <c r="H194" i="21"/>
  <c r="K194" i="21"/>
  <c r="D193" i="21"/>
  <c r="E193" i="21"/>
  <c r="F193" i="21"/>
  <c r="J193" i="21"/>
  <c r="L193" i="21"/>
  <c r="H193" i="21"/>
  <c r="K193" i="21"/>
  <c r="D192" i="21"/>
  <c r="E192" i="21"/>
  <c r="F192" i="21"/>
  <c r="J192" i="21"/>
  <c r="L192" i="21"/>
  <c r="H192" i="21"/>
  <c r="K192" i="21"/>
  <c r="D191" i="21"/>
  <c r="E191" i="21"/>
  <c r="F191" i="21"/>
  <c r="J191" i="21"/>
  <c r="L191" i="21"/>
  <c r="H191" i="21"/>
  <c r="K191" i="21"/>
  <c r="D190" i="21"/>
  <c r="E190" i="21"/>
  <c r="F190" i="21"/>
  <c r="J190" i="21"/>
  <c r="L190" i="21"/>
  <c r="H190" i="21"/>
  <c r="K190" i="21"/>
  <c r="D189" i="21"/>
  <c r="E189" i="21"/>
  <c r="F189" i="21"/>
  <c r="J189" i="21"/>
  <c r="L189" i="21"/>
  <c r="H189" i="21"/>
  <c r="K189" i="21"/>
  <c r="D188" i="21"/>
  <c r="E188" i="21"/>
  <c r="F188" i="21"/>
  <c r="J188" i="21"/>
  <c r="L188" i="21"/>
  <c r="H188" i="21"/>
  <c r="K188" i="21"/>
  <c r="D187" i="21"/>
  <c r="E187" i="21"/>
  <c r="F187" i="21"/>
  <c r="J187" i="21"/>
  <c r="L187" i="21"/>
  <c r="H187" i="21"/>
  <c r="K187" i="21"/>
  <c r="D186" i="21"/>
  <c r="E186" i="21"/>
  <c r="F186" i="21"/>
  <c r="J186" i="21"/>
  <c r="L186" i="21"/>
  <c r="H186" i="21"/>
  <c r="K186" i="21"/>
  <c r="D185" i="21"/>
  <c r="E185" i="21"/>
  <c r="F185" i="21"/>
  <c r="J185" i="21"/>
  <c r="L185" i="21"/>
  <c r="H185" i="21"/>
  <c r="K185" i="21"/>
  <c r="D184" i="21"/>
  <c r="E184" i="21"/>
  <c r="F184" i="21"/>
  <c r="J184" i="21"/>
  <c r="L184" i="21"/>
  <c r="H184" i="21"/>
  <c r="K184" i="21"/>
  <c r="D183" i="21"/>
  <c r="E183" i="21"/>
  <c r="F183" i="21"/>
  <c r="J183" i="21"/>
  <c r="L183" i="21"/>
  <c r="H183" i="21"/>
  <c r="K183" i="21"/>
  <c r="D182" i="21"/>
  <c r="E182" i="21"/>
  <c r="F182" i="21"/>
  <c r="J182" i="21"/>
  <c r="L182" i="21"/>
  <c r="H182" i="21"/>
  <c r="K182" i="21"/>
  <c r="D181" i="21"/>
  <c r="E181" i="21"/>
  <c r="F181" i="21"/>
  <c r="J181" i="21"/>
  <c r="L181" i="21"/>
  <c r="H181" i="21"/>
  <c r="K181" i="21"/>
  <c r="D180" i="21"/>
  <c r="E180" i="21"/>
  <c r="F180" i="21"/>
  <c r="J180" i="21"/>
  <c r="L180" i="21"/>
  <c r="H180" i="21"/>
  <c r="K180" i="21"/>
  <c r="D179" i="21"/>
  <c r="E179" i="21"/>
  <c r="F179" i="21"/>
  <c r="J179" i="21"/>
  <c r="L179" i="21"/>
  <c r="H179" i="21"/>
  <c r="K179" i="21"/>
  <c r="D178" i="21"/>
  <c r="E178" i="21"/>
  <c r="F178" i="21"/>
  <c r="J178" i="21"/>
  <c r="L178" i="21"/>
  <c r="H178" i="21"/>
  <c r="K178" i="21"/>
  <c r="D177" i="21"/>
  <c r="E177" i="21"/>
  <c r="F177" i="21"/>
  <c r="J177" i="21"/>
  <c r="L177" i="21"/>
  <c r="H177" i="21"/>
  <c r="K177" i="21"/>
  <c r="D176" i="21"/>
  <c r="E176" i="21"/>
  <c r="F176" i="21"/>
  <c r="J176" i="21"/>
  <c r="L176" i="21"/>
  <c r="H176" i="21"/>
  <c r="K176" i="21"/>
  <c r="D175" i="21"/>
  <c r="E175" i="21"/>
  <c r="F175" i="21"/>
  <c r="J175" i="21"/>
  <c r="L175" i="21"/>
  <c r="H175" i="21"/>
  <c r="K175" i="21"/>
  <c r="D174" i="21"/>
  <c r="E174" i="21"/>
  <c r="F174" i="21"/>
  <c r="J174" i="21"/>
  <c r="L174" i="21"/>
  <c r="H174" i="21"/>
  <c r="K174" i="21"/>
  <c r="D173" i="21"/>
  <c r="E173" i="21"/>
  <c r="F173" i="21"/>
  <c r="J173" i="21"/>
  <c r="L173" i="21"/>
  <c r="H173" i="21"/>
  <c r="K173" i="21"/>
  <c r="D172" i="21"/>
  <c r="E172" i="21"/>
  <c r="F172" i="21"/>
  <c r="J172" i="21"/>
  <c r="L172" i="21"/>
  <c r="H172" i="21"/>
  <c r="K172" i="21"/>
  <c r="D171" i="21"/>
  <c r="E171" i="21"/>
  <c r="F171" i="21"/>
  <c r="J171" i="21"/>
  <c r="L171" i="21"/>
  <c r="H171" i="21"/>
  <c r="K171" i="21"/>
  <c r="D170" i="21"/>
  <c r="E170" i="21"/>
  <c r="F170" i="21"/>
  <c r="J170" i="21"/>
  <c r="L170" i="21"/>
  <c r="H170" i="21"/>
  <c r="K170" i="21"/>
  <c r="D169" i="21"/>
  <c r="E169" i="21"/>
  <c r="F169" i="21"/>
  <c r="J169" i="21"/>
  <c r="L169" i="21"/>
  <c r="H169" i="21"/>
  <c r="K169" i="21"/>
  <c r="D168" i="21"/>
  <c r="E168" i="21"/>
  <c r="F168" i="21"/>
  <c r="J168" i="21"/>
  <c r="L168" i="21"/>
  <c r="H168" i="21"/>
  <c r="K168" i="21"/>
  <c r="D167" i="21"/>
  <c r="E167" i="21"/>
  <c r="F167" i="21"/>
  <c r="J167" i="21"/>
  <c r="L167" i="21"/>
  <c r="H167" i="21"/>
  <c r="K167" i="21"/>
  <c r="D166" i="21"/>
  <c r="E166" i="21"/>
  <c r="F166" i="21"/>
  <c r="J166" i="21"/>
  <c r="L166" i="21"/>
  <c r="H166" i="21"/>
  <c r="K166" i="21"/>
  <c r="D165" i="21"/>
  <c r="E165" i="21"/>
  <c r="F165" i="21"/>
  <c r="J165" i="21"/>
  <c r="L165" i="21"/>
  <c r="H165" i="21"/>
  <c r="K165" i="21"/>
  <c r="D164" i="21"/>
  <c r="E164" i="21"/>
  <c r="F164" i="21"/>
  <c r="J164" i="21"/>
  <c r="L164" i="21"/>
  <c r="H164" i="21"/>
  <c r="K164" i="21"/>
  <c r="D163" i="21"/>
  <c r="E163" i="21"/>
  <c r="F163" i="21"/>
  <c r="J163" i="21"/>
  <c r="L163" i="21"/>
  <c r="H163" i="21"/>
  <c r="K163" i="21"/>
  <c r="D162" i="21"/>
  <c r="E162" i="21"/>
  <c r="F162" i="21"/>
  <c r="J162" i="21"/>
  <c r="L162" i="21"/>
  <c r="H162" i="21"/>
  <c r="K162" i="21"/>
  <c r="D161" i="21"/>
  <c r="E161" i="21"/>
  <c r="F161" i="21"/>
  <c r="J161" i="21"/>
  <c r="L161" i="21"/>
  <c r="H161" i="21"/>
  <c r="K161" i="21"/>
  <c r="D160" i="21"/>
  <c r="E160" i="21"/>
  <c r="F160" i="21"/>
  <c r="J160" i="21"/>
  <c r="L160" i="21"/>
  <c r="H160" i="21"/>
  <c r="K160" i="21"/>
  <c r="D159" i="21"/>
  <c r="E159" i="21"/>
  <c r="F159" i="21"/>
  <c r="J159" i="21"/>
  <c r="L159" i="21"/>
  <c r="H159" i="21"/>
  <c r="K159" i="21"/>
  <c r="D158" i="21"/>
  <c r="E158" i="21"/>
  <c r="F158" i="21"/>
  <c r="J158" i="21"/>
  <c r="L158" i="21"/>
  <c r="H158" i="21"/>
  <c r="K158" i="21"/>
  <c r="D157" i="21"/>
  <c r="E157" i="21"/>
  <c r="F157" i="21"/>
  <c r="J157" i="21"/>
  <c r="L157" i="21"/>
  <c r="H157" i="21"/>
  <c r="K157" i="21"/>
  <c r="D156" i="21"/>
  <c r="E156" i="21"/>
  <c r="F156" i="21"/>
  <c r="J156" i="21"/>
  <c r="L156" i="21"/>
  <c r="H156" i="21"/>
  <c r="K156" i="21"/>
  <c r="D155" i="21"/>
  <c r="E155" i="21"/>
  <c r="F155" i="21"/>
  <c r="J155" i="21"/>
  <c r="L155" i="21"/>
  <c r="H155" i="21"/>
  <c r="K155" i="21"/>
  <c r="D154" i="21"/>
  <c r="E154" i="21"/>
  <c r="F154" i="21"/>
  <c r="J154" i="21"/>
  <c r="L154" i="21"/>
  <c r="H154" i="21"/>
  <c r="K154" i="21"/>
  <c r="D153" i="21"/>
  <c r="E153" i="21"/>
  <c r="F153" i="21"/>
  <c r="J153" i="21"/>
  <c r="L153" i="21"/>
  <c r="H153" i="21"/>
  <c r="K153" i="21"/>
  <c r="D152" i="21"/>
  <c r="E152" i="21"/>
  <c r="F152" i="21"/>
  <c r="J152" i="21"/>
  <c r="L152" i="21"/>
  <c r="H152" i="21"/>
  <c r="K152" i="21"/>
  <c r="D151" i="21"/>
  <c r="E151" i="21"/>
  <c r="F151" i="21"/>
  <c r="J151" i="21"/>
  <c r="L151" i="21"/>
  <c r="H151" i="21"/>
  <c r="K151" i="21"/>
  <c r="D150" i="21"/>
  <c r="E150" i="21"/>
  <c r="F150" i="21"/>
  <c r="J150" i="21"/>
  <c r="L150" i="21"/>
  <c r="H150" i="21"/>
  <c r="K150" i="21"/>
  <c r="D149" i="21"/>
  <c r="E149" i="21"/>
  <c r="F149" i="21"/>
  <c r="J149" i="21"/>
  <c r="L149" i="21"/>
  <c r="H149" i="21"/>
  <c r="K149" i="21"/>
  <c r="D148" i="21"/>
  <c r="E148" i="21"/>
  <c r="F148" i="21"/>
  <c r="J148" i="21"/>
  <c r="L148" i="21"/>
  <c r="H148" i="21"/>
  <c r="K148" i="21"/>
  <c r="D147" i="21"/>
  <c r="E147" i="21"/>
  <c r="F147" i="21"/>
  <c r="J147" i="21"/>
  <c r="L147" i="21"/>
  <c r="H147" i="21"/>
  <c r="K147" i="21"/>
  <c r="D146" i="21"/>
  <c r="E146" i="21"/>
  <c r="F146" i="21"/>
  <c r="J146" i="21"/>
  <c r="L146" i="21"/>
  <c r="H146" i="21"/>
  <c r="K146" i="21"/>
  <c r="D145" i="21"/>
  <c r="E145" i="21"/>
  <c r="F145" i="21"/>
  <c r="J145" i="21"/>
  <c r="L145" i="21"/>
  <c r="H145" i="21"/>
  <c r="K145" i="21"/>
  <c r="D144" i="21"/>
  <c r="E144" i="21"/>
  <c r="F144" i="21"/>
  <c r="J144" i="21"/>
  <c r="L144" i="21"/>
  <c r="H144" i="21"/>
  <c r="K144" i="21"/>
  <c r="D143" i="21"/>
  <c r="E143" i="21"/>
  <c r="F143" i="21"/>
  <c r="J143" i="21"/>
  <c r="L143" i="21"/>
  <c r="H143" i="21"/>
  <c r="K143" i="21"/>
  <c r="D142" i="21"/>
  <c r="E142" i="21"/>
  <c r="F142" i="21"/>
  <c r="J142" i="21"/>
  <c r="L142" i="21"/>
  <c r="H142" i="21"/>
  <c r="K142" i="21"/>
  <c r="D141" i="21"/>
  <c r="E141" i="21"/>
  <c r="F141" i="21"/>
  <c r="J141" i="21"/>
  <c r="L141" i="21"/>
  <c r="H141" i="21"/>
  <c r="K141" i="21"/>
  <c r="D140" i="21"/>
  <c r="E140" i="21"/>
  <c r="F140" i="21"/>
  <c r="J140" i="21"/>
  <c r="L140" i="21"/>
  <c r="H140" i="21"/>
  <c r="K140" i="21"/>
  <c r="D139" i="21"/>
  <c r="E139" i="21"/>
  <c r="F139" i="21"/>
  <c r="J139" i="21"/>
  <c r="L139" i="21"/>
  <c r="H139" i="21"/>
  <c r="K139" i="21"/>
  <c r="D138" i="21"/>
  <c r="E138" i="21"/>
  <c r="F138" i="21"/>
  <c r="J138" i="21"/>
  <c r="L138" i="21"/>
  <c r="H138" i="21"/>
  <c r="K138" i="21"/>
  <c r="D137" i="21"/>
  <c r="E137" i="21"/>
  <c r="F137" i="21"/>
  <c r="J137" i="21"/>
  <c r="L137" i="21"/>
  <c r="H137" i="21"/>
  <c r="K137" i="21"/>
  <c r="D136" i="21"/>
  <c r="E136" i="21"/>
  <c r="F136" i="21"/>
  <c r="J136" i="21"/>
  <c r="L136" i="21"/>
  <c r="H136" i="21"/>
  <c r="K136" i="21"/>
  <c r="D135" i="21"/>
  <c r="E135" i="21"/>
  <c r="F135" i="21"/>
  <c r="J135" i="21"/>
  <c r="L135" i="21"/>
  <c r="H135" i="21"/>
  <c r="K135" i="21"/>
  <c r="D134" i="21"/>
  <c r="E134" i="21"/>
  <c r="F134" i="21"/>
  <c r="J134" i="21"/>
  <c r="L134" i="21"/>
  <c r="H134" i="21"/>
  <c r="K134" i="21"/>
  <c r="D133" i="21"/>
  <c r="E133" i="21"/>
  <c r="F133" i="21"/>
  <c r="J133" i="21"/>
  <c r="L133" i="21"/>
  <c r="H133" i="21"/>
  <c r="K133" i="21"/>
  <c r="D132" i="21"/>
  <c r="E132" i="21"/>
  <c r="F132" i="21"/>
  <c r="J132" i="21"/>
  <c r="L132" i="21"/>
  <c r="H132" i="21"/>
  <c r="K132" i="21"/>
  <c r="D131" i="21"/>
  <c r="E131" i="21"/>
  <c r="F131" i="21"/>
  <c r="J131" i="21"/>
  <c r="L131" i="21"/>
  <c r="H131" i="21"/>
  <c r="K131" i="21"/>
  <c r="D130" i="21"/>
  <c r="E130" i="21"/>
  <c r="F130" i="21"/>
  <c r="J130" i="21"/>
  <c r="L130" i="21"/>
  <c r="H130" i="21"/>
  <c r="K130" i="21"/>
  <c r="D129" i="21"/>
  <c r="E129" i="21"/>
  <c r="F129" i="21"/>
  <c r="J129" i="21"/>
  <c r="L129" i="21"/>
  <c r="H129" i="21"/>
  <c r="K129" i="21"/>
  <c r="D128" i="21"/>
  <c r="E128" i="21"/>
  <c r="F128" i="21"/>
  <c r="J128" i="21"/>
  <c r="L128" i="21"/>
  <c r="H128" i="21"/>
  <c r="K128" i="21"/>
  <c r="D127" i="21"/>
  <c r="E127" i="21"/>
  <c r="F127" i="21"/>
  <c r="J127" i="21"/>
  <c r="L127" i="21"/>
  <c r="H127" i="21"/>
  <c r="K127" i="21"/>
  <c r="D126" i="21"/>
  <c r="E126" i="21"/>
  <c r="F126" i="21"/>
  <c r="J126" i="21"/>
  <c r="L126" i="21"/>
  <c r="H126" i="21"/>
  <c r="K126" i="21"/>
  <c r="D125" i="21"/>
  <c r="E125" i="21"/>
  <c r="F125" i="21"/>
  <c r="J125" i="21"/>
  <c r="L125" i="21"/>
  <c r="H125" i="21"/>
  <c r="K125" i="21"/>
  <c r="D124" i="21"/>
  <c r="E124" i="21"/>
  <c r="F124" i="21"/>
  <c r="J124" i="21"/>
  <c r="L124" i="21"/>
  <c r="H124" i="21"/>
  <c r="K124" i="21"/>
  <c r="D123" i="21"/>
  <c r="E123" i="21"/>
  <c r="F123" i="21"/>
  <c r="J123" i="21"/>
  <c r="L123" i="21"/>
  <c r="H123" i="21"/>
  <c r="K123" i="21"/>
  <c r="D122" i="21"/>
  <c r="E122" i="21"/>
  <c r="F122" i="21"/>
  <c r="J122" i="21"/>
  <c r="L122" i="21"/>
  <c r="H122" i="21"/>
  <c r="K122" i="21"/>
  <c r="D121" i="21"/>
  <c r="E121" i="21"/>
  <c r="F121" i="21"/>
  <c r="J121" i="21"/>
  <c r="L121" i="21"/>
  <c r="H121" i="21"/>
  <c r="K121" i="21"/>
  <c r="D120" i="21"/>
  <c r="E120" i="21"/>
  <c r="F120" i="21"/>
  <c r="J120" i="21"/>
  <c r="L120" i="21"/>
  <c r="H120" i="21"/>
  <c r="K120" i="21"/>
  <c r="D119" i="21"/>
  <c r="E119" i="21"/>
  <c r="F119" i="21"/>
  <c r="J119" i="21"/>
  <c r="L119" i="21"/>
  <c r="H119" i="21"/>
  <c r="K119" i="21"/>
  <c r="D118" i="21"/>
  <c r="E118" i="21"/>
  <c r="F118" i="21"/>
  <c r="J118" i="21"/>
  <c r="L118" i="21"/>
  <c r="H118" i="21"/>
  <c r="K118" i="21"/>
  <c r="D117" i="21"/>
  <c r="E117" i="21"/>
  <c r="F117" i="21"/>
  <c r="J117" i="21"/>
  <c r="L117" i="21"/>
  <c r="H117" i="21"/>
  <c r="K117" i="21"/>
  <c r="D116" i="21"/>
  <c r="E116" i="21"/>
  <c r="F116" i="21"/>
  <c r="J116" i="21"/>
  <c r="L116" i="21"/>
  <c r="H116" i="21"/>
  <c r="K116" i="21"/>
  <c r="D115" i="21"/>
  <c r="E115" i="21"/>
  <c r="F115" i="21"/>
  <c r="J115" i="21"/>
  <c r="L115" i="21"/>
  <c r="H115" i="21"/>
  <c r="K115" i="21"/>
  <c r="D114" i="21"/>
  <c r="E114" i="21"/>
  <c r="F114" i="21"/>
  <c r="J114" i="21"/>
  <c r="L114" i="21"/>
  <c r="H114" i="21"/>
  <c r="K114" i="21"/>
  <c r="D113" i="21"/>
  <c r="E113" i="21"/>
  <c r="F113" i="21"/>
  <c r="J113" i="21"/>
  <c r="L113" i="21"/>
  <c r="H113" i="21"/>
  <c r="K113" i="21"/>
  <c r="D112" i="21"/>
  <c r="E112" i="21"/>
  <c r="F112" i="21"/>
  <c r="J112" i="21"/>
  <c r="L112" i="21"/>
  <c r="H112" i="21"/>
  <c r="K112" i="21"/>
  <c r="D111" i="21"/>
  <c r="E111" i="21"/>
  <c r="F111" i="21"/>
  <c r="J111" i="21"/>
  <c r="L111" i="21"/>
  <c r="H111" i="21"/>
  <c r="K111" i="21"/>
  <c r="D110" i="21"/>
  <c r="E110" i="21"/>
  <c r="F110" i="21"/>
  <c r="J110" i="21"/>
  <c r="L110" i="21"/>
  <c r="H110" i="21"/>
  <c r="K110" i="21"/>
  <c r="D109" i="21"/>
  <c r="E109" i="21"/>
  <c r="F109" i="21"/>
  <c r="J109" i="21"/>
  <c r="L109" i="21"/>
  <c r="H109" i="21"/>
  <c r="K109" i="21"/>
  <c r="D108" i="21"/>
  <c r="E108" i="21"/>
  <c r="F108" i="21"/>
  <c r="J108" i="21"/>
  <c r="L108" i="21"/>
  <c r="H108" i="21"/>
  <c r="K108" i="21"/>
  <c r="D107" i="21"/>
  <c r="E107" i="21"/>
  <c r="F107" i="21"/>
  <c r="J107" i="21"/>
  <c r="L107" i="21"/>
  <c r="H107" i="21"/>
  <c r="K107" i="21"/>
  <c r="D106" i="21"/>
  <c r="E106" i="21"/>
  <c r="F106" i="21"/>
  <c r="J106" i="21"/>
  <c r="L106" i="21"/>
  <c r="H106" i="21"/>
  <c r="K106" i="21"/>
  <c r="D105" i="21"/>
  <c r="E105" i="21"/>
  <c r="F105" i="21"/>
  <c r="J105" i="21"/>
  <c r="L105" i="21"/>
  <c r="H105" i="21"/>
  <c r="K105" i="21"/>
  <c r="D104" i="21"/>
  <c r="E104" i="21"/>
  <c r="F104" i="21"/>
  <c r="J104" i="21"/>
  <c r="L104" i="21"/>
  <c r="H104" i="21"/>
  <c r="K104" i="21"/>
  <c r="D103" i="21"/>
  <c r="E103" i="21"/>
  <c r="F103" i="21"/>
  <c r="J103" i="21"/>
  <c r="L103" i="21"/>
  <c r="H103" i="21"/>
  <c r="K103" i="21"/>
  <c r="D102" i="21"/>
  <c r="E102" i="21"/>
  <c r="F102" i="21"/>
  <c r="J102" i="21"/>
  <c r="L102" i="21"/>
  <c r="H102" i="21"/>
  <c r="K102" i="21"/>
  <c r="D101" i="21"/>
  <c r="E101" i="21"/>
  <c r="F101" i="21"/>
  <c r="J101" i="21"/>
  <c r="L101" i="21"/>
  <c r="H101" i="21"/>
  <c r="K101" i="21"/>
  <c r="D100" i="21"/>
  <c r="E100" i="21"/>
  <c r="F100" i="21"/>
  <c r="J100" i="21"/>
  <c r="L100" i="21"/>
  <c r="H100" i="21"/>
  <c r="K100" i="21"/>
  <c r="D99" i="21"/>
  <c r="E99" i="21"/>
  <c r="F99" i="21"/>
  <c r="J99" i="21"/>
  <c r="L99" i="21"/>
  <c r="H99" i="21"/>
  <c r="K99" i="21"/>
  <c r="D98" i="21"/>
  <c r="E98" i="21"/>
  <c r="F98" i="21"/>
  <c r="J98" i="21"/>
  <c r="L98" i="21"/>
  <c r="H98" i="21"/>
  <c r="K98" i="21"/>
  <c r="D97" i="21"/>
  <c r="E97" i="21"/>
  <c r="F97" i="21"/>
  <c r="J97" i="21"/>
  <c r="L97" i="21"/>
  <c r="H97" i="21"/>
  <c r="K97" i="21"/>
  <c r="D96" i="21"/>
  <c r="E96" i="21"/>
  <c r="F96" i="21"/>
  <c r="J96" i="21"/>
  <c r="L96" i="21"/>
  <c r="H96" i="21"/>
  <c r="K96" i="21"/>
  <c r="D95" i="21"/>
  <c r="E95" i="21"/>
  <c r="F95" i="21"/>
  <c r="J95" i="21"/>
  <c r="L95" i="21"/>
  <c r="H95" i="21"/>
  <c r="K95" i="21"/>
  <c r="D94" i="21"/>
  <c r="E94" i="21"/>
  <c r="F94" i="21"/>
  <c r="J94" i="21"/>
  <c r="L94" i="21"/>
  <c r="H94" i="21"/>
  <c r="K94" i="21"/>
  <c r="D93" i="21"/>
  <c r="E93" i="21"/>
  <c r="F93" i="21"/>
  <c r="J93" i="21"/>
  <c r="L93" i="21"/>
  <c r="H93" i="21"/>
  <c r="K93" i="21"/>
  <c r="D92" i="21"/>
  <c r="E92" i="21"/>
  <c r="F92" i="21"/>
  <c r="J92" i="21"/>
  <c r="L92" i="21"/>
  <c r="H92" i="21"/>
  <c r="K92" i="21"/>
  <c r="D91" i="21"/>
  <c r="E91" i="21"/>
  <c r="F91" i="21"/>
  <c r="J91" i="21"/>
  <c r="L91" i="21"/>
  <c r="H91" i="21"/>
  <c r="K91" i="21"/>
  <c r="D90" i="21"/>
  <c r="E90" i="21"/>
  <c r="F90" i="21"/>
  <c r="J90" i="21"/>
  <c r="L90" i="21"/>
  <c r="H90" i="21"/>
  <c r="K90" i="21"/>
  <c r="D89" i="21"/>
  <c r="E89" i="21"/>
  <c r="F89" i="21"/>
  <c r="J89" i="21"/>
  <c r="L89" i="21"/>
  <c r="H89" i="21"/>
  <c r="K89" i="21"/>
  <c r="D88" i="21"/>
  <c r="E88" i="21"/>
  <c r="F88" i="21"/>
  <c r="J88" i="21"/>
  <c r="L88" i="21"/>
  <c r="H88" i="21"/>
  <c r="K88" i="21"/>
  <c r="D87" i="21"/>
  <c r="E87" i="21"/>
  <c r="F87" i="21"/>
  <c r="J87" i="21"/>
  <c r="L87" i="21"/>
  <c r="H87" i="21"/>
  <c r="K87" i="21"/>
  <c r="D86" i="21"/>
  <c r="E86" i="21"/>
  <c r="F86" i="21"/>
  <c r="J86" i="21"/>
  <c r="L86" i="21"/>
  <c r="H86" i="21"/>
  <c r="K86" i="21"/>
  <c r="D85" i="21"/>
  <c r="E85" i="21"/>
  <c r="F85" i="21"/>
  <c r="J85" i="21"/>
  <c r="L85" i="21"/>
  <c r="H85" i="21"/>
  <c r="K85" i="21"/>
  <c r="D84" i="21"/>
  <c r="E84" i="21"/>
  <c r="F84" i="21"/>
  <c r="J84" i="21"/>
  <c r="L84" i="21"/>
  <c r="H84" i="21"/>
  <c r="K84" i="21"/>
  <c r="D83" i="21"/>
  <c r="E83" i="21"/>
  <c r="F83" i="21"/>
  <c r="J83" i="21"/>
  <c r="L83" i="21"/>
  <c r="H83" i="21"/>
  <c r="K83" i="21"/>
  <c r="D82" i="21"/>
  <c r="E82" i="21"/>
  <c r="F82" i="21"/>
  <c r="J82" i="21"/>
  <c r="L82" i="21"/>
  <c r="H82" i="21"/>
  <c r="K82" i="21"/>
  <c r="D81" i="21"/>
  <c r="E81" i="21"/>
  <c r="F81" i="21"/>
  <c r="J81" i="21"/>
  <c r="L81" i="21"/>
  <c r="H81" i="21"/>
  <c r="K81" i="21"/>
  <c r="D80" i="21"/>
  <c r="E80" i="21"/>
  <c r="F80" i="21"/>
  <c r="J80" i="21"/>
  <c r="L80" i="21"/>
  <c r="H80" i="21"/>
  <c r="K80" i="21"/>
  <c r="D79" i="21"/>
  <c r="E79" i="21"/>
  <c r="F79" i="21"/>
  <c r="J79" i="21"/>
  <c r="L79" i="21"/>
  <c r="H79" i="21"/>
  <c r="K79" i="21"/>
  <c r="D78" i="21"/>
  <c r="E78" i="21"/>
  <c r="F78" i="21"/>
  <c r="J78" i="21"/>
  <c r="L78" i="21"/>
  <c r="H78" i="21"/>
  <c r="K78" i="21"/>
  <c r="D77" i="21"/>
  <c r="E77" i="21"/>
  <c r="F77" i="21"/>
  <c r="J77" i="21"/>
  <c r="L77" i="21"/>
  <c r="H77" i="21"/>
  <c r="K77" i="21"/>
  <c r="D76" i="21"/>
  <c r="E76" i="21"/>
  <c r="F76" i="21"/>
  <c r="J76" i="21"/>
  <c r="L76" i="21"/>
  <c r="H76" i="21"/>
  <c r="K76" i="21"/>
  <c r="D75" i="21"/>
  <c r="E75" i="21"/>
  <c r="F75" i="21"/>
  <c r="J75" i="21"/>
  <c r="L75" i="21"/>
  <c r="H75" i="21"/>
  <c r="K75" i="21"/>
  <c r="D74" i="21"/>
  <c r="E74" i="21"/>
  <c r="F74" i="21"/>
  <c r="J74" i="21"/>
  <c r="L74" i="21"/>
  <c r="H74" i="21"/>
  <c r="K74" i="21"/>
  <c r="D73" i="21"/>
  <c r="E73" i="21"/>
  <c r="F73" i="21"/>
  <c r="J73" i="21"/>
  <c r="L73" i="21"/>
  <c r="H73" i="21"/>
  <c r="K73" i="21"/>
  <c r="D72" i="21"/>
  <c r="E72" i="21"/>
  <c r="F72" i="21"/>
  <c r="J72" i="21"/>
  <c r="L72" i="21"/>
  <c r="H72" i="21"/>
  <c r="K72" i="21"/>
  <c r="D71" i="21"/>
  <c r="E71" i="21"/>
  <c r="F71" i="21"/>
  <c r="J71" i="21"/>
  <c r="L71" i="21"/>
  <c r="H71" i="21"/>
  <c r="K71" i="21"/>
  <c r="D70" i="21"/>
  <c r="E70" i="21"/>
  <c r="F70" i="21"/>
  <c r="J70" i="21"/>
  <c r="L70" i="21"/>
  <c r="H70" i="21"/>
  <c r="K70" i="21"/>
  <c r="D69" i="21"/>
  <c r="E69" i="21"/>
  <c r="F69" i="21"/>
  <c r="J69" i="21"/>
  <c r="L69" i="21"/>
  <c r="H69" i="21"/>
  <c r="K69" i="21"/>
  <c r="D68" i="21"/>
  <c r="E68" i="21"/>
  <c r="F68" i="21"/>
  <c r="J68" i="21"/>
  <c r="L68" i="21"/>
  <c r="H68" i="21"/>
  <c r="K68" i="21"/>
  <c r="D67" i="21"/>
  <c r="E67" i="21"/>
  <c r="F67" i="21"/>
  <c r="J67" i="21"/>
  <c r="L67" i="21"/>
  <c r="H67" i="21"/>
  <c r="K67" i="21"/>
  <c r="D66" i="21"/>
  <c r="E66" i="21"/>
  <c r="F66" i="21"/>
  <c r="J66" i="21"/>
  <c r="L66" i="21"/>
  <c r="H66" i="21"/>
  <c r="K66" i="21"/>
  <c r="D65" i="21"/>
  <c r="E65" i="21"/>
  <c r="F65" i="21"/>
  <c r="J65" i="21"/>
  <c r="L65" i="21"/>
  <c r="H65" i="21"/>
  <c r="K65" i="21"/>
  <c r="D64" i="21"/>
  <c r="E64" i="21"/>
  <c r="F64" i="21"/>
  <c r="J64" i="21"/>
  <c r="L64" i="21"/>
  <c r="H64" i="21"/>
  <c r="K64" i="21"/>
  <c r="D63" i="21"/>
  <c r="E63" i="21"/>
  <c r="F63" i="21"/>
  <c r="J63" i="21"/>
  <c r="L63" i="21"/>
  <c r="H63" i="21"/>
  <c r="K63" i="21"/>
  <c r="D62" i="21"/>
  <c r="E62" i="21"/>
  <c r="F62" i="21"/>
  <c r="J62" i="21"/>
  <c r="L62" i="21"/>
  <c r="H62" i="21"/>
  <c r="K62" i="21"/>
  <c r="D61" i="21"/>
  <c r="E61" i="21"/>
  <c r="F61" i="21"/>
  <c r="J61" i="21"/>
  <c r="L61" i="21"/>
  <c r="H61" i="21"/>
  <c r="K61" i="21"/>
  <c r="D60" i="21"/>
  <c r="E60" i="21"/>
  <c r="F60" i="21"/>
  <c r="J60" i="21"/>
  <c r="L60" i="21"/>
  <c r="H60" i="21"/>
  <c r="K60" i="21"/>
  <c r="D59" i="21"/>
  <c r="E59" i="21"/>
  <c r="F59" i="21"/>
  <c r="J59" i="21"/>
  <c r="L59" i="21"/>
  <c r="H59" i="21"/>
  <c r="K59" i="21"/>
  <c r="D58" i="21"/>
  <c r="E58" i="21"/>
  <c r="F58" i="21"/>
  <c r="J58" i="21"/>
  <c r="L58" i="21"/>
  <c r="H58" i="21"/>
  <c r="K58" i="21"/>
  <c r="D57" i="21"/>
  <c r="E57" i="21"/>
  <c r="F57" i="21"/>
  <c r="J57" i="21"/>
  <c r="L57" i="21"/>
  <c r="H57" i="21"/>
  <c r="K57" i="21"/>
  <c r="D56" i="21"/>
  <c r="E56" i="21"/>
  <c r="F56" i="21"/>
  <c r="J56" i="21"/>
  <c r="L56" i="21"/>
  <c r="H56" i="21"/>
  <c r="K56" i="21"/>
  <c r="D55" i="21"/>
  <c r="E55" i="21"/>
  <c r="F55" i="21"/>
  <c r="J55" i="21"/>
  <c r="L55" i="21"/>
  <c r="H55" i="21"/>
  <c r="K55" i="21"/>
  <c r="D54" i="21"/>
  <c r="E54" i="21"/>
  <c r="F54" i="21"/>
  <c r="J54" i="21"/>
  <c r="L54" i="21"/>
  <c r="H54" i="21"/>
  <c r="K54" i="21"/>
  <c r="D53" i="21"/>
  <c r="E53" i="21"/>
  <c r="F53" i="21"/>
  <c r="J53" i="21"/>
  <c r="L53" i="21"/>
  <c r="H53" i="21"/>
  <c r="K53" i="21"/>
  <c r="D52" i="21"/>
  <c r="E52" i="21"/>
  <c r="F52" i="21"/>
  <c r="J52" i="21"/>
  <c r="L52" i="21"/>
  <c r="H52" i="21"/>
  <c r="K52" i="21"/>
  <c r="D51" i="21"/>
  <c r="E51" i="21"/>
  <c r="F51" i="21"/>
  <c r="J51" i="21"/>
  <c r="L51" i="21"/>
  <c r="H51" i="21"/>
  <c r="K51" i="21"/>
  <c r="D50" i="21"/>
  <c r="E50" i="21"/>
  <c r="F50" i="21"/>
  <c r="J50" i="21"/>
  <c r="L50" i="21"/>
  <c r="H50" i="21"/>
  <c r="K50" i="21"/>
  <c r="D49" i="21"/>
  <c r="E49" i="21"/>
  <c r="F49" i="21"/>
  <c r="J49" i="21"/>
  <c r="L49" i="21"/>
  <c r="H49" i="21"/>
  <c r="K49" i="21"/>
  <c r="D48" i="21"/>
  <c r="E48" i="21"/>
  <c r="F48" i="21"/>
  <c r="J48" i="21"/>
  <c r="L48" i="21"/>
  <c r="H48" i="21"/>
  <c r="K48" i="21"/>
  <c r="D47" i="21"/>
  <c r="E47" i="21"/>
  <c r="F47" i="21"/>
  <c r="J47" i="21"/>
  <c r="L47" i="21"/>
  <c r="H47" i="21"/>
  <c r="K47" i="21"/>
  <c r="D46" i="21"/>
  <c r="E46" i="21"/>
  <c r="F46" i="21"/>
  <c r="J46" i="21"/>
  <c r="L46" i="21"/>
  <c r="H46" i="21"/>
  <c r="K46" i="21"/>
  <c r="D45" i="21"/>
  <c r="E45" i="21"/>
  <c r="F45" i="21"/>
  <c r="J45" i="21"/>
  <c r="L45" i="21"/>
  <c r="H45" i="21"/>
  <c r="K45" i="21"/>
  <c r="D44" i="21"/>
  <c r="E44" i="21"/>
  <c r="F44" i="21"/>
  <c r="J44" i="21"/>
  <c r="L44" i="21"/>
  <c r="H44" i="21"/>
  <c r="K44" i="21"/>
  <c r="D43" i="21"/>
  <c r="E43" i="21"/>
  <c r="F43" i="21"/>
  <c r="J43" i="21"/>
  <c r="L43" i="21"/>
  <c r="H43" i="21"/>
  <c r="K43" i="21"/>
  <c r="D42" i="21"/>
  <c r="E42" i="21"/>
  <c r="F42" i="21"/>
  <c r="J42" i="21"/>
  <c r="L42" i="21"/>
  <c r="H42" i="21"/>
  <c r="K42" i="21"/>
  <c r="D41" i="21"/>
  <c r="E41" i="21"/>
  <c r="F41" i="21"/>
  <c r="J41" i="21"/>
  <c r="L41" i="21"/>
  <c r="H41" i="21"/>
  <c r="K41" i="21"/>
  <c r="D40" i="21"/>
  <c r="E40" i="21"/>
  <c r="F40" i="21"/>
  <c r="J40" i="21"/>
  <c r="L40" i="21"/>
  <c r="H40" i="21"/>
  <c r="K40" i="21"/>
  <c r="D39" i="21"/>
  <c r="E39" i="21"/>
  <c r="F39" i="21"/>
  <c r="J39" i="21"/>
  <c r="L39" i="21"/>
  <c r="H39" i="21"/>
  <c r="K39" i="21"/>
  <c r="D38" i="21"/>
  <c r="E38" i="21"/>
  <c r="F38" i="21"/>
  <c r="J38" i="21"/>
  <c r="L38" i="21"/>
  <c r="H38" i="21"/>
  <c r="K38" i="21"/>
  <c r="D37" i="21"/>
  <c r="E37" i="21"/>
  <c r="F37" i="21"/>
  <c r="J37" i="21"/>
  <c r="L37" i="21"/>
  <c r="H37" i="21"/>
  <c r="K37" i="21"/>
  <c r="D36" i="21"/>
  <c r="E36" i="21"/>
  <c r="F36" i="21"/>
  <c r="J36" i="21"/>
  <c r="L36" i="21"/>
  <c r="H36" i="21"/>
  <c r="K36" i="21"/>
  <c r="D35" i="21"/>
  <c r="E35" i="21"/>
  <c r="F35" i="21"/>
  <c r="J35" i="21"/>
  <c r="L35" i="21"/>
  <c r="H35" i="21"/>
  <c r="K35" i="21"/>
  <c r="D34" i="21"/>
  <c r="E34" i="21"/>
  <c r="F34" i="21"/>
  <c r="J34" i="21"/>
  <c r="L34" i="21"/>
  <c r="H34" i="21"/>
  <c r="K34" i="21"/>
  <c r="D33" i="21"/>
  <c r="E33" i="21"/>
  <c r="F33" i="21"/>
  <c r="J33" i="21"/>
  <c r="L33" i="21"/>
  <c r="H33" i="21"/>
  <c r="K33" i="21"/>
  <c r="D32" i="21"/>
  <c r="E32" i="21"/>
  <c r="F32" i="21"/>
  <c r="J32" i="21"/>
  <c r="L32" i="21"/>
  <c r="H32" i="21"/>
  <c r="K32" i="21"/>
  <c r="D31" i="21"/>
  <c r="E31" i="21"/>
  <c r="F31" i="21"/>
  <c r="J31" i="21"/>
  <c r="L31" i="21"/>
  <c r="H31" i="21"/>
  <c r="K31" i="21"/>
  <c r="D30" i="21"/>
  <c r="E30" i="21"/>
  <c r="F30" i="21"/>
  <c r="J30" i="21"/>
  <c r="L30" i="21"/>
  <c r="H30" i="21"/>
  <c r="K30" i="21"/>
  <c r="D29" i="21"/>
  <c r="E29" i="21"/>
  <c r="F29" i="21"/>
  <c r="J29" i="21"/>
  <c r="L29" i="21"/>
  <c r="H29" i="21"/>
  <c r="K29" i="21"/>
  <c r="D28" i="21"/>
  <c r="E28" i="21"/>
  <c r="F28" i="21"/>
  <c r="J28" i="21"/>
  <c r="L28" i="21"/>
  <c r="H28" i="21"/>
  <c r="K28" i="21"/>
  <c r="D27" i="21"/>
  <c r="E27" i="21"/>
  <c r="F27" i="21"/>
  <c r="J27" i="21"/>
  <c r="L27" i="21"/>
  <c r="H27" i="21"/>
  <c r="K27" i="21"/>
  <c r="D26" i="21"/>
  <c r="E26" i="21"/>
  <c r="F26" i="21"/>
  <c r="J26" i="21"/>
  <c r="L26" i="21"/>
  <c r="H26" i="21"/>
  <c r="K26" i="21"/>
  <c r="D25" i="21"/>
  <c r="E25" i="21"/>
  <c r="F25" i="21"/>
  <c r="J25" i="21"/>
  <c r="L25" i="21"/>
  <c r="H25" i="21"/>
  <c r="K25" i="21"/>
  <c r="D24" i="21"/>
  <c r="E24" i="21"/>
  <c r="F24" i="21"/>
  <c r="J24" i="21"/>
  <c r="L24" i="21"/>
  <c r="H24" i="21"/>
  <c r="K24" i="21"/>
  <c r="D23" i="21"/>
  <c r="E23" i="21"/>
  <c r="F23" i="21"/>
  <c r="J23" i="21"/>
  <c r="L23" i="21"/>
  <c r="H23" i="21"/>
  <c r="K23" i="21"/>
  <c r="D22" i="21"/>
  <c r="E22" i="21"/>
  <c r="F22" i="21"/>
  <c r="J22" i="21"/>
  <c r="L22" i="21"/>
  <c r="H22" i="21"/>
  <c r="K22" i="21"/>
  <c r="D21" i="21"/>
  <c r="E21" i="21"/>
  <c r="F21" i="21"/>
  <c r="J21" i="21"/>
  <c r="L21" i="21"/>
  <c r="H21" i="21"/>
  <c r="K21" i="21"/>
  <c r="D20" i="21"/>
  <c r="E20" i="21"/>
  <c r="F20" i="21"/>
  <c r="J20" i="21"/>
  <c r="L20" i="21"/>
  <c r="H20" i="21"/>
  <c r="K20" i="21"/>
  <c r="D19" i="21"/>
  <c r="E19" i="21"/>
  <c r="F19" i="21"/>
  <c r="J19" i="21"/>
  <c r="L19" i="21"/>
  <c r="H19" i="21"/>
  <c r="K19" i="21"/>
  <c r="D18" i="21"/>
  <c r="E18" i="21"/>
  <c r="F18" i="21"/>
  <c r="J18" i="21"/>
  <c r="L18" i="21"/>
  <c r="H18" i="21"/>
  <c r="K18" i="21"/>
  <c r="D17" i="21"/>
  <c r="E17" i="21"/>
  <c r="F17" i="21"/>
  <c r="J17" i="21"/>
  <c r="L17" i="21"/>
  <c r="H17" i="21"/>
  <c r="K17" i="21"/>
  <c r="D16" i="21"/>
  <c r="E16" i="21"/>
  <c r="F16" i="21"/>
  <c r="J16" i="21"/>
  <c r="L16" i="21"/>
  <c r="H16" i="21"/>
  <c r="K16" i="21"/>
  <c r="D15" i="21"/>
  <c r="E15" i="21"/>
  <c r="F15" i="21"/>
  <c r="J15" i="21"/>
  <c r="L15" i="21"/>
  <c r="H15" i="21"/>
  <c r="K15" i="21"/>
  <c r="D14" i="21"/>
  <c r="E14" i="21"/>
  <c r="F14" i="21"/>
  <c r="J14" i="21"/>
  <c r="L14" i="21"/>
  <c r="H14" i="21"/>
  <c r="K14" i="21"/>
  <c r="D13" i="21"/>
  <c r="E13" i="21"/>
  <c r="F13" i="21"/>
  <c r="J13" i="21"/>
  <c r="L13" i="21"/>
  <c r="H13" i="21"/>
  <c r="K13" i="21"/>
  <c r="D12" i="21"/>
  <c r="E12" i="21"/>
  <c r="F12" i="21"/>
  <c r="J12" i="21"/>
  <c r="L12" i="21"/>
  <c r="H12" i="21"/>
  <c r="K12" i="21"/>
  <c r="D11" i="21"/>
  <c r="E11" i="21"/>
  <c r="F11" i="21"/>
  <c r="J11" i="21"/>
  <c r="L11" i="21"/>
  <c r="H11" i="21"/>
  <c r="K11" i="21"/>
  <c r="D10" i="21"/>
  <c r="E10" i="21"/>
  <c r="F10" i="21"/>
  <c r="J10" i="21"/>
  <c r="L10" i="21"/>
  <c r="H10" i="21"/>
  <c r="K10" i="21"/>
  <c r="D9" i="21"/>
  <c r="E9" i="21"/>
  <c r="F9" i="21"/>
  <c r="J9" i="21"/>
  <c r="L9" i="21"/>
  <c r="H9" i="21"/>
  <c r="K9" i="21"/>
  <c r="D8" i="21"/>
  <c r="E8" i="21"/>
  <c r="F8" i="21"/>
  <c r="J8" i="21"/>
  <c r="L8" i="21"/>
  <c r="H8" i="21"/>
  <c r="K8" i="21"/>
  <c r="D7" i="21"/>
  <c r="E7" i="21"/>
  <c r="F7" i="21"/>
  <c r="J7" i="21"/>
  <c r="L7" i="21"/>
  <c r="H7" i="21"/>
  <c r="K7" i="21"/>
  <c r="D6" i="21"/>
  <c r="E6" i="21"/>
  <c r="F6" i="21"/>
  <c r="J6" i="21"/>
  <c r="L6" i="21"/>
  <c r="H6" i="21"/>
  <c r="K6" i="21"/>
  <c r="D5" i="21"/>
  <c r="E5" i="21"/>
  <c r="F5" i="21"/>
  <c r="J5" i="21"/>
  <c r="L5" i="21"/>
  <c r="H5" i="21"/>
  <c r="K5" i="21"/>
  <c r="D4" i="21"/>
  <c r="E4" i="21"/>
  <c r="F4" i="21"/>
  <c r="J4" i="21"/>
  <c r="L4" i="21"/>
  <c r="H4" i="21"/>
  <c r="K4" i="21"/>
  <c r="D3" i="21"/>
  <c r="E3" i="21"/>
  <c r="F3" i="21"/>
  <c r="J3" i="21"/>
  <c r="L3" i="21"/>
  <c r="H3" i="21"/>
  <c r="K3" i="21"/>
  <c r="D2" i="21"/>
  <c r="E2" i="21"/>
  <c r="F2" i="21"/>
  <c r="L2" i="21"/>
  <c r="H2" i="21"/>
  <c r="K2" i="21"/>
  <c r="G5" i="19"/>
  <c r="G6" i="19"/>
  <c r="O3" i="19"/>
  <c r="I60" i="14"/>
  <c r="I62" i="14"/>
  <c r="J43" i="17"/>
  <c r="K43" i="17"/>
  <c r="L43" i="17"/>
  <c r="M43" i="17"/>
  <c r="J44" i="17"/>
  <c r="K44" i="17"/>
  <c r="L44" i="17"/>
  <c r="M44" i="17"/>
  <c r="I44" i="17"/>
  <c r="J40" i="17"/>
  <c r="K40" i="17"/>
  <c r="L40" i="17"/>
  <c r="M40" i="17"/>
  <c r="I40" i="17"/>
  <c r="H11" i="13"/>
  <c r="H19" i="14"/>
  <c r="I19" i="14"/>
  <c r="J19" i="14"/>
  <c r="K60" i="14"/>
  <c r="K61" i="14"/>
  <c r="K62" i="14"/>
  <c r="L60" i="14"/>
  <c r="M60" i="14"/>
  <c r="J60" i="14"/>
  <c r="F60" i="14"/>
  <c r="F62" i="14"/>
  <c r="G60" i="14"/>
  <c r="G62" i="14"/>
  <c r="H60" i="14"/>
  <c r="H62" i="14"/>
  <c r="J61" i="14"/>
  <c r="J62" i="14"/>
  <c r="L61" i="14"/>
  <c r="L62" i="14"/>
  <c r="M61" i="14"/>
  <c r="M62" i="14"/>
  <c r="E60" i="14"/>
  <c r="E62" i="14"/>
  <c r="I43" i="17"/>
  <c r="J34" i="17"/>
  <c r="K34" i="17"/>
  <c r="L34" i="17"/>
  <c r="M34" i="17"/>
  <c r="I34" i="17"/>
  <c r="E26" i="17"/>
  <c r="G25" i="17"/>
  <c r="G26" i="17"/>
  <c r="F26" i="17"/>
  <c r="D26" i="17"/>
  <c r="J104" i="17"/>
  <c r="J105" i="17"/>
  <c r="J110" i="17"/>
  <c r="J24" i="16"/>
  <c r="K24" i="16"/>
  <c r="J23" i="16"/>
  <c r="K23" i="16"/>
  <c r="J22" i="16"/>
  <c r="K22" i="16"/>
  <c r="J21" i="16"/>
  <c r="K21" i="16"/>
  <c r="J20" i="16"/>
  <c r="K20" i="16"/>
  <c r="J19" i="16"/>
  <c r="K19" i="16"/>
  <c r="J15" i="16"/>
  <c r="J18" i="16"/>
  <c r="J17" i="16"/>
  <c r="J16" i="16"/>
  <c r="J14" i="16"/>
  <c r="C25" i="16"/>
  <c r="D25" i="16"/>
  <c r="C47" i="12"/>
  <c r="D33" i="17"/>
  <c r="D36" i="17"/>
  <c r="D32" i="17"/>
  <c r="I10" i="13"/>
  <c r="I9" i="13"/>
  <c r="H26" i="17"/>
  <c r="J9" i="13"/>
  <c r="J10" i="13"/>
  <c r="K9" i="13"/>
  <c r="K10" i="13"/>
  <c r="J11" i="14"/>
  <c r="L9" i="13"/>
  <c r="L10" i="13"/>
  <c r="M10" i="13"/>
  <c r="M9" i="13"/>
  <c r="H14" i="17"/>
  <c r="D34" i="17"/>
  <c r="E34" i="17"/>
  <c r="F34" i="17"/>
  <c r="G34" i="17"/>
  <c r="E11" i="17"/>
  <c r="E32" i="17"/>
  <c r="F11" i="17"/>
  <c r="F32" i="17"/>
  <c r="G32" i="17"/>
  <c r="E14" i="17"/>
  <c r="E35" i="17"/>
  <c r="F14" i="17"/>
  <c r="F35" i="17"/>
  <c r="G14" i="17"/>
  <c r="G35" i="17"/>
  <c r="D14" i="17"/>
  <c r="D35" i="17"/>
  <c r="K77" i="14"/>
  <c r="F77" i="14"/>
  <c r="G77" i="14"/>
  <c r="H77" i="14"/>
  <c r="I77" i="14"/>
  <c r="E77" i="14"/>
  <c r="E11" i="13"/>
  <c r="E13" i="13"/>
  <c r="F57" i="14"/>
  <c r="F16" i="17"/>
  <c r="F37" i="17"/>
  <c r="F48" i="14"/>
  <c r="F49" i="14"/>
  <c r="G16" i="17"/>
  <c r="G37" i="17"/>
  <c r="G48" i="14"/>
  <c r="G49" i="14"/>
  <c r="H16" i="17"/>
  <c r="H37" i="17"/>
  <c r="H48" i="14"/>
  <c r="H49" i="14"/>
  <c r="E16" i="17"/>
  <c r="E37" i="17"/>
  <c r="E48" i="14"/>
  <c r="E49" i="14"/>
  <c r="D16" i="17"/>
  <c r="D37" i="17"/>
  <c r="D12" i="11"/>
  <c r="D16" i="11"/>
  <c r="E12" i="11"/>
  <c r="E13" i="11"/>
  <c r="F12" i="11"/>
  <c r="G12" i="11"/>
  <c r="H12" i="11"/>
  <c r="C24" i="16"/>
  <c r="A29" i="15"/>
  <c r="E19" i="14"/>
  <c r="F11" i="13"/>
  <c r="F19" i="14"/>
  <c r="G11" i="13"/>
  <c r="G19" i="14"/>
  <c r="D11" i="13"/>
  <c r="D19" i="14"/>
  <c r="B24" i="16"/>
  <c r="D24" i="16"/>
  <c r="D13" i="13"/>
  <c r="E57" i="14"/>
  <c r="G31" i="12"/>
  <c r="G35" i="12"/>
  <c r="G38" i="12"/>
  <c r="H35" i="12"/>
  <c r="G16" i="12"/>
  <c r="H16" i="12"/>
  <c r="E31" i="12"/>
  <c r="E35" i="12"/>
  <c r="E38" i="12"/>
  <c r="D35" i="12"/>
  <c r="F31" i="12"/>
  <c r="F35" i="12"/>
  <c r="F38" i="12"/>
  <c r="E16" i="12"/>
  <c r="F16" i="12"/>
  <c r="F19" i="12"/>
  <c r="D16" i="12"/>
  <c r="G16" i="11"/>
  <c r="G17" i="11"/>
  <c r="F16" i="11"/>
  <c r="F17" i="11"/>
  <c r="D13" i="11"/>
  <c r="H13" i="11"/>
  <c r="G13" i="11"/>
  <c r="F13" i="11"/>
  <c r="D17" i="11"/>
  <c r="H14" i="3"/>
  <c r="H16" i="3"/>
  <c r="F16" i="3"/>
  <c r="J16" i="3"/>
  <c r="F14" i="3"/>
  <c r="J14" i="3"/>
  <c r="B9" i="1"/>
  <c r="C9" i="1"/>
  <c r="D9" i="1"/>
  <c r="E9" i="1"/>
  <c r="F9" i="1"/>
  <c r="B10" i="1"/>
  <c r="C10" i="1"/>
  <c r="D10" i="1"/>
  <c r="E10" i="1"/>
  <c r="F10" i="1"/>
  <c r="B11" i="1"/>
  <c r="C11" i="1"/>
  <c r="D11" i="1"/>
  <c r="E11" i="1"/>
  <c r="F11" i="1"/>
  <c r="G11" i="1"/>
  <c r="H11" i="1"/>
  <c r="I11" i="1"/>
  <c r="J11" i="1"/>
  <c r="K11" i="1"/>
  <c r="L11" i="1"/>
  <c r="H10" i="1"/>
  <c r="I10" i="1"/>
  <c r="G10" i="1"/>
  <c r="J10" i="1"/>
  <c r="K10" i="1"/>
  <c r="L10" i="1"/>
  <c r="H9" i="1"/>
  <c r="I9" i="1"/>
  <c r="J9" i="1"/>
  <c r="K9" i="1"/>
  <c r="G9" i="1"/>
  <c r="L9" i="1"/>
  <c r="I44" i="14"/>
  <c r="F63" i="14"/>
  <c r="F64" i="14"/>
  <c r="H63" i="14"/>
  <c r="H64" i="14"/>
  <c r="E63" i="14"/>
  <c r="E64" i="14"/>
  <c r="I63" i="14"/>
  <c r="I64" i="14"/>
  <c r="G63" i="14"/>
  <c r="G64" i="14"/>
  <c r="H53" i="14"/>
  <c r="G53" i="14"/>
  <c r="E50" i="14"/>
  <c r="I45" i="14"/>
  <c r="H50" i="14"/>
  <c r="H31" i="12"/>
  <c r="H38" i="12"/>
  <c r="H19" i="12"/>
  <c r="D31" i="12"/>
  <c r="D38" i="12"/>
  <c r="G19" i="12"/>
  <c r="G39" i="12"/>
  <c r="G50" i="14"/>
  <c r="F50" i="14"/>
  <c r="H35" i="17"/>
  <c r="H34" i="17"/>
  <c r="H39" i="12"/>
  <c r="F39" i="12"/>
  <c r="E19" i="12"/>
  <c r="E39" i="12"/>
  <c r="D19" i="12"/>
  <c r="D39" i="12"/>
  <c r="E16" i="11"/>
  <c r="E17" i="11"/>
  <c r="H13" i="13"/>
  <c r="I57" i="14"/>
  <c r="G13" i="13"/>
  <c r="H57" i="14"/>
  <c r="H16" i="11"/>
  <c r="F13" i="13"/>
  <c r="G57" i="14"/>
  <c r="C27" i="16"/>
  <c r="D27" i="16"/>
  <c r="C26" i="16"/>
  <c r="D26" i="16"/>
  <c r="H55" i="14"/>
  <c r="G55" i="14"/>
  <c r="J63" i="14"/>
  <c r="J64" i="14"/>
  <c r="F53" i="14"/>
  <c r="E53" i="14"/>
  <c r="D17" i="15"/>
  <c r="H17" i="11"/>
  <c r="F49" i="12"/>
  <c r="H49" i="12"/>
  <c r="G49" i="12"/>
  <c r="E49" i="12"/>
  <c r="D49" i="12"/>
  <c r="I13" i="11"/>
  <c r="K63" i="14"/>
  <c r="K64" i="14"/>
  <c r="F55" i="14"/>
  <c r="I53" i="14"/>
  <c r="C28" i="16"/>
  <c r="D28" i="16"/>
  <c r="D18" i="14"/>
  <c r="D21" i="14"/>
  <c r="E58" i="14"/>
  <c r="E18" i="14"/>
  <c r="E21" i="14"/>
  <c r="F58" i="14"/>
  <c r="F68" i="14"/>
  <c r="G18" i="14"/>
  <c r="G21" i="14"/>
  <c r="H58" i="14"/>
  <c r="H68" i="14"/>
  <c r="H18" i="14"/>
  <c r="I58" i="14"/>
  <c r="F18" i="14"/>
  <c r="F21" i="14"/>
  <c r="G58" i="14"/>
  <c r="G68" i="14"/>
  <c r="J58" i="14"/>
  <c r="I17" i="11"/>
  <c r="I13" i="13"/>
  <c r="L63" i="14"/>
  <c r="L64" i="14"/>
  <c r="J13" i="11"/>
  <c r="I55" i="14"/>
  <c r="C29" i="16"/>
  <c r="D29" i="16"/>
  <c r="I68" i="14"/>
  <c r="J18" i="14"/>
  <c r="H21" i="14"/>
  <c r="K58" i="14"/>
  <c r="J13" i="13"/>
  <c r="K13" i="11"/>
  <c r="M63" i="14"/>
  <c r="M64" i="14"/>
  <c r="C30" i="16"/>
  <c r="D30" i="16"/>
  <c r="J17" i="11"/>
  <c r="L58" i="14"/>
  <c r="K13" i="13"/>
  <c r="L13" i="11"/>
  <c r="K17" i="11"/>
  <c r="C31" i="16"/>
  <c r="D31" i="16"/>
  <c r="M17" i="11"/>
  <c r="M58" i="14"/>
  <c r="M13" i="11"/>
  <c r="L17" i="11"/>
  <c r="M13" i="13"/>
  <c r="L13" i="13"/>
  <c r="C32" i="16"/>
  <c r="D32" i="16"/>
  <c r="C34" i="16"/>
  <c r="D34" i="16"/>
  <c r="C33" i="16"/>
  <c r="D33" i="16"/>
  <c r="D35" i="16"/>
  <c r="L39" i="16"/>
  <c r="J21" i="14"/>
  <c r="J57" i="14"/>
  <c r="J68" i="14"/>
  <c r="K57" i="14"/>
  <c r="K68" i="14"/>
  <c r="L57" i="14"/>
  <c r="L68" i="14"/>
  <c r="M68" i="14"/>
  <c r="P26" i="14"/>
  <c r="P27" i="14"/>
  <c r="K46" i="34" l="1"/>
  <c r="K52" i="34" s="1"/>
  <c r="K45" i="34"/>
  <c r="K47" i="34" s="1"/>
  <c r="K48" i="34" s="1"/>
  <c r="D30" i="34"/>
  <c r="E30" i="34" s="1"/>
  <c r="D24" i="34"/>
  <c r="E24" i="34" s="1"/>
  <c r="D31" i="34"/>
  <c r="E31" i="34" s="1"/>
  <c r="D25" i="34"/>
  <c r="E25" i="34" s="1"/>
  <c r="D29" i="34"/>
  <c r="E29" i="34" s="1"/>
  <c r="D26" i="34"/>
  <c r="E26" i="34" s="1"/>
  <c r="D22" i="34"/>
  <c r="E22" i="34" s="1"/>
  <c r="C48" i="34" s="1"/>
  <c r="D28" i="34"/>
  <c r="E28" i="34" s="1"/>
  <c r="D27" i="34"/>
  <c r="E27" i="34" s="1"/>
  <c r="D23" i="34"/>
  <c r="E23" i="34" s="1"/>
  <c r="E40" i="34"/>
  <c r="F49" i="34"/>
  <c r="I36" i="34"/>
  <c r="I41" i="34" s="1"/>
  <c r="I51" i="34" s="1"/>
  <c r="L36" i="34"/>
  <c r="K12" i="34"/>
  <c r="K13" i="34" s="1"/>
  <c r="K14" i="34" s="1"/>
  <c r="C38" i="34"/>
  <c r="K38" i="34"/>
  <c r="H39" i="34"/>
  <c r="D38" i="34"/>
  <c r="L38" i="34"/>
  <c r="I39" i="34"/>
  <c r="D36" i="34"/>
  <c r="D41" i="34" s="1"/>
  <c r="D51" i="34" s="1"/>
  <c r="H40" i="34"/>
  <c r="H43" i="34" s="1"/>
  <c r="H44" i="34" s="1"/>
  <c r="I49" i="34"/>
  <c r="L40" i="34"/>
  <c r="J39" i="34"/>
  <c r="G36" i="34"/>
  <c r="G41" i="34" s="1"/>
  <c r="G51" i="34" s="1"/>
  <c r="K49" i="34"/>
  <c r="F38" i="34"/>
  <c r="C39" i="34"/>
  <c r="K39" i="34"/>
  <c r="F40" i="34"/>
  <c r="F43" i="34" s="1"/>
  <c r="F44" i="34" s="1"/>
  <c r="G49" i="34"/>
  <c r="J36" i="34"/>
  <c r="J41" i="34" s="1"/>
  <c r="J51" i="34" s="1"/>
  <c r="L49" i="34"/>
  <c r="E38" i="34"/>
  <c r="D49" i="34"/>
  <c r="G38" i="34"/>
  <c r="D39" i="34"/>
  <c r="L39" i="34"/>
  <c r="E36" i="34"/>
  <c r="E41" i="34" s="1"/>
  <c r="E51" i="34" s="1"/>
  <c r="I40" i="34"/>
  <c r="I43" i="34" s="1"/>
  <c r="I44" i="34" s="1"/>
  <c r="J49" i="34"/>
  <c r="F39" i="34"/>
  <c r="C36" i="34"/>
  <c r="C49" i="34"/>
  <c r="J40" i="34"/>
  <c r="C53" i="34" l="1"/>
  <c r="C52" i="34"/>
  <c r="H45" i="34"/>
  <c r="H47" i="34" s="1"/>
  <c r="H48" i="34" s="1"/>
  <c r="H46" i="34"/>
  <c r="H52" i="34" s="1"/>
  <c r="H53" i="34" s="1"/>
  <c r="L41" i="34"/>
  <c r="J43" i="34"/>
  <c r="J44" i="34" s="1"/>
  <c r="D43" i="34"/>
  <c r="D44" i="34" s="1"/>
  <c r="I45" i="34"/>
  <c r="I47" i="34" s="1"/>
  <c r="I48" i="34" s="1"/>
  <c r="I46" i="34"/>
  <c r="I52" i="34" s="1"/>
  <c r="I53" i="34" s="1"/>
  <c r="K53" i="34"/>
  <c r="F45" i="34"/>
  <c r="F47" i="34" s="1"/>
  <c r="F48" i="34" s="1"/>
  <c r="F46" i="34"/>
  <c r="F52" i="34" s="1"/>
  <c r="F53" i="34" s="1"/>
  <c r="G43" i="34"/>
  <c r="G44" i="34" s="1"/>
  <c r="L43" i="34"/>
  <c r="L44" i="34" s="1"/>
  <c r="L51" i="34"/>
  <c r="L50" i="34"/>
  <c r="E43" i="34"/>
  <c r="E44" i="34" s="1"/>
  <c r="L46" i="34" l="1"/>
  <c r="L52" i="34" s="1"/>
  <c r="L53" i="34" s="1"/>
  <c r="L45" i="34"/>
  <c r="L47" i="34" s="1"/>
  <c r="L48" i="34" s="1"/>
  <c r="D45" i="34"/>
  <c r="D47" i="34" s="1"/>
  <c r="D48" i="34" s="1"/>
  <c r="D46" i="34"/>
  <c r="D52" i="34" s="1"/>
  <c r="D53" i="34" s="1"/>
  <c r="E46" i="34"/>
  <c r="E52" i="34" s="1"/>
  <c r="E53" i="34" s="1"/>
  <c r="E45" i="34"/>
  <c r="E47" i="34" s="1"/>
  <c r="E48" i="34" s="1"/>
  <c r="G46" i="34"/>
  <c r="G52" i="34" s="1"/>
  <c r="G53" i="34" s="1"/>
  <c r="G45" i="34"/>
  <c r="G47" i="34" s="1"/>
  <c r="G48" i="34" s="1"/>
  <c r="J46" i="34"/>
  <c r="J52" i="34" s="1"/>
  <c r="J53" i="34" s="1"/>
  <c r="J45" i="34"/>
  <c r="J47" i="34" s="1"/>
  <c r="J48" i="34" s="1"/>
</calcChain>
</file>

<file path=xl/comments1.xml><?xml version="1.0" encoding="utf-8"?>
<comments xmlns="http://schemas.openxmlformats.org/spreadsheetml/2006/main">
  <authors>
    <author>Aswath Damodaran</author>
  </authors>
  <commentList>
    <comment ref="D40" authorId="0" shapeId="0">
      <text>
        <r>
          <rPr>
            <b/>
            <sz val="9"/>
            <color indexed="81"/>
            <rFont val="Geneva"/>
          </rPr>
          <t>Aswath Damodaran:</t>
        </r>
        <r>
          <rPr>
            <sz val="9"/>
            <color indexed="81"/>
            <rFont val="Geneva"/>
          </rPr>
          <t xml:space="preserve">
By expensing R&amp;D rather than capitalizing it, the firm gets a tax benefit. This is the dollar value of that tax benefit.</t>
        </r>
      </text>
    </comment>
  </commentList>
</comments>
</file>

<file path=xl/sharedStrings.xml><?xml version="1.0" encoding="utf-8"?>
<sst xmlns="http://schemas.openxmlformats.org/spreadsheetml/2006/main" count="948" uniqueCount="700">
  <si>
    <t>Total Assets</t>
  </si>
  <si>
    <t>Equity</t>
  </si>
  <si>
    <t>LT Debt</t>
  </si>
  <si>
    <t>Debt/Assets</t>
  </si>
  <si>
    <t>D/(D+E)</t>
  </si>
  <si>
    <t>(€ million)</t>
  </si>
  <si>
    <t>source Annual reports SANOFI 2011, 2012, 2013, 2014, 2015</t>
  </si>
  <si>
    <t>D/E</t>
  </si>
  <si>
    <t>LIABILITIES &amp; EQUITY</t>
  </si>
  <si>
    <t>Equity attributable to equity holders of sanofi-aventis</t>
  </si>
  <si>
    <t>Equity attributable to non-controlling interests</t>
  </si>
  <si>
    <t>Total equity</t>
  </si>
  <si>
    <t>Long-term debt</t>
  </si>
  <si>
    <t>Provisions and other non-current liabilities</t>
  </si>
  <si>
    <t>Non-current liabilities related to business combinations and to non-controlling interests</t>
  </si>
  <si>
    <t>Deferred tax liabilities</t>
  </si>
  <si>
    <t>Non-current liabilities</t>
  </si>
  <si>
    <t>Accounts payable</t>
  </si>
  <si>
    <t>Other current liabilities</t>
  </si>
  <si>
    <t>Current liabilities related to business combinations and to
non-controlling interests</t>
  </si>
  <si>
    <t>Short-term debt and current portion of long-term debt</t>
  </si>
  <si>
    <t>Current liabilities</t>
  </si>
  <si>
    <t>Liabilities related to assets held for sale or exchange</t>
  </si>
  <si>
    <t>TOTAL LIABILITIES &amp; EQUITY</t>
  </si>
  <si>
    <t>Note</t>
  </si>
  <si>
    <t>D17</t>
  </si>
  <si>
    <t>D18</t>
  </si>
  <si>
    <t>D19</t>
  </si>
  <si>
    <t>D14</t>
  </si>
  <si>
    <t>D19,4</t>
  </si>
  <si>
    <t>D8</t>
  </si>
  <si>
    <t>December 31,
2010</t>
  </si>
  <si>
    <t>ISIN</t>
  </si>
  <si>
    <t>XS0428037666</t>
  </si>
  <si>
    <t>XS0428037740</t>
  </si>
  <si>
    <t>XS0456451938</t>
  </si>
  <si>
    <t>XS0456451771</t>
  </si>
  <si>
    <t>CH0035703070</t>
  </si>
  <si>
    <t>CH0048787532</t>
  </si>
  <si>
    <t>The weighted average interest rate on debt at December 31, 2010 was 3.6%</t>
  </si>
  <si>
    <t>Source: Annual Repot on Form 20-F 2010</t>
  </si>
  <si>
    <t>Millions of euro</t>
  </si>
  <si>
    <t>€</t>
  </si>
  <si>
    <t>-</t>
  </si>
  <si>
    <t>Description</t>
  </si>
  <si>
    <t>June 2008 issue of ¥15 billion (€138 million), maturing June 2013, bearing interest at a floating rate
indexed to 3-month JPY Libor, and swapped into euros at a floating rate indexed to 3-month Euribor</t>
  </si>
  <si>
    <t>May 2009 issue [ISIN: XS0428037666] of €1.5 billion, maturing May 2013, bearing annual interest at
3.5%</t>
  </si>
  <si>
    <t>May 2009 issue [ISIN: XS0428037740] of €1.5 billion, maturing May 2016, bearing annual interest at
4.5%</t>
  </si>
  <si>
    <t>October 2009 issue [ISIN: XS0456451938] of €1.2 billion (including supplementary tranche issued in
April 2010), maturing October 2014, bearing annual interest at 3.125%</t>
  </si>
  <si>
    <t>October 2009 issue [ISIN: XS0456451771] of €800 million, maturing October 2019, bearing annual
interest at 4.125%</t>
  </si>
  <si>
    <t>December 2007 and February 2008 issues [ISIN: CH0035703070] of CHF400 million (€320 million),
maturing December 2015, bearing annual interest at 3.375%, and swapped into euros at a fixed rate of
4.867%</t>
  </si>
  <si>
    <t>December 2008 and January 2009 issues [ISIN: CH0048787532] amounting to CHF275 million at a fixed rate of 4.894%, maturing December 2012</t>
  </si>
  <si>
    <t>December 2008 and January 2009 issues [ISIN: CH0048787532] amounting to CHF250 million at a floating rate indexed to 3-month Euribor</t>
  </si>
  <si>
    <t>Discount Rate</t>
  </si>
  <si>
    <t>Weight</t>
  </si>
  <si>
    <t>Weighted Discount Rate</t>
  </si>
  <si>
    <t>Source: 3M Euribor rate = 03-01-2011 1,001 % http://www.euribor-rates.eu/euribor-2011.asp?i1=6&amp;i2=1</t>
  </si>
  <si>
    <t>Total Debt</t>
  </si>
  <si>
    <t>Cost of Debt</t>
  </si>
  <si>
    <t>*</t>
  </si>
  <si>
    <t>D.29. Financial income and expenses : Includes gains/losses on interest rate derivatives used to hedge debt: €7 million gain in 2010, €25 million gain in 2009, €2 million loss in 2008.</t>
  </si>
  <si>
    <t>XS0176128675</t>
  </si>
  <si>
    <t>September 2003 issue [ISIN: XS0176128675] with a nominal value of €1,500 million, maturing
September 2010, bearing annual interest at 4.25%</t>
  </si>
  <si>
    <t>ISIN: XS0282647634</t>
  </si>
  <si>
    <t>January 2007 issue [ISIN: XS0282647634] amounting to £200 million (€225 million), maturing January
2010, bearing annual interest at 5.50% and swapped into euros at a floating rate indexed to 3-month
Euribor</t>
  </si>
  <si>
    <t>CH0035703021</t>
  </si>
  <si>
    <t>December 2007 issue [ISIN: CH0035703021] amounting to CHF200 million (€135 million), maturing
January 2010, bearing annual interest of 2.75%, and swapped into euros at a floating rate indexed to
6-month Euribor</t>
  </si>
  <si>
    <t>Euribor 3M</t>
  </si>
  <si>
    <t>Euribor 6M</t>
  </si>
  <si>
    <t>YES</t>
  </si>
  <si>
    <t>NO</t>
  </si>
  <si>
    <t>Pensions and other long term benefits</t>
  </si>
  <si>
    <t>Output</t>
  </si>
  <si>
    <t>Operating lease expense in current year =</t>
  </si>
  <si>
    <t>Operating Lease Commitments (From footnote to financials)</t>
  </si>
  <si>
    <t>Year</t>
  </si>
  <si>
    <t>Commitment</t>
  </si>
  <si>
    <t>! Year 1 is next year, ….</t>
  </si>
  <si>
    <t>6 and beyond</t>
  </si>
  <si>
    <t>Pre-tax Cost of Debt =</t>
  </si>
  <si>
    <t>From the current financial statements, enter the following</t>
  </si>
  <si>
    <t>Reported Operating Income (EBIT) =</t>
  </si>
  <si>
    <t>! This is the EBIT reported in the current income statement</t>
  </si>
  <si>
    <t>Reported Debt =</t>
  </si>
  <si>
    <t>! This is the interest-bearing debt reported on the balance sheet</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</si>
  <si>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</si>
  <si>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</si>
  <si>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</si>
  <si>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</si>
  <si>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</si>
  <si>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</si>
  <si>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</si>
  <si>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</si>
  <si>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Income Statement</t>
  </si>
  <si>
    <t>Actual</t>
  </si>
  <si>
    <t>Projections</t>
  </si>
  <si>
    <t>Sales</t>
  </si>
  <si>
    <t>Selling, general &amp; administrative</t>
  </si>
  <si>
    <t>EBITDA</t>
  </si>
  <si>
    <t>% margin</t>
  </si>
  <si>
    <t>Depreciation &amp; amortization</t>
  </si>
  <si>
    <t>EBIT</t>
  </si>
  <si>
    <t>Project EBS</t>
  </si>
  <si>
    <t>€m</t>
  </si>
  <si>
    <t>Cost of sales</t>
  </si>
  <si>
    <t>Other Revenues</t>
  </si>
  <si>
    <t>R&amp;D expenses</t>
  </si>
  <si>
    <t>Assets</t>
  </si>
  <si>
    <t>Cash &amp; cash equivalents</t>
  </si>
  <si>
    <t>Inventory</t>
  </si>
  <si>
    <t>Accounts receivable</t>
  </si>
  <si>
    <t>Other current assets</t>
  </si>
  <si>
    <t>Total current assets</t>
  </si>
  <si>
    <t>PP&amp;E</t>
  </si>
  <si>
    <t>Goodwill</t>
  </si>
  <si>
    <t>Total fixed assets</t>
  </si>
  <si>
    <t>Total assets</t>
  </si>
  <si>
    <t>Equity and Liabilities</t>
  </si>
  <si>
    <t>Total liabilities</t>
  </si>
  <si>
    <t>Total equity and liabilities</t>
  </si>
  <si>
    <t>check</t>
  </si>
  <si>
    <t>Other fixed assets</t>
  </si>
  <si>
    <t>Total current libailities</t>
  </si>
  <si>
    <t>Equity attributable to equity holders of the Company</t>
  </si>
  <si>
    <t>Minority interests</t>
  </si>
  <si>
    <t>Assets held for sale of exchange</t>
  </si>
  <si>
    <t>Other non-current liabilities</t>
  </si>
  <si>
    <t>Cash Flow Statement</t>
  </si>
  <si>
    <t>Capex</t>
  </si>
  <si>
    <t>Acquisitions of property, plant and equipment and intangible assets</t>
  </si>
  <si>
    <t>Acquisitions of investments in consolidated undertakings, net of cash acquired</t>
  </si>
  <si>
    <t>Net Capex</t>
  </si>
  <si>
    <t>Unlevered Free Cash Flow</t>
  </si>
  <si>
    <t>Adj.</t>
  </si>
  <si>
    <t>Year (t)</t>
  </si>
  <si>
    <t>EBIT*(1-Tax rate)</t>
  </si>
  <si>
    <t xml:space="preserve">Δ net Working Capital </t>
  </si>
  <si>
    <t>- Cash and Cash equivalents</t>
  </si>
  <si>
    <t xml:space="preserve"> -Total curent liabilities</t>
  </si>
  <si>
    <t xml:space="preserve">NET NON-CASH WORKING CAPITAL </t>
  </si>
  <si>
    <t>Operating Working Capital</t>
  </si>
  <si>
    <t>FCF</t>
  </si>
  <si>
    <t>Operating Lease Converter</t>
  </si>
  <si>
    <t>Inputs</t>
  </si>
  <si>
    <t>! If you do not have a cost of debt, use the ratings estimator</t>
  </si>
  <si>
    <t>Depreciation on Operating Lease Asset =</t>
  </si>
  <si>
    <t>! I use straight line depreciation</t>
  </si>
  <si>
    <t>Adjustment to Operating Earnings =</t>
  </si>
  <si>
    <t>! Operating lease expense - Depreciation</t>
    <phoneticPr fontId="0" type="noConversion"/>
  </si>
  <si>
    <t>Adjustment to Total Debt outstanding =</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</si>
  <si>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</si>
  <si>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</si>
  <si>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</si>
  <si>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</si>
  <si>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</si>
  <si>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</si>
  <si>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</si>
  <si>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</si>
  <si>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</si>
  <si>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R&amp; D Expenses</t>
  </si>
  <si>
    <t>! Year -1 is the year prior to the current year</t>
  </si>
  <si>
    <t>! Year -2 is the two years prior to the current year</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</si>
  <si>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</si>
  <si>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</si>
  <si>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</si>
  <si>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</si>
  <si>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</si>
  <si>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</si>
  <si>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</si>
  <si>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</si>
  <si>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</si>
  <si>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Look Up Table for Amortization Periods</t>
  </si>
  <si>
    <t>Industry Name</t>
  </si>
  <si>
    <t>Amortization Period</t>
  </si>
  <si>
    <t>Advertising</t>
  </si>
  <si>
    <t>Aerospace/Defense</t>
  </si>
  <si>
    <t>Non-technological Service</t>
  </si>
  <si>
    <t>2 years</t>
  </si>
  <si>
    <t>Air Transport</t>
  </si>
  <si>
    <t>Retail, Tech Service</t>
  </si>
  <si>
    <t>3 years</t>
  </si>
  <si>
    <t>Aluminum</t>
  </si>
  <si>
    <t>Light Manufacturing</t>
  </si>
  <si>
    <t>5 years</t>
  </si>
  <si>
    <t>Apparel</t>
  </si>
  <si>
    <t>Heavy  Manufacturing</t>
  </si>
  <si>
    <t>10 years</t>
  </si>
  <si>
    <t>Auto &amp; Truck</t>
  </si>
  <si>
    <t>Research, with Patenting</t>
  </si>
  <si>
    <t>Auto Parts (OEM)</t>
  </si>
  <si>
    <t>Long Gestation Period</t>
  </si>
  <si>
    <t>Auto Parts (Replacement)</t>
  </si>
  <si>
    <t>Bank</t>
  </si>
  <si>
    <t>Bank (Canadian)</t>
  </si>
  <si>
    <t>Bank (Foreign)</t>
  </si>
  <si>
    <t>Bank (Midwest)</t>
  </si>
  <si>
    <t>Beverage (Alcoholic)</t>
  </si>
  <si>
    <t>Beverage (Soft Drink)</t>
  </si>
  <si>
    <t>Building Materials</t>
  </si>
  <si>
    <t>Cable TV</t>
  </si>
  <si>
    <t>Canadian Energy</t>
  </si>
  <si>
    <t>Cement &amp; Aggregates</t>
  </si>
  <si>
    <t>Chemical (Basic)</t>
  </si>
  <si>
    <t>Chemical (Diversified)</t>
  </si>
  <si>
    <t>Chemical (Specialty)</t>
  </si>
  <si>
    <t>Coal/Alternate Energy</t>
  </si>
  <si>
    <t>Computer &amp; Peripherals</t>
  </si>
  <si>
    <t>Computer Software &amp; Svcs</t>
  </si>
  <si>
    <t>Copper</t>
  </si>
  <si>
    <t>Diversified Co.</t>
  </si>
  <si>
    <t>Drug</t>
  </si>
  <si>
    <t>Drugstore</t>
  </si>
  <si>
    <t>Educational Services</t>
  </si>
  <si>
    <t>Electric Util. (Central)</t>
  </si>
  <si>
    <t>Electric Utility (East)</t>
  </si>
  <si>
    <t>Electric Utility (West)</t>
  </si>
  <si>
    <t>Electrical Equipment</t>
  </si>
  <si>
    <t>Electronics</t>
  </si>
  <si>
    <t>Entertainment</t>
  </si>
  <si>
    <t>Environmental</t>
  </si>
  <si>
    <t>Financial Services</t>
  </si>
  <si>
    <t>Food Processing</t>
  </si>
  <si>
    <t>Food Wholesalers</t>
  </si>
  <si>
    <t>Foreign Electron/Entertn</t>
  </si>
  <si>
    <t>Foreign Telecom.</t>
  </si>
  <si>
    <t>Furn./Home Furnishings</t>
  </si>
  <si>
    <t>Gold/Silver Mining</t>
  </si>
  <si>
    <t>Grocery</t>
  </si>
  <si>
    <t>Healthcare Info Systems</t>
  </si>
  <si>
    <t>Home Appliance</t>
  </si>
  <si>
    <t>Homebuilding</t>
  </si>
  <si>
    <t>Hotel/Gaming</t>
  </si>
  <si>
    <t>Household Products</t>
  </si>
  <si>
    <t>Industrial Services</t>
  </si>
  <si>
    <t>Insurance (Diversified)</t>
  </si>
  <si>
    <t>Insurance (Life)</t>
  </si>
  <si>
    <t>Insurance (Prop/Casualty)</t>
  </si>
  <si>
    <t>Internet</t>
  </si>
  <si>
    <t>Investment Co. (Domestic)</t>
  </si>
  <si>
    <t>Investment Co. (Foreign)</t>
  </si>
  <si>
    <t>Investment Co. (Income)</t>
  </si>
  <si>
    <t>Machinery</t>
  </si>
  <si>
    <t>Manuf. Housing/Rec Veh</t>
  </si>
  <si>
    <t>Maritime</t>
  </si>
  <si>
    <t>Medical Services</t>
  </si>
  <si>
    <t>Medical Supplies</t>
  </si>
  <si>
    <t>Metal Fabricating</t>
  </si>
  <si>
    <t>Metals &amp; Mining (Div.)</t>
  </si>
  <si>
    <t>Natural Gas (Distrib.)</t>
  </si>
  <si>
    <t>Natural Gas (Diversified)</t>
  </si>
  <si>
    <t>Newspaper</t>
  </si>
  <si>
    <t>Office Equip &amp; Supplies</t>
  </si>
  <si>
    <t>Oilfield Services/Equip.</t>
  </si>
  <si>
    <t>Packaging &amp; Container</t>
  </si>
  <si>
    <t>Paper &amp; Forest Products</t>
  </si>
  <si>
    <t>Petroleum (Integrated)</t>
  </si>
  <si>
    <t>Petroleum (Producing)</t>
  </si>
  <si>
    <t>Precision Instrument</t>
  </si>
  <si>
    <t>Publishing</t>
  </si>
  <si>
    <t>R.E.I.T.</t>
  </si>
  <si>
    <t>Railroad</t>
  </si>
  <si>
    <t>Recreation</t>
  </si>
  <si>
    <t>Restaurant</t>
  </si>
  <si>
    <t>Retail (Special Lines)</t>
  </si>
  <si>
    <t>Retail Building Supply</t>
  </si>
  <si>
    <t>Retail Store</t>
  </si>
  <si>
    <t>Securities Brokerage</t>
  </si>
  <si>
    <t>Semiconductor</t>
  </si>
  <si>
    <t>Semiconductor Cap Equip</t>
  </si>
  <si>
    <t>Shoe</t>
  </si>
  <si>
    <t>Steel (General)</t>
  </si>
  <si>
    <t>Steel (Integrated)</t>
  </si>
  <si>
    <t>Telecom. Equipment</t>
  </si>
  <si>
    <t>Telecom. Services</t>
  </si>
  <si>
    <t>Textile</t>
  </si>
  <si>
    <t>Thrift</t>
  </si>
  <si>
    <t>Tire &amp; Rubber</t>
  </si>
  <si>
    <t>Tobacco</t>
  </si>
  <si>
    <t>Toiletries/Cosmetics</t>
  </si>
  <si>
    <t>Trucking/Transp. Leasing</t>
  </si>
  <si>
    <t>Utility (Foreign)</t>
  </si>
  <si>
    <t>Water Utility</t>
  </si>
  <si>
    <t>Tax rate</t>
  </si>
  <si>
    <t>Effective tax rate</t>
  </si>
  <si>
    <t>Marginal tax rate</t>
  </si>
  <si>
    <t>2010A</t>
  </si>
  <si>
    <t>R&amp;D</t>
  </si>
  <si>
    <t>Operating leases</t>
  </si>
  <si>
    <t>Depreciaton adjustments</t>
  </si>
  <si>
    <t>EBIT adjustments</t>
  </si>
  <si>
    <t>Capex adjustements</t>
  </si>
  <si>
    <t>EV</t>
  </si>
  <si>
    <t>Debt</t>
  </si>
  <si>
    <t>R&amp;D tax effect</t>
  </si>
  <si>
    <t>Book value of equity</t>
  </si>
  <si>
    <t>Book value of debt</t>
  </si>
  <si>
    <t>Book value of capital</t>
  </si>
  <si>
    <t>R&amp;D adjustments</t>
  </si>
  <si>
    <t>Change in NCWC</t>
  </si>
  <si>
    <t>Expected Growth EPS</t>
  </si>
  <si>
    <t>EPS</t>
  </si>
  <si>
    <t>ln(EPS)</t>
  </si>
  <si>
    <t>Yearly Growth Rate</t>
  </si>
  <si>
    <t>Income statement</t>
  </si>
  <si>
    <t>Sales growth</t>
  </si>
  <si>
    <t>COGS as % of sales</t>
  </si>
  <si>
    <t>SG&amp;A as % of sales</t>
  </si>
  <si>
    <t>Capex as % of sales</t>
  </si>
  <si>
    <t>NC-WC as % of sales</t>
  </si>
  <si>
    <t>Follow acquisition trend: 2004, 2009, 2012 jumps in WC as observe in 2005 and 2009</t>
  </si>
  <si>
    <t>D&amp;A growth rate</t>
  </si>
  <si>
    <t>NA</t>
  </si>
  <si>
    <t>Other revenues</t>
  </si>
  <si>
    <t>Value of Equity</t>
  </si>
  <si>
    <t>Value of Debt</t>
  </si>
  <si>
    <t>Cost of Equity</t>
  </si>
  <si>
    <t>After-tax WACC</t>
  </si>
  <si>
    <t>Unleverd FCF</t>
  </si>
  <si>
    <t>PV of UFCF</t>
  </si>
  <si>
    <t>Assumptions</t>
  </si>
  <si>
    <t>M&amp;A</t>
  </si>
  <si>
    <t>Choice of the scenario</t>
  </si>
  <si>
    <t>Acquisition</t>
  </si>
  <si>
    <t>Increased prices</t>
  </si>
  <si>
    <t xml:space="preserve">Δ NET NON-CASH WORKING CAPITAL </t>
  </si>
  <si>
    <t>+ Short-term debt and current portion of long-term debt</t>
  </si>
  <si>
    <t>Balance Sheet</t>
  </si>
  <si>
    <t>Projetction of R&amp;D depreciation growth rate</t>
  </si>
  <si>
    <t>Total</t>
  </si>
  <si>
    <t>Yearly growth rate of R&amp;D depreciation</t>
  </si>
  <si>
    <t>PPE as % of sales</t>
  </si>
  <si>
    <t>Acquisition as % of sales</t>
  </si>
  <si>
    <t>Follow acquisition trend: 2004, 2009, 2012 jumps in acquisition capex observed in 2009. We think the acquistion will be similar to Merial around 7 billion€</t>
  </si>
  <si>
    <t>Should remain stable on average</t>
  </si>
  <si>
    <t>Should remain stable on average except for acquistion year</t>
  </si>
  <si>
    <t>Should remain stable on average because of acquisition and loss a patents offsetting</t>
  </si>
  <si>
    <t>Should correspond to last years average because the Capex follow the same trend</t>
  </si>
  <si>
    <t>Accumulated depreciation &amp; impairment</t>
  </si>
  <si>
    <t>Current non-adjusted depreciation expense</t>
  </si>
  <si>
    <t>Source: http://france-inflation.com/inflation-depuis-1901.php</t>
  </si>
  <si>
    <t>French inflation rate</t>
  </si>
  <si>
    <t>EBIT Growth rate</t>
  </si>
  <si>
    <t>Expected Growth Rate</t>
  </si>
  <si>
    <t>Average age of asset</t>
  </si>
  <si>
    <t>Follow acquistion trend: 2009 jump in sales then decrease</t>
  </si>
  <si>
    <t>R&amp;D as % of sales</t>
  </si>
  <si>
    <t>Gross value of assets</t>
  </si>
  <si>
    <t>Book Value of Asset</t>
  </si>
  <si>
    <t>Depreciation &amp; amortization*</t>
  </si>
  <si>
    <t>*from Cash Flow Statement in AR</t>
  </si>
  <si>
    <t>Sensitivity Analysis</t>
  </si>
  <si>
    <t>Date</t>
  </si>
  <si>
    <t>Rm-Rf</t>
  </si>
  <si>
    <r>
      <t>R</t>
    </r>
    <r>
      <rPr>
        <b/>
        <vertAlign val="subscript"/>
        <sz val="11"/>
        <color theme="1"/>
        <rFont val="Calibri"/>
        <family val="2"/>
        <scheme val="minor"/>
      </rPr>
      <t>F</t>
    </r>
  </si>
  <si>
    <t>Alpha</t>
  </si>
  <si>
    <t>Average Market Risk Premium (MRP)</t>
  </si>
  <si>
    <t>Monthly:</t>
  </si>
  <si>
    <t>Insignificant statistically</t>
  </si>
  <si>
    <t>in the last 10 years:</t>
  </si>
  <si>
    <t>Yearly:</t>
  </si>
  <si>
    <t>Yearly risk-free  return:</t>
  </si>
  <si>
    <t>Monthly average:</t>
  </si>
  <si>
    <t>Beta:</t>
  </si>
  <si>
    <t>Yearly average MRP:</t>
  </si>
  <si>
    <t>Significant statistically</t>
  </si>
  <si>
    <t>SUMMARY OUTPUT</t>
  </si>
  <si>
    <t>回归统计</t>
  </si>
  <si>
    <t>Multiple R</t>
  </si>
  <si>
    <t>R Square</t>
  </si>
  <si>
    <t>Adjusted R Square</t>
  </si>
  <si>
    <t>标准误差</t>
  </si>
  <si>
    <t>观测值</t>
  </si>
  <si>
    <t>方差分析</t>
  </si>
  <si>
    <t>df</t>
  </si>
  <si>
    <t>SS</t>
  </si>
  <si>
    <t>MS</t>
  </si>
  <si>
    <t>F</t>
  </si>
  <si>
    <t>Significance F</t>
  </si>
  <si>
    <t>回归分析</t>
  </si>
  <si>
    <t>残差</t>
  </si>
  <si>
    <t>总计</t>
  </si>
  <si>
    <t>Coefficients</t>
  </si>
  <si>
    <t>t Stat</t>
  </si>
  <si>
    <t>P-value</t>
  </si>
  <si>
    <t>Lower 95%</t>
  </si>
  <si>
    <t>Upper 95%</t>
  </si>
  <si>
    <t>下限 95.0%</t>
  </si>
  <si>
    <t>上限 95.0%</t>
  </si>
  <si>
    <t>Intercept</t>
  </si>
  <si>
    <t>Market Premium</t>
  </si>
  <si>
    <t>2006-2010</t>
    <phoneticPr fontId="38" type="noConversion"/>
  </si>
  <si>
    <t>SNY Stock Price</t>
    <phoneticPr fontId="38" type="noConversion"/>
  </si>
  <si>
    <t>Dividend</t>
  </si>
  <si>
    <t># Stocks</t>
    <phoneticPr fontId="38" type="noConversion"/>
  </si>
  <si>
    <t>Value</t>
  </si>
  <si>
    <t>Return</t>
  </si>
  <si>
    <t>Market Index</t>
    <phoneticPr fontId="38" type="noConversion"/>
  </si>
  <si>
    <t>Market Return</t>
    <phoneticPr fontId="38" type="noConversion"/>
  </si>
  <si>
    <t>Rf(%)</t>
    <phoneticPr fontId="38" type="noConversion"/>
  </si>
  <si>
    <t>Rf</t>
    <phoneticPr fontId="38" type="noConversion"/>
  </si>
  <si>
    <t>Market Premium</t>
    <phoneticPr fontId="38" type="noConversion"/>
  </si>
  <si>
    <t>SNY Premium</t>
    <phoneticPr fontId="38" type="noConversion"/>
  </si>
  <si>
    <t>SNY Stock Price</t>
    <phoneticPr fontId="38" type="noConversion"/>
  </si>
  <si>
    <t># Stocks</t>
    <phoneticPr fontId="38" type="noConversion"/>
  </si>
  <si>
    <t>Market Index</t>
    <phoneticPr fontId="38" type="noConversion"/>
  </si>
  <si>
    <t>Market Return</t>
    <phoneticPr fontId="38" type="noConversion"/>
  </si>
  <si>
    <t>Rf(%)</t>
    <phoneticPr fontId="38" type="noConversion"/>
  </si>
  <si>
    <t>Rf</t>
    <phoneticPr fontId="38" type="noConversion"/>
  </si>
  <si>
    <t>Market Premium</t>
    <phoneticPr fontId="38" type="noConversion"/>
  </si>
  <si>
    <t>SNY Premium</t>
    <phoneticPr fontId="38" type="noConversion"/>
  </si>
  <si>
    <t>Date</t>
    <phoneticPr fontId="38" type="noConversion"/>
  </si>
  <si>
    <t>Price</t>
    <phoneticPr fontId="38" type="noConversion"/>
  </si>
  <si>
    <t>Open</t>
    <phoneticPr fontId="38" type="noConversion"/>
  </si>
  <si>
    <t>High</t>
    <phoneticPr fontId="38" type="noConversion"/>
  </si>
  <si>
    <t xml:space="preserve">Low </t>
    <phoneticPr fontId="38" type="noConversion"/>
  </si>
  <si>
    <t>Change%</t>
    <phoneticPr fontId="38" type="noConversion"/>
  </si>
  <si>
    <t>Highest: 8.281</t>
  </si>
  <si>
    <r>
      <t>Lowest: </t>
    </r>
    <r>
      <rPr>
        <b/>
        <sz val="11"/>
        <color theme="1"/>
        <rFont val="Inherit"/>
        <family val="2"/>
      </rPr>
      <t>0.084</t>
    </r>
  </si>
  <si>
    <r>
      <t>Difference: </t>
    </r>
    <r>
      <rPr>
        <b/>
        <sz val="11"/>
        <color theme="1"/>
        <rFont val="Inherit"/>
        <family val="2"/>
      </rPr>
      <t>8.197</t>
    </r>
  </si>
  <si>
    <r>
      <t>Average: </t>
    </r>
    <r>
      <rPr>
        <b/>
        <sz val="11"/>
        <color theme="1"/>
        <rFont val="Inherit"/>
        <family val="2"/>
      </rPr>
      <t>3.969</t>
    </r>
  </si>
  <si>
    <r>
      <t>Change %: </t>
    </r>
    <r>
      <rPr>
        <b/>
        <sz val="11"/>
        <color theme="1"/>
        <rFont val="Inherit"/>
        <family val="2"/>
      </rPr>
      <t>-85.460</t>
    </r>
  </si>
  <si>
    <t>Add a Comment</t>
  </si>
  <si>
    <t>Comment Guidelines</t>
  </si>
  <si>
    <t>Post</t>
  </si>
  <si>
    <t>Latest France 10-Year Comments</t>
  </si>
  <si>
    <r>
      <t>Miguel Vieira</t>
    </r>
    <r>
      <rPr>
        <u/>
        <sz val="11"/>
        <color theme="10"/>
        <rFont val="Calibri"/>
        <family val="3"/>
        <charset val="134"/>
        <scheme val="minor"/>
      </rPr>
      <t> May 03, 2016 7:13PM GMT</t>
    </r>
  </si>
  <si>
    <t>I can't see why general information is telling me here that french 10y bond yield has climbed 1,38% while graphics show a falling yield for the same day, and same maturity of french bonds... Is there any error on the information given? Or am I interpreting wrongly?</t>
  </si>
  <si>
    <t>Reply</t>
  </si>
  <si>
    <r>
      <t>Disclaimer:</t>
    </r>
    <r>
      <rPr>
        <sz val="6"/>
        <color rgb="FF808080"/>
        <rFont val="Inherit"/>
        <family val="2"/>
      </rPr>
      <t> </t>
    </r>
    <r>
      <rPr>
        <b/>
        <sz val="6"/>
        <color rgb="FF808080"/>
        <rFont val="Inherit"/>
        <family val="2"/>
      </rPr>
      <t>Fusion Media</t>
    </r>
    <r>
      <rPr>
        <sz val="6"/>
        <color rgb="FF808080"/>
        <rFont val="Inherit"/>
        <family val="2"/>
      </rPr>
      <t> would like to remind you that the data contained in this website is not necessarily real-time nor accurate. All CFDs (stocks, indexes, futures) and Forex prices are not provided by exchanges but rather by market makers, and so prices may not be accurate and may differ from the actual market price, meaning prices are indicative and not appropriate for trading purposes. Therefore Fusion Media doesn`t bear any responsibility for any trading losses you might incur as a result of using this data.</t>
    </r>
  </si>
  <si>
    <r>
      <t>Fusion Media</t>
    </r>
    <r>
      <rPr>
        <sz val="6"/>
        <color rgb="FF808080"/>
        <rFont val="Inherit"/>
        <family val="2"/>
      </rPr>
      <t> or anyone involved with Fusion Media will not accept any liability for loss or damage as a result of reliance on the information including data, quotes, charts and buy/sell signals contained within this website. Please be fully informed regarding the risks and costs associated with trading the financial markets, it is one of the riskiest investment forms possible.</t>
    </r>
  </si>
  <si>
    <t>Find A Broker</t>
  </si>
  <si>
    <t>Forex</t>
  </si>
  <si>
    <t>CFDs</t>
  </si>
  <si>
    <t>Binary Options</t>
  </si>
  <si>
    <t>Stocks</t>
  </si>
  <si>
    <t>Indices</t>
  </si>
  <si>
    <t>Commodities</t>
  </si>
  <si>
    <t>Bonds</t>
  </si>
  <si>
    <r>
      <t>1D</t>
    </r>
    <r>
      <rPr>
        <sz val="6"/>
        <color rgb="FF9B9B9B"/>
        <rFont val="Inherit"/>
        <family val="2"/>
      </rPr>
      <t>1W1M6M1Y5YMax</t>
    </r>
  </si>
  <si>
    <t>00:0012:0004:0008:0016:0020:002,350.002,340.002,360.00Investing.com (GMT +2)2,352.75</t>
  </si>
  <si>
    <t>S&amp;P 500 Futures</t>
  </si>
  <si>
    <t>Nasdaq Futures</t>
  </si>
  <si>
    <t>Dow 30</t>
  </si>
  <si>
    <t>S&amp;P 500 VIX</t>
  </si>
  <si>
    <t>DAX</t>
  </si>
  <si>
    <t>Nikkei 225</t>
  </si>
  <si>
    <t>US Dollar Index</t>
  </si>
  <si>
    <t>Euro Index</t>
  </si>
  <si>
    <t>Start Trading Today</t>
  </si>
  <si>
    <t>your capital is at risk</t>
  </si>
  <si>
    <t>Fed Rate Monitor Tool</t>
  </si>
  <si>
    <r>
      <t>Meeting Time:</t>
    </r>
    <r>
      <rPr>
        <i/>
        <sz val="11"/>
        <color theme="1"/>
        <rFont val="Inherit"/>
        <family val="2"/>
      </rPr>
      <t>May 03, 2017 02:00PM ET</t>
    </r>
  </si>
  <si>
    <r>
      <t>Future Price:</t>
    </r>
    <r>
      <rPr>
        <i/>
        <sz val="11"/>
        <color theme="1"/>
        <rFont val="Inherit"/>
        <family val="2"/>
      </rPr>
      <t>99.095</t>
    </r>
  </si>
  <si>
    <t>0.75 - 1.00 </t>
  </si>
  <si>
    <t> 94.7%</t>
  </si>
  <si>
    <t>1.00 - 1.25 </t>
  </si>
  <si>
    <t> 5.3%</t>
  </si>
  <si>
    <t>Timeframe                                                                                                                                                                                                                                                                                                                                                                                                                                         </t>
  </si>
  <si>
    <t>EUR/USD</t>
  </si>
  <si>
    <t>-0.0053 -0.50%</t>
  </si>
  <si>
    <t>Summary</t>
  </si>
  <si>
    <t>Strong Sell</t>
  </si>
  <si>
    <t>Moving Averages:</t>
  </si>
  <si>
    <r>
      <t>Buy </t>
    </r>
    <r>
      <rPr>
        <b/>
        <sz val="11"/>
        <color theme="1"/>
        <rFont val="Inherit"/>
        <family val="2"/>
      </rPr>
      <t>0</t>
    </r>
  </si>
  <si>
    <r>
      <t>Sell </t>
    </r>
    <r>
      <rPr>
        <b/>
        <sz val="11"/>
        <color theme="1"/>
        <rFont val="Inherit"/>
        <family val="2"/>
      </rPr>
      <t>12</t>
    </r>
  </si>
  <si>
    <t>Indicators:</t>
  </si>
  <si>
    <r>
      <t>Buy </t>
    </r>
    <r>
      <rPr>
        <b/>
        <sz val="11"/>
        <color theme="1"/>
        <rFont val="Inherit"/>
        <family val="2"/>
      </rPr>
      <t>1</t>
    </r>
  </si>
  <si>
    <r>
      <t>Sell </t>
    </r>
    <r>
      <rPr>
        <b/>
        <sz val="11"/>
        <color theme="1"/>
        <rFont val="Inherit"/>
        <family val="2"/>
      </rPr>
      <t>7</t>
    </r>
  </si>
  <si>
    <t>GBP/USD</t>
  </si>
  <si>
    <t>Neutral</t>
  </si>
  <si>
    <t>USD/JPY</t>
  </si>
  <si>
    <t>Buy</t>
  </si>
  <si>
    <t>AUD/USD</t>
  </si>
  <si>
    <t>USD/CAD</t>
  </si>
  <si>
    <t>EUR/JPY</t>
  </si>
  <si>
    <t>EUR/CHF</t>
  </si>
  <si>
    <t>Recent Quotes</t>
  </si>
  <si>
    <t>Name</t>
  </si>
  <si>
    <t>Price</t>
  </si>
  <si>
    <t>Chg.</t>
  </si>
  <si>
    <t>Chg. %</t>
  </si>
  <si>
    <t>SASY</t>
  </si>
  <si>
    <t>SNY</t>
  </si>
  <si>
    <t>France 10Y</t>
  </si>
  <si>
    <t>France 3M</t>
  </si>
  <si>
    <t>US 3M Yield</t>
  </si>
  <si>
    <t>Add to Watchlist</t>
  </si>
  <si>
    <t>Investing.com</t>
  </si>
  <si>
    <t>What's New</t>
  </si>
  <si>
    <t>Mobile</t>
  </si>
  <si>
    <t>Portfolio</t>
  </si>
  <si>
    <t>Webmaster Tools</t>
  </si>
  <si>
    <t>About Us</t>
  </si>
  <si>
    <t>Advertise</t>
  </si>
  <si>
    <t>Contribute</t>
  </si>
  <si>
    <t>Contact Us</t>
  </si>
  <si>
    <t>Our Apps</t>
  </si>
  <si>
    <t xml:space="preserve"> </t>
    <phoneticPr fontId="38" type="noConversion"/>
  </si>
  <si>
    <t xml:space="preserve">Using instead used beta from the Oct 2002 to Sep 2007 period we would get:
</t>
  </si>
  <si>
    <t>equity beta
(monthly)</t>
    <phoneticPr fontId="38" type="noConversion"/>
  </si>
  <si>
    <t>Index</t>
    <phoneticPr fontId="38" type="noConversion"/>
  </si>
  <si>
    <t>Marginal tax rate(2010)</t>
    <phoneticPr fontId="38" type="noConversion"/>
  </si>
  <si>
    <t>E/V</t>
  </si>
  <si>
    <t>unlevered Beta</t>
    <phoneticPr fontId="38" type="noConversion"/>
  </si>
  <si>
    <t>D/V</t>
  </si>
  <si>
    <t>Return on Asset</t>
  </si>
  <si>
    <t>Asset Beta</t>
  </si>
  <si>
    <t>pfizer</t>
    <phoneticPr fontId="64" type="noConversion"/>
  </si>
  <si>
    <t>SPX</t>
    <phoneticPr fontId="38" type="noConversion"/>
  </si>
  <si>
    <t>roche</t>
    <phoneticPr fontId="64" type="noConversion"/>
  </si>
  <si>
    <t>SMI</t>
    <phoneticPr fontId="38" type="noConversion"/>
  </si>
  <si>
    <t>Bayer</t>
    <phoneticPr fontId="64" type="noConversion"/>
  </si>
  <si>
    <t>DAX</t>
    <phoneticPr fontId="38" type="noConversion"/>
  </si>
  <si>
    <t>Merck</t>
    <phoneticPr fontId="64" type="noConversion"/>
  </si>
  <si>
    <t>SPX</t>
    <phoneticPr fontId="38" type="noConversion"/>
  </si>
  <si>
    <t>gilead</t>
    <phoneticPr fontId="64" type="noConversion"/>
  </si>
  <si>
    <t>GSK</t>
    <phoneticPr fontId="64" type="noConversion"/>
  </si>
  <si>
    <t>UKX</t>
    <phoneticPr fontId="38" type="noConversion"/>
  </si>
  <si>
    <t>ELI LILLY &amp; CO</t>
    <phoneticPr fontId="64" type="noConversion"/>
  </si>
  <si>
    <t>astrazeneca</t>
    <phoneticPr fontId="64" type="noConversion"/>
  </si>
  <si>
    <t>amgen</t>
    <phoneticPr fontId="64" type="noConversion"/>
  </si>
  <si>
    <t>allergan</t>
    <phoneticPr fontId="64" type="noConversion"/>
  </si>
  <si>
    <t>Teva</t>
    <phoneticPr fontId="64" type="noConversion"/>
  </si>
  <si>
    <t>NOVO NORDISK</t>
    <phoneticPr fontId="64" type="noConversion"/>
  </si>
  <si>
    <t>KFX</t>
    <phoneticPr fontId="38" type="noConversion"/>
  </si>
  <si>
    <t>BRISTOL-MYERS</t>
    <phoneticPr fontId="64" type="noConversion"/>
  </si>
  <si>
    <t>takeda</t>
    <phoneticPr fontId="64" type="noConversion"/>
  </si>
  <si>
    <t>TPX</t>
    <phoneticPr fontId="38" type="noConversion"/>
  </si>
  <si>
    <t>astellas</t>
    <phoneticPr fontId="64" type="noConversion"/>
  </si>
  <si>
    <t>mylan</t>
    <phoneticPr fontId="64" type="noConversion"/>
  </si>
  <si>
    <t>MITSUBISHI TANABE</t>
    <phoneticPr fontId="38" type="noConversion"/>
  </si>
  <si>
    <t xml:space="preserve">EISAI </t>
    <phoneticPr fontId="38" type="noConversion"/>
  </si>
  <si>
    <t>CELGENE CORP</t>
    <phoneticPr fontId="38" type="noConversion"/>
  </si>
  <si>
    <t>THERMO FISHER</t>
    <phoneticPr fontId="38" type="noConversion"/>
  </si>
  <si>
    <t>BIOGEN</t>
    <phoneticPr fontId="38" type="noConversion"/>
  </si>
  <si>
    <t>SHIRE</t>
    <phoneticPr fontId="38" type="noConversion"/>
  </si>
  <si>
    <t>CHUGAI</t>
    <phoneticPr fontId="38" type="noConversion"/>
  </si>
  <si>
    <t>Average</t>
    <phoneticPr fontId="64" type="noConversion"/>
  </si>
  <si>
    <t>Tax Rate</t>
  </si>
  <si>
    <t>marginal tax rate for France-2010</t>
    <phoneticPr fontId="38" type="noConversion"/>
  </si>
  <si>
    <t>market premium</t>
    <phoneticPr fontId="38" type="noConversion"/>
  </si>
  <si>
    <t>risk free return</t>
  </si>
  <si>
    <t>Fama French Annual RF for 2010 (European)</t>
    <phoneticPr fontId="38" type="noConversion"/>
  </si>
  <si>
    <t>return on asset</t>
  </si>
  <si>
    <t>Sanofi</t>
    <phoneticPr fontId="38" type="noConversion"/>
  </si>
  <si>
    <t>E/V=</t>
    <phoneticPr fontId="64" type="noConversion"/>
  </si>
  <si>
    <t>D/V=</t>
    <phoneticPr fontId="38" type="noConversion"/>
  </si>
  <si>
    <t>Equity Beta</t>
  </si>
  <si>
    <t>(millions of EUR)</t>
    <phoneticPr fontId="38" type="noConversion"/>
  </si>
  <si>
    <t>E=</t>
    <phoneticPr fontId="38" type="noConversion"/>
  </si>
  <si>
    <t>Outstanding shares</t>
    <phoneticPr fontId="38" type="noConversion"/>
  </si>
  <si>
    <t>D=</t>
    <phoneticPr fontId="38" type="noConversion"/>
  </si>
  <si>
    <t>Price</t>
    <phoneticPr fontId="38" type="noConversion"/>
  </si>
  <si>
    <t>V=</t>
    <phoneticPr fontId="38" type="noConversion"/>
  </si>
  <si>
    <t>WACC</t>
    <phoneticPr fontId="38" type="noConversion"/>
  </si>
  <si>
    <t>Year</t>
    <phoneticPr fontId="38" type="noConversion"/>
  </si>
  <si>
    <t>Mkt-RF %</t>
    <phoneticPr fontId="38" type="noConversion"/>
  </si>
  <si>
    <t>Mkt-RF</t>
    <phoneticPr fontId="38" type="noConversion"/>
  </si>
  <si>
    <t>Fama French Average Annual Mkt-RF from 1990-2010 (European)</t>
    <phoneticPr fontId="38" type="noConversion"/>
  </si>
  <si>
    <t>Fama French Annual Mkt-RF in 2010 (European):</t>
    <phoneticPr fontId="38" type="noConversion"/>
  </si>
  <si>
    <t>Operating assumptions 1 - Acquisition of a biotech to offset the loss of patents</t>
    <phoneticPr fontId="38" type="noConversion"/>
  </si>
  <si>
    <t>Operating assumptions 2 - Sanofi manages to keep a dynamic growth rate before the loss of patents collapse</t>
    <phoneticPr fontId="38" type="noConversion"/>
  </si>
  <si>
    <t>WACC</t>
    <phoneticPr fontId="38" type="noConversion"/>
  </si>
  <si>
    <t>WACC</t>
    <phoneticPr fontId="38" type="noConversion"/>
  </si>
  <si>
    <t>Capital structure of Sanofi</t>
  </si>
  <si>
    <t>Cost of debt without Provisions and other non current liabilities</t>
  </si>
  <si>
    <t>Book Cost of Debt</t>
  </si>
  <si>
    <t>Interest Paid</t>
  </si>
  <si>
    <t xml:space="preserve">Include D/V to clarify similarity of cap structure? </t>
  </si>
  <si>
    <t>Company</t>
  </si>
  <si>
    <t xml:space="preserve">Market Cap </t>
  </si>
  <si>
    <t>EV/Sales</t>
  </si>
  <si>
    <t>EV/EBITDA</t>
  </si>
  <si>
    <t>EV/EBIT</t>
  </si>
  <si>
    <t>Bristol-Myers Squibb Co (BMY US) - Adj Highlights</t>
  </si>
  <si>
    <t>Sanofi</t>
  </si>
  <si>
    <t>Bayer AG (BAYN GR) - Adj Highlights</t>
  </si>
  <si>
    <t>Minimum</t>
  </si>
  <si>
    <t>25th percentile</t>
  </si>
  <si>
    <t>Median</t>
  </si>
  <si>
    <t xml:space="preserve">75th percentile </t>
  </si>
  <si>
    <t>Maximum</t>
  </si>
  <si>
    <t>AstraZeneca PLC (AZN LN) - Adj Highlights</t>
  </si>
  <si>
    <t>GlaxoSmithKline PLC (GSK LN) - Adj Highlights</t>
  </si>
  <si>
    <t>Eli Lilly &amp; Co (LLY US) - Adj Highlights</t>
  </si>
  <si>
    <t>DCF</t>
  </si>
  <si>
    <t>Statistics</t>
  </si>
  <si>
    <t>Average</t>
  </si>
  <si>
    <t>Standard Deviation</t>
  </si>
  <si>
    <t>Min Point</t>
  </si>
  <si>
    <t>25th Point</t>
  </si>
  <si>
    <t>Median Point</t>
  </si>
  <si>
    <t>75th Point</t>
  </si>
  <si>
    <t>Maximum Point</t>
  </si>
  <si>
    <t>EV (X*Sales)</t>
  </si>
  <si>
    <t>EV (X*EBITDA)</t>
  </si>
  <si>
    <t>EV (X*EBIT)</t>
  </si>
  <si>
    <t>(thousand $)</t>
  </si>
  <si>
    <t xml:space="preserve">EBIT </t>
  </si>
  <si>
    <t xml:space="preserve">Max </t>
  </si>
  <si>
    <t>Min</t>
  </si>
  <si>
    <t>CONSOLIDATED BALANCE SHEET</t>
  </si>
  <si>
    <t>Pablo Fernandez market risk premium. Ivo Valic</t>
  </si>
  <si>
    <t xml:space="preserve">use bloomberg </t>
  </si>
  <si>
    <t>Bloomberg</t>
  </si>
  <si>
    <t>Value of Research Asset</t>
  </si>
  <si>
    <t>Yearly growth rate of value of R&amp;D asset</t>
  </si>
  <si>
    <t>*adjusted with R&amp;D asset value from 2010 adj. To 2015E</t>
  </si>
  <si>
    <t>Return of Capital Invested*</t>
  </si>
  <si>
    <t>Follows linear regression</t>
  </si>
  <si>
    <t>Follows acquisition trend: loss of important patents in 2012. Loss of top 3 product patents in 2014. After acquistions we model a jump in R&amp;D expenses because Biotech companies are R&amp;D intensive</t>
  </si>
  <si>
    <t>Figure 2: Table of assumptions for scenario 2</t>
  </si>
  <si>
    <t>Figure 1: Table of assumptions for scenario 1</t>
  </si>
  <si>
    <t>Equity Value</t>
  </si>
  <si>
    <t>Terminal Value (TV)</t>
  </si>
  <si>
    <t>Entreprise Value (EV)</t>
  </si>
  <si>
    <t>Unlevered Free Cash Flow Valuation</t>
  </si>
  <si>
    <t>Enterprise Value (EV)</t>
  </si>
  <si>
    <t>€million</t>
  </si>
  <si>
    <t>gEBIT = (Net Capital Expenditures + Change in WC)/EBIT(1-t) * ROC</t>
  </si>
  <si>
    <t>Figure 6: Sanofi scenario 1 DCF valuation</t>
  </si>
  <si>
    <t>Figure 7: Sanofi scenario 2 DCF valuation</t>
  </si>
  <si>
    <t>Key DCF parameters</t>
  </si>
  <si>
    <t>Perpetuity Growth rate</t>
  </si>
  <si>
    <t>Cost of equity</t>
  </si>
  <si>
    <t>Cost of debt</t>
  </si>
  <si>
    <t>Projection</t>
  </si>
  <si>
    <t>TV</t>
  </si>
  <si>
    <t>WACC</t>
    <phoneticPr fontId="38" type="noConversion"/>
  </si>
  <si>
    <t xml:space="preserve">gEBIT </t>
  </si>
  <si>
    <t xml:space="preserve">gEBIT </t>
    <phoneticPr fontId="38" type="noConversion"/>
  </si>
  <si>
    <t>Estimate the unlevered beta for the firm</t>
  </si>
  <si>
    <t>Levered Beta of Sanofi</t>
    <phoneticPr fontId="38" type="noConversion"/>
  </si>
  <si>
    <t>Marginal Tax rate</t>
  </si>
  <si>
    <t>Market value of equity</t>
  </si>
  <si>
    <t>Market value of debt</t>
  </si>
  <si>
    <t xml:space="preserve">Unlevered Beta </t>
  </si>
  <si>
    <t>market premium</t>
    <phoneticPr fontId="2" type="noConversion"/>
  </si>
  <si>
    <t>Sanofi curent financials</t>
    <phoneticPr fontId="38" type="noConversion"/>
  </si>
  <si>
    <t>Ratings comparison at current debt ratio</t>
  </si>
  <si>
    <t>Current Interest coverage ratio =</t>
  </si>
  <si>
    <t>D&amp;A</t>
  </si>
  <si>
    <t>Rating based upon coverage =</t>
  </si>
  <si>
    <t>Interest rate based upon coverage =</t>
  </si>
  <si>
    <t>Interest Expenses</t>
  </si>
  <si>
    <t>Current rating for company =</t>
  </si>
  <si>
    <t>A3/A-</t>
  </si>
  <si>
    <t>Adjusted EBIT</t>
  </si>
  <si>
    <t>Current interest rate on debt =</t>
  </si>
  <si>
    <t>Current Bankruptcy Probability =</t>
  </si>
  <si>
    <t>Market Value of the firm</t>
  </si>
  <si>
    <t>Cost of bankruptcy =</t>
  </si>
  <si>
    <t>Debt to Capital Ratio</t>
  </si>
  <si>
    <t>D/E Ratio</t>
  </si>
  <si>
    <t>Levered Beta</t>
  </si>
  <si>
    <t>For large non-financial service companies with market cap &gt; $ 5 billion</t>
    <phoneticPr fontId="38" type="noConversion"/>
  </si>
  <si>
    <t>If interest coverage ratio is</t>
  </si>
  <si>
    <t>greater than</t>
  </si>
  <si>
    <t>≤ to</t>
  </si>
  <si>
    <t>Rating is</t>
  </si>
  <si>
    <t>Spread is</t>
  </si>
  <si>
    <t>Bankruptcy Probability</t>
  </si>
  <si>
    <t>D2/D</t>
  </si>
  <si>
    <t>C2/C</t>
  </si>
  <si>
    <t>Ca2/CC</t>
  </si>
  <si>
    <t>Caa/CCC</t>
  </si>
  <si>
    <t>$ Debt</t>
  </si>
  <si>
    <t>B3/B-</t>
  </si>
  <si>
    <t>Ba1/BB+</t>
  </si>
  <si>
    <t>Ba2/BB</t>
  </si>
  <si>
    <t>B1/B+</t>
  </si>
  <si>
    <t>Ajusted EBIT</t>
  </si>
  <si>
    <t>B2/B</t>
  </si>
  <si>
    <t>Interest</t>
  </si>
  <si>
    <t>Baa2/BBB</t>
  </si>
  <si>
    <t>Pre-tax Int. Cov</t>
  </si>
  <si>
    <t>infinite</t>
  </si>
  <si>
    <t>A2/A</t>
  </si>
  <si>
    <t>Likely Rating</t>
  </si>
  <si>
    <t>Aaa/AAA</t>
  </si>
  <si>
    <t>A1/A+</t>
  </si>
  <si>
    <t>Pre-tax cost of debt</t>
  </si>
  <si>
    <t>Aa2/AA</t>
  </si>
  <si>
    <t>Probability of Bankruptcy</t>
  </si>
  <si>
    <t>After-tax cost of debt</t>
    <phoneticPr fontId="38" type="noConversion"/>
  </si>
  <si>
    <t>WACC</t>
    <phoneticPr fontId="38" type="noConversion"/>
  </si>
  <si>
    <t>source: http://pages.stern.nyu.edu/~adamodar/New_Home_Page/datafile/ratings.htm</t>
    <phoneticPr fontId="38" type="noConversion"/>
  </si>
  <si>
    <t>Unlev. Firm Value</t>
    <phoneticPr fontId="38" type="noConversion"/>
  </si>
  <si>
    <t>adjusted marginal tax rate</t>
    <phoneticPr fontId="38" type="noConversion"/>
  </si>
  <si>
    <t>Tax Benefits</t>
  </si>
  <si>
    <t>Bankruptcy Cost</t>
  </si>
  <si>
    <t>Levered Firm Value</t>
  </si>
  <si>
    <t>only for acquisition scenario</t>
  </si>
  <si>
    <t>Sensitivity Analysis</t>
    <phoneticPr fontId="40" type="noConversion"/>
  </si>
  <si>
    <t>WACC</t>
    <phoneticPr fontId="40" type="noConversion"/>
  </si>
  <si>
    <t>EV adjusted</t>
  </si>
  <si>
    <t>R&amp;D as % of sales increases of 0,5% p.a. over the period</t>
  </si>
  <si>
    <t>R&amp;D as % of sales decreases of 0,5% p.a. over the period</t>
  </si>
  <si>
    <t>Sales growth decrease of 0,5% p.a. over the period</t>
  </si>
  <si>
    <t>Sales growth increase of 0,5% p.a. over the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</si>
</sst>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164" formatCode="0.000%"/>
    <numFmt numFmtId="165" formatCode="&quot;$&quot;#,##0.00"/>
    <numFmt numFmtId="166" formatCode="_(&quot;$&quot;* #,##0.00_);_(&quot;$&quot;* \(#,##0.00\);_(&quot;$&quot;* &quot;-&quot;??_);_(@_)"/>
    <numFmt numFmtId="167" formatCode="0&quot;E&quot;"/>
    <numFmt numFmtId="168" formatCode="0&quot;A&quot;"/>
    <numFmt numFmtId="169" formatCode="#,##0.0_);\ \(#,##0.0\);\-"/>
    <numFmt numFmtId="170" formatCode="#,##0.0%;\ \(#,##0.0\)%;\-"/>
    <numFmt numFmtId="171" formatCode="#,##0.0"/>
    <numFmt numFmtId="172" formatCode="0&quot; adj.&quot;"/>
    <numFmt numFmtId="173" formatCode="&quot;$&quot;#,##0.00_);[Red]\(&quot;$&quot;#,##0.00\)"/>
    <numFmt numFmtId="174" formatCode="&quot;$&quot;#,##0_);[Red]\(&quot;$&quot;#,##0\)"/>
    <numFmt numFmtId="175" formatCode="_-* #,##0.00\ [$€-40C]_-;\-* #,##0.00\ [$€-40C]_-;_-* &quot;-&quot;??\ [$€-40C]_-;_-@_-"/>
    <numFmt numFmtId="176" formatCode="0.0%"/>
    <numFmt numFmtId="177" formatCode="#,##0.00_);\ \(#,##0.00\);\-"/>
    <numFmt numFmtId="178" formatCode="0.0000"/>
    <numFmt numFmtId="179" formatCode="0.00_);[Red]\(0.00\)"/>
    <numFmt numFmtId="180" formatCode="0.0000_);[Red]\(0.0000\)"/>
    <numFmt numFmtId="181" formatCode="_(* #,##0.00_);_(* \(#,##0.00\);_(* &quot;-&quot;??_);_(@_)"/>
    <numFmt numFmtId="182" formatCode="#,##0.0000000_);\(#,##0.0000000\)"/>
    <numFmt numFmtId="183" formatCode="0.0"/>
    <numFmt numFmtId="184" formatCode="0.0000%"/>
    <numFmt numFmtId="185" formatCode="#,##0.0000"/>
  </numFmts>
  <fonts count="75">
    <font>
      <sz val="11"/>
      <color theme="1"/>
      <name val="Calibri"/>
      <family val="2"/>
      <scheme val="minor"/>
    </font>
    <font>
      <sz val="11"/>
      <color theme="1"/>
      <name val="Calibri"/>
      <family val="2"/>
      <charset val="134"/>
      <scheme val="minor"/>
    </font>
    <font>
      <sz val="11"/>
      <color theme="1"/>
      <name val="Calibri"/>
      <family val="2"/>
      <scheme val="minor"/>
    </font>
    <font>
      <i/>
      <sz val="11"/>
      <color theme="1"/>
      <name val="Calibri"/>
      <family val="2"/>
      <scheme val="minor"/>
    </font>
    <font>
      <sz val="11"/>
      <color theme="4"/>
      <name val="Calibri"/>
      <family val="2"/>
      <scheme val="minor"/>
    </font>
    <font>
      <b/>
      <sz val="11"/>
      <color theme="1"/>
      <name val="Calibri"/>
      <family val="2"/>
      <scheme val="minor"/>
    </font>
    <font>
      <sz val="10"/>
      <name val="Arial"/>
      <family val="2"/>
    </font>
    <font>
      <b/>
      <sz val="11"/>
      <color rgb="FFFF0000"/>
      <name val="Calibri"/>
      <family val="2"/>
      <scheme val="minor"/>
    </font>
    <font>
      <sz val="10"/>
      <name val="Geneva"/>
    </font>
    <font>
      <b/>
      <sz val="14"/>
      <name val="Times"/>
    </font>
    <font>
      <sz val="10"/>
      <name val="Times"/>
    </font>
    <font>
      <b/>
      <sz val="10"/>
      <name val="Times"/>
    </font>
    <font>
      <i/>
      <sz val="10"/>
      <name val="Times"/>
    </font>
    <font>
      <b/>
      <sz val="9"/>
      <color indexed="81"/>
      <name val="Geneva"/>
    </font>
    <font>
      <sz val="9"/>
      <color indexed="81"/>
      <name val="Geneva"/>
    </font>
    <font>
      <sz val="11"/>
      <color rgb="FFFF0000"/>
      <name val="Calibri"/>
      <family val="2"/>
      <scheme val="minor"/>
    </font>
    <font>
      <b/>
      <sz val="12"/>
      <name val="Arial"/>
      <family val="2"/>
    </font>
    <font>
      <b/>
      <sz val="10"/>
      <color indexed="8"/>
      <name val="Arial"/>
      <family val="2"/>
    </font>
    <font>
      <sz val="10"/>
      <color indexed="8"/>
      <name val="Arial"/>
      <family val="2"/>
    </font>
    <font>
      <sz val="10"/>
      <color theme="4"/>
      <name val="Arial"/>
      <family val="2"/>
    </font>
    <font>
      <sz val="9"/>
      <color indexed="8"/>
      <name val="Arial"/>
      <family val="2"/>
    </font>
    <font>
      <b/>
      <sz val="11"/>
      <color theme="0"/>
      <name val="Arial"/>
      <family val="2"/>
    </font>
    <font>
      <b/>
      <sz val="14"/>
      <color theme="0"/>
      <name val="Arial"/>
      <family val="2"/>
    </font>
    <font>
      <b/>
      <sz val="10"/>
      <color theme="0"/>
      <name val="Arial"/>
      <family val="2"/>
    </font>
    <font>
      <b/>
      <sz val="10"/>
      <name val="Arial"/>
      <family val="2"/>
    </font>
    <font>
      <sz val="9"/>
      <name val="Arial"/>
      <family val="2"/>
    </font>
    <font>
      <i/>
      <sz val="10"/>
      <color indexed="8"/>
      <name val="Arial"/>
      <family val="2"/>
    </font>
    <font>
      <sz val="10"/>
      <color rgb="FF0070C0"/>
      <name val="Arial"/>
      <family val="2"/>
    </font>
    <font>
      <b/>
      <sz val="10"/>
      <color rgb="FF0070C0"/>
      <name val="Arial"/>
      <family val="2"/>
    </font>
    <font>
      <sz val="10"/>
      <color theme="1"/>
      <name val="Arial"/>
      <family val="2"/>
    </font>
    <font>
      <sz val="11"/>
      <color theme="1"/>
      <name val="Arial"/>
      <family val="2"/>
    </font>
    <font>
      <b/>
      <sz val="11"/>
      <color theme="1"/>
      <name val="Arial"/>
      <family val="2"/>
    </font>
    <font>
      <b/>
      <sz val="12"/>
      <name val="Times"/>
    </font>
    <font>
      <sz val="9"/>
      <name val="Times"/>
    </font>
    <font>
      <b/>
      <sz val="9"/>
      <name val="Times"/>
    </font>
    <font>
      <b/>
      <i/>
      <sz val="9"/>
      <name val="Geneva"/>
    </font>
    <font>
      <b/>
      <sz val="10"/>
      <color theme="1"/>
      <name val="Arial"/>
      <family val="2"/>
    </font>
    <font>
      <i/>
      <sz val="9"/>
      <color indexed="8"/>
      <name val="Arial"/>
      <family val="2"/>
    </font>
    <font>
      <sz val="9"/>
      <name val="Calibri"/>
      <family val="3"/>
      <charset val="134"/>
      <scheme val="minor"/>
    </font>
    <font>
      <sz val="10"/>
      <color theme="1"/>
      <name val="Calibri"/>
      <family val="2"/>
      <scheme val="minor"/>
    </font>
    <font>
      <b/>
      <sz val="11"/>
      <color theme="0"/>
      <name val="Calibri"/>
      <family val="3"/>
      <charset val="134"/>
      <scheme val="minor"/>
    </font>
    <font>
      <b/>
      <vertAlign val="subscript"/>
      <sz val="11"/>
      <color theme="1"/>
      <name val="Calibri"/>
      <family val="2"/>
      <scheme val="minor"/>
    </font>
    <font>
      <sz val="11"/>
      <color theme="1"/>
      <name val="Inherit"/>
      <family val="2"/>
    </font>
    <font>
      <b/>
      <sz val="11"/>
      <color theme="1"/>
      <name val="Inherit"/>
      <family val="2"/>
    </font>
    <font>
      <sz val="11"/>
      <color rgb="FFFF0000"/>
      <name val="Inherit"/>
      <family val="2"/>
    </font>
    <font>
      <b/>
      <sz val="11"/>
      <color rgb="FFFF0000"/>
      <name val="Inherit"/>
      <family val="2"/>
    </font>
    <font>
      <sz val="11"/>
      <color rgb="FF0EA600"/>
      <name val="Inherit"/>
      <family val="2"/>
    </font>
    <font>
      <b/>
      <sz val="11"/>
      <color rgb="FF0EA600"/>
      <name val="Inherit"/>
      <family val="2"/>
    </font>
    <font>
      <b/>
      <sz val="9"/>
      <color theme="1"/>
      <name val="Inherit"/>
      <family val="2"/>
    </font>
    <font>
      <u/>
      <sz val="11"/>
      <color theme="10"/>
      <name val="Calibri"/>
      <family val="2"/>
      <scheme val="minor"/>
    </font>
    <font>
      <b/>
      <sz val="7"/>
      <color rgb="FFC1C1C1"/>
      <name val="Inherit"/>
      <family val="2"/>
    </font>
    <font>
      <sz val="11"/>
      <color rgb="FF1256A0"/>
      <name val="Inherit"/>
      <family val="2"/>
    </font>
    <font>
      <u/>
      <sz val="11"/>
      <color theme="10"/>
      <name val="Calibri"/>
      <family val="3"/>
      <charset val="134"/>
      <scheme val="minor"/>
    </font>
    <font>
      <b/>
      <sz val="6"/>
      <color rgb="FF333333"/>
      <name val="Inherit"/>
      <family val="2"/>
    </font>
    <font>
      <sz val="6"/>
      <color rgb="FF808080"/>
      <name val="Inherit"/>
      <family val="2"/>
    </font>
    <font>
      <b/>
      <sz val="6"/>
      <color rgb="FF808080"/>
      <name val="Inherit"/>
      <family val="2"/>
    </font>
    <font>
      <b/>
      <u/>
      <sz val="6"/>
      <color rgb="FF333333"/>
      <name val="Inherit"/>
      <family val="2"/>
    </font>
    <font>
      <sz val="6"/>
      <color rgb="FF9B9B9B"/>
      <name val="Inherit"/>
      <family val="2"/>
    </font>
    <font>
      <i/>
      <sz val="11"/>
      <color theme="1"/>
      <name val="Inherit"/>
      <family val="2"/>
    </font>
    <font>
      <b/>
      <sz val="12"/>
      <color theme="1"/>
      <name val="Arial"/>
      <family val="2"/>
    </font>
    <font>
      <b/>
      <sz val="7"/>
      <color rgb="FFFF0000"/>
      <name val="Inherit"/>
      <family val="2"/>
    </font>
    <font>
      <b/>
      <sz val="6"/>
      <color rgb="FFFFFFFF"/>
      <name val="Arial"/>
      <family val="2"/>
    </font>
    <font>
      <b/>
      <sz val="7"/>
      <color theme="1"/>
      <name val="Inherit"/>
      <family val="2"/>
    </font>
    <font>
      <b/>
      <sz val="11"/>
      <color rgb="FF333333"/>
      <name val="Inherit"/>
      <family val="2"/>
    </font>
    <font>
      <sz val="9"/>
      <name val="Calibri"/>
      <family val="2"/>
      <charset val="134"/>
      <scheme val="minor"/>
    </font>
    <font>
      <b/>
      <sz val="14"/>
      <color theme="1"/>
      <name val="Calibri"/>
      <family val="2"/>
      <scheme val="minor"/>
    </font>
    <font>
      <b/>
      <sz val="12"/>
      <color indexed="8"/>
      <name val="Arial"/>
      <family val="2"/>
    </font>
    <font>
      <sz val="11"/>
      <name val="Calibri"/>
      <family val="2"/>
      <scheme val="minor"/>
    </font>
    <font>
      <b/>
      <sz val="11"/>
      <color theme="8" tint="0.59999389629810485"/>
      <name val="Calibri"/>
      <family val="2"/>
    </font>
    <font>
      <sz val="11"/>
      <color theme="8" tint="0.59999389629810485"/>
      <name val="Calibri"/>
      <family val="2"/>
      <scheme val="minor"/>
    </font>
    <font>
      <i/>
      <sz val="10"/>
      <color theme="1"/>
      <name val="Arial"/>
      <family val="2"/>
    </font>
    <font>
      <b/>
      <i/>
      <sz val="10"/>
      <color theme="1"/>
      <name val="Arial"/>
      <family val="2"/>
    </font>
    <font>
      <i/>
      <sz val="11"/>
      <color theme="1"/>
      <name val="Arial"/>
      <family val="2"/>
    </font>
    <font>
      <i/>
      <sz val="11"/>
      <color rgb="FFFF0000"/>
      <name val="Calibri"/>
      <family val="2"/>
      <scheme val="minor"/>
    </font>
    <font>
      <sz val="10"/>
      <name val="Calibri"/>
      <family val="2"/>
      <scheme val="minor"/>
    </font>
  </fonts>
  <fills count="22">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indexed="4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theme="9"/>
        <bgColor indexed="64"/>
      </patternFill>
    </fill>
    <fill>
      <patternFill patternType="solid">
        <fgColor indexed="13"/>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bgColor indexed="64"/>
      </patternFill>
    </fill>
    <fill>
      <patternFill patternType="solid">
        <fgColor theme="4" tint="-0.499984740745262"/>
        <bgColor indexed="64"/>
      </patternFill>
    </fill>
    <fill>
      <patternFill patternType="solid">
        <fgColor rgb="FF92D050"/>
        <bgColor indexed="64"/>
      </patternFill>
    </fill>
    <fill>
      <patternFill patternType="solid">
        <fgColor rgb="FFEDF4FA"/>
        <bgColor indexed="64"/>
      </patternFill>
    </fill>
    <fill>
      <patternFill patternType="solid">
        <fgColor theme="6"/>
        <bgColor indexed="64"/>
      </patternFill>
    </fill>
    <fill>
      <patternFill patternType="solid">
        <fgColor theme="7"/>
        <bgColor indexed="64"/>
      </patternFill>
    </fill>
    <fill>
      <patternFill patternType="solid">
        <fgColor rgb="FFFFFFFF"/>
        <bgColor indexed="64"/>
      </patternFill>
    </fill>
    <fill>
      <patternFill patternType="solid">
        <fgColor theme="4" tint="0.39997558519241921"/>
        <bgColor indexed="64"/>
      </patternFill>
    </fill>
    <fill>
      <patternFill patternType="solid">
        <fgColor theme="5"/>
        <bgColor indexed="64"/>
      </patternFill>
    </fill>
    <fill>
      <patternFill patternType="solid">
        <fgColor theme="9" tint="0.39997558519241921"/>
        <bgColor indexed="64"/>
      </patternFill>
    </fill>
  </fills>
  <borders count="60">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right/>
      <top/>
      <bottom style="thin">
        <color theme="0"/>
      </bottom>
      <diagonal/>
    </border>
    <border>
      <left/>
      <right style="thick">
        <color theme="4"/>
      </right>
      <top/>
      <bottom style="thin">
        <color theme="0"/>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top/>
      <bottom/>
      <diagonal/>
    </border>
    <border>
      <left style="hair">
        <color theme="4"/>
      </left>
      <right style="hair">
        <color theme="4"/>
      </right>
      <top style="hair">
        <color theme="4"/>
      </top>
      <bottom style="hair">
        <color theme="4"/>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style="thin">
        <color auto="1"/>
      </right>
      <top style="thin">
        <color auto="1"/>
      </top>
      <bottom style="medium">
        <color auto="1"/>
      </bottom>
      <diagonal/>
    </border>
    <border>
      <left/>
      <right style="thin">
        <color auto="1"/>
      </right>
      <top/>
      <bottom/>
      <diagonal/>
    </border>
    <border>
      <left/>
      <right style="thin">
        <color auto="1"/>
      </right>
      <top/>
      <bottom style="thin">
        <color auto="1"/>
      </bottom>
      <diagonal/>
    </border>
    <border>
      <left/>
      <right style="thin">
        <color indexed="64"/>
      </right>
      <top style="thin">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style="hair">
        <color auto="1"/>
      </left>
      <right style="hair">
        <color auto="1"/>
      </right>
      <top style="hair">
        <color auto="1"/>
      </top>
      <bottom style="hair">
        <color auto="1"/>
      </bottom>
      <diagonal/>
    </border>
    <border>
      <left style="thin">
        <color indexed="64"/>
      </left>
      <right/>
      <top style="thin">
        <color auto="1"/>
      </top>
      <bottom style="thin">
        <color indexed="64"/>
      </bottom>
      <diagonal/>
    </border>
    <border>
      <left/>
      <right style="thin">
        <color indexed="64"/>
      </right>
      <top style="thin">
        <color auto="1"/>
      </top>
      <bottom style="thin">
        <color indexed="64"/>
      </bottom>
      <diagonal/>
    </border>
    <border>
      <left style="medium">
        <color indexed="64"/>
      </left>
      <right style="medium">
        <color indexed="64"/>
      </right>
      <top style="medium">
        <color indexed="64"/>
      </top>
      <bottom/>
      <diagonal/>
    </border>
    <border>
      <left style="hair">
        <color theme="4"/>
      </left>
      <right/>
      <top style="hair">
        <color theme="4"/>
      </top>
      <bottom style="hair">
        <color theme="4"/>
      </bottom>
      <diagonal/>
    </border>
    <border>
      <left/>
      <right/>
      <top/>
      <bottom style="medium">
        <color indexed="64"/>
      </bottom>
      <diagonal/>
    </border>
    <border>
      <left style="medium">
        <color rgb="FFBABABA"/>
      </left>
      <right/>
      <top style="medium">
        <color rgb="FFBABABA"/>
      </top>
      <bottom/>
      <diagonal/>
    </border>
    <border>
      <left/>
      <right/>
      <top style="medium">
        <color rgb="FFBABABA"/>
      </top>
      <bottom/>
      <diagonal/>
    </border>
    <border>
      <left/>
      <right style="medium">
        <color rgb="FFBABABA"/>
      </right>
      <top style="medium">
        <color rgb="FFBABABA"/>
      </top>
      <bottom/>
      <diagonal/>
    </border>
    <border>
      <left style="medium">
        <color rgb="FFBABABA"/>
      </left>
      <right/>
      <top style="medium">
        <color rgb="FFDADADA"/>
      </top>
      <bottom/>
      <diagonal/>
    </border>
    <border>
      <left/>
      <right/>
      <top style="medium">
        <color rgb="FFDADADA"/>
      </top>
      <bottom/>
      <diagonal/>
    </border>
    <border>
      <left/>
      <right style="medium">
        <color rgb="FFBABABA"/>
      </right>
      <top style="medium">
        <color rgb="FFDADADA"/>
      </top>
      <bottom/>
      <diagonal/>
    </border>
    <border>
      <left style="medium">
        <color rgb="FFBABABA"/>
      </left>
      <right/>
      <top style="medium">
        <color rgb="FFBABABA"/>
      </top>
      <bottom style="medium">
        <color rgb="FFBABABA"/>
      </bottom>
      <diagonal/>
    </border>
    <border>
      <left/>
      <right/>
      <top style="medium">
        <color rgb="FFBABABA"/>
      </top>
      <bottom style="medium">
        <color rgb="FFBABABA"/>
      </bottom>
      <diagonal/>
    </border>
    <border>
      <left/>
      <right style="medium">
        <color rgb="FFBABABA"/>
      </right>
      <top style="medium">
        <color rgb="FFBABABA"/>
      </top>
      <bottom style="medium">
        <color rgb="FFBABABA"/>
      </bottom>
      <diagonal/>
    </border>
    <border>
      <left/>
      <right/>
      <top style="medium">
        <color rgb="FFE6E6E6"/>
      </top>
      <bottom/>
      <diagonal/>
    </border>
    <border>
      <left/>
      <right/>
      <top/>
      <bottom style="medium">
        <color rgb="FFBABABA"/>
      </bottom>
      <diagonal/>
    </border>
    <border>
      <left style="medium">
        <color rgb="FFCCCCCC"/>
      </left>
      <right style="medium">
        <color rgb="FFCCCCCC"/>
      </right>
      <top style="medium">
        <color rgb="FFCCCCCC"/>
      </top>
      <bottom style="medium">
        <color rgb="FFCCCCCC"/>
      </bottom>
      <diagonal/>
    </border>
    <border>
      <left/>
      <right style="medium">
        <color rgb="FFBABABA"/>
      </right>
      <top/>
      <bottom/>
      <diagonal/>
    </border>
    <border>
      <left/>
      <right/>
      <top style="medium">
        <color rgb="FFDADADA"/>
      </top>
      <bottom style="medium">
        <color rgb="FFDADADA"/>
      </bottom>
      <diagonal/>
    </border>
    <border>
      <left/>
      <right/>
      <top/>
      <bottom style="medium">
        <color rgb="FFDADADA"/>
      </bottom>
      <diagonal/>
    </border>
    <border>
      <left style="medium">
        <color rgb="FFDADADA"/>
      </left>
      <right style="medium">
        <color rgb="FFDADADA"/>
      </right>
      <top/>
      <bottom style="medium">
        <color rgb="FFDADADA"/>
      </bottom>
      <diagonal/>
    </border>
    <border>
      <left/>
      <right/>
      <top/>
      <bottom style="medium">
        <color rgb="FFFFFFFF"/>
      </bottom>
      <diagonal/>
    </border>
    <border>
      <left/>
      <right/>
      <top style="medium">
        <color rgb="FFDADADA"/>
      </top>
      <bottom style="medium">
        <color rgb="FFFFFFFF"/>
      </bottom>
      <diagonal/>
    </border>
    <border>
      <left/>
      <right/>
      <top style="medium">
        <color rgb="FFFFFFFF"/>
      </top>
      <bottom/>
      <diagonal/>
    </border>
    <border>
      <left/>
      <right/>
      <top style="medium">
        <color rgb="FFBABABA"/>
      </top>
      <bottom style="medium">
        <color rgb="FFDADADA"/>
      </bottom>
      <diagonal/>
    </border>
    <border>
      <left style="medium">
        <color rgb="FFCBCBCB"/>
      </left>
      <right/>
      <top/>
      <bottom/>
      <diagonal/>
    </border>
    <border>
      <left style="thin">
        <color theme="0"/>
      </left>
      <right/>
      <top/>
      <bottom/>
      <diagonal/>
    </border>
    <border>
      <left/>
      <right style="thin">
        <color theme="1"/>
      </right>
      <top/>
      <bottom/>
      <diagonal/>
    </border>
    <border>
      <left/>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ck">
        <color auto="1"/>
      </right>
      <top/>
      <bottom/>
      <diagonal/>
    </border>
    <border>
      <left style="thin">
        <color auto="1"/>
      </left>
      <right/>
      <top style="thin">
        <color theme="4" tint="-0.24994659260841701"/>
      </top>
      <bottom style="thin">
        <color indexed="64"/>
      </bottom>
      <diagonal/>
    </border>
    <border>
      <left/>
      <right/>
      <top style="thin">
        <color theme="4" tint="-0.24994659260841701"/>
      </top>
      <bottom style="thin">
        <color indexed="64"/>
      </bottom>
      <diagonal/>
    </border>
    <border>
      <left/>
      <right style="thin">
        <color indexed="64"/>
      </right>
      <top style="thin">
        <color theme="4" tint="-0.24994659260841701"/>
      </top>
      <bottom style="thin">
        <color indexed="64"/>
      </bottom>
      <diagonal/>
    </border>
    <border>
      <left/>
      <right style="medium">
        <color indexed="64"/>
      </right>
      <top/>
      <bottom/>
      <diagonal/>
    </border>
  </borders>
  <cellStyleXfs count="19">
    <xf numFmtId="0" fontId="0" fillId="0" borderId="0"/>
    <xf numFmtId="9" fontId="2" fillId="0" borderId="0" applyFont="0" applyFill="0" applyBorder="0" applyAlignment="0" applyProtection="0"/>
    <xf numFmtId="0" fontId="6" fillId="0" borderId="0"/>
    <xf numFmtId="0" fontId="8" fillId="0" borderId="0"/>
    <xf numFmtId="9" fontId="8" fillId="0" borderId="0" applyFont="0" applyFill="0" applyBorder="0" applyAlignment="0" applyProtection="0"/>
    <xf numFmtId="166" fontId="8" fillId="0" borderId="0" applyFont="0" applyFill="0" applyBorder="0" applyAlignment="0" applyProtection="0"/>
    <xf numFmtId="169" fontId="19" fillId="5" borderId="13"/>
    <xf numFmtId="169" fontId="26" fillId="7" borderId="23"/>
    <xf numFmtId="173" fontId="8" fillId="0" borderId="0" applyFont="0" applyFill="0" applyBorder="0" applyAlignment="0" applyProtection="0"/>
    <xf numFmtId="176" fontId="19" fillId="5" borderId="13"/>
    <xf numFmtId="9" fontId="2" fillId="0" borderId="0" applyFont="0" applyFill="0" applyBorder="0" applyAlignment="0" applyProtection="0">
      <alignment vertical="center"/>
    </xf>
    <xf numFmtId="0" fontId="49" fillId="0" borderId="0" applyNumberFormat="0" applyFill="0" applyBorder="0" applyAlignment="0" applyProtection="0"/>
    <xf numFmtId="181" fontId="6" fillId="0" borderId="0" applyFont="0" applyFill="0" applyBorder="0" applyAlignment="0" applyProtection="0"/>
    <xf numFmtId="0" fontId="1" fillId="0" borderId="0">
      <alignment vertical="center"/>
    </xf>
    <xf numFmtId="9" fontId="2" fillId="0" borderId="0" applyFont="0" applyFill="0" applyBorder="0" applyAlignment="0" applyProtection="0"/>
    <xf numFmtId="9" fontId="1" fillId="0" borderId="0" applyFont="0" applyFill="0" applyBorder="0" applyAlignment="0" applyProtection="0">
      <alignment vertical="center"/>
    </xf>
    <xf numFmtId="0" fontId="1" fillId="0" borderId="0">
      <alignment vertical="center"/>
    </xf>
    <xf numFmtId="0" fontId="17" fillId="18" borderId="12"/>
    <xf numFmtId="4" fontId="17" fillId="18" borderId="53">
      <alignment horizontal="right"/>
    </xf>
  </cellStyleXfs>
  <cellXfs count="616">
    <xf numFmtId="0" fontId="0" fillId="0" borderId="0" xfId="0"/>
    <xf numFmtId="9" fontId="0" fillId="0" borderId="0" xfId="1" applyFont="1"/>
    <xf numFmtId="0" fontId="3" fillId="0" borderId="0" xfId="0" applyFont="1"/>
    <xf numFmtId="0" fontId="0" fillId="0" borderId="0" xfId="0" applyAlignment="1"/>
    <xf numFmtId="0" fontId="5" fillId="0" borderId="0" xfId="0" applyFont="1"/>
    <xf numFmtId="0" fontId="5" fillId="0" borderId="1" xfId="0" applyFont="1" applyBorder="1"/>
    <xf numFmtId="0" fontId="0" fillId="0" borderId="2" xfId="0" applyBorder="1"/>
    <xf numFmtId="3" fontId="0" fillId="0" borderId="0" xfId="0" applyNumberFormat="1"/>
    <xf numFmtId="0" fontId="0" fillId="0" borderId="0" xfId="0" applyAlignment="1">
      <alignment horizontal="left" vertical="center"/>
    </xf>
    <xf numFmtId="0" fontId="0" fillId="0" borderId="3" xfId="0" applyBorder="1" applyAlignment="1">
      <alignment wrapText="1"/>
    </xf>
    <xf numFmtId="164" fontId="0" fillId="0" borderId="0" xfId="1" applyNumberFormat="1" applyFont="1"/>
    <xf numFmtId="164" fontId="0" fillId="0" borderId="0" xfId="1" applyNumberFormat="1" applyFont="1" applyAlignment="1">
      <alignment horizontal="left" vertical="center"/>
    </xf>
    <xf numFmtId="0" fontId="0" fillId="0" borderId="0" xfId="0" applyAlignment="1">
      <alignment horizontal="right" vertical="center"/>
    </xf>
    <xf numFmtId="10" fontId="0" fillId="0" borderId="0" xfId="0" applyNumberFormat="1"/>
    <xf numFmtId="0" fontId="3" fillId="0" borderId="0" xfId="0" applyFont="1" applyAlignment="1">
      <alignment horizontal="left" vertical="center"/>
    </xf>
    <xf numFmtId="0" fontId="0" fillId="3" borderId="0" xfId="0" applyFill="1"/>
    <xf numFmtId="0" fontId="0" fillId="3" borderId="0" xfId="0" applyFill="1" applyAlignment="1">
      <alignment horizontal="right" vertical="center"/>
    </xf>
    <xf numFmtId="164" fontId="0" fillId="3" borderId="0" xfId="1" applyNumberFormat="1" applyFont="1" applyFill="1"/>
    <xf numFmtId="0" fontId="0" fillId="0" borderId="0" xfId="0" applyFill="1" applyAlignment="1"/>
    <xf numFmtId="0" fontId="8" fillId="0" borderId="0" xfId="3"/>
    <xf numFmtId="0" fontId="9" fillId="0" borderId="0" xfId="3" applyFont="1"/>
    <xf numFmtId="0" fontId="10" fillId="0" borderId="0" xfId="3" applyFont="1"/>
    <xf numFmtId="0" fontId="11" fillId="0" borderId="0" xfId="3" applyFont="1"/>
    <xf numFmtId="0" fontId="12" fillId="0" borderId="0" xfId="3" applyFont="1"/>
    <xf numFmtId="0" fontId="10" fillId="0" borderId="4" xfId="3" applyFont="1" applyBorder="1" applyAlignment="1">
      <alignment horizontal="center"/>
    </xf>
    <xf numFmtId="0" fontId="10" fillId="4" borderId="4" xfId="3" applyFont="1" applyFill="1" applyBorder="1" applyAlignment="1">
      <alignment horizontal="center"/>
    </xf>
    <xf numFmtId="0" fontId="10" fillId="0" borderId="4" xfId="3" applyFont="1" applyBorder="1"/>
    <xf numFmtId="0" fontId="10" fillId="0" borderId="7" xfId="3" applyFont="1" applyBorder="1"/>
    <xf numFmtId="0" fontId="10" fillId="0" borderId="5" xfId="3" applyFont="1" applyBorder="1"/>
    <xf numFmtId="169" fontId="17" fillId="0" borderId="0" xfId="0" applyNumberFormat="1" applyFont="1" applyFill="1" applyBorder="1"/>
    <xf numFmtId="169" fontId="18" fillId="0" borderId="0" xfId="0" applyNumberFormat="1" applyFont="1" applyFill="1"/>
    <xf numFmtId="169" fontId="18" fillId="0" borderId="0" xfId="0" applyNumberFormat="1" applyFont="1" applyFill="1" applyBorder="1"/>
    <xf numFmtId="169" fontId="16" fillId="0" borderId="0" xfId="0" applyNumberFormat="1" applyFont="1" applyFill="1" applyBorder="1" applyAlignment="1">
      <alignment vertical="center"/>
    </xf>
    <xf numFmtId="169" fontId="16" fillId="0" borderId="10" xfId="0" applyNumberFormat="1" applyFont="1" applyFill="1" applyBorder="1" applyAlignment="1">
      <alignment vertical="center"/>
    </xf>
    <xf numFmtId="169" fontId="16" fillId="0" borderId="11" xfId="0" applyNumberFormat="1" applyFont="1" applyFill="1" applyBorder="1" applyAlignment="1">
      <alignment vertical="center"/>
    </xf>
    <xf numFmtId="169" fontId="6" fillId="0" borderId="11" xfId="0" applyNumberFormat="1" applyFont="1" applyFill="1" applyBorder="1" applyAlignment="1">
      <alignment vertical="center"/>
    </xf>
    <xf numFmtId="169" fontId="18" fillId="0" borderId="12" xfId="0" applyNumberFormat="1" applyFont="1" applyFill="1" applyBorder="1"/>
    <xf numFmtId="169" fontId="17" fillId="0" borderId="14" xfId="0" applyNumberFormat="1" applyFont="1" applyFill="1" applyBorder="1"/>
    <xf numFmtId="169" fontId="17" fillId="0" borderId="15" xfId="0" applyNumberFormat="1" applyFont="1" applyFill="1" applyBorder="1"/>
    <xf numFmtId="169" fontId="20" fillId="0" borderId="0" xfId="0" applyNumberFormat="1" applyFont="1" applyFill="1" applyBorder="1"/>
    <xf numFmtId="169" fontId="20" fillId="0" borderId="12" xfId="0" applyNumberFormat="1" applyFont="1" applyFill="1" applyBorder="1"/>
    <xf numFmtId="169" fontId="18" fillId="0" borderId="16" xfId="0" applyNumberFormat="1" applyFont="1" applyFill="1" applyBorder="1"/>
    <xf numFmtId="169" fontId="18" fillId="0" borderId="1" xfId="0" applyNumberFormat="1" applyFont="1" applyFill="1" applyBorder="1"/>
    <xf numFmtId="169" fontId="6" fillId="0" borderId="17" xfId="0" applyNumberFormat="1" applyFont="1" applyFill="1" applyBorder="1" applyAlignment="1">
      <alignment vertical="center"/>
    </xf>
    <xf numFmtId="169" fontId="18" fillId="0" borderId="18" xfId="0" applyNumberFormat="1" applyFont="1" applyFill="1" applyBorder="1"/>
    <xf numFmtId="0" fontId="21" fillId="6" borderId="0" xfId="0" applyFont="1" applyFill="1" applyBorder="1" applyAlignment="1">
      <alignment horizontal="left"/>
    </xf>
    <xf numFmtId="0" fontId="21" fillId="6" borderId="0" xfId="0" applyFont="1" applyFill="1" applyAlignment="1">
      <alignment horizontal="center" wrapText="1"/>
    </xf>
    <xf numFmtId="0" fontId="22" fillId="6" borderId="0" xfId="0" applyFont="1" applyFill="1" applyBorder="1" applyAlignment="1">
      <alignment horizontal="left"/>
    </xf>
    <xf numFmtId="0" fontId="22" fillId="6" borderId="0" xfId="0" applyFont="1" applyFill="1" applyAlignment="1">
      <alignment horizontal="center" wrapText="1"/>
    </xf>
    <xf numFmtId="0" fontId="21" fillId="6" borderId="8" xfId="0" applyFont="1" applyFill="1" applyBorder="1" applyAlignment="1">
      <alignment horizontal="centerContinuous" wrapText="1"/>
    </xf>
    <xf numFmtId="0" fontId="21" fillId="6" borderId="9" xfId="0" applyFont="1" applyFill="1" applyBorder="1" applyAlignment="1">
      <alignment horizontal="centerContinuous" wrapText="1"/>
    </xf>
    <xf numFmtId="167" fontId="23" fillId="6" borderId="0" xfId="0" applyNumberFormat="1" applyFont="1" applyFill="1" applyBorder="1" applyAlignment="1">
      <alignment horizontal="left"/>
    </xf>
    <xf numFmtId="167" fontId="23" fillId="6" borderId="0" xfId="0" applyNumberFormat="1" applyFont="1" applyFill="1"/>
    <xf numFmtId="168" fontId="23" fillId="6" borderId="0" xfId="0" applyNumberFormat="1" applyFont="1" applyFill="1"/>
    <xf numFmtId="169" fontId="0" fillId="0" borderId="0" xfId="0" applyNumberFormat="1"/>
    <xf numFmtId="170" fontId="0" fillId="0" borderId="0" xfId="0" applyNumberFormat="1"/>
    <xf numFmtId="169" fontId="17" fillId="0" borderId="20" xfId="0" applyNumberFormat="1" applyFont="1" applyFill="1" applyBorder="1"/>
    <xf numFmtId="170" fontId="20" fillId="0" borderId="0" xfId="1" applyNumberFormat="1" applyFont="1" applyFill="1" applyBorder="1"/>
    <xf numFmtId="170" fontId="20" fillId="0" borderId="18" xfId="1" applyNumberFormat="1" applyFont="1" applyFill="1" applyBorder="1"/>
    <xf numFmtId="170" fontId="20" fillId="0" borderId="1" xfId="1" applyNumberFormat="1" applyFont="1" applyFill="1" applyBorder="1"/>
    <xf numFmtId="170" fontId="20" fillId="0" borderId="19" xfId="1" applyNumberFormat="1" applyFont="1" applyFill="1" applyBorder="1"/>
    <xf numFmtId="169" fontId="24" fillId="0" borderId="15" xfId="0" applyNumberFormat="1" applyFont="1" applyFill="1" applyBorder="1"/>
    <xf numFmtId="170" fontId="25" fillId="0" borderId="0" xfId="1" applyNumberFormat="1" applyFont="1" applyFill="1" applyBorder="1"/>
    <xf numFmtId="169" fontId="6" fillId="0" borderId="0" xfId="0" applyNumberFormat="1" applyFont="1" applyFill="1" applyBorder="1"/>
    <xf numFmtId="0" fontId="0" fillId="0" borderId="0" xfId="0" applyFill="1"/>
    <xf numFmtId="169" fontId="17" fillId="0" borderId="12" xfId="0" applyNumberFormat="1" applyFont="1" applyFill="1" applyBorder="1"/>
    <xf numFmtId="169" fontId="17" fillId="0" borderId="21" xfId="0" applyNumberFormat="1" applyFont="1" applyFill="1" applyBorder="1"/>
    <xf numFmtId="169" fontId="17" fillId="0" borderId="22" xfId="0" applyNumberFormat="1" applyFont="1" applyFill="1" applyBorder="1"/>
    <xf numFmtId="169" fontId="26" fillId="0" borderId="0" xfId="0" applyNumberFormat="1" applyFont="1" applyFill="1" applyBorder="1"/>
    <xf numFmtId="169" fontId="26" fillId="0" borderId="23" xfId="7" applyFill="1"/>
    <xf numFmtId="169" fontId="26" fillId="8" borderId="23" xfId="7" applyFill="1"/>
    <xf numFmtId="169" fontId="27" fillId="0" borderId="13" xfId="6" applyFont="1" applyFill="1"/>
    <xf numFmtId="169" fontId="27" fillId="0" borderId="0" xfId="0" applyNumberFormat="1" applyFont="1" applyFill="1" applyBorder="1"/>
    <xf numFmtId="169" fontId="28" fillId="0" borderId="0" xfId="0" applyNumberFormat="1" applyFont="1" applyFill="1" applyBorder="1"/>
    <xf numFmtId="169" fontId="28" fillId="0" borderId="22" xfId="0" applyNumberFormat="1" applyFont="1" applyFill="1" applyBorder="1"/>
    <xf numFmtId="169" fontId="27" fillId="0" borderId="0" xfId="0" applyNumberFormat="1" applyFont="1" applyFill="1"/>
    <xf numFmtId="169" fontId="27" fillId="0" borderId="11" xfId="0" applyNumberFormat="1" applyFont="1" applyFill="1" applyBorder="1" applyAlignment="1">
      <alignment vertical="center"/>
    </xf>
    <xf numFmtId="169" fontId="24" fillId="0" borderId="0" xfId="0" applyNumberFormat="1" applyFont="1" applyFill="1" applyBorder="1"/>
    <xf numFmtId="169" fontId="24" fillId="0" borderId="22" xfId="0" applyNumberFormat="1" applyFont="1" applyFill="1" applyBorder="1"/>
    <xf numFmtId="169" fontId="6" fillId="0" borderId="0" xfId="0" applyNumberFormat="1" applyFont="1" applyFill="1"/>
    <xf numFmtId="169" fontId="6" fillId="0" borderId="13" xfId="6" applyFont="1" applyFill="1"/>
    <xf numFmtId="172" fontId="23" fillId="6" borderId="0" xfId="0" applyNumberFormat="1" applyFont="1" applyFill="1"/>
    <xf numFmtId="168" fontId="23" fillId="6" borderId="0" xfId="0" applyNumberFormat="1" applyFont="1" applyFill="1" applyAlignment="1">
      <alignment horizontal="right"/>
    </xf>
    <xf numFmtId="0" fontId="30" fillId="0" borderId="0" xfId="0" applyFont="1"/>
    <xf numFmtId="0" fontId="30" fillId="0" borderId="0" xfId="0" applyFont="1" applyFill="1"/>
    <xf numFmtId="0" fontId="23" fillId="6" borderId="14" xfId="0" applyFont="1" applyFill="1" applyBorder="1"/>
    <xf numFmtId="0" fontId="30" fillId="6" borderId="15" xfId="0" applyFont="1" applyFill="1" applyBorder="1"/>
    <xf numFmtId="3" fontId="6" fillId="0" borderId="0" xfId="0" applyNumberFormat="1" applyFont="1" applyFill="1" applyBorder="1"/>
    <xf numFmtId="3" fontId="29" fillId="0" borderId="0" xfId="0" applyNumberFormat="1" applyFont="1" applyFill="1" applyBorder="1"/>
    <xf numFmtId="0" fontId="6" fillId="0" borderId="0" xfId="0" applyFont="1" applyFill="1" applyBorder="1"/>
    <xf numFmtId="3" fontId="24" fillId="0" borderId="15" xfId="0" applyNumberFormat="1" applyFont="1" applyFill="1" applyBorder="1" applyAlignment="1">
      <alignment horizontal="right"/>
    </xf>
    <xf numFmtId="3" fontId="24" fillId="0" borderId="2" xfId="0" applyNumberFormat="1" applyFont="1" applyFill="1" applyBorder="1" applyAlignment="1">
      <alignment horizontal="right"/>
    </xf>
    <xf numFmtId="3" fontId="24" fillId="0" borderId="25" xfId="0" applyNumberFormat="1" applyFont="1" applyFill="1" applyBorder="1" applyAlignment="1">
      <alignment horizontal="right"/>
    </xf>
    <xf numFmtId="168" fontId="23" fillId="6" borderId="15" xfId="0" applyNumberFormat="1" applyFont="1" applyFill="1" applyBorder="1"/>
    <xf numFmtId="168" fontId="23" fillId="6" borderId="20" xfId="0" applyNumberFormat="1" applyFont="1" applyFill="1" applyBorder="1"/>
    <xf numFmtId="0" fontId="30" fillId="0" borderId="15" xfId="0" applyFont="1" applyBorder="1"/>
    <xf numFmtId="0" fontId="31" fillId="0" borderId="15" xfId="0" applyFont="1" applyBorder="1"/>
    <xf numFmtId="0" fontId="9" fillId="0" borderId="0" xfId="3" applyFont="1" applyAlignment="1">
      <alignment horizontal="centerContinuous"/>
    </xf>
    <xf numFmtId="0" fontId="32" fillId="0" borderId="0" xfId="3" applyFont="1"/>
    <xf numFmtId="10" fontId="10" fillId="4" borderId="5" xfId="3" applyNumberFormat="1" applyFont="1" applyFill="1" applyBorder="1" applyAlignment="1">
      <alignment horizontal="center"/>
    </xf>
    <xf numFmtId="173" fontId="10" fillId="4" borderId="4" xfId="8" applyFont="1" applyFill="1" applyBorder="1"/>
    <xf numFmtId="173" fontId="10" fillId="0" borderId="0" xfId="8" applyFont="1" applyBorder="1"/>
    <xf numFmtId="173" fontId="10" fillId="4" borderId="7" xfId="8" applyFont="1" applyFill="1" applyBorder="1"/>
    <xf numFmtId="0" fontId="10" fillId="4" borderId="5" xfId="3" applyFont="1" applyFill="1" applyBorder="1"/>
    <xf numFmtId="173" fontId="10" fillId="4" borderId="6" xfId="3" applyNumberFormat="1" applyFont="1" applyFill="1" applyBorder="1"/>
    <xf numFmtId="0" fontId="10" fillId="9" borderId="4" xfId="3" applyFont="1" applyFill="1" applyBorder="1" applyAlignment="1">
      <alignment horizontal="center"/>
    </xf>
    <xf numFmtId="2" fontId="33" fillId="0" borderId="4" xfId="3" applyNumberFormat="1" applyFont="1" applyBorder="1" applyAlignment="1">
      <alignment horizontal="center"/>
    </xf>
    <xf numFmtId="2" fontId="33" fillId="0" borderId="0" xfId="3" applyNumberFormat="1" applyFont="1"/>
    <xf numFmtId="2" fontId="10" fillId="0" borderId="0" xfId="3" applyNumberFormat="1" applyFont="1"/>
    <xf numFmtId="1" fontId="33" fillId="0" borderId="4" xfId="3" applyNumberFormat="1" applyFont="1" applyBorder="1" applyAlignment="1">
      <alignment horizontal="center"/>
    </xf>
    <xf numFmtId="2" fontId="33" fillId="9" borderId="4" xfId="3" applyNumberFormat="1" applyFont="1" applyFill="1" applyBorder="1" applyAlignment="1">
      <alignment horizontal="center"/>
    </xf>
    <xf numFmtId="2" fontId="34" fillId="0" borderId="0" xfId="3" applyNumberFormat="1" applyFont="1"/>
    <xf numFmtId="2" fontId="33" fillId="0" borderId="24" xfId="3" applyNumberFormat="1" applyFont="1" applyBorder="1" applyAlignment="1">
      <alignment horizontal="centerContinuous"/>
    </xf>
    <xf numFmtId="2" fontId="33" fillId="0" borderId="25" xfId="3" applyNumberFormat="1" applyFont="1" applyBorder="1" applyAlignment="1">
      <alignment horizontal="centerContinuous"/>
    </xf>
    <xf numFmtId="173" fontId="33" fillId="0" borderId="4" xfId="8" applyFont="1" applyBorder="1"/>
    <xf numFmtId="2" fontId="33" fillId="0" borderId="7" xfId="3" applyNumberFormat="1" applyFont="1" applyBorder="1" applyAlignment="1">
      <alignment horizontal="center"/>
    </xf>
    <xf numFmtId="173" fontId="33" fillId="0" borderId="7" xfId="8" applyFont="1" applyBorder="1"/>
    <xf numFmtId="165" fontId="10" fillId="0" borderId="5" xfId="3" applyNumberFormat="1" applyFont="1" applyBorder="1"/>
    <xf numFmtId="173" fontId="10" fillId="0" borderId="5" xfId="8" applyFont="1" applyBorder="1"/>
    <xf numFmtId="165" fontId="10" fillId="0" borderId="26" xfId="3" applyNumberFormat="1" applyFont="1" applyBorder="1"/>
    <xf numFmtId="174" fontId="10" fillId="0" borderId="4" xfId="8" applyNumberFormat="1" applyFont="1" applyBorder="1"/>
    <xf numFmtId="0" fontId="35" fillId="0" borderId="0" xfId="3" applyFont="1"/>
    <xf numFmtId="175" fontId="8" fillId="2" borderId="4" xfId="3" applyNumberFormat="1" applyFill="1" applyBorder="1" applyAlignment="1">
      <alignment horizontal="center"/>
    </xf>
    <xf numFmtId="175" fontId="10" fillId="4" borderId="4" xfId="3" applyNumberFormat="1" applyFont="1" applyFill="1" applyBorder="1"/>
    <xf numFmtId="175" fontId="10" fillId="4" borderId="7" xfId="3" applyNumberFormat="1" applyFont="1" applyFill="1" applyBorder="1"/>
    <xf numFmtId="175" fontId="10" fillId="4" borderId="5" xfId="3" applyNumberFormat="1" applyFont="1" applyFill="1" applyBorder="1"/>
    <xf numFmtId="175" fontId="10" fillId="4" borderId="6" xfId="3" applyNumberFormat="1" applyFont="1" applyFill="1" applyBorder="1"/>
    <xf numFmtId="175" fontId="10" fillId="9" borderId="4" xfId="8" applyNumberFormat="1" applyFont="1" applyFill="1" applyBorder="1"/>
    <xf numFmtId="0" fontId="6" fillId="0" borderId="12" xfId="0" applyFont="1" applyFill="1" applyBorder="1" applyAlignment="1">
      <alignment horizontal="left"/>
    </xf>
    <xf numFmtId="0" fontId="30" fillId="0" borderId="12" xfId="0" applyFont="1" applyBorder="1"/>
    <xf numFmtId="9" fontId="30" fillId="0" borderId="0" xfId="0" applyNumberFormat="1" applyFont="1" applyBorder="1"/>
    <xf numFmtId="9" fontId="30" fillId="0" borderId="18" xfId="0" applyNumberFormat="1" applyFont="1" applyBorder="1"/>
    <xf numFmtId="0" fontId="30" fillId="0" borderId="16" xfId="0" applyFont="1" applyBorder="1"/>
    <xf numFmtId="9" fontId="30" fillId="0" borderId="1" xfId="0" applyNumberFormat="1" applyFont="1" applyBorder="1"/>
    <xf numFmtId="9" fontId="30" fillId="0" borderId="19" xfId="0" applyNumberFormat="1" applyFont="1" applyBorder="1"/>
    <xf numFmtId="0" fontId="23" fillId="6" borderId="15" xfId="0" applyFont="1" applyFill="1" applyBorder="1"/>
    <xf numFmtId="0" fontId="30" fillId="0" borderId="0" xfId="0" applyFont="1" applyBorder="1"/>
    <xf numFmtId="0" fontId="30" fillId="0" borderId="1" xfId="0" applyFont="1" applyBorder="1"/>
    <xf numFmtId="169" fontId="6" fillId="0" borderId="0" xfId="6" applyNumberFormat="1" applyFont="1" applyFill="1" applyBorder="1"/>
    <xf numFmtId="0" fontId="30" fillId="0" borderId="18" xfId="0" applyFont="1" applyBorder="1"/>
    <xf numFmtId="0" fontId="31" fillId="0" borderId="20" xfId="0" applyFont="1" applyBorder="1"/>
    <xf numFmtId="0" fontId="30" fillId="0" borderId="2" xfId="0" applyFont="1" applyBorder="1"/>
    <xf numFmtId="9" fontId="31" fillId="0" borderId="2" xfId="1" applyFont="1" applyBorder="1"/>
    <xf numFmtId="0" fontId="6" fillId="0" borderId="16" xfId="0" applyFont="1" applyFill="1" applyBorder="1"/>
    <xf numFmtId="0" fontId="30" fillId="0" borderId="19" xfId="0" applyFont="1" applyBorder="1"/>
    <xf numFmtId="0" fontId="21" fillId="6" borderId="20" xfId="0" applyFont="1" applyFill="1" applyBorder="1" applyAlignment="1">
      <alignment horizontal="right"/>
    </xf>
    <xf numFmtId="10" fontId="31" fillId="0" borderId="18" xfId="0" applyNumberFormat="1" applyFont="1" applyBorder="1"/>
    <xf numFmtId="10" fontId="31" fillId="0" borderId="19" xfId="1" applyNumberFormat="1" applyFont="1" applyBorder="1"/>
    <xf numFmtId="9" fontId="10" fillId="0" borderId="0" xfId="1" applyFont="1"/>
    <xf numFmtId="0" fontId="36" fillId="0" borderId="15" xfId="0" applyFont="1" applyFill="1" applyBorder="1"/>
    <xf numFmtId="0" fontId="29" fillId="0" borderId="15" xfId="0" applyFont="1" applyFill="1" applyBorder="1"/>
    <xf numFmtId="9" fontId="33" fillId="0" borderId="0" xfId="1" applyFont="1"/>
    <xf numFmtId="10" fontId="33" fillId="0" borderId="0" xfId="1" applyNumberFormat="1" applyFont="1"/>
    <xf numFmtId="169" fontId="20" fillId="0" borderId="16" xfId="0" applyNumberFormat="1" applyFont="1" applyFill="1" applyBorder="1"/>
    <xf numFmtId="169" fontId="20" fillId="0" borderId="1" xfId="0" applyNumberFormat="1" applyFont="1" applyFill="1" applyBorder="1"/>
    <xf numFmtId="170" fontId="25" fillId="0" borderId="1" xfId="1" applyNumberFormat="1" applyFont="1" applyFill="1" applyBorder="1"/>
    <xf numFmtId="169" fontId="24" fillId="0" borderId="20" xfId="0" applyNumberFormat="1" applyFont="1" applyFill="1" applyBorder="1"/>
    <xf numFmtId="0" fontId="30" fillId="5" borderId="0" xfId="0" applyFont="1" applyFill="1"/>
    <xf numFmtId="169" fontId="6" fillId="5" borderId="11" xfId="0" applyNumberFormat="1" applyFont="1" applyFill="1" applyBorder="1" applyAlignment="1">
      <alignment vertical="center"/>
    </xf>
    <xf numFmtId="169" fontId="18" fillId="5" borderId="0" xfId="0" applyNumberFormat="1" applyFont="1" applyFill="1" applyBorder="1"/>
    <xf numFmtId="169" fontId="17" fillId="5" borderId="0" xfId="0" applyNumberFormat="1" applyFont="1" applyFill="1" applyBorder="1"/>
    <xf numFmtId="169" fontId="18" fillId="5" borderId="15" xfId="0" applyNumberFormat="1" applyFont="1" applyFill="1" applyBorder="1"/>
    <xf numFmtId="10" fontId="30" fillId="0" borderId="0" xfId="1" applyNumberFormat="1" applyFont="1"/>
    <xf numFmtId="177" fontId="18" fillId="0" borderId="0" xfId="0" applyNumberFormat="1" applyFont="1" applyFill="1" applyBorder="1"/>
    <xf numFmtId="0" fontId="29" fillId="0" borderId="0" xfId="0" applyFont="1" applyFill="1"/>
    <xf numFmtId="0" fontId="29" fillId="5" borderId="0" xfId="0" applyFont="1" applyFill="1"/>
    <xf numFmtId="9" fontId="29" fillId="0" borderId="0" xfId="1" applyFont="1" applyBorder="1"/>
    <xf numFmtId="0" fontId="29" fillId="0" borderId="0" xfId="0" applyFont="1"/>
    <xf numFmtId="171" fontId="29" fillId="0" borderId="0" xfId="0" applyNumberFormat="1" applyFont="1"/>
    <xf numFmtId="169" fontId="29" fillId="0" borderId="0" xfId="0" applyNumberFormat="1" applyFont="1"/>
    <xf numFmtId="0" fontId="36" fillId="0" borderId="15" xfId="0" applyFont="1" applyBorder="1"/>
    <xf numFmtId="0" fontId="29" fillId="0" borderId="15" xfId="0" applyFont="1" applyBorder="1"/>
    <xf numFmtId="171" fontId="36" fillId="0" borderId="15" xfId="0" applyNumberFormat="1" applyFont="1" applyBorder="1"/>
    <xf numFmtId="171" fontId="36" fillId="5" borderId="15" xfId="0" applyNumberFormat="1" applyFont="1" applyFill="1" applyBorder="1" applyAlignment="1">
      <alignment horizontal="right"/>
    </xf>
    <xf numFmtId="3" fontId="29" fillId="0" borderId="0" xfId="0" applyNumberFormat="1" applyFont="1"/>
    <xf numFmtId="2" fontId="29" fillId="5" borderId="15" xfId="0" applyNumberFormat="1" applyFont="1" applyFill="1" applyBorder="1"/>
    <xf numFmtId="2" fontId="36" fillId="0" borderId="15" xfId="0" applyNumberFormat="1" applyFont="1" applyFill="1" applyBorder="1"/>
    <xf numFmtId="168" fontId="23" fillId="6" borderId="0" xfId="0" applyNumberFormat="1" applyFont="1" applyFill="1" applyBorder="1"/>
    <xf numFmtId="167" fontId="23" fillId="6" borderId="15" xfId="0" applyNumberFormat="1" applyFont="1" applyFill="1" applyBorder="1"/>
    <xf numFmtId="167" fontId="23" fillId="6" borderId="20" xfId="0" applyNumberFormat="1" applyFont="1" applyFill="1" applyBorder="1"/>
    <xf numFmtId="0" fontId="6" fillId="0" borderId="12" xfId="0" applyFont="1" applyFill="1" applyBorder="1"/>
    <xf numFmtId="177" fontId="18" fillId="0" borderId="1" xfId="0" applyNumberFormat="1" applyFont="1" applyFill="1" applyBorder="1"/>
    <xf numFmtId="168" fontId="23" fillId="0" borderId="1" xfId="0" applyNumberFormat="1" applyFont="1" applyFill="1" applyBorder="1"/>
    <xf numFmtId="1" fontId="36" fillId="0" borderId="15" xfId="0" applyNumberFormat="1" applyFont="1" applyBorder="1"/>
    <xf numFmtId="176" fontId="0" fillId="0" borderId="0" xfId="1" applyNumberFormat="1" applyFont="1"/>
    <xf numFmtId="9" fontId="30" fillId="0" borderId="0" xfId="0" applyNumberFormat="1" applyFont="1"/>
    <xf numFmtId="9" fontId="29" fillId="0" borderId="0" xfId="0" applyNumberFormat="1" applyFont="1"/>
    <xf numFmtId="10" fontId="29" fillId="0" borderId="0" xfId="1" applyNumberFormat="1" applyFont="1"/>
    <xf numFmtId="0" fontId="21" fillId="6" borderId="0" xfId="0" applyFont="1" applyFill="1" applyAlignment="1">
      <alignment horizontal="center"/>
    </xf>
    <xf numFmtId="0" fontId="21" fillId="6" borderId="0" xfId="0" applyFont="1" applyFill="1" applyAlignment="1">
      <alignment horizontal="left"/>
    </xf>
    <xf numFmtId="0" fontId="36" fillId="0" borderId="14" xfId="0" applyFont="1" applyFill="1" applyBorder="1"/>
    <xf numFmtId="0" fontId="36" fillId="0" borderId="24" xfId="0" applyFont="1" applyFill="1" applyBorder="1"/>
    <xf numFmtId="0" fontId="29" fillId="0" borderId="12" xfId="0" applyFont="1" applyBorder="1"/>
    <xf numFmtId="0" fontId="29" fillId="0" borderId="16" xfId="0" applyFont="1" applyBorder="1"/>
    <xf numFmtId="0" fontId="6" fillId="0" borderId="12" xfId="0" quotePrefix="1" applyFont="1" applyFill="1" applyBorder="1" applyAlignment="1">
      <alignment horizontal="left"/>
    </xf>
    <xf numFmtId="169" fontId="6" fillId="0" borderId="27" xfId="6" applyNumberFormat="1" applyFont="1" applyFill="1" applyBorder="1"/>
    <xf numFmtId="168" fontId="23" fillId="6" borderId="14" xfId="0" applyNumberFormat="1" applyFont="1" applyFill="1" applyBorder="1"/>
    <xf numFmtId="168" fontId="23" fillId="6" borderId="12" xfId="0" applyNumberFormat="1" applyFont="1" applyFill="1" applyBorder="1"/>
    <xf numFmtId="168" fontId="23" fillId="6" borderId="18" xfId="0" applyNumberFormat="1" applyFont="1" applyFill="1" applyBorder="1"/>
    <xf numFmtId="2" fontId="6" fillId="0" borderId="12" xfId="3" applyNumberFormat="1" applyFont="1" applyBorder="1" applyAlignment="1">
      <alignment horizontal="center"/>
    </xf>
    <xf numFmtId="2" fontId="6" fillId="0" borderId="0" xfId="3" applyNumberFormat="1" applyFont="1" applyBorder="1"/>
    <xf numFmtId="2" fontId="6" fillId="0" borderId="0" xfId="3" applyNumberFormat="1" applyFont="1" applyBorder="1" applyAlignment="1">
      <alignment horizontal="center"/>
    </xf>
    <xf numFmtId="2" fontId="6" fillId="0" borderId="18" xfId="3" applyNumberFormat="1" applyFont="1" applyBorder="1"/>
    <xf numFmtId="1" fontId="6" fillId="0" borderId="12" xfId="3" applyNumberFormat="1" applyFont="1" applyBorder="1" applyAlignment="1">
      <alignment horizontal="center"/>
    </xf>
    <xf numFmtId="173" fontId="6" fillId="0" borderId="18" xfId="8" applyFont="1" applyBorder="1"/>
    <xf numFmtId="2" fontId="10" fillId="0" borderId="0" xfId="3" quotePrefix="1" applyNumberFormat="1" applyFont="1"/>
    <xf numFmtId="165" fontId="6" fillId="0" borderId="2" xfId="3" applyNumberFormat="1" applyFont="1" applyBorder="1"/>
    <xf numFmtId="173" fontId="6" fillId="0" borderId="25" xfId="8" applyFont="1" applyBorder="1"/>
    <xf numFmtId="2" fontId="24" fillId="0" borderId="24" xfId="3" applyNumberFormat="1" applyFont="1" applyBorder="1"/>
    <xf numFmtId="2" fontId="24" fillId="0" borderId="2" xfId="3" applyNumberFormat="1" applyFont="1" applyBorder="1"/>
    <xf numFmtId="10" fontId="24" fillId="0" borderId="25" xfId="1" applyNumberFormat="1" applyFont="1" applyBorder="1"/>
    <xf numFmtId="0" fontId="29" fillId="6" borderId="15" xfId="0" applyFont="1" applyFill="1" applyBorder="1"/>
    <xf numFmtId="0" fontId="29" fillId="0" borderId="1" xfId="0" applyFont="1" applyFill="1" applyBorder="1"/>
    <xf numFmtId="0" fontId="29" fillId="0" borderId="1" xfId="0" applyFont="1" applyBorder="1"/>
    <xf numFmtId="0" fontId="29" fillId="0" borderId="19" xfId="0" applyFont="1" applyBorder="1"/>
    <xf numFmtId="0" fontId="29" fillId="0" borderId="0" xfId="0" applyFont="1" applyBorder="1"/>
    <xf numFmtId="177" fontId="29" fillId="0" borderId="0" xfId="0" applyNumberFormat="1" applyFont="1" applyBorder="1"/>
    <xf numFmtId="177" fontId="29" fillId="0" borderId="18" xfId="0" applyNumberFormat="1" applyFont="1" applyBorder="1"/>
    <xf numFmtId="177" fontId="29" fillId="0" borderId="1" xfId="0" applyNumberFormat="1" applyFont="1" applyBorder="1"/>
    <xf numFmtId="177" fontId="29" fillId="0" borderId="19" xfId="0" applyNumberFormat="1" applyFont="1" applyBorder="1"/>
    <xf numFmtId="176" fontId="19" fillId="0" borderId="0" xfId="9" applyFill="1" applyBorder="1" applyAlignment="1">
      <alignment horizontal="right"/>
    </xf>
    <xf numFmtId="176" fontId="19" fillId="0" borderId="0" xfId="9" applyFill="1" applyBorder="1"/>
    <xf numFmtId="169" fontId="29" fillId="0" borderId="0" xfId="0" applyNumberFormat="1" applyFont="1" applyBorder="1"/>
    <xf numFmtId="169" fontId="29" fillId="0" borderId="18" xfId="0" applyNumberFormat="1" applyFont="1" applyBorder="1"/>
    <xf numFmtId="9" fontId="31" fillId="0" borderId="0" xfId="1" applyFont="1" applyBorder="1"/>
    <xf numFmtId="0" fontId="36" fillId="0" borderId="14" xfId="0" applyFont="1" applyBorder="1"/>
    <xf numFmtId="169" fontId="36" fillId="0" borderId="15" xfId="0" applyNumberFormat="1" applyFont="1" applyBorder="1"/>
    <xf numFmtId="0" fontId="36" fillId="0" borderId="24" xfId="0" applyFont="1" applyBorder="1"/>
    <xf numFmtId="0" fontId="0" fillId="0" borderId="0" xfId="0" applyFont="1"/>
    <xf numFmtId="0" fontId="36" fillId="0" borderId="0" xfId="0" applyFont="1" applyBorder="1"/>
    <xf numFmtId="0" fontId="36" fillId="0" borderId="12" xfId="0" applyFont="1" applyBorder="1"/>
    <xf numFmtId="169" fontId="36" fillId="0" borderId="0" xfId="0" applyNumberFormat="1" applyFont="1" applyBorder="1"/>
    <xf numFmtId="176" fontId="29" fillId="0" borderId="0" xfId="0" applyNumberFormat="1" applyFont="1"/>
    <xf numFmtId="10" fontId="31" fillId="0" borderId="0" xfId="1" applyNumberFormat="1" applyFont="1" applyBorder="1"/>
    <xf numFmtId="10" fontId="31" fillId="0" borderId="2" xfId="1" applyNumberFormat="1" applyFont="1" applyBorder="1"/>
    <xf numFmtId="9" fontId="18" fillId="0" borderId="0" xfId="1" applyFont="1" applyFill="1" applyBorder="1"/>
    <xf numFmtId="9" fontId="29" fillId="0" borderId="0" xfId="1" applyFont="1"/>
    <xf numFmtId="169" fontId="18" fillId="10" borderId="0" xfId="0" applyNumberFormat="1" applyFont="1" applyFill="1" applyBorder="1"/>
    <xf numFmtId="176" fontId="29" fillId="0" borderId="0" xfId="9" applyFont="1" applyFill="1" applyBorder="1"/>
    <xf numFmtId="169" fontId="29" fillId="0" borderId="0" xfId="0" applyNumberFormat="1" applyFont="1" applyFill="1" applyBorder="1"/>
    <xf numFmtId="169" fontId="37" fillId="0" borderId="0" xfId="0" applyNumberFormat="1" applyFont="1" applyFill="1" applyBorder="1"/>
    <xf numFmtId="10" fontId="29" fillId="0" borderId="0" xfId="0" applyNumberFormat="1" applyFont="1"/>
    <xf numFmtId="177" fontId="6" fillId="0" borderId="0" xfId="0" applyNumberFormat="1" applyFont="1" applyFill="1" applyBorder="1"/>
    <xf numFmtId="10" fontId="29" fillId="11" borderId="0" xfId="1" applyNumberFormat="1" applyFont="1" applyFill="1"/>
    <xf numFmtId="1" fontId="39" fillId="12" borderId="0" xfId="0" applyNumberFormat="1" applyFont="1" applyFill="1" applyAlignment="1">
      <alignment horizontal="center"/>
    </xf>
    <xf numFmtId="0" fontId="5" fillId="12" borderId="0" xfId="0" applyFont="1" applyFill="1" applyAlignment="1">
      <alignment horizontal="center"/>
    </xf>
    <xf numFmtId="0" fontId="40" fillId="13" borderId="0" xfId="0" applyFont="1" applyFill="1" applyBorder="1" applyAlignment="1">
      <alignment horizontal="center"/>
    </xf>
    <xf numFmtId="1" fontId="0" fillId="12" borderId="0" xfId="0" applyNumberFormat="1" applyFill="1" applyAlignment="1">
      <alignment horizontal="center"/>
    </xf>
    <xf numFmtId="10" fontId="0" fillId="12" borderId="28" xfId="0" applyNumberFormat="1" applyFill="1" applyBorder="1" applyAlignment="1">
      <alignment horizontal="center"/>
    </xf>
    <xf numFmtId="0" fontId="0" fillId="0" borderId="0" xfId="0" applyAlignment="1">
      <alignment horizontal="center"/>
    </xf>
    <xf numFmtId="0" fontId="5" fillId="0" borderId="0" xfId="0" applyFont="1" applyAlignment="1">
      <alignment horizontal="center"/>
    </xf>
    <xf numFmtId="14" fontId="0" fillId="12" borderId="0" xfId="0" applyNumberFormat="1" applyFill="1" applyAlignment="1">
      <alignment horizontal="center"/>
    </xf>
    <xf numFmtId="0" fontId="0" fillId="0" borderId="0" xfId="0" applyAlignment="1">
      <alignment vertical="center"/>
    </xf>
    <xf numFmtId="14" fontId="0" fillId="0" borderId="0" xfId="0" applyNumberFormat="1" applyAlignment="1">
      <alignment horizontal="center"/>
    </xf>
    <xf numFmtId="0" fontId="5" fillId="0" borderId="0" xfId="0" applyFont="1" applyAlignment="1">
      <alignment horizontal="left"/>
    </xf>
    <xf numFmtId="10" fontId="5" fillId="0" borderId="0" xfId="0" applyNumberFormat="1" applyFont="1"/>
    <xf numFmtId="9" fontId="0" fillId="0" borderId="0" xfId="10" applyFont="1" applyAlignment="1"/>
    <xf numFmtId="0" fontId="0" fillId="0" borderId="22" xfId="0" applyFont="1" applyFill="1" applyBorder="1" applyAlignment="1">
      <alignment horizontal="centerContinuous"/>
    </xf>
    <xf numFmtId="0" fontId="0" fillId="0" borderId="0" xfId="0" applyFill="1" applyBorder="1" applyAlignment="1"/>
    <xf numFmtId="0" fontId="0" fillId="0" borderId="28" xfId="0" applyFill="1" applyBorder="1" applyAlignment="1"/>
    <xf numFmtId="0" fontId="0" fillId="0" borderId="22" xfId="0" applyFont="1" applyFill="1" applyBorder="1" applyAlignment="1">
      <alignment horizontal="center"/>
    </xf>
    <xf numFmtId="0" fontId="0" fillId="14" borderId="28" xfId="0" applyFill="1" applyBorder="1" applyAlignment="1"/>
    <xf numFmtId="0" fontId="0" fillId="14" borderId="0" xfId="0" applyFill="1"/>
    <xf numFmtId="0" fontId="0" fillId="12" borderId="0" xfId="0" applyFill="1"/>
    <xf numFmtId="0" fontId="0" fillId="12" borderId="0" xfId="0" applyNumberFormat="1" applyFill="1" applyAlignment="1">
      <alignment horizontal="center"/>
    </xf>
    <xf numFmtId="14" fontId="0" fillId="12" borderId="0" xfId="0" applyNumberFormat="1" applyFill="1"/>
    <xf numFmtId="0" fontId="3" fillId="12" borderId="22" xfId="0" applyFont="1" applyFill="1" applyBorder="1" applyAlignment="1">
      <alignment horizontal="center"/>
    </xf>
    <xf numFmtId="0" fontId="0" fillId="12" borderId="0" xfId="0" applyFill="1" applyBorder="1" applyAlignment="1"/>
    <xf numFmtId="0" fontId="0" fillId="12" borderId="28" xfId="0" applyFill="1" applyBorder="1" applyAlignment="1"/>
    <xf numFmtId="0" fontId="3" fillId="12" borderId="0" xfId="0" applyFont="1" applyFill="1" applyBorder="1" applyAlignment="1">
      <alignment horizontal="centerContinuous"/>
    </xf>
    <xf numFmtId="0" fontId="0" fillId="12" borderId="0" xfId="0" applyFill="1" applyBorder="1"/>
    <xf numFmtId="0" fontId="3" fillId="12" borderId="0" xfId="0" applyFont="1" applyFill="1" applyBorder="1" applyAlignment="1">
      <alignment horizontal="center"/>
    </xf>
    <xf numFmtId="0" fontId="0" fillId="12" borderId="0" xfId="0" applyFill="1" applyAlignment="1">
      <alignment horizontal="center"/>
    </xf>
    <xf numFmtId="178" fontId="0" fillId="0" borderId="0" xfId="0" applyNumberFormat="1" applyFont="1" applyFill="1" applyBorder="1" applyAlignment="1" applyProtection="1"/>
    <xf numFmtId="0" fontId="42" fillId="0" borderId="0" xfId="0" applyFont="1" applyFill="1" applyBorder="1" applyAlignment="1">
      <alignment horizontal="right" vertical="center" wrapText="1" readingOrder="1"/>
    </xf>
    <xf numFmtId="16" fontId="43" fillId="0" borderId="29" xfId="0" applyNumberFormat="1" applyFont="1" applyBorder="1" applyAlignment="1">
      <alignment horizontal="left" vertical="center" readingOrder="1"/>
    </xf>
    <xf numFmtId="0" fontId="44" fillId="0" borderId="30" xfId="0" applyFont="1" applyBorder="1" applyAlignment="1">
      <alignment horizontal="right" vertical="center" wrapText="1" readingOrder="1"/>
    </xf>
    <xf numFmtId="0" fontId="42" fillId="0" borderId="30" xfId="0" applyFont="1" applyBorder="1" applyAlignment="1">
      <alignment horizontal="right" vertical="center" wrapText="1" readingOrder="1"/>
    </xf>
    <xf numFmtId="10" fontId="45" fillId="0" borderId="31" xfId="0" applyNumberFormat="1" applyFont="1" applyBorder="1" applyAlignment="1">
      <alignment horizontal="right" vertical="center" wrapText="1" readingOrder="1"/>
    </xf>
    <xf numFmtId="16" fontId="43" fillId="0" borderId="32" xfId="0" applyNumberFormat="1" applyFont="1" applyBorder="1" applyAlignment="1">
      <alignment horizontal="left" vertical="center" readingOrder="1"/>
    </xf>
    <xf numFmtId="0" fontId="46" fillId="0" borderId="33" xfId="0" applyFont="1" applyBorder="1" applyAlignment="1">
      <alignment horizontal="right" vertical="center" wrapText="1" readingOrder="1"/>
    </xf>
    <xf numFmtId="0" fontId="42" fillId="0" borderId="33" xfId="0" applyFont="1" applyBorder="1" applyAlignment="1">
      <alignment horizontal="right" vertical="center" wrapText="1" readingOrder="1"/>
    </xf>
    <xf numFmtId="10" fontId="47" fillId="0" borderId="34" xfId="0" applyNumberFormat="1" applyFont="1" applyBorder="1" applyAlignment="1">
      <alignment horizontal="right" vertical="center" wrapText="1" readingOrder="1"/>
    </xf>
    <xf numFmtId="0" fontId="44" fillId="0" borderId="33" xfId="0" applyFont="1" applyBorder="1" applyAlignment="1">
      <alignment horizontal="right" vertical="center" wrapText="1" readingOrder="1"/>
    </xf>
    <xf numFmtId="10" fontId="45" fillId="0" borderId="34" xfId="0" applyNumberFormat="1" applyFont="1" applyBorder="1" applyAlignment="1">
      <alignment horizontal="right" vertical="center" wrapText="1" readingOrder="1"/>
    </xf>
    <xf numFmtId="17" fontId="43" fillId="0" borderId="32" xfId="0" applyNumberFormat="1" applyFont="1" applyBorder="1" applyAlignment="1">
      <alignment horizontal="left" vertical="center" readingOrder="1"/>
    </xf>
    <xf numFmtId="17" fontId="43" fillId="15" borderId="32" xfId="0" applyNumberFormat="1" applyFont="1" applyFill="1" applyBorder="1" applyAlignment="1">
      <alignment horizontal="left" vertical="center" readingOrder="1"/>
    </xf>
    <xf numFmtId="0" fontId="46" fillId="15" borderId="33" xfId="0" applyFont="1" applyFill="1" applyBorder="1" applyAlignment="1">
      <alignment horizontal="right" vertical="center" wrapText="1" readingOrder="1"/>
    </xf>
    <xf numFmtId="0" fontId="42" fillId="15" borderId="33" xfId="0" applyFont="1" applyFill="1" applyBorder="1" applyAlignment="1">
      <alignment horizontal="right" vertical="center" wrapText="1" readingOrder="1"/>
    </xf>
    <xf numFmtId="10" fontId="47" fillId="15" borderId="34" xfId="0" applyNumberFormat="1" applyFont="1" applyFill="1" applyBorder="1" applyAlignment="1">
      <alignment horizontal="right" vertical="center" wrapText="1" readingOrder="1"/>
    </xf>
    <xf numFmtId="0" fontId="43" fillId="0" borderId="35" xfId="0" applyFont="1" applyBorder="1" applyAlignment="1">
      <alignment horizontal="right" vertical="center"/>
    </xf>
    <xf numFmtId="0" fontId="42" fillId="0" borderId="36" xfId="0" applyFont="1" applyBorder="1" applyAlignment="1">
      <alignment horizontal="right" vertical="center"/>
    </xf>
    <xf numFmtId="0" fontId="42" fillId="0" borderId="37" xfId="0" applyFont="1" applyBorder="1" applyAlignment="1">
      <alignment horizontal="right" vertical="center"/>
    </xf>
    <xf numFmtId="0" fontId="48" fillId="0" borderId="0" xfId="0" applyFont="1" applyAlignment="1">
      <alignment vertical="center"/>
    </xf>
    <xf numFmtId="0" fontId="49" fillId="0" borderId="0" xfId="11" applyAlignment="1">
      <alignment vertical="center"/>
    </xf>
    <xf numFmtId="0" fontId="42" fillId="0" borderId="0" xfId="0" applyFont="1" applyAlignment="1">
      <alignment vertical="center"/>
    </xf>
    <xf numFmtId="0" fontId="50" fillId="0" borderId="38" xfId="0" applyFont="1" applyBorder="1" applyAlignment="1">
      <alignment vertical="center"/>
    </xf>
    <xf numFmtId="0" fontId="49" fillId="0" borderId="39" xfId="11" applyBorder="1" applyAlignment="1">
      <alignment vertical="center"/>
    </xf>
    <xf numFmtId="0" fontId="51" fillId="0" borderId="0" xfId="0" applyFont="1" applyAlignment="1">
      <alignment vertical="top"/>
    </xf>
    <xf numFmtId="0" fontId="49" fillId="0" borderId="0" xfId="11" applyAlignment="1">
      <alignment vertical="top"/>
    </xf>
    <xf numFmtId="0" fontId="42" fillId="0" borderId="0" xfId="0" applyFont="1" applyAlignment="1">
      <alignment vertical="top"/>
    </xf>
    <xf numFmtId="0" fontId="53" fillId="0" borderId="40" xfId="0" applyFont="1" applyBorder="1" applyAlignment="1">
      <alignment vertical="center"/>
    </xf>
    <xf numFmtId="0" fontId="0" fillId="0" borderId="40" xfId="0" applyBorder="1" applyAlignment="1">
      <alignment vertical="center"/>
    </xf>
    <xf numFmtId="0" fontId="55" fillId="0" borderId="40" xfId="0" applyFont="1" applyBorder="1" applyAlignment="1">
      <alignment vertical="center"/>
    </xf>
    <xf numFmtId="0" fontId="49" fillId="0" borderId="0" xfId="11" applyAlignment="1">
      <alignment horizontal="left" vertical="center" indent="1"/>
    </xf>
    <xf numFmtId="0" fontId="51" fillId="0" borderId="41" xfId="0" applyFont="1" applyBorder="1" applyAlignment="1">
      <alignment vertical="center"/>
    </xf>
    <xf numFmtId="0" fontId="51" fillId="0" borderId="41" xfId="0" applyFont="1" applyBorder="1" applyAlignment="1">
      <alignment horizontal="left" vertical="center" indent="1"/>
    </xf>
    <xf numFmtId="0" fontId="51" fillId="0" borderId="0" xfId="0" applyFont="1" applyAlignment="1">
      <alignment vertical="center"/>
    </xf>
    <xf numFmtId="0" fontId="49" fillId="0" borderId="39" xfId="11" applyBorder="1" applyAlignment="1">
      <alignment horizontal="left" vertical="center" indent="1"/>
    </xf>
    <xf numFmtId="0" fontId="56" fillId="0" borderId="0" xfId="0" applyFont="1" applyAlignment="1">
      <alignment horizontal="left" vertical="center"/>
    </xf>
    <xf numFmtId="0" fontId="30" fillId="0" borderId="0" xfId="0" applyFont="1" applyAlignment="1">
      <alignment horizontal="left" vertical="center"/>
    </xf>
    <xf numFmtId="0" fontId="43" fillId="15" borderId="42" xfId="0" applyFont="1" applyFill="1" applyBorder="1" applyAlignment="1">
      <alignment horizontal="right" vertical="center" wrapText="1"/>
    </xf>
    <xf numFmtId="0" fontId="49" fillId="15" borderId="42" xfId="11" applyFill="1" applyBorder="1" applyAlignment="1">
      <alignment horizontal="left" vertical="center"/>
    </xf>
    <xf numFmtId="4" fontId="42" fillId="15" borderId="42" xfId="0" applyNumberFormat="1" applyFont="1" applyFill="1" applyBorder="1" applyAlignment="1">
      <alignment horizontal="right" vertical="center" wrapText="1"/>
    </xf>
    <xf numFmtId="0" fontId="44" fillId="15" borderId="42" xfId="0" applyFont="1" applyFill="1" applyBorder="1" applyAlignment="1">
      <alignment horizontal="right" vertical="center" wrapText="1"/>
    </xf>
    <xf numFmtId="10" fontId="44" fillId="15" borderId="42" xfId="0" applyNumberFormat="1" applyFont="1" applyFill="1" applyBorder="1" applyAlignment="1">
      <alignment horizontal="right" vertical="center" wrapText="1"/>
    </xf>
    <xf numFmtId="0" fontId="42" fillId="15" borderId="42" xfId="0" applyFont="1" applyFill="1" applyBorder="1" applyAlignment="1">
      <alignment horizontal="center" vertical="center" wrapText="1"/>
    </xf>
    <xf numFmtId="0" fontId="42" fillId="15" borderId="42" xfId="0" applyFont="1" applyFill="1" applyBorder="1" applyAlignment="1">
      <alignment horizontal="right" vertical="center" wrapText="1"/>
    </xf>
    <xf numFmtId="0" fontId="43" fillId="0" borderId="0" xfId="0" applyFont="1" applyAlignment="1">
      <alignment horizontal="right" vertical="center" wrapText="1"/>
    </xf>
    <xf numFmtId="0" fontId="49" fillId="0" borderId="33" xfId="11" applyBorder="1" applyAlignment="1">
      <alignment horizontal="left" vertical="center"/>
    </xf>
    <xf numFmtId="4" fontId="42" fillId="0" borderId="33" xfId="0" applyNumberFormat="1" applyFont="1" applyBorder="1" applyAlignment="1">
      <alignment horizontal="right" vertical="center" wrapText="1"/>
    </xf>
    <xf numFmtId="0" fontId="44" fillId="0" borderId="33" xfId="0" applyFont="1" applyBorder="1" applyAlignment="1">
      <alignment horizontal="right" vertical="center" wrapText="1"/>
    </xf>
    <xf numFmtId="10" fontId="44" fillId="0" borderId="33" xfId="0" applyNumberFormat="1" applyFont="1" applyBorder="1" applyAlignment="1">
      <alignment horizontal="right" vertical="center" wrapText="1"/>
    </xf>
    <xf numFmtId="0" fontId="42" fillId="0" borderId="33" xfId="0" applyFont="1" applyBorder="1" applyAlignment="1">
      <alignment horizontal="center" vertical="center" wrapText="1"/>
    </xf>
    <xf numFmtId="0" fontId="42" fillId="0" borderId="0" xfId="0" applyFont="1" applyAlignment="1">
      <alignment horizontal="right" vertical="center" wrapText="1"/>
    </xf>
    <xf numFmtId="0" fontId="42" fillId="0" borderId="33" xfId="0" applyFont="1" applyBorder="1" applyAlignment="1">
      <alignment horizontal="right" vertical="center" wrapText="1"/>
    </xf>
    <xf numFmtId="0" fontId="46" fillId="0" borderId="33" xfId="0" applyFont="1" applyBorder="1" applyAlignment="1">
      <alignment horizontal="right" vertical="center" wrapText="1"/>
    </xf>
    <xf numFmtId="10" fontId="46" fillId="0" borderId="33" xfId="0" applyNumberFormat="1" applyFont="1" applyBorder="1" applyAlignment="1">
      <alignment horizontal="right" vertical="center" wrapText="1"/>
    </xf>
    <xf numFmtId="0" fontId="59" fillId="0" borderId="0" xfId="0" applyFont="1" applyAlignment="1">
      <alignment vertical="center"/>
    </xf>
    <xf numFmtId="0" fontId="42" fillId="0" borderId="43" xfId="0" applyFont="1" applyBorder="1" applyAlignment="1">
      <alignment vertical="center"/>
    </xf>
    <xf numFmtId="0" fontId="60" fillId="0" borderId="0" xfId="0" applyFont="1" applyAlignment="1">
      <alignment vertical="center" readingOrder="1"/>
    </xf>
    <xf numFmtId="0" fontId="43" fillId="0" borderId="0" xfId="0" applyFont="1" applyAlignment="1">
      <alignment vertical="center"/>
    </xf>
    <xf numFmtId="0" fontId="61" fillId="0" borderId="44" xfId="0" applyFont="1" applyBorder="1" applyAlignment="1">
      <alignment vertical="center"/>
    </xf>
    <xf numFmtId="0" fontId="43" fillId="0" borderId="30" xfId="0" applyFont="1" applyBorder="1" applyAlignment="1">
      <alignment horizontal="right" vertical="center" wrapText="1"/>
    </xf>
    <xf numFmtId="0" fontId="42" fillId="0" borderId="30" xfId="0" applyFont="1" applyBorder="1" applyAlignment="1">
      <alignment horizontal="center" vertical="center" wrapText="1"/>
    </xf>
    <xf numFmtId="0" fontId="49" fillId="0" borderId="30" xfId="11" applyBorder="1" applyAlignment="1">
      <alignment horizontal="left" vertical="center"/>
    </xf>
    <xf numFmtId="0" fontId="42" fillId="0" borderId="30" xfId="0" applyFont="1" applyBorder="1" applyAlignment="1">
      <alignment horizontal="right" vertical="center" wrapText="1"/>
    </xf>
    <xf numFmtId="0" fontId="45" fillId="0" borderId="30" xfId="0" applyFont="1" applyBorder="1" applyAlignment="1">
      <alignment horizontal="left" vertical="center" wrapText="1"/>
    </xf>
    <xf numFmtId="0" fontId="43" fillId="0" borderId="33" xfId="0" applyFont="1" applyBorder="1" applyAlignment="1">
      <alignment horizontal="left" vertical="center" wrapText="1"/>
    </xf>
    <xf numFmtId="0" fontId="47" fillId="0" borderId="33" xfId="0" applyFont="1" applyBorder="1" applyAlignment="1">
      <alignment horizontal="left" vertical="center" wrapText="1"/>
    </xf>
    <xf numFmtId="0" fontId="45" fillId="0" borderId="33" xfId="0" applyFont="1" applyBorder="1" applyAlignment="1">
      <alignment horizontal="left" vertical="center" wrapText="1"/>
    </xf>
    <xf numFmtId="0" fontId="43" fillId="0" borderId="45" xfId="0" applyFont="1" applyBorder="1" applyAlignment="1">
      <alignment horizontal="right" vertical="center" wrapText="1"/>
    </xf>
    <xf numFmtId="0" fontId="42" fillId="0" borderId="46" xfId="0" applyFont="1" applyBorder="1" applyAlignment="1">
      <alignment horizontal="center" vertical="center" wrapText="1"/>
    </xf>
    <xf numFmtId="0" fontId="49" fillId="0" borderId="46" xfId="11" applyBorder="1" applyAlignment="1">
      <alignment horizontal="left" vertical="center"/>
    </xf>
    <xf numFmtId="0" fontId="42" fillId="0" borderId="46" xfId="0" applyFont="1" applyBorder="1" applyAlignment="1">
      <alignment horizontal="right" vertical="center" wrapText="1"/>
    </xf>
    <xf numFmtId="0" fontId="45" fillId="0" borderId="46" xfId="0" applyFont="1" applyBorder="1" applyAlignment="1">
      <alignment horizontal="left" vertical="center" wrapText="1"/>
    </xf>
    <xf numFmtId="0" fontId="42" fillId="0" borderId="45" xfId="0" applyFont="1" applyBorder="1" applyAlignment="1">
      <alignment horizontal="right" vertical="center" wrapText="1"/>
    </xf>
    <xf numFmtId="0" fontId="62" fillId="0" borderId="0" xfId="0" applyFont="1" applyAlignment="1">
      <alignment vertical="center"/>
    </xf>
    <xf numFmtId="0" fontId="63" fillId="0" borderId="0" xfId="0" applyFont="1" applyAlignment="1">
      <alignment horizontal="right" vertical="center"/>
    </xf>
    <xf numFmtId="0" fontId="63" fillId="0" borderId="39" xfId="0" applyFont="1" applyBorder="1" applyAlignment="1">
      <alignment horizontal="left" vertical="center"/>
    </xf>
    <xf numFmtId="0" fontId="63" fillId="0" borderId="39" xfId="0" applyFont="1" applyBorder="1" applyAlignment="1">
      <alignment horizontal="right" vertical="center"/>
    </xf>
    <xf numFmtId="0" fontId="43" fillId="0" borderId="47" xfId="0" applyFont="1" applyBorder="1" applyAlignment="1">
      <alignment horizontal="right" vertical="center" wrapText="1"/>
    </xf>
    <xf numFmtId="0" fontId="49" fillId="0" borderId="48" xfId="11" applyBorder="1" applyAlignment="1">
      <alignment horizontal="left" vertical="center" wrapText="1"/>
    </xf>
    <xf numFmtId="0" fontId="42" fillId="0" borderId="48" xfId="0" applyFont="1" applyBorder="1" applyAlignment="1">
      <alignment horizontal="right" vertical="center" wrapText="1"/>
    </xf>
    <xf numFmtId="0" fontId="44" fillId="0" borderId="48" xfId="0" applyFont="1" applyBorder="1" applyAlignment="1">
      <alignment horizontal="right" vertical="center" wrapText="1"/>
    </xf>
    <xf numFmtId="10" fontId="44" fillId="0" borderId="48" xfId="0" applyNumberFormat="1" applyFont="1" applyBorder="1" applyAlignment="1">
      <alignment horizontal="right" vertical="center" wrapText="1"/>
    </xf>
    <xf numFmtId="0" fontId="42" fillId="0" borderId="47" xfId="0" applyFont="1" applyBorder="1" applyAlignment="1">
      <alignment horizontal="right" vertical="center" wrapText="1"/>
    </xf>
    <xf numFmtId="0" fontId="49" fillId="0" borderId="43" xfId="11" applyBorder="1" applyAlignment="1">
      <alignment horizontal="left" vertical="center" wrapText="1"/>
    </xf>
    <xf numFmtId="0" fontId="42" fillId="0" borderId="43" xfId="0" applyFont="1" applyBorder="1" applyAlignment="1">
      <alignment horizontal="right" vertical="center" wrapText="1"/>
    </xf>
    <xf numFmtId="0" fontId="44" fillId="0" borderId="43" xfId="0" applyFont="1" applyBorder="1" applyAlignment="1">
      <alignment horizontal="right" vertical="center" wrapText="1"/>
    </xf>
    <xf numFmtId="10" fontId="44" fillId="0" borderId="43" xfId="0" applyNumberFormat="1" applyFont="1" applyBorder="1" applyAlignment="1">
      <alignment horizontal="right" vertical="center" wrapText="1"/>
    </xf>
    <xf numFmtId="0" fontId="46" fillId="0" borderId="43" xfId="0" applyFont="1" applyBorder="1" applyAlignment="1">
      <alignment horizontal="right" vertical="center" wrapText="1"/>
    </xf>
    <xf numFmtId="10" fontId="46" fillId="0" borderId="43" xfId="0" applyNumberFormat="1" applyFont="1" applyBorder="1" applyAlignment="1">
      <alignment horizontal="right" vertical="center" wrapText="1"/>
    </xf>
    <xf numFmtId="0" fontId="49" fillId="0" borderId="45" xfId="11" applyBorder="1" applyAlignment="1">
      <alignment horizontal="left" vertical="center" wrapText="1"/>
    </xf>
    <xf numFmtId="0" fontId="46" fillId="0" borderId="45" xfId="0" applyFont="1" applyBorder="1" applyAlignment="1">
      <alignment horizontal="right" vertical="center" wrapText="1"/>
    </xf>
    <xf numFmtId="10" fontId="46" fillId="0" borderId="45" xfId="0" applyNumberFormat="1" applyFont="1" applyBorder="1" applyAlignment="1">
      <alignment horizontal="right" vertical="center" wrapText="1"/>
    </xf>
    <xf numFmtId="0" fontId="49" fillId="0" borderId="0" xfId="11" applyAlignment="1">
      <alignment vertical="center" readingOrder="1"/>
    </xf>
    <xf numFmtId="0" fontId="49" fillId="0" borderId="49" xfId="11" applyBorder="1" applyAlignment="1">
      <alignment horizontal="left" vertical="center" indent="1"/>
    </xf>
    <xf numFmtId="0" fontId="42" fillId="0" borderId="0" xfId="0" applyFont="1" applyAlignment="1">
      <alignment horizontal="left" vertical="center" indent="9"/>
    </xf>
    <xf numFmtId="0" fontId="62" fillId="0" borderId="0" xfId="0" applyFont="1" applyAlignment="1">
      <alignment horizontal="left" vertical="center" indent="9"/>
    </xf>
    <xf numFmtId="179" fontId="0" fillId="0" borderId="0" xfId="10" applyNumberFormat="1" applyFont="1" applyAlignment="1"/>
    <xf numFmtId="0" fontId="30" fillId="2" borderId="0" xfId="0" applyFont="1" applyFill="1" applyAlignment="1">
      <alignment wrapText="1"/>
    </xf>
    <xf numFmtId="10" fontId="30" fillId="0" borderId="0" xfId="10" applyNumberFormat="1" applyFont="1" applyAlignment="1"/>
    <xf numFmtId="10" fontId="30" fillId="0" borderId="0" xfId="0" applyNumberFormat="1" applyFont="1"/>
    <xf numFmtId="2" fontId="30" fillId="0" borderId="0" xfId="0" applyNumberFormat="1" applyFont="1"/>
    <xf numFmtId="0" fontId="31" fillId="0" borderId="0" xfId="0" applyFont="1"/>
    <xf numFmtId="10" fontId="31" fillId="0" borderId="0" xfId="0" applyNumberFormat="1" applyFont="1"/>
    <xf numFmtId="180" fontId="30" fillId="0" borderId="0" xfId="0" applyNumberFormat="1" applyFont="1"/>
    <xf numFmtId="2" fontId="30" fillId="0" borderId="0" xfId="0" applyNumberFormat="1" applyFont="1" applyFill="1"/>
    <xf numFmtId="0" fontId="30" fillId="2" borderId="0" xfId="0" applyFont="1" applyFill="1" applyAlignment="1">
      <alignment horizontal="right"/>
    </xf>
    <xf numFmtId="0" fontId="30" fillId="2" borderId="0" xfId="0" applyFont="1" applyFill="1"/>
    <xf numFmtId="10" fontId="30" fillId="11" borderId="0" xfId="0" applyNumberFormat="1" applyFont="1" applyFill="1"/>
    <xf numFmtId="10" fontId="30" fillId="0" borderId="0" xfId="0" applyNumberFormat="1" applyFont="1" applyFill="1"/>
    <xf numFmtId="164" fontId="30" fillId="0" borderId="0" xfId="0" applyNumberFormat="1" applyFont="1"/>
    <xf numFmtId="10" fontId="31" fillId="2" borderId="0" xfId="0" applyNumberFormat="1" applyFont="1" applyFill="1"/>
    <xf numFmtId="10" fontId="0" fillId="14" borderId="0" xfId="0" applyNumberFormat="1" applyFill="1"/>
    <xf numFmtId="10" fontId="5" fillId="14" borderId="0" xfId="10" applyNumberFormat="1" applyFont="1" applyFill="1" applyAlignment="1"/>
    <xf numFmtId="0" fontId="30" fillId="0" borderId="50" xfId="0" applyFont="1" applyBorder="1"/>
    <xf numFmtId="1" fontId="0" fillId="12" borderId="52" xfId="0" applyNumberFormat="1" applyFill="1" applyBorder="1" applyAlignment="1">
      <alignment horizontal="center"/>
    </xf>
    <xf numFmtId="1" fontId="0" fillId="12" borderId="51" xfId="0" applyNumberFormat="1" applyFill="1" applyBorder="1" applyAlignment="1">
      <alignment horizontal="center"/>
    </xf>
    <xf numFmtId="1" fontId="0" fillId="12" borderId="0" xfId="0" applyNumberFormat="1" applyFill="1" applyBorder="1" applyAlignment="1">
      <alignment horizontal="center"/>
    </xf>
    <xf numFmtId="0" fontId="40" fillId="12" borderId="0" xfId="0" applyFont="1" applyFill="1" applyAlignment="1">
      <alignment horizontal="center"/>
    </xf>
    <xf numFmtId="0" fontId="40" fillId="12" borderId="0" xfId="0" applyFont="1" applyFill="1" applyBorder="1" applyAlignment="1">
      <alignment horizontal="center"/>
    </xf>
    <xf numFmtId="0" fontId="30" fillId="12" borderId="0" xfId="0" applyFont="1" applyFill="1"/>
    <xf numFmtId="1" fontId="40" fillId="13" borderId="0" xfId="0" applyNumberFormat="1" applyFont="1" applyFill="1" applyBorder="1" applyAlignment="1">
      <alignment horizontal="center"/>
    </xf>
    <xf numFmtId="0" fontId="0" fillId="0" borderId="0" xfId="0" applyBorder="1"/>
    <xf numFmtId="0" fontId="4" fillId="0" borderId="0" xfId="0" applyFont="1" applyBorder="1"/>
    <xf numFmtId="9" fontId="0" fillId="0" borderId="0" xfId="1" applyFont="1" applyBorder="1"/>
    <xf numFmtId="9" fontId="4" fillId="0" borderId="0" xfId="1" applyFont="1" applyBorder="1"/>
    <xf numFmtId="0" fontId="0" fillId="0" borderId="12" xfId="0" applyBorder="1"/>
    <xf numFmtId="0" fontId="4" fillId="0" borderId="18" xfId="0" applyFont="1" applyBorder="1"/>
    <xf numFmtId="0" fontId="0" fillId="0" borderId="16" xfId="0" applyBorder="1"/>
    <xf numFmtId="9" fontId="0" fillId="0" borderId="1" xfId="1" applyFont="1" applyBorder="1"/>
    <xf numFmtId="9" fontId="4" fillId="0" borderId="1" xfId="1" applyFont="1" applyBorder="1"/>
    <xf numFmtId="9" fontId="4" fillId="0" borderId="18" xfId="1" applyFont="1" applyBorder="1"/>
    <xf numFmtId="9" fontId="4" fillId="0" borderId="19" xfId="1" applyFont="1" applyBorder="1"/>
    <xf numFmtId="9" fontId="4" fillId="0" borderId="7" xfId="0" applyNumberFormat="1" applyFont="1" applyBorder="1"/>
    <xf numFmtId="9" fontId="4" fillId="0" borderId="53" xfId="0" applyNumberFormat="1" applyFont="1" applyBorder="1"/>
    <xf numFmtId="9" fontId="4" fillId="0" borderId="54" xfId="0" applyNumberFormat="1" applyFont="1" applyBorder="1"/>
    <xf numFmtId="10" fontId="5" fillId="2" borderId="24" xfId="0" applyNumberFormat="1" applyFont="1" applyFill="1" applyBorder="1"/>
    <xf numFmtId="0" fontId="0" fillId="0" borderId="12" xfId="0" applyBorder="1" applyAlignment="1">
      <alignment horizontal="left" vertical="center"/>
    </xf>
    <xf numFmtId="0" fontId="0" fillId="0" borderId="0" xfId="0" applyBorder="1" applyAlignment="1">
      <alignment horizontal="left" vertical="center" wrapText="1"/>
    </xf>
    <xf numFmtId="0" fontId="5" fillId="0" borderId="0" xfId="0" applyFont="1" applyBorder="1" applyAlignment="1">
      <alignment horizontal="left" vertical="center"/>
    </xf>
    <xf numFmtId="0" fontId="0" fillId="0" borderId="0" xfId="0" applyBorder="1" applyAlignment="1">
      <alignment horizontal="right" vertical="center"/>
    </xf>
    <xf numFmtId="164" fontId="0" fillId="0" borderId="0" xfId="1" applyNumberFormat="1" applyFont="1" applyBorder="1" applyAlignment="1">
      <alignment horizontal="right" vertical="center"/>
    </xf>
    <xf numFmtId="10" fontId="0" fillId="0" borderId="18" xfId="1" applyNumberFormat="1" applyFont="1" applyBorder="1" applyAlignment="1">
      <alignment horizontal="right" vertical="center"/>
    </xf>
    <xf numFmtId="0" fontId="0" fillId="0" borderId="0" xfId="0" applyBorder="1" applyAlignment="1">
      <alignment horizontal="left" vertical="center"/>
    </xf>
    <xf numFmtId="0" fontId="0" fillId="0" borderId="0" xfId="0" applyBorder="1" applyAlignment="1">
      <alignment wrapText="1"/>
    </xf>
    <xf numFmtId="0" fontId="0" fillId="0" borderId="0" xfId="0" applyBorder="1" applyAlignment="1">
      <alignment horizontal="right"/>
    </xf>
    <xf numFmtId="0" fontId="0" fillId="0" borderId="0" xfId="0" applyBorder="1" applyAlignment="1"/>
    <xf numFmtId="164" fontId="0" fillId="0" borderId="0" xfId="1" applyNumberFormat="1" applyFont="1" applyBorder="1" applyAlignment="1">
      <alignment horizontal="right"/>
    </xf>
    <xf numFmtId="0" fontId="15" fillId="0" borderId="12" xfId="0" applyFont="1" applyBorder="1" applyAlignment="1">
      <alignment horizontal="left" vertical="center"/>
    </xf>
    <xf numFmtId="0" fontId="15" fillId="0" borderId="0" xfId="0" applyFont="1" applyBorder="1" applyAlignment="1">
      <alignment vertical="center" wrapText="1"/>
    </xf>
    <xf numFmtId="0" fontId="15" fillId="0" borderId="0" xfId="0" applyFont="1" applyBorder="1" applyAlignment="1">
      <alignment vertical="center"/>
    </xf>
    <xf numFmtId="0" fontId="15" fillId="0" borderId="0" xfId="0" applyFont="1" applyBorder="1" applyAlignment="1">
      <alignment horizontal="right" vertical="center"/>
    </xf>
    <xf numFmtId="164" fontId="15" fillId="0" borderId="0" xfId="1" applyNumberFormat="1" applyFont="1" applyBorder="1" applyAlignment="1">
      <alignment vertical="center"/>
    </xf>
    <xf numFmtId="10" fontId="15" fillId="0" borderId="18" xfId="1" applyNumberFormat="1" applyFont="1" applyBorder="1" applyAlignment="1">
      <alignment horizontal="right" vertical="center"/>
    </xf>
    <xf numFmtId="0" fontId="15" fillId="0" borderId="16" xfId="0" applyFont="1" applyBorder="1" applyAlignment="1">
      <alignment horizontal="left" vertical="center"/>
    </xf>
    <xf numFmtId="0" fontId="15" fillId="0" borderId="1"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horizontal="right" vertical="center"/>
    </xf>
    <xf numFmtId="164" fontId="15" fillId="0" borderId="1" xfId="1" applyNumberFormat="1" applyFont="1" applyBorder="1" applyAlignment="1">
      <alignment vertical="center"/>
    </xf>
    <xf numFmtId="10" fontId="15" fillId="0" borderId="19" xfId="1" applyNumberFormat="1" applyFont="1" applyBorder="1" applyAlignment="1">
      <alignment horizontal="right" vertical="center"/>
    </xf>
    <xf numFmtId="168" fontId="23" fillId="6" borderId="24" xfId="0" applyNumberFormat="1" applyFont="1" applyFill="1" applyBorder="1"/>
    <xf numFmtId="168" fontId="23" fillId="6" borderId="2" xfId="0" applyNumberFormat="1" applyFont="1" applyFill="1" applyBorder="1"/>
    <xf numFmtId="168" fontId="23" fillId="6" borderId="2" xfId="0" applyNumberFormat="1" applyFont="1" applyFill="1" applyBorder="1" applyAlignment="1">
      <alignment horizontal="right"/>
    </xf>
    <xf numFmtId="168" fontId="23" fillId="6" borderId="25" xfId="0" applyNumberFormat="1" applyFont="1" applyFill="1" applyBorder="1"/>
    <xf numFmtId="0" fontId="5" fillId="2" borderId="25" xfId="0" applyFont="1" applyFill="1" applyBorder="1" applyAlignment="1">
      <alignment horizontal="left"/>
    </xf>
    <xf numFmtId="10" fontId="5" fillId="0" borderId="4" xfId="1" applyNumberFormat="1" applyFont="1" applyFill="1" applyBorder="1" applyAlignment="1">
      <alignment horizontal="right" vertical="center"/>
    </xf>
    <xf numFmtId="10" fontId="5" fillId="0" borderId="25" xfId="1" applyNumberFormat="1" applyFont="1" applyFill="1" applyBorder="1" applyAlignment="1">
      <alignment horizontal="left" vertical="center"/>
    </xf>
    <xf numFmtId="0" fontId="7" fillId="12" borderId="0" xfId="0" applyFont="1" applyFill="1"/>
    <xf numFmtId="0" fontId="0" fillId="12" borderId="55" xfId="0" applyFill="1" applyBorder="1"/>
    <xf numFmtId="0" fontId="0" fillId="12" borderId="0" xfId="0" applyFill="1" applyAlignment="1"/>
    <xf numFmtId="0" fontId="17" fillId="3" borderId="24" xfId="17" applyNumberFormat="1" applyFont="1" applyFill="1" applyBorder="1" applyAlignment="1" applyProtection="1">
      <alignment horizontal="left" vertical="top" wrapText="1"/>
    </xf>
    <xf numFmtId="0" fontId="17" fillId="3" borderId="2" xfId="17" applyNumberFormat="1" applyFont="1" applyFill="1" applyBorder="1" applyAlignment="1" applyProtection="1">
      <alignment horizontal="left" vertical="top" wrapText="1"/>
    </xf>
    <xf numFmtId="0" fontId="17" fillId="3" borderId="25" xfId="17" applyNumberFormat="1" applyFont="1" applyFill="1" applyBorder="1" applyAlignment="1" applyProtection="1">
      <alignment horizontal="left" vertical="top" wrapText="1"/>
    </xf>
    <xf numFmtId="0" fontId="0" fillId="12" borderId="15" xfId="0" applyFill="1" applyBorder="1"/>
    <xf numFmtId="0" fontId="66" fillId="12" borderId="15" xfId="17" applyNumberFormat="1" applyFont="1" applyFill="1" applyBorder="1" applyAlignment="1" applyProtection="1">
      <alignment horizontal="right" vertical="top" wrapText="1"/>
    </xf>
    <xf numFmtId="0" fontId="17" fillId="12" borderId="0" xfId="17" applyNumberFormat="1" applyFont="1" applyFill="1" applyBorder="1" applyAlignment="1" applyProtection="1">
      <alignment horizontal="left" vertical="top" wrapText="1"/>
    </xf>
    <xf numFmtId="0" fontId="0" fillId="12" borderId="14" xfId="0" applyFill="1" applyBorder="1"/>
    <xf numFmtId="4" fontId="18" fillId="12" borderId="15" xfId="18" applyNumberFormat="1" applyFont="1" applyFill="1" applyBorder="1" applyAlignment="1" applyProtection="1">
      <alignment horizontal="right"/>
    </xf>
    <xf numFmtId="4" fontId="18" fillId="12" borderId="20" xfId="18" applyNumberFormat="1" applyFont="1" applyFill="1" applyBorder="1" applyAlignment="1" applyProtection="1">
      <alignment horizontal="right"/>
    </xf>
    <xf numFmtId="0" fontId="5" fillId="12" borderId="0" xfId="0" applyFont="1" applyFill="1"/>
    <xf numFmtId="0" fontId="0" fillId="12" borderId="12" xfId="0" applyFill="1" applyBorder="1"/>
    <xf numFmtId="4" fontId="18" fillId="12" borderId="0" xfId="18" applyNumberFormat="1" applyFont="1" applyFill="1" applyBorder="1" applyAlignment="1" applyProtection="1">
      <alignment horizontal="right"/>
    </xf>
    <xf numFmtId="4" fontId="24" fillId="19" borderId="18" xfId="18" applyNumberFormat="1" applyFont="1" applyFill="1" applyBorder="1" applyAlignment="1" applyProtection="1">
      <alignment horizontal="right"/>
    </xf>
    <xf numFmtId="0" fontId="0" fillId="19" borderId="0" xfId="0" applyFill="1"/>
    <xf numFmtId="4" fontId="24" fillId="19" borderId="0" xfId="18" applyNumberFormat="1" applyFont="1" applyFill="1" applyBorder="1" applyAlignment="1" applyProtection="1">
      <alignment horizontal="right"/>
    </xf>
    <xf numFmtId="4" fontId="18" fillId="12" borderId="18" xfId="18" applyNumberFormat="1" applyFont="1" applyFill="1" applyBorder="1" applyAlignment="1" applyProtection="1">
      <alignment horizontal="right"/>
    </xf>
    <xf numFmtId="3" fontId="0" fillId="12" borderId="0" xfId="0" applyNumberFormat="1" applyFill="1" applyBorder="1"/>
    <xf numFmtId="0" fontId="5" fillId="12" borderId="16" xfId="0" applyFont="1" applyFill="1" applyBorder="1"/>
    <xf numFmtId="4" fontId="17" fillId="12" borderId="1" xfId="18" applyNumberFormat="1" applyFont="1" applyFill="1" applyBorder="1" applyAlignment="1" applyProtection="1">
      <alignment horizontal="right"/>
    </xf>
    <xf numFmtId="0" fontId="0" fillId="12" borderId="1" xfId="0" applyFont="1" applyFill="1" applyBorder="1"/>
    <xf numFmtId="0" fontId="0" fillId="12" borderId="19" xfId="0" applyFont="1" applyFill="1" applyBorder="1"/>
    <xf numFmtId="0" fontId="5" fillId="12" borderId="1" xfId="0" applyFont="1" applyFill="1" applyBorder="1"/>
    <xf numFmtId="0" fontId="5" fillId="3" borderId="24" xfId="0" applyFont="1" applyFill="1" applyBorder="1"/>
    <xf numFmtId="0" fontId="0" fillId="3" borderId="2" xfId="0" applyFill="1" applyBorder="1"/>
    <xf numFmtId="2" fontId="0" fillId="12" borderId="15" xfId="0" applyNumberFormat="1" applyFill="1" applyBorder="1"/>
    <xf numFmtId="2" fontId="0" fillId="12" borderId="20" xfId="0" applyNumberFormat="1" applyFill="1" applyBorder="1"/>
    <xf numFmtId="2" fontId="0" fillId="12" borderId="0" xfId="0" applyNumberFormat="1" applyFill="1" applyBorder="1"/>
    <xf numFmtId="2" fontId="0" fillId="12" borderId="18" xfId="0" applyNumberFormat="1" applyFill="1" applyBorder="1"/>
    <xf numFmtId="0" fontId="7" fillId="12" borderId="16" xfId="0" applyFont="1" applyFill="1" applyBorder="1"/>
    <xf numFmtId="0" fontId="7" fillId="12" borderId="1" xfId="0" applyFont="1" applyFill="1" applyBorder="1"/>
    <xf numFmtId="2" fontId="7" fillId="12" borderId="1" xfId="0" applyNumberFormat="1" applyFont="1" applyFill="1" applyBorder="1"/>
    <xf numFmtId="2" fontId="7" fillId="12" borderId="19" xfId="0" applyNumberFormat="1" applyFont="1" applyFill="1" applyBorder="1"/>
    <xf numFmtId="0" fontId="0" fillId="12" borderId="16" xfId="0" applyFill="1" applyBorder="1"/>
    <xf numFmtId="0" fontId="0" fillId="12" borderId="1" xfId="0" applyFill="1" applyBorder="1"/>
    <xf numFmtId="2" fontId="0" fillId="12" borderId="1" xfId="0" applyNumberFormat="1" applyFill="1" applyBorder="1"/>
    <xf numFmtId="2" fontId="0" fillId="12" borderId="19" xfId="0" applyNumberFormat="1" applyFill="1" applyBorder="1"/>
    <xf numFmtId="4" fontId="0" fillId="12" borderId="0" xfId="0" applyNumberFormat="1" applyFill="1" applyBorder="1"/>
    <xf numFmtId="3" fontId="0" fillId="12" borderId="15" xfId="0" applyNumberFormat="1" applyFill="1" applyBorder="1"/>
    <xf numFmtId="3" fontId="0" fillId="12" borderId="20" xfId="0" applyNumberFormat="1" applyFill="1" applyBorder="1"/>
    <xf numFmtId="3" fontId="0" fillId="12" borderId="18" xfId="0" applyNumberFormat="1" applyFill="1" applyBorder="1"/>
    <xf numFmtId="3" fontId="0" fillId="12" borderId="1" xfId="0" applyNumberFormat="1" applyFill="1" applyBorder="1"/>
    <xf numFmtId="3" fontId="0" fillId="12" borderId="19" xfId="0" applyNumberFormat="1" applyFill="1" applyBorder="1"/>
    <xf numFmtId="3" fontId="15" fillId="12" borderId="15" xfId="0" applyNumberFormat="1" applyFont="1" applyFill="1" applyBorder="1"/>
    <xf numFmtId="3" fontId="15" fillId="12" borderId="20" xfId="0" applyNumberFormat="1" applyFont="1" applyFill="1" applyBorder="1"/>
    <xf numFmtId="3" fontId="15" fillId="12" borderId="0" xfId="0" applyNumberFormat="1" applyFont="1" applyFill="1" applyBorder="1"/>
    <xf numFmtId="3" fontId="15" fillId="12" borderId="18" xfId="0" applyNumberFormat="1" applyFont="1" applyFill="1" applyBorder="1"/>
    <xf numFmtId="3" fontId="15" fillId="12" borderId="1" xfId="0" applyNumberFormat="1" applyFont="1" applyFill="1" applyBorder="1"/>
    <xf numFmtId="3" fontId="15" fillId="12" borderId="19" xfId="0" applyNumberFormat="1" applyFont="1" applyFill="1" applyBorder="1"/>
    <xf numFmtId="0" fontId="5" fillId="12" borderId="14" xfId="0" applyFont="1" applyFill="1" applyBorder="1"/>
    <xf numFmtId="3" fontId="5" fillId="12" borderId="15" xfId="0" applyNumberFormat="1" applyFont="1" applyFill="1" applyBorder="1"/>
    <xf numFmtId="0" fontId="5" fillId="12" borderId="15" xfId="0" applyFont="1" applyFill="1" applyBorder="1"/>
    <xf numFmtId="0" fontId="5" fillId="12" borderId="20" xfId="0" applyFont="1" applyFill="1" applyBorder="1"/>
    <xf numFmtId="0" fontId="5" fillId="12" borderId="12" xfId="0" applyFont="1" applyFill="1" applyBorder="1"/>
    <xf numFmtId="3" fontId="5" fillId="12" borderId="0" xfId="0" applyNumberFormat="1" applyFont="1" applyFill="1" applyBorder="1"/>
    <xf numFmtId="0" fontId="5" fillId="12" borderId="0" xfId="0" applyFont="1" applyFill="1" applyBorder="1"/>
    <xf numFmtId="0" fontId="5" fillId="12" borderId="18" xfId="0" applyFont="1" applyFill="1" applyBorder="1"/>
    <xf numFmtId="3" fontId="5" fillId="12" borderId="1" xfId="0" applyNumberFormat="1" applyFont="1" applyFill="1" applyBorder="1"/>
    <xf numFmtId="0" fontId="0" fillId="12" borderId="19" xfId="0" applyFill="1" applyBorder="1"/>
    <xf numFmtId="0" fontId="5" fillId="3" borderId="0" xfId="0" applyFont="1" applyFill="1"/>
    <xf numFmtId="0" fontId="5" fillId="3" borderId="0" xfId="0" applyFont="1" applyFill="1" applyBorder="1"/>
    <xf numFmtId="3" fontId="67" fillId="12" borderId="0" xfId="0" applyNumberFormat="1" applyFont="1" applyFill="1"/>
    <xf numFmtId="3" fontId="0" fillId="12" borderId="0" xfId="0" applyNumberFormat="1" applyFill="1"/>
    <xf numFmtId="0" fontId="68" fillId="12" borderId="0" xfId="0" applyFont="1" applyFill="1" applyBorder="1"/>
    <xf numFmtId="3" fontId="69" fillId="12" borderId="0" xfId="0" applyNumberFormat="1" applyFont="1" applyFill="1"/>
    <xf numFmtId="0" fontId="30" fillId="11" borderId="0" xfId="0" applyFont="1" applyFill="1"/>
    <xf numFmtId="0" fontId="0" fillId="0" borderId="0" xfId="0" applyAlignment="1">
      <alignment horizontal="left"/>
    </xf>
    <xf numFmtId="3" fontId="0" fillId="0" borderId="0" xfId="0" applyNumberFormat="1" applyAlignment="1">
      <alignment horizontal="left"/>
    </xf>
    <xf numFmtId="0" fontId="0" fillId="0" borderId="15" xfId="0" applyBorder="1"/>
    <xf numFmtId="0" fontId="3" fillId="0" borderId="16" xfId="0" applyFont="1" applyBorder="1"/>
    <xf numFmtId="0" fontId="5" fillId="0" borderId="19" xfId="0" applyFont="1" applyBorder="1" applyAlignment="1">
      <alignment wrapText="1"/>
    </xf>
    <xf numFmtId="0" fontId="5" fillId="0" borderId="12" xfId="0" applyFont="1" applyBorder="1"/>
    <xf numFmtId="0" fontId="0" fillId="0" borderId="18" xfId="0" applyBorder="1"/>
    <xf numFmtId="3" fontId="0" fillId="0" borderId="18" xfId="0" applyNumberFormat="1" applyBorder="1"/>
    <xf numFmtId="3" fontId="5" fillId="0" borderId="18" xfId="0" applyNumberFormat="1" applyFont="1" applyBorder="1"/>
    <xf numFmtId="0" fontId="0" fillId="0" borderId="12" xfId="0" applyBorder="1" applyAlignment="1">
      <alignment wrapText="1"/>
    </xf>
    <xf numFmtId="0" fontId="5" fillId="0" borderId="24" xfId="0" applyFont="1" applyBorder="1"/>
    <xf numFmtId="3" fontId="5" fillId="0" borderId="25" xfId="0" applyNumberFormat="1" applyFont="1" applyBorder="1"/>
    <xf numFmtId="9" fontId="0" fillId="0" borderId="14" xfId="1" applyFont="1" applyBorder="1"/>
    <xf numFmtId="3" fontId="0" fillId="0" borderId="15" xfId="0" applyNumberFormat="1" applyBorder="1"/>
    <xf numFmtId="0" fontId="0" fillId="0" borderId="1" xfId="0" applyBorder="1"/>
    <xf numFmtId="10" fontId="0" fillId="0" borderId="1" xfId="1" applyNumberFormat="1" applyFont="1" applyBorder="1"/>
    <xf numFmtId="10" fontId="0" fillId="0" borderId="19" xfId="1" applyNumberFormat="1" applyFont="1" applyBorder="1"/>
    <xf numFmtId="3" fontId="0" fillId="0" borderId="20" xfId="0" applyNumberFormat="1" applyFill="1" applyBorder="1"/>
    <xf numFmtId="0" fontId="15" fillId="21" borderId="0" xfId="0" applyFont="1" applyFill="1"/>
    <xf numFmtId="0" fontId="0" fillId="16" borderId="0" xfId="0" applyFill="1"/>
    <xf numFmtId="0" fontId="0" fillId="17" borderId="0" xfId="0" applyFill="1"/>
    <xf numFmtId="0" fontId="0" fillId="20" borderId="0" xfId="0" applyFill="1"/>
    <xf numFmtId="171" fontId="36" fillId="0" borderId="0" xfId="0" applyNumberFormat="1" applyFont="1" applyBorder="1"/>
    <xf numFmtId="171" fontId="29" fillId="0" borderId="0" xfId="0" applyNumberFormat="1" applyFont="1" applyBorder="1"/>
    <xf numFmtId="0" fontId="70" fillId="0" borderId="0" xfId="0" applyFont="1" applyAlignment="1">
      <alignment horizontal="right"/>
    </xf>
    <xf numFmtId="0" fontId="3" fillId="0" borderId="0" xfId="0" applyFont="1" applyProtection="1"/>
    <xf numFmtId="0" fontId="36" fillId="0" borderId="2" xfId="0" applyFont="1" applyBorder="1"/>
    <xf numFmtId="171" fontId="36" fillId="0" borderId="2" xfId="0" applyNumberFormat="1" applyFont="1" applyBorder="1"/>
    <xf numFmtId="169" fontId="24" fillId="5" borderId="0" xfId="0" applyNumberFormat="1" applyFont="1" applyFill="1" applyBorder="1" applyAlignment="1">
      <alignment vertical="center"/>
    </xf>
    <xf numFmtId="176" fontId="29" fillId="0" borderId="18" xfId="9" applyNumberFormat="1" applyFont="1" applyFill="1" applyBorder="1"/>
    <xf numFmtId="176" fontId="29" fillId="0" borderId="18" xfId="9" applyFont="1" applyFill="1" applyBorder="1"/>
    <xf numFmtId="169" fontId="29" fillId="0" borderId="18" xfId="0" applyNumberFormat="1" applyFont="1" applyFill="1" applyBorder="1"/>
    <xf numFmtId="169" fontId="18" fillId="0" borderId="19" xfId="0" applyNumberFormat="1" applyFont="1" applyFill="1" applyBorder="1"/>
    <xf numFmtId="169" fontId="18" fillId="0" borderId="56" xfId="0" applyNumberFormat="1" applyFont="1" applyFill="1" applyBorder="1"/>
    <xf numFmtId="169" fontId="18" fillId="0" borderId="57" xfId="0" applyNumberFormat="1" applyFont="1" applyFill="1" applyBorder="1"/>
    <xf numFmtId="176" fontId="19" fillId="0" borderId="57" xfId="9" applyFill="1" applyBorder="1"/>
    <xf numFmtId="176" fontId="29" fillId="0" borderId="57" xfId="9" applyFont="1" applyFill="1" applyBorder="1"/>
    <xf numFmtId="176" fontId="29" fillId="0" borderId="58" xfId="9" applyFont="1" applyFill="1" applyBorder="1"/>
    <xf numFmtId="0" fontId="29" fillId="0" borderId="2" xfId="0" applyFont="1" applyBorder="1"/>
    <xf numFmtId="167" fontId="71" fillId="0" borderId="0" xfId="0" applyNumberFormat="1" applyFont="1" applyFill="1" applyBorder="1"/>
    <xf numFmtId="0" fontId="72" fillId="0" borderId="0" xfId="0" applyFont="1" applyBorder="1"/>
    <xf numFmtId="0" fontId="70" fillId="0" borderId="0" xfId="0" applyFont="1" applyBorder="1"/>
    <xf numFmtId="171" fontId="36" fillId="0" borderId="2" xfId="0" applyNumberFormat="1" applyFont="1" applyFill="1" applyBorder="1"/>
    <xf numFmtId="0" fontId="36" fillId="0" borderId="0" xfId="0" applyFont="1"/>
    <xf numFmtId="10" fontId="36" fillId="0" borderId="0" xfId="0" applyNumberFormat="1" applyFont="1"/>
    <xf numFmtId="169" fontId="16" fillId="0" borderId="24" xfId="0" applyNumberFormat="1" applyFont="1" applyFill="1" applyBorder="1" applyAlignment="1">
      <alignment vertical="center"/>
    </xf>
    <xf numFmtId="169" fontId="6" fillId="0" borderId="2" xfId="0" applyNumberFormat="1" applyFont="1" applyFill="1" applyBorder="1" applyAlignment="1">
      <alignment vertical="center"/>
    </xf>
    <xf numFmtId="169" fontId="6" fillId="5" borderId="2" xfId="0" applyNumberFormat="1" applyFont="1" applyFill="1" applyBorder="1" applyAlignment="1">
      <alignment vertical="center"/>
    </xf>
    <xf numFmtId="169" fontId="6" fillId="0" borderId="25" xfId="0" applyNumberFormat="1" applyFont="1" applyFill="1" applyBorder="1" applyAlignment="1">
      <alignment vertical="center"/>
    </xf>
    <xf numFmtId="9" fontId="70" fillId="0" borderId="2" xfId="1" applyFont="1" applyBorder="1" applyAlignment="1">
      <alignment horizontal="center"/>
    </xf>
    <xf numFmtId="169" fontId="16" fillId="0" borderId="2" xfId="0" applyNumberFormat="1" applyFont="1" applyFill="1" applyBorder="1" applyAlignment="1">
      <alignment vertical="center"/>
    </xf>
    <xf numFmtId="176" fontId="36" fillId="19" borderId="0" xfId="9" applyFont="1" applyFill="1" applyBorder="1"/>
    <xf numFmtId="176" fontId="36" fillId="19" borderId="18" xfId="9" applyFont="1" applyFill="1" applyBorder="1"/>
    <xf numFmtId="169" fontId="16" fillId="6" borderId="12" xfId="0" applyNumberFormat="1" applyFont="1" applyFill="1" applyBorder="1" applyAlignment="1">
      <alignment vertical="center"/>
    </xf>
    <xf numFmtId="169" fontId="16" fillId="6" borderId="0" xfId="0" applyNumberFormat="1" applyFont="1" applyFill="1" applyBorder="1" applyAlignment="1">
      <alignment vertical="center"/>
    </xf>
    <xf numFmtId="176" fontId="19" fillId="0" borderId="1" xfId="9" applyFill="1" applyBorder="1" applyAlignment="1">
      <alignment horizontal="right"/>
    </xf>
    <xf numFmtId="176" fontId="19" fillId="0" borderId="1" xfId="9" applyFill="1" applyBorder="1"/>
    <xf numFmtId="176" fontId="29" fillId="0" borderId="1" xfId="9" applyFont="1" applyFill="1" applyBorder="1"/>
    <xf numFmtId="176" fontId="29" fillId="0" borderId="19" xfId="9" applyFont="1" applyFill="1" applyBorder="1"/>
    <xf numFmtId="10" fontId="17" fillId="0" borderId="0" xfId="1" applyNumberFormat="1" applyFont="1" applyFill="1" applyBorder="1"/>
    <xf numFmtId="10" fontId="30" fillId="0" borderId="0" xfId="1" applyNumberFormat="1" applyFont="1" applyFill="1"/>
    <xf numFmtId="182" fontId="30" fillId="0" borderId="0" xfId="0" applyNumberFormat="1" applyFont="1" applyFill="1"/>
    <xf numFmtId="10" fontId="0" fillId="0" borderId="0" xfId="1" applyNumberFormat="1" applyFont="1"/>
    <xf numFmtId="2" fontId="0" fillId="0" borderId="0" xfId="0" applyNumberFormat="1"/>
    <xf numFmtId="0" fontId="73" fillId="0" borderId="0" xfId="0" applyFont="1"/>
    <xf numFmtId="1" fontId="0" fillId="0" borderId="0" xfId="0" applyNumberFormat="1"/>
    <xf numFmtId="9" fontId="0" fillId="0" borderId="0" xfId="0" applyNumberFormat="1"/>
    <xf numFmtId="0" fontId="11" fillId="0" borderId="0" xfId="0" applyFont="1"/>
    <xf numFmtId="0" fontId="8" fillId="0" borderId="0" xfId="0" applyFont="1"/>
    <xf numFmtId="0" fontId="12" fillId="0" borderId="4" xfId="0" applyFont="1" applyBorder="1" applyAlignment="1">
      <alignment horizontal="centerContinuous"/>
    </xf>
    <xf numFmtId="0" fontId="10" fillId="0" borderId="4" xfId="0" applyFont="1" applyBorder="1" applyAlignment="1">
      <alignment horizontal="centerContinuous"/>
    </xf>
    <xf numFmtId="0" fontId="10" fillId="0" borderId="4" xfId="0" applyFont="1" applyBorder="1" applyAlignment="1">
      <alignment horizontal="center"/>
    </xf>
    <xf numFmtId="0" fontId="12" fillId="0" borderId="53" xfId="0" applyFont="1" applyFill="1" applyBorder="1" applyAlignment="1">
      <alignment horizontal="center"/>
    </xf>
    <xf numFmtId="0" fontId="74" fillId="0" borderId="4" xfId="0" applyFont="1" applyBorder="1" applyAlignment="1">
      <alignment horizontal="center"/>
    </xf>
    <xf numFmtId="10" fontId="74" fillId="0" borderId="19" xfId="4" applyNumberFormat="1" applyFont="1" applyBorder="1" applyAlignment="1">
      <alignment horizontal="center"/>
    </xf>
    <xf numFmtId="9" fontId="10" fillId="0" borderId="4" xfId="0" applyNumberFormat="1" applyFont="1" applyBorder="1" applyAlignment="1">
      <alignment horizontal="center"/>
    </xf>
    <xf numFmtId="10" fontId="10" fillId="0" borderId="54" xfId="0" applyNumberFormat="1" applyFont="1" applyBorder="1" applyAlignment="1">
      <alignment horizontal="center"/>
    </xf>
    <xf numFmtId="10" fontId="10" fillId="0" borderId="4" xfId="0" applyNumberFormat="1" applyFont="1" applyBorder="1" applyAlignment="1">
      <alignment horizontal="center"/>
    </xf>
    <xf numFmtId="3" fontId="0" fillId="2" borderId="0" xfId="0" applyNumberFormat="1" applyFill="1"/>
    <xf numFmtId="2" fontId="0" fillId="2" borderId="0" xfId="0" applyNumberFormat="1" applyFill="1"/>
    <xf numFmtId="10" fontId="0" fillId="2" borderId="0" xfId="0" applyNumberFormat="1" applyFill="1"/>
    <xf numFmtId="0" fontId="10" fillId="0" borderId="0" xfId="0" applyFont="1" applyBorder="1" applyAlignment="1">
      <alignment horizontal="center"/>
    </xf>
    <xf numFmtId="0" fontId="74" fillId="0" borderId="0" xfId="0" applyFont="1" applyBorder="1" applyAlignment="1">
      <alignment horizontal="center"/>
    </xf>
    <xf numFmtId="10" fontId="10" fillId="0" borderId="0" xfId="0" applyNumberFormat="1" applyFont="1" applyBorder="1" applyAlignment="1">
      <alignment horizontal="center"/>
    </xf>
    <xf numFmtId="184" fontId="0" fillId="0" borderId="0" xfId="1" applyNumberFormat="1" applyFont="1"/>
    <xf numFmtId="184" fontId="0" fillId="0" borderId="0" xfId="0" applyNumberFormat="1"/>
    <xf numFmtId="4" fontId="0" fillId="0" borderId="0" xfId="0" applyNumberFormat="1"/>
    <xf numFmtId="185" fontId="0" fillId="0" borderId="0" xfId="0" applyNumberFormat="1"/>
    <xf numFmtId="0" fontId="23" fillId="13" borderId="0" xfId="0" applyFont="1" applyFill="1" applyAlignment="1">
      <alignment horizontal="left"/>
    </xf>
    <xf numFmtId="0" fontId="23" fillId="13" borderId="0" xfId="0" applyFont="1" applyFill="1" applyAlignment="1">
      <alignment horizontal="center"/>
    </xf>
    <xf numFmtId="0" fontId="23" fillId="13" borderId="0" xfId="0" applyFont="1" applyFill="1" applyBorder="1" applyAlignment="1">
      <alignment horizontal="center"/>
    </xf>
    <xf numFmtId="183" fontId="29" fillId="12" borderId="0" xfId="0" applyNumberFormat="1" applyFont="1" applyFill="1" applyAlignment="1">
      <alignment horizontal="center"/>
    </xf>
    <xf numFmtId="10" fontId="29" fillId="12" borderId="28" xfId="0" applyNumberFormat="1" applyFont="1" applyFill="1" applyBorder="1" applyAlignment="1">
      <alignment horizontal="center"/>
    </xf>
    <xf numFmtId="10" fontId="36" fillId="12" borderId="28" xfId="0" applyNumberFormat="1" applyFont="1" applyFill="1" applyBorder="1" applyAlignment="1">
      <alignment horizontal="center"/>
    </xf>
    <xf numFmtId="10" fontId="29" fillId="12" borderId="59" xfId="0" applyNumberFormat="1" applyFont="1" applyFill="1" applyBorder="1" applyAlignment="1">
      <alignment horizontal="center"/>
    </xf>
    <xf numFmtId="183" fontId="36" fillId="5" borderId="0" xfId="0" applyNumberFormat="1" applyFont="1" applyFill="1" applyAlignment="1">
      <alignment horizontal="center"/>
    </xf>
    <xf numFmtId="10" fontId="36" fillId="12" borderId="59" xfId="0" applyNumberFormat="1" applyFont="1" applyFill="1" applyBorder="1" applyAlignment="1">
      <alignment horizontal="center"/>
    </xf>
    <xf numFmtId="183" fontId="36" fillId="3" borderId="0" xfId="0" applyNumberFormat="1" applyFont="1" applyFill="1" applyAlignment="1">
      <alignment horizontal="center"/>
    </xf>
    <xf numFmtId="183" fontId="29" fillId="0" borderId="0" xfId="0" applyNumberFormat="1" applyFont="1"/>
    <xf numFmtId="168" fontId="23" fillId="6" borderId="0" xfId="0" applyNumberFormat="1" applyFont="1" applyFill="1" applyBorder="1" applyAlignment="1">
      <alignment horizontal="center"/>
    </xf>
    <xf numFmtId="2" fontId="6" fillId="0" borderId="24" xfId="3" applyNumberFormat="1" applyFont="1" applyBorder="1" applyAlignment="1">
      <alignment horizontal="left"/>
    </xf>
    <xf numFmtId="2" fontId="6" fillId="0" borderId="2" xfId="3" applyNumberFormat="1" applyFont="1" applyBorder="1" applyAlignment="1">
      <alignment horizontal="left"/>
    </xf>
    <xf numFmtId="0" fontId="65" fillId="3" borderId="14" xfId="0" applyFont="1" applyFill="1" applyBorder="1" applyAlignment="1">
      <alignment horizontal="center" vertical="center"/>
    </xf>
    <xf numFmtId="0" fontId="65" fillId="3" borderId="15" xfId="0" applyFont="1" applyFill="1" applyBorder="1" applyAlignment="1">
      <alignment horizontal="center" vertical="center"/>
    </xf>
    <xf numFmtId="0" fontId="65" fillId="3" borderId="20" xfId="0" applyFont="1" applyFill="1" applyBorder="1" applyAlignment="1">
      <alignment horizontal="center" vertical="center"/>
    </xf>
    <xf numFmtId="0" fontId="65" fillId="3" borderId="16" xfId="0" applyFont="1" applyFill="1" applyBorder="1" applyAlignment="1">
      <alignment horizontal="center" vertical="center"/>
    </xf>
    <xf numFmtId="0" fontId="65" fillId="3" borderId="1" xfId="0" applyFont="1" applyFill="1" applyBorder="1" applyAlignment="1">
      <alignment horizontal="center" vertical="center"/>
    </xf>
    <xf numFmtId="0" fontId="65" fillId="3" borderId="19" xfId="0" applyFont="1" applyFill="1" applyBorder="1" applyAlignment="1">
      <alignment horizontal="center" vertical="center"/>
    </xf>
  </cellXfs>
  <cellStyles count="19">
    <cellStyle name="Check" xfId="7"/>
    <cellStyle name="Comma 2" xfId="12"/>
    <cellStyle name="fa_data_bold_2_grouped" xfId="18"/>
    <cellStyle name="fa_row_header_bold" xfId="17"/>
    <cellStyle name="Input - comma" xfId="6"/>
    <cellStyle name="Input - percentage" xfId="9"/>
    <cellStyle name="Lien hypertexte" xfId="11" builtinId="8"/>
    <cellStyle name="Monétaire 2" xfId="5"/>
    <cellStyle name="Monétaire 4" xfId="8"/>
    <cellStyle name="Normal" xfId="0" builtinId="0"/>
    <cellStyle name="Normal 2" xfId="3"/>
    <cellStyle name="Normal 3" xfId="13"/>
    <cellStyle name="Percent 2" xfId="14"/>
    <cellStyle name="Percent 3" xfId="15"/>
    <cellStyle name="Pourcentage" xfId="1" builtinId="5"/>
    <cellStyle name="Pourcentage 2" xfId="4"/>
    <cellStyle name="常规 3" xfId="2"/>
    <cellStyle name="常规 4" xfId="16"/>
    <cellStyle name="百分比 2" xfId="10"/>
  </cellStyles>
  <dxfs count="4">
    <dxf>
      <font>
        <color theme="1"/>
      </font>
      <fill>
        <patternFill>
          <bgColor theme="9" tint="0.59996337778862885"/>
        </patternFill>
      </fill>
    </dxf>
    <dxf>
      <font>
        <color rgb="FF006100"/>
      </font>
      <fill>
        <patternFill>
          <bgColor rgb="FFC6EFCE"/>
        </patternFill>
      </fill>
    </dxf>
    <dxf>
      <border>
        <left/>
        <right/>
        <top/>
        <bottom/>
      </border>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activeX1.xml><?xml version="1.0" encoding="utf-8"?>
<ax:ocx xmlns:ax="http://schemas.microsoft.com/office/2006/activeX" xmlns:r="http://schemas.openxmlformats.org/officeDocument/2006/relationships" ax:classid="{5512D122-5CC6-11CF-8D67-00AA00BDCE1D}" ax:persistence="persistStream" r:id="rId1"/>
</file>

<file path=xl/activeX/activeX2.xml><?xml version="1.0" encoding="utf-8"?>
<ax:ocx xmlns:ax="http://schemas.microsoft.com/office/2006/activeX" xmlns:r="http://schemas.openxmlformats.org/officeDocument/2006/relationships" ax:classid="{5512D124-5CC6-11CF-8D67-00AA00BDCE1D}" ax:persistence="persistStream" r:id="rId1"/>
</file>

<file path=xl/activeX/activeX3.xml><?xml version="1.0" encoding="utf-8"?>
<ax:ocx xmlns:ax="http://schemas.microsoft.com/office/2006/activeX" xmlns:r="http://schemas.openxmlformats.org/officeDocument/2006/relationships" ax:classid="{5512D124-5CC6-11CF-8D67-00AA00BDCE1D}" ax:persistence="persistStream" r:id="rId1"/>
</file>

<file path=xl/activeX/activeX4.xml><?xml version="1.0" encoding="utf-8"?>
<ax:ocx xmlns:ax="http://schemas.microsoft.com/office/2006/activeX" xmlns:r="http://schemas.openxmlformats.org/officeDocument/2006/relationships" ax:classid="{5512D122-5CC6-11CF-8D67-00AA00BDCE1D}" ax:persistence="persistStream" r:id="rId1"/>
</file>

<file path=xl/activeX/activeX5.xml><?xml version="1.0" encoding="utf-8"?>
<ax:ocx xmlns:ax="http://schemas.microsoft.com/office/2006/activeX" xmlns:r="http://schemas.openxmlformats.org/officeDocument/2006/relationships" ax:classid="{5512D124-5CC6-11CF-8D67-00AA00BDCE1D}" ax:persistence="persistStream"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SG&amp;A</a:t>
            </a:r>
            <a:r>
              <a:rPr lang="fr-FR" baseline="0"/>
              <a:t> Regression</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yVal>
            <c:numRef>
              <c:f>Assumption!$D$14:$H$14</c:f>
              <c:numCache>
                <c:formatCode>0.0%</c:formatCode>
                <c:ptCount val="5"/>
                <c:pt idx="0">
                  <c:v>0.28266309519613719</c:v>
                </c:pt>
                <c:pt idx="1">
                  <c:v>0.26928561243405102</c:v>
                </c:pt>
                <c:pt idx="2">
                  <c:v>0.2600116076610563</c:v>
                </c:pt>
                <c:pt idx="3">
                  <c:v>0.24994881594212789</c:v>
                </c:pt>
                <c:pt idx="4">
                  <c:v>0.24904555028962611</c:v>
                </c:pt>
              </c:numCache>
            </c:numRef>
          </c:yVal>
          <c:smooth val="0"/>
          <c:extLst>
            <c:ext xmlns:c16="http://schemas.microsoft.com/office/drawing/2014/chart" uri="{C3380CC4-5D6E-409C-BE32-E72D297353CC}">
              <c16:uniqueId val="{00000000-D332-46E7-8A51-4AC07F180C00}"/>
            </c:ext>
          </c:extLst>
        </c:ser>
        <c:dLbls>
          <c:showLegendKey val="0"/>
          <c:showVal val="0"/>
          <c:showCatName val="0"/>
          <c:showSerName val="0"/>
          <c:showPercent val="0"/>
          <c:showBubbleSize val="0"/>
        </c:dLbls>
        <c:axId val="433388928"/>
        <c:axId val="432253184"/>
      </c:scatterChart>
      <c:valAx>
        <c:axId val="433388928"/>
        <c:scaling>
          <c:orientation val="minMax"/>
        </c:scaling>
        <c:delete val="0"/>
        <c:axPos val="b"/>
        <c:majorGridlines>
          <c:spPr>
            <a:ln w="9525" cap="flat" cmpd="sng" algn="ctr">
              <a:solidFill>
                <a:schemeClr val="tx1">
                  <a:lumMod val="15000"/>
                  <a:lumOff val="85000"/>
                </a:schemeClr>
              </a:solidFill>
              <a:round/>
            </a:ln>
            <a:effectLst/>
          </c:spPr>
        </c:majorGridlines>
        <c:numFmt formatCode="0&quot;A&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2253184"/>
        <c:crosses val="autoZero"/>
        <c:crossBetween val="midCat"/>
      </c:valAx>
      <c:valAx>
        <c:axId val="4322531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33889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COGS Regression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yVal>
            <c:numRef>
              <c:f>Assumption!$D$13:$H$13</c:f>
              <c:numCache>
                <c:formatCode>0.0%</c:formatCode>
                <c:ptCount val="5"/>
                <c:pt idx="0">
                  <c:v>0.26740210763754274</c:v>
                </c:pt>
                <c:pt idx="1">
                  <c:v>0.26989162983031512</c:v>
                </c:pt>
                <c:pt idx="2">
                  <c:v>0.26614190365641321</c:v>
                </c:pt>
                <c:pt idx="3">
                  <c:v>0.26888691735480791</c:v>
                </c:pt>
                <c:pt idx="4">
                  <c:v>0.28689441811479727</c:v>
                </c:pt>
              </c:numCache>
            </c:numRef>
          </c:yVal>
          <c:smooth val="0"/>
          <c:extLst>
            <c:ext xmlns:c16="http://schemas.microsoft.com/office/drawing/2014/chart" uri="{C3380CC4-5D6E-409C-BE32-E72D297353CC}">
              <c16:uniqueId val="{00000000-0C38-4C04-95CD-D4BE00867F21}"/>
            </c:ext>
          </c:extLst>
        </c:ser>
        <c:dLbls>
          <c:showLegendKey val="0"/>
          <c:showVal val="0"/>
          <c:showCatName val="0"/>
          <c:showSerName val="0"/>
          <c:showPercent val="0"/>
          <c:showBubbleSize val="0"/>
        </c:dLbls>
        <c:axId val="432685824"/>
        <c:axId val="432687360"/>
      </c:scatterChart>
      <c:valAx>
        <c:axId val="43268582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2687360"/>
        <c:crosses val="autoZero"/>
        <c:crossBetween val="midCat"/>
      </c:valAx>
      <c:valAx>
        <c:axId val="4326873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26858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Capex</a:t>
            </a:r>
            <a:r>
              <a:rPr lang="fr-FR" baseline="0"/>
              <a:t> as % of sales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2612204724409449E-2"/>
                  <c:y val="-4.876348789734616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yVal>
            <c:numRef>
              <c:f>(Assumption!$D$26:$F$26,Assumption!$H$26)</c:f>
              <c:numCache>
                <c:formatCode>0.0%</c:formatCode>
                <c:ptCount val="4"/>
                <c:pt idx="0">
                  <c:v>6.918549325062559E-2</c:v>
                </c:pt>
                <c:pt idx="1">
                  <c:v>6.5022101810922564E-2</c:v>
                </c:pt>
                <c:pt idx="2">
                  <c:v>8.2233023795705157E-2</c:v>
                </c:pt>
                <c:pt idx="3">
                  <c:v>0.10637177461822012</c:v>
                </c:pt>
              </c:numCache>
            </c:numRef>
          </c:yVal>
          <c:smooth val="0"/>
          <c:extLst>
            <c:ext xmlns:c16="http://schemas.microsoft.com/office/drawing/2014/chart" uri="{C3380CC4-5D6E-409C-BE32-E72D297353CC}">
              <c16:uniqueId val="{00000000-0A6C-4278-8D7C-24EEB9BC3322}"/>
            </c:ext>
          </c:extLst>
        </c:ser>
        <c:dLbls>
          <c:showLegendKey val="0"/>
          <c:showVal val="0"/>
          <c:showCatName val="0"/>
          <c:showSerName val="0"/>
          <c:showPercent val="0"/>
          <c:showBubbleSize val="0"/>
        </c:dLbls>
        <c:axId val="432719360"/>
        <c:axId val="432720896"/>
      </c:scatterChart>
      <c:valAx>
        <c:axId val="43271936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2720896"/>
        <c:crosses val="autoZero"/>
        <c:crossBetween val="midCat"/>
      </c:valAx>
      <c:valAx>
        <c:axId val="4327208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27193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Expected Growth 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'Free Cash Flow'!$B$76</c:f>
              <c:strCache>
                <c:ptCount val="1"/>
                <c:pt idx="0">
                  <c:v>EPS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5.6649606299212597E-2"/>
                  <c:y val="-2.819444444444446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'Free Cash Flow'!$E$75:$I$75</c:f>
              <c:numCache>
                <c:formatCode>0"A"</c:formatCode>
                <c:ptCount val="5"/>
                <c:pt idx="0">
                  <c:v>2006</c:v>
                </c:pt>
                <c:pt idx="1">
                  <c:v>2007</c:v>
                </c:pt>
                <c:pt idx="2">
                  <c:v>2008</c:v>
                </c:pt>
                <c:pt idx="3">
                  <c:v>2009</c:v>
                </c:pt>
                <c:pt idx="4">
                  <c:v>2010</c:v>
                </c:pt>
              </c:numCache>
            </c:numRef>
          </c:xVal>
          <c:yVal>
            <c:numRef>
              <c:f>'Free Cash Flow'!$E$76:$I$76</c:f>
              <c:numCache>
                <c:formatCode>General</c:formatCode>
                <c:ptCount val="5"/>
                <c:pt idx="0">
                  <c:v>2.97</c:v>
                </c:pt>
                <c:pt idx="1">
                  <c:v>3.91</c:v>
                </c:pt>
                <c:pt idx="2">
                  <c:v>2.94</c:v>
                </c:pt>
                <c:pt idx="3">
                  <c:v>4.03</c:v>
                </c:pt>
                <c:pt idx="4">
                  <c:v>4.1900000000000004</c:v>
                </c:pt>
              </c:numCache>
            </c:numRef>
          </c:yVal>
          <c:smooth val="0"/>
          <c:extLst>
            <c:ext xmlns:c16="http://schemas.microsoft.com/office/drawing/2014/chart" uri="{C3380CC4-5D6E-409C-BE32-E72D297353CC}">
              <c16:uniqueId val="{00000000-F79B-4807-BBCD-60575C78E662}"/>
            </c:ext>
          </c:extLst>
        </c:ser>
        <c:ser>
          <c:idx val="1"/>
          <c:order val="1"/>
          <c:tx>
            <c:strRef>
              <c:f>'Free Cash Flow'!$B$77</c:f>
              <c:strCache>
                <c:ptCount val="1"/>
                <c:pt idx="0">
                  <c:v>ln(EPS)</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4.9962160979877518E-2"/>
                  <c:y val="-4.771471274424030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'Free Cash Flow'!$E$75:$I$75</c:f>
              <c:numCache>
                <c:formatCode>0"A"</c:formatCode>
                <c:ptCount val="5"/>
                <c:pt idx="0">
                  <c:v>2006</c:v>
                </c:pt>
                <c:pt idx="1">
                  <c:v>2007</c:v>
                </c:pt>
                <c:pt idx="2">
                  <c:v>2008</c:v>
                </c:pt>
                <c:pt idx="3">
                  <c:v>2009</c:v>
                </c:pt>
                <c:pt idx="4">
                  <c:v>2010</c:v>
                </c:pt>
              </c:numCache>
            </c:numRef>
          </c:xVal>
          <c:yVal>
            <c:numRef>
              <c:f>'Free Cash Flow'!$E$77:$I$77</c:f>
              <c:numCache>
                <c:formatCode>General</c:formatCode>
                <c:ptCount val="5"/>
                <c:pt idx="0">
                  <c:v>1.0885619528146082</c:v>
                </c:pt>
                <c:pt idx="1">
                  <c:v>1.3635373739972745</c:v>
                </c:pt>
                <c:pt idx="2">
                  <c:v>1.0784095813505903</c:v>
                </c:pt>
                <c:pt idx="3">
                  <c:v>1.3937663759585917</c:v>
                </c:pt>
                <c:pt idx="4">
                  <c:v>1.4327007339340465</c:v>
                </c:pt>
              </c:numCache>
            </c:numRef>
          </c:yVal>
          <c:smooth val="0"/>
          <c:extLst>
            <c:ext xmlns:c16="http://schemas.microsoft.com/office/drawing/2014/chart" uri="{C3380CC4-5D6E-409C-BE32-E72D297353CC}">
              <c16:uniqueId val="{00000001-F79B-4807-BBCD-60575C78E662}"/>
            </c:ext>
          </c:extLst>
        </c:ser>
        <c:dLbls>
          <c:showLegendKey val="0"/>
          <c:showVal val="0"/>
          <c:showCatName val="0"/>
          <c:showSerName val="0"/>
          <c:showPercent val="0"/>
          <c:showBubbleSize val="0"/>
        </c:dLbls>
        <c:axId val="434432640"/>
        <c:axId val="434431104"/>
      </c:scatterChart>
      <c:valAx>
        <c:axId val="434432640"/>
        <c:scaling>
          <c:orientation val="minMax"/>
        </c:scaling>
        <c:delete val="0"/>
        <c:axPos val="b"/>
        <c:numFmt formatCode="0&quot;A&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4431104"/>
        <c:crosses val="autoZero"/>
        <c:crossBetween val="midCat"/>
      </c:valAx>
      <c:valAx>
        <c:axId val="43443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4432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Book Value of Capital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5635608048993876"/>
                  <c:y val="-3.87386993292505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yVal>
            <c:numRef>
              <c:f>'Free Cash Flow'!$E$50:$I$50</c:f>
              <c:numCache>
                <c:formatCode>General</c:formatCode>
                <c:ptCount val="5"/>
                <c:pt idx="0">
                  <c:v>52653</c:v>
                </c:pt>
                <c:pt idx="1">
                  <c:v>50483</c:v>
                </c:pt>
                <c:pt idx="2">
                  <c:v>50872</c:v>
                </c:pt>
                <c:pt idx="3">
                  <c:v>57149</c:v>
                </c:pt>
                <c:pt idx="4">
                  <c:v>61357</c:v>
                </c:pt>
              </c:numCache>
            </c:numRef>
          </c:yVal>
          <c:smooth val="0"/>
          <c:extLst>
            <c:ext xmlns:c16="http://schemas.microsoft.com/office/drawing/2014/chart" uri="{C3380CC4-5D6E-409C-BE32-E72D297353CC}">
              <c16:uniqueId val="{00000000-C5C7-45D9-A931-1AE71BA420E5}"/>
            </c:ext>
          </c:extLst>
        </c:ser>
        <c:dLbls>
          <c:showLegendKey val="0"/>
          <c:showVal val="0"/>
          <c:showCatName val="0"/>
          <c:showSerName val="0"/>
          <c:showPercent val="0"/>
          <c:showBubbleSize val="0"/>
        </c:dLbls>
        <c:axId val="433403008"/>
        <c:axId val="433404544"/>
      </c:scatterChart>
      <c:valAx>
        <c:axId val="43340300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3404544"/>
        <c:crosses val="autoZero"/>
        <c:crossBetween val="midCat"/>
      </c:valAx>
      <c:valAx>
        <c:axId val="43340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34030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effectLst/>
              </a:rPr>
              <a:t>Accumulated depreciation &amp; impairment</a:t>
            </a:r>
            <a:r>
              <a:rPr lang="fr-FR" sz="1400" b="0" i="0" u="none" strike="noStrike" baseline="0"/>
              <a:t> </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1293263342082239"/>
                  <c:y val="8.3406240886555849E-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yVal>
            <c:numRef>
              <c:f>'Free Cash Flow'!$E$61:$I$61</c:f>
              <c:numCache>
                <c:formatCode>#\ ##0.0_);\ \(#\ ##0.0\);\-</c:formatCode>
                <c:ptCount val="5"/>
                <c:pt idx="0">
                  <c:v>-3120</c:v>
                </c:pt>
                <c:pt idx="1">
                  <c:v>-3840</c:v>
                </c:pt>
                <c:pt idx="2">
                  <c:v>-4590</c:v>
                </c:pt>
                <c:pt idx="3">
                  <c:v>-5274</c:v>
                </c:pt>
                <c:pt idx="4">
                  <c:v>-6221</c:v>
                </c:pt>
              </c:numCache>
            </c:numRef>
          </c:yVal>
          <c:smooth val="0"/>
          <c:extLst>
            <c:ext xmlns:c16="http://schemas.microsoft.com/office/drawing/2014/chart" uri="{C3380CC4-5D6E-409C-BE32-E72D297353CC}">
              <c16:uniqueId val="{00000000-1EA2-4222-B643-DF0607FAB67E}"/>
            </c:ext>
          </c:extLst>
        </c:ser>
        <c:dLbls>
          <c:showLegendKey val="0"/>
          <c:showVal val="0"/>
          <c:showCatName val="0"/>
          <c:showSerName val="0"/>
          <c:showPercent val="0"/>
          <c:showBubbleSize val="0"/>
        </c:dLbls>
        <c:axId val="434356224"/>
        <c:axId val="434357760"/>
      </c:scatterChart>
      <c:valAx>
        <c:axId val="43435622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4357760"/>
        <c:crosses val="autoZero"/>
        <c:crossBetween val="midCat"/>
      </c:valAx>
      <c:valAx>
        <c:axId val="434357760"/>
        <c:scaling>
          <c:orientation val="minMax"/>
        </c:scaling>
        <c:delete val="0"/>
        <c:axPos val="l"/>
        <c:majorGridlines>
          <c:spPr>
            <a:ln w="9525" cap="flat" cmpd="sng" algn="ctr">
              <a:solidFill>
                <a:schemeClr val="tx1">
                  <a:lumMod val="15000"/>
                  <a:lumOff val="85000"/>
                </a:schemeClr>
              </a:solidFill>
              <a:round/>
            </a:ln>
            <a:effectLst/>
          </c:spPr>
        </c:majorGridlines>
        <c:numFmt formatCode="#\ ##0.0_);\ \(#\ ##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43562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Book</a:t>
            </a:r>
            <a:r>
              <a:rPr lang="fr-FR" baseline="0"/>
              <a:t> Value of Asset</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7683530183727034"/>
                  <c:y val="-1.430555555555555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yVal>
            <c:numRef>
              <c:f>'Free Cash Flow'!$E$60:$I$60</c:f>
              <c:numCache>
                <c:formatCode>#\ ##0.0_);\ \(#\ ##0.0\);\-</c:formatCode>
                <c:ptCount val="5"/>
                <c:pt idx="0">
                  <c:v>14151</c:v>
                </c:pt>
                <c:pt idx="1">
                  <c:v>14779</c:v>
                </c:pt>
                <c:pt idx="2">
                  <c:v>17155</c:v>
                </c:pt>
                <c:pt idx="3">
                  <c:v>18475</c:v>
                </c:pt>
                <c:pt idx="4">
                  <c:v>20824</c:v>
                </c:pt>
              </c:numCache>
            </c:numRef>
          </c:yVal>
          <c:smooth val="0"/>
          <c:extLst>
            <c:ext xmlns:c16="http://schemas.microsoft.com/office/drawing/2014/chart" uri="{C3380CC4-5D6E-409C-BE32-E72D297353CC}">
              <c16:uniqueId val="{00000000-F1C7-412E-8F42-C871CE3E2B00}"/>
            </c:ext>
          </c:extLst>
        </c:ser>
        <c:dLbls>
          <c:showLegendKey val="0"/>
          <c:showVal val="0"/>
          <c:showCatName val="0"/>
          <c:showSerName val="0"/>
          <c:showPercent val="0"/>
          <c:showBubbleSize val="0"/>
        </c:dLbls>
        <c:axId val="433617152"/>
        <c:axId val="433618944"/>
      </c:scatterChart>
      <c:valAx>
        <c:axId val="43361715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3618944"/>
        <c:crosses val="autoZero"/>
        <c:crossBetween val="midCat"/>
      </c:valAx>
      <c:valAx>
        <c:axId val="433618944"/>
        <c:scaling>
          <c:orientation val="minMax"/>
        </c:scaling>
        <c:delete val="0"/>
        <c:axPos val="l"/>
        <c:majorGridlines>
          <c:spPr>
            <a:ln w="9525" cap="flat" cmpd="sng" algn="ctr">
              <a:solidFill>
                <a:schemeClr val="tx1">
                  <a:lumMod val="15000"/>
                  <a:lumOff val="85000"/>
                </a:schemeClr>
              </a:solidFill>
              <a:round/>
            </a:ln>
            <a:effectLst/>
          </c:spPr>
        </c:majorGridlines>
        <c:numFmt formatCode="#\ ##0.0_);\ \(#\ ##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36171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Valuation</a:t>
            </a:r>
            <a:r>
              <a:rPr lang="fr-FR" baseline="0"/>
              <a:t> Sensitivities on EV</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('Sensitivity Analysis'!$J$20,'Sensitivity Analysis'!$J$22)</c:f>
              <c:numCache>
                <c:formatCode>0.0</c:formatCode>
                <c:ptCount val="2"/>
                <c:pt idx="0">
                  <c:v>-3096.6282533508929</c:v>
                </c:pt>
                <c:pt idx="1">
                  <c:v>-269.14851202834689</c:v>
                </c:pt>
              </c:numCache>
            </c:numRef>
          </c:val>
          <c:extLst>
            <c:ext xmlns:c16="http://schemas.microsoft.com/office/drawing/2014/chart" uri="{C3380CC4-5D6E-409C-BE32-E72D297353CC}">
              <c16:uniqueId val="{00000000-E74C-4363-B9A3-1747537DCA85}"/>
            </c:ext>
          </c:extLst>
        </c:ser>
        <c: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('Sensitivity Analysis'!$J$21,'Sensitivity Analysis'!$J$23)</c:f>
              <c:numCache>
                <c:formatCode>0.0</c:formatCode>
                <c:ptCount val="2"/>
                <c:pt idx="0">
                  <c:v>3214.5981394324772</c:v>
                </c:pt>
                <c:pt idx="1">
                  <c:v>277.82454637585033</c:v>
                </c:pt>
              </c:numCache>
            </c:numRef>
          </c:val>
          <c:extLst>
            <c:ext xmlns:c16="http://schemas.microsoft.com/office/drawing/2014/chart" uri="{C3380CC4-5D6E-409C-BE32-E72D297353CC}">
              <c16:uniqueId val="{00000003-E74C-4363-B9A3-1747537DCA85}"/>
            </c:ext>
          </c:extLst>
        </c:ser>
        <c:dLbls>
          <c:showLegendKey val="0"/>
          <c:showVal val="0"/>
          <c:showCatName val="0"/>
          <c:showSerName val="0"/>
          <c:showPercent val="0"/>
          <c:showBubbleSize val="0"/>
        </c:dLbls>
        <c:gapWidth val="182"/>
        <c:overlap val="100"/>
        <c:axId val="646205496"/>
        <c:axId val="646208776"/>
      </c:barChart>
      <c:catAx>
        <c:axId val="646205496"/>
        <c:scaling>
          <c:orientation val="minMax"/>
        </c:scaling>
        <c:delete val="1"/>
        <c:axPos val="l"/>
        <c:majorTickMark val="none"/>
        <c:minorTickMark val="none"/>
        <c:tickLblPos val="nextTo"/>
        <c:crossAx val="646208776"/>
        <c:crosses val="autoZero"/>
        <c:auto val="1"/>
        <c:lblAlgn val="ctr"/>
        <c:lblOffset val="100"/>
        <c:noMultiLvlLbl val="0"/>
      </c:catAx>
      <c:valAx>
        <c:axId val="646208776"/>
        <c:scaling>
          <c:orientation val="minMax"/>
        </c:scaling>
        <c:delete val="0"/>
        <c:axPos val="b"/>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6205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EV/Sales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Multiples!$B$6:$B$10</c:f>
              <c:strCache>
                <c:ptCount val="5"/>
                <c:pt idx="0">
                  <c:v>Bristol-Myers Squibb Co (BMY US) - Adj Highlights</c:v>
                </c:pt>
                <c:pt idx="1">
                  <c:v>Bayer AG (BAYN GR) - Adj Highlights</c:v>
                </c:pt>
                <c:pt idx="2">
                  <c:v>AstraZeneca PLC (AZN LN) - Adj Highlights</c:v>
                </c:pt>
                <c:pt idx="3">
                  <c:v>GlaxoSmithKline PLC (GSK LN) - Adj Highlights</c:v>
                </c:pt>
                <c:pt idx="4">
                  <c:v>Eli Lilly &amp; Co (LLY US) - Adj Highlights</c:v>
                </c:pt>
              </c:strCache>
            </c:strRef>
          </c:cat>
          <c:val>
            <c:numRef>
              <c:f>Multiples!$D$6:$D$10</c:f>
              <c:numCache>
                <c:formatCode>#,##0.00</c:formatCode>
                <c:ptCount val="5"/>
                <c:pt idx="0">
                  <c:v>2.0358999999999998</c:v>
                </c:pt>
                <c:pt idx="1">
                  <c:v>1.5463</c:v>
                </c:pt>
                <c:pt idx="2">
                  <c:v>1.8353000000000002</c:v>
                </c:pt>
                <c:pt idx="3">
                  <c:v>2.6116999999999999</c:v>
                </c:pt>
                <c:pt idx="4">
                  <c:v>1.7593000000000001</c:v>
                </c:pt>
              </c:numCache>
            </c:numRef>
          </c:val>
          <c:extLst>
            <c:ext xmlns:c16="http://schemas.microsoft.com/office/drawing/2014/chart" uri="{C3380CC4-5D6E-409C-BE32-E72D297353CC}">
              <c16:uniqueId val="{00000000-3B1B-4F87-8F64-9CDCD584AA8A}"/>
            </c:ext>
          </c:extLst>
        </c:ser>
        <c:dLbls>
          <c:showLegendKey val="0"/>
          <c:showVal val="0"/>
          <c:showCatName val="0"/>
          <c:showSerName val="0"/>
          <c:showPercent val="0"/>
          <c:showBubbleSize val="0"/>
        </c:dLbls>
        <c:gapWidth val="219"/>
        <c:overlap val="-27"/>
        <c:axId val="437206992"/>
        <c:axId val="437207320"/>
      </c:barChart>
      <c:catAx>
        <c:axId val="43720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7207320"/>
        <c:crosses val="autoZero"/>
        <c:auto val="1"/>
        <c:lblAlgn val="ctr"/>
        <c:lblOffset val="100"/>
        <c:noMultiLvlLbl val="0"/>
      </c:catAx>
      <c:valAx>
        <c:axId val="437207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7206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EV/EBITDA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Multiples!$B$6:$B$10</c:f>
              <c:strCache>
                <c:ptCount val="5"/>
                <c:pt idx="0">
                  <c:v>Bristol-Myers Squibb Co (BMY US) - Adj Highlights</c:v>
                </c:pt>
                <c:pt idx="1">
                  <c:v>Bayer AG (BAYN GR) - Adj Highlights</c:v>
                </c:pt>
                <c:pt idx="2">
                  <c:v>AstraZeneca PLC (AZN LN) - Adj Highlights</c:v>
                </c:pt>
                <c:pt idx="3">
                  <c:v>GlaxoSmithKline PLC (GSK LN) - Adj Highlights</c:v>
                </c:pt>
                <c:pt idx="4">
                  <c:v>Eli Lilly &amp; Co (LLY US) - Adj Highlights</c:v>
                </c:pt>
              </c:strCache>
            </c:strRef>
          </c:cat>
          <c:val>
            <c:numRef>
              <c:f>Multiples!$E$6:$E$10</c:f>
              <c:numCache>
                <c:formatCode>#,##0.00</c:formatCode>
                <c:ptCount val="5"/>
                <c:pt idx="0">
                  <c:v>5.9847999999999999</c:v>
                </c:pt>
                <c:pt idx="1">
                  <c:v>8.6313999999999993</c:v>
                </c:pt>
                <c:pt idx="2">
                  <c:v>4.2892999999999999</c:v>
                </c:pt>
                <c:pt idx="3">
                  <c:v>13.4282</c:v>
                </c:pt>
                <c:pt idx="4">
                  <c:v>5.1662999999999997</c:v>
                </c:pt>
              </c:numCache>
            </c:numRef>
          </c:val>
          <c:extLst>
            <c:ext xmlns:c16="http://schemas.microsoft.com/office/drawing/2014/chart" uri="{C3380CC4-5D6E-409C-BE32-E72D297353CC}">
              <c16:uniqueId val="{00000000-41A1-4B42-AC9C-7895C6A4D652}"/>
            </c:ext>
          </c:extLst>
        </c:ser>
        <c:dLbls>
          <c:showLegendKey val="0"/>
          <c:showVal val="0"/>
          <c:showCatName val="0"/>
          <c:showSerName val="0"/>
          <c:showPercent val="0"/>
          <c:showBubbleSize val="0"/>
        </c:dLbls>
        <c:gapWidth val="219"/>
        <c:overlap val="-27"/>
        <c:axId val="432774560"/>
        <c:axId val="432770952"/>
      </c:barChart>
      <c:catAx>
        <c:axId val="43277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2770952"/>
        <c:crosses val="autoZero"/>
        <c:auto val="1"/>
        <c:lblAlgn val="ctr"/>
        <c:lblOffset val="100"/>
        <c:noMultiLvlLbl val="0"/>
      </c:catAx>
      <c:valAx>
        <c:axId val="4327709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2774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EV/EBITDA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Multiples!$B$6:$B$10</c:f>
              <c:strCache>
                <c:ptCount val="5"/>
                <c:pt idx="0">
                  <c:v>Bristol-Myers Squibb Co (BMY US) - Adj Highlights</c:v>
                </c:pt>
                <c:pt idx="1">
                  <c:v>Bayer AG (BAYN GR) - Adj Highlights</c:v>
                </c:pt>
                <c:pt idx="2">
                  <c:v>AstraZeneca PLC (AZN LN) - Adj Highlights</c:v>
                </c:pt>
                <c:pt idx="3">
                  <c:v>GlaxoSmithKline PLC (GSK LN) - Adj Highlights</c:v>
                </c:pt>
                <c:pt idx="4">
                  <c:v>Eli Lilly &amp; Co (LLY US) - Adj Highlights</c:v>
                </c:pt>
              </c:strCache>
            </c:strRef>
          </c:cat>
          <c:val>
            <c:numRef>
              <c:f>Multiples!$F$6:$F$10</c:f>
              <c:numCache>
                <c:formatCode>#,##0.00</c:formatCode>
                <c:ptCount val="5"/>
                <c:pt idx="0">
                  <c:v>6.7416</c:v>
                </c:pt>
                <c:pt idx="1">
                  <c:v>19.874400000000001</c:v>
                </c:pt>
                <c:pt idx="2">
                  <c:v>5.3121999999999998</c:v>
                </c:pt>
                <c:pt idx="3">
                  <c:v>19.295000000000002</c:v>
                </c:pt>
                <c:pt idx="4">
                  <c:v>6.2169999999999996</c:v>
                </c:pt>
              </c:numCache>
            </c:numRef>
          </c:val>
          <c:extLst>
            <c:ext xmlns:c16="http://schemas.microsoft.com/office/drawing/2014/chart" uri="{C3380CC4-5D6E-409C-BE32-E72D297353CC}">
              <c16:uniqueId val="{00000000-FAEF-4A29-A008-FB67DCDEE6DB}"/>
            </c:ext>
          </c:extLst>
        </c:ser>
        <c:dLbls>
          <c:showLegendKey val="0"/>
          <c:showVal val="0"/>
          <c:showCatName val="0"/>
          <c:showSerName val="0"/>
          <c:showPercent val="0"/>
          <c:showBubbleSize val="0"/>
        </c:dLbls>
        <c:gapWidth val="219"/>
        <c:overlap val="-27"/>
        <c:axId val="535350744"/>
        <c:axId val="535351072"/>
      </c:barChart>
      <c:catAx>
        <c:axId val="535350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35351072"/>
        <c:crosses val="autoZero"/>
        <c:auto val="1"/>
        <c:lblAlgn val="ctr"/>
        <c:lblOffset val="100"/>
        <c:noMultiLvlLbl val="0"/>
      </c:catAx>
      <c:valAx>
        <c:axId val="535351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35350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8740157499999996" l="0.7" r="0.7" t="0.78740157499999996"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Multiples!$I$7</c:f>
              <c:strCache>
                <c:ptCount val="1"/>
                <c:pt idx="0">
                  <c:v>Minimum</c:v>
                </c:pt>
              </c:strCache>
            </c:strRef>
          </c:tx>
          <c:spPr>
            <a:noFill/>
            <a:ln>
              <a:noFill/>
            </a:ln>
            <a:effectLst/>
          </c:spPr>
          <c:invertIfNegative val="0"/>
          <c:cat>
            <c:strRef>
              <c:f>Multiples!$H$8:$H$11</c:f>
              <c:strCache>
                <c:ptCount val="4"/>
                <c:pt idx="0">
                  <c:v>EV/Sales</c:v>
                </c:pt>
                <c:pt idx="1">
                  <c:v>EV/EBITDA</c:v>
                </c:pt>
                <c:pt idx="2">
                  <c:v>EV/EBIT</c:v>
                </c:pt>
                <c:pt idx="3">
                  <c:v>DCF</c:v>
                </c:pt>
              </c:strCache>
            </c:strRef>
          </c:cat>
          <c:val>
            <c:numRef>
              <c:f>Multiples!$I$8:$I$11</c:f>
              <c:numCache>
                <c:formatCode>#,##0</c:formatCode>
                <c:ptCount val="4"/>
                <c:pt idx="0">
                  <c:v>46982779.200000003</c:v>
                </c:pt>
                <c:pt idx="1">
                  <c:v>48683555</c:v>
                </c:pt>
                <c:pt idx="2">
                  <c:v>33047196.199999999</c:v>
                </c:pt>
                <c:pt idx="3">
                  <c:v>77449794.052937001</c:v>
                </c:pt>
              </c:numCache>
            </c:numRef>
          </c:val>
          <c:extLst>
            <c:ext xmlns:c16="http://schemas.microsoft.com/office/drawing/2014/chart" uri="{C3380CC4-5D6E-409C-BE32-E72D297353CC}">
              <c16:uniqueId val="{00000000-4D77-4356-ABC2-027665C9FDF2}"/>
            </c:ext>
          </c:extLst>
        </c:ser>
        <c:ser>
          <c:idx val="1"/>
          <c:order val="1"/>
          <c:tx>
            <c:strRef>
              <c:f>Multiples!$J$7</c:f>
              <c:strCache>
                <c:ptCount val="1"/>
                <c:pt idx="0">
                  <c:v>25th percentile</c:v>
                </c:pt>
              </c:strCache>
            </c:strRef>
          </c:tx>
          <c:spPr>
            <a:solidFill>
              <a:schemeClr val="accent2"/>
            </a:solidFill>
            <a:ln>
              <a:noFill/>
            </a:ln>
            <a:effectLst/>
          </c:spPr>
          <c:invertIfNegative val="0"/>
          <c:cat>
            <c:strRef>
              <c:f>Multiples!$H$8:$H$11</c:f>
              <c:strCache>
                <c:ptCount val="4"/>
                <c:pt idx="0">
                  <c:v>EV/Sales</c:v>
                </c:pt>
                <c:pt idx="1">
                  <c:v>EV/EBITDA</c:v>
                </c:pt>
                <c:pt idx="2">
                  <c:v>EV/EBIT</c:v>
                </c:pt>
                <c:pt idx="3">
                  <c:v>DCF</c:v>
                </c:pt>
              </c:strCache>
            </c:strRef>
          </c:cat>
          <c:val>
            <c:numRef>
              <c:f>Multiples!$J$8:$J$11</c:f>
              <c:numCache>
                <c:formatCode>#,##0</c:formatCode>
                <c:ptCount val="4"/>
                <c:pt idx="0">
                  <c:v>6471792</c:v>
                </c:pt>
                <c:pt idx="1">
                  <c:v>9953949.9999999925</c:v>
                </c:pt>
                <c:pt idx="2">
                  <c:v>5628760.8000000007</c:v>
                </c:pt>
              </c:numCache>
            </c:numRef>
          </c:val>
          <c:extLst>
            <c:ext xmlns:c16="http://schemas.microsoft.com/office/drawing/2014/chart" uri="{C3380CC4-5D6E-409C-BE32-E72D297353CC}">
              <c16:uniqueId val="{00000001-4D77-4356-ABC2-027665C9FDF2}"/>
            </c:ext>
          </c:extLst>
        </c:ser>
        <c:ser>
          <c:idx val="2"/>
          <c:order val="2"/>
          <c:tx>
            <c:strRef>
              <c:f>Multiples!$K$7</c:f>
              <c:strCache>
                <c:ptCount val="1"/>
                <c:pt idx="0">
                  <c:v>Median</c:v>
                </c:pt>
              </c:strCache>
            </c:strRef>
          </c:tx>
          <c:spPr>
            <a:solidFill>
              <a:schemeClr val="accent3"/>
            </a:solidFill>
            <a:ln>
              <a:noFill/>
            </a:ln>
            <a:effectLst/>
          </c:spPr>
          <c:invertIfNegative val="0"/>
          <c:cat>
            <c:strRef>
              <c:f>Multiples!$H$8:$H$11</c:f>
              <c:strCache>
                <c:ptCount val="4"/>
                <c:pt idx="0">
                  <c:v>EV/Sales</c:v>
                </c:pt>
                <c:pt idx="1">
                  <c:v>EV/EBITDA</c:v>
                </c:pt>
                <c:pt idx="2">
                  <c:v>EV/EBIT</c:v>
                </c:pt>
                <c:pt idx="3">
                  <c:v>DCF</c:v>
                </c:pt>
              </c:strCache>
            </c:strRef>
          </c:cat>
          <c:val>
            <c:numRef>
              <c:f>Multiples!$K$8:$K$11</c:f>
              <c:numCache>
                <c:formatCode>#,##0</c:formatCode>
                <c:ptCount val="4"/>
                <c:pt idx="0">
                  <c:v>2309184</c:v>
                </c:pt>
                <c:pt idx="1">
                  <c:v>9289975.0000000075</c:v>
                </c:pt>
                <c:pt idx="2">
                  <c:v>3263536.6000000015</c:v>
                </c:pt>
              </c:numCache>
            </c:numRef>
          </c:val>
          <c:extLst>
            <c:ext xmlns:c16="http://schemas.microsoft.com/office/drawing/2014/chart" uri="{C3380CC4-5D6E-409C-BE32-E72D297353CC}">
              <c16:uniqueId val="{00000002-4D77-4356-ABC2-027665C9FDF2}"/>
            </c:ext>
          </c:extLst>
        </c:ser>
        <c:ser>
          <c:idx val="3"/>
          <c:order val="3"/>
          <c:tx>
            <c:strRef>
              <c:f>Multiples!$L$7</c:f>
              <c:strCache>
                <c:ptCount val="1"/>
                <c:pt idx="0">
                  <c:v>75th percentile </c:v>
                </c:pt>
              </c:strCache>
            </c:strRef>
          </c:tx>
          <c:spPr>
            <a:solidFill>
              <a:schemeClr val="accent4"/>
            </a:solidFill>
            <a:ln>
              <a:noFill/>
            </a:ln>
            <a:effectLst/>
          </c:spPr>
          <c:invertIfNegative val="0"/>
          <c:cat>
            <c:strRef>
              <c:f>Multiples!$H$8:$H$11</c:f>
              <c:strCache>
                <c:ptCount val="4"/>
                <c:pt idx="0">
                  <c:v>EV/Sales</c:v>
                </c:pt>
                <c:pt idx="1">
                  <c:v>EV/EBITDA</c:v>
                </c:pt>
                <c:pt idx="2">
                  <c:v>EV/EBIT</c:v>
                </c:pt>
                <c:pt idx="3">
                  <c:v>DCF</c:v>
                </c:pt>
              </c:strCache>
            </c:strRef>
          </c:cat>
          <c:val>
            <c:numRef>
              <c:f>Multiples!$L$8:$L$11</c:f>
              <c:numCache>
                <c:formatCode>#,##0</c:formatCode>
                <c:ptCount val="4"/>
                <c:pt idx="0">
                  <c:v>14842584</c:v>
                </c:pt>
                <c:pt idx="1">
                  <c:v>57260750</c:v>
                </c:pt>
                <c:pt idx="2">
                  <c:v>79896925.099999994</c:v>
                </c:pt>
              </c:numCache>
            </c:numRef>
          </c:val>
          <c:extLst>
            <c:ext xmlns:c16="http://schemas.microsoft.com/office/drawing/2014/chart" uri="{C3380CC4-5D6E-409C-BE32-E72D297353CC}">
              <c16:uniqueId val="{00000003-4D77-4356-ABC2-027665C9FDF2}"/>
            </c:ext>
          </c:extLst>
        </c:ser>
        <c:ser>
          <c:idx val="4"/>
          <c:order val="4"/>
          <c:tx>
            <c:strRef>
              <c:f>Multiples!$M$7</c:f>
              <c:strCache>
                <c:ptCount val="1"/>
                <c:pt idx="0">
                  <c:v>Maximum</c:v>
                </c:pt>
              </c:strCache>
            </c:strRef>
          </c:tx>
          <c:spPr>
            <a:solidFill>
              <a:schemeClr val="accent5"/>
            </a:solidFill>
            <a:ln>
              <a:noFill/>
            </a:ln>
            <a:effectLst/>
          </c:spPr>
          <c:invertIfNegative val="0"/>
          <c:cat>
            <c:strRef>
              <c:f>Multiples!$H$8:$H$11</c:f>
              <c:strCache>
                <c:ptCount val="4"/>
                <c:pt idx="0">
                  <c:v>EV/Sales</c:v>
                </c:pt>
                <c:pt idx="1">
                  <c:v>EV/EBITDA</c:v>
                </c:pt>
                <c:pt idx="2">
                  <c:v>EV/EBIT</c:v>
                </c:pt>
                <c:pt idx="3">
                  <c:v>DCF</c:v>
                </c:pt>
              </c:strCache>
            </c:strRef>
          </c:cat>
          <c:val>
            <c:numRef>
              <c:f>Multiples!$M$8:$M$11</c:f>
              <c:numCache>
                <c:formatCode>#,##0</c:formatCode>
                <c:ptCount val="4"/>
                <c:pt idx="0">
                  <c:v>8747553.599999994</c:v>
                </c:pt>
                <c:pt idx="1">
                  <c:v>27221840</c:v>
                </c:pt>
                <c:pt idx="2">
                  <c:v>1802223.700000003</c:v>
                </c:pt>
                <c:pt idx="3">
                  <c:v>51592687.382248297</c:v>
                </c:pt>
              </c:numCache>
            </c:numRef>
          </c:val>
          <c:extLst>
            <c:ext xmlns:c16="http://schemas.microsoft.com/office/drawing/2014/chart" uri="{C3380CC4-5D6E-409C-BE32-E72D297353CC}">
              <c16:uniqueId val="{00000004-4D77-4356-ABC2-027665C9FDF2}"/>
            </c:ext>
          </c:extLst>
        </c:ser>
        <c:dLbls>
          <c:showLegendKey val="0"/>
          <c:showVal val="0"/>
          <c:showCatName val="0"/>
          <c:showSerName val="0"/>
          <c:showPercent val="0"/>
          <c:showBubbleSize val="0"/>
        </c:dLbls>
        <c:gapWidth val="150"/>
        <c:overlap val="100"/>
        <c:axId val="549454584"/>
        <c:axId val="549455896"/>
      </c:barChart>
      <c:catAx>
        <c:axId val="549454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49455896"/>
        <c:crosses val="autoZero"/>
        <c:auto val="1"/>
        <c:lblAlgn val="ctr"/>
        <c:lblOffset val="100"/>
        <c:noMultiLvlLbl val="0"/>
      </c:catAx>
      <c:valAx>
        <c:axId val="549455896"/>
        <c:scaling>
          <c:orientation val="minMax"/>
          <c:min val="-200000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49454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gif"/><Relationship Id="rId18" Type="http://schemas.openxmlformats.org/officeDocument/2006/relationships/image" Target="../media/image20.jpeg"/><Relationship Id="rId3" Type="http://schemas.openxmlformats.org/officeDocument/2006/relationships/hyperlink" Target="https://www.investing.com/members/200269538" TargetMode="External"/><Relationship Id="rId7" Type="http://schemas.openxmlformats.org/officeDocument/2006/relationships/image" Target="../media/image9.jpe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6.png"/><Relationship Id="rId16" Type="http://schemas.openxmlformats.org/officeDocument/2006/relationships/image" Target="../media/image18.png"/><Relationship Id="rId20" Type="http://schemas.openxmlformats.org/officeDocument/2006/relationships/image" Target="../media/image22.jpeg"/><Relationship Id="rId1" Type="http://schemas.openxmlformats.org/officeDocument/2006/relationships/image" Target="../media/image5.png"/><Relationship Id="rId6" Type="http://schemas.openxmlformats.org/officeDocument/2006/relationships/image" Target="../media/image8.jpeg"/><Relationship Id="rId11" Type="http://schemas.openxmlformats.org/officeDocument/2006/relationships/image" Target="../media/image13.png"/><Relationship Id="rId5" Type="http://schemas.openxmlformats.org/officeDocument/2006/relationships/hyperlink" Target="javascript:void();" TargetMode="External"/><Relationship Id="rId15" Type="http://schemas.openxmlformats.org/officeDocument/2006/relationships/image" Target="../media/image17.png"/><Relationship Id="rId10" Type="http://schemas.openxmlformats.org/officeDocument/2006/relationships/image" Target="../media/image12.png"/><Relationship Id="rId19" Type="http://schemas.openxmlformats.org/officeDocument/2006/relationships/image" Target="../media/image21.png"/><Relationship Id="rId4" Type="http://schemas.openxmlformats.org/officeDocument/2006/relationships/image" Target="../media/image7.png"/><Relationship Id="rId9" Type="http://schemas.openxmlformats.org/officeDocument/2006/relationships/image" Target="../media/image11.gif"/><Relationship Id="rId1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24.emf"/><Relationship Id="rId1" Type="http://schemas.openxmlformats.org/officeDocument/2006/relationships/image" Target="../media/image2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5.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276225</xdr:colOff>
          <xdr:row>15</xdr:row>
          <xdr:rowOff>161925</xdr:rowOff>
        </xdr:from>
        <xdr:to>
          <xdr:col>18</xdr:col>
          <xdr:colOff>142875</xdr:colOff>
          <xdr:row>22</xdr:row>
          <xdr:rowOff>9525</xdr:rowOff>
        </xdr:to>
        <xdr:sp macro="" textlink="">
          <xdr:nvSpPr>
            <xdr:cNvPr id="28673" name="Object 2" hidden="1">
              <a:extLst>
                <a:ext uri="{63B3BB69-23CF-44E3-9099-C40C66FF867C}">
                  <a14:compatExt spid="_x0000_s28673"/>
                </a:ext>
                <a:ext uri="{FF2B5EF4-FFF2-40B4-BE49-F238E27FC236}">
                  <a16:creationId xmlns:a16="http://schemas.microsoft.com/office/drawing/2014/main" id="{00000000-0008-0000-0200-0000017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212</xdr:row>
          <xdr:rowOff>0</xdr:rowOff>
        </xdr:from>
        <xdr:to>
          <xdr:col>4</xdr:col>
          <xdr:colOff>76200</xdr:colOff>
          <xdr:row>216</xdr:row>
          <xdr:rowOff>123825</xdr:rowOff>
        </xdr:to>
        <xdr:sp macro="" textlink="">
          <xdr:nvSpPr>
            <xdr:cNvPr id="29697" name="Control 1" hidden="1">
              <a:extLst>
                <a:ext uri="{63B3BB69-23CF-44E3-9099-C40C66FF867C}">
                  <a14:compatExt spid="_x0000_s29697"/>
                </a:ext>
                <a:ext uri="{FF2B5EF4-FFF2-40B4-BE49-F238E27FC236}">
                  <a16:creationId xmlns:a16="http://schemas.microsoft.com/office/drawing/2014/main" id="{00000000-0008-0000-0600-000001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262</xdr:row>
          <xdr:rowOff>0</xdr:rowOff>
        </xdr:from>
        <xdr:to>
          <xdr:col>1</xdr:col>
          <xdr:colOff>361950</xdr:colOff>
          <xdr:row>263</xdr:row>
          <xdr:rowOff>28575</xdr:rowOff>
        </xdr:to>
        <xdr:sp macro="" textlink="">
          <xdr:nvSpPr>
            <xdr:cNvPr id="29698" name="Control 2" hidden="1">
              <a:extLst>
                <a:ext uri="{63B3BB69-23CF-44E3-9099-C40C66FF867C}">
                  <a14:compatExt spid="_x0000_s29698"/>
                </a:ext>
                <a:ext uri="{FF2B5EF4-FFF2-40B4-BE49-F238E27FC236}">
                  <a16:creationId xmlns:a16="http://schemas.microsoft.com/office/drawing/2014/main" id="{00000000-0008-0000-0600-000002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0</xdr:colOff>
      <xdr:row>300</xdr:row>
      <xdr:rowOff>0</xdr:rowOff>
    </xdr:from>
    <xdr:to>
      <xdr:col>2</xdr:col>
      <xdr:colOff>215900</xdr:colOff>
      <xdr:row>309</xdr:row>
      <xdr:rowOff>158750</xdr:rowOff>
    </xdr:to>
    <xdr:pic>
      <xdr:nvPicPr>
        <xdr:cNvPr id="4" name="图片 3" descr="https://i-invdn-com.akamaized.net/footer/footerMobile4.png">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5156100"/>
          <a:ext cx="1536700" cy="176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282</xdr:row>
          <xdr:rowOff>0</xdr:rowOff>
        </xdr:from>
        <xdr:to>
          <xdr:col>3</xdr:col>
          <xdr:colOff>485775</xdr:colOff>
          <xdr:row>286</xdr:row>
          <xdr:rowOff>114300</xdr:rowOff>
        </xdr:to>
        <xdr:sp macro="" textlink="">
          <xdr:nvSpPr>
            <xdr:cNvPr id="29699" name="Control 3" hidden="1">
              <a:extLst>
                <a:ext uri="{63B3BB69-23CF-44E3-9099-C40C66FF867C}">
                  <a14:compatExt spid="_x0000_s29699"/>
                </a:ext>
                <a:ext uri="{FF2B5EF4-FFF2-40B4-BE49-F238E27FC236}">
                  <a16:creationId xmlns:a16="http://schemas.microsoft.com/office/drawing/2014/main" id="{00000000-0008-0000-0600-000003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0</xdr:colOff>
      <xdr:row>284</xdr:row>
      <xdr:rowOff>0</xdr:rowOff>
    </xdr:from>
    <xdr:to>
      <xdr:col>1</xdr:col>
      <xdr:colOff>101600</xdr:colOff>
      <xdr:row>288</xdr:row>
      <xdr:rowOff>44450</xdr:rowOff>
    </xdr:to>
    <xdr:pic>
      <xdr:nvPicPr>
        <xdr:cNvPr id="6" name="图片 5" descr="https://i-invdn-com.akamaized.net/defaultUserMaleTmp.png">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279550"/>
          <a:ext cx="762000"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282</xdr:row>
          <xdr:rowOff>0</xdr:rowOff>
        </xdr:from>
        <xdr:to>
          <xdr:col>3</xdr:col>
          <xdr:colOff>485775</xdr:colOff>
          <xdr:row>286</xdr:row>
          <xdr:rowOff>114300</xdr:rowOff>
        </xdr:to>
        <xdr:sp macro="" textlink="">
          <xdr:nvSpPr>
            <xdr:cNvPr id="29700" name="Control 4" hidden="1">
              <a:extLst>
                <a:ext uri="{63B3BB69-23CF-44E3-9099-C40C66FF867C}">
                  <a14:compatExt spid="_x0000_s29700"/>
                </a:ext>
                <a:ext uri="{FF2B5EF4-FFF2-40B4-BE49-F238E27FC236}">
                  <a16:creationId xmlns:a16="http://schemas.microsoft.com/office/drawing/2014/main" id="{00000000-0008-0000-0600-000004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0</xdr:colOff>
      <xdr:row>284</xdr:row>
      <xdr:rowOff>0</xdr:rowOff>
    </xdr:from>
    <xdr:to>
      <xdr:col>1</xdr:col>
      <xdr:colOff>101600</xdr:colOff>
      <xdr:row>288</xdr:row>
      <xdr:rowOff>44450</xdr:rowOff>
    </xdr:to>
    <xdr:pic>
      <xdr:nvPicPr>
        <xdr:cNvPr id="8" name="图片 7" descr="https://i-invdn-com.akamaized.net/defaultUserMaleTmp.png">
          <a:extLst>
            <a:ext uri="{FF2B5EF4-FFF2-40B4-BE49-F238E27FC236}">
              <a16:creationId xmlns:a16="http://schemas.microsoft.com/office/drawing/2014/main" id="{00000000-0008-0000-06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279550"/>
          <a:ext cx="762000"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287</xdr:row>
      <xdr:rowOff>0</xdr:rowOff>
    </xdr:from>
    <xdr:to>
      <xdr:col>0</xdr:col>
      <xdr:colOff>317500</xdr:colOff>
      <xdr:row>288</xdr:row>
      <xdr:rowOff>139700</xdr:rowOff>
    </xdr:to>
    <xdr:pic>
      <xdr:nvPicPr>
        <xdr:cNvPr id="9" name="图片 8" descr="Miguel Vieira">
          <a:hlinkClick xmlns:r="http://schemas.openxmlformats.org/officeDocument/2006/relationships" r:id="rId3"/>
          <a:extLst>
            <a:ext uri="{FF2B5EF4-FFF2-40B4-BE49-F238E27FC236}">
              <a16:creationId xmlns:a16="http://schemas.microsoft.com/office/drawing/2014/main" id="{00000000-0008-0000-0600-000009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52819300"/>
          <a:ext cx="317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299</xdr:row>
      <xdr:rowOff>0</xdr:rowOff>
    </xdr:from>
    <xdr:to>
      <xdr:col>1</xdr:col>
      <xdr:colOff>292100</xdr:colOff>
      <xdr:row>300</xdr:row>
      <xdr:rowOff>139700</xdr:rowOff>
    </xdr:to>
    <xdr:pic>
      <xdr:nvPicPr>
        <xdr:cNvPr id="10" name="图片 9" descr="https://a-invdn-com.akamaized.net/Broker_Button_New/fab_46921994.jpg">
          <a:hlinkClick xmlns:r="http://schemas.openxmlformats.org/officeDocument/2006/relationships" r:id="rId5"/>
          <a:extLst>
            <a:ext uri="{FF2B5EF4-FFF2-40B4-BE49-F238E27FC236}">
              <a16:creationId xmlns:a16="http://schemas.microsoft.com/office/drawing/2014/main" id="{00000000-0008-0000-0600-00000A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54978300"/>
          <a:ext cx="952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298450</xdr:colOff>
      <xdr:row>299</xdr:row>
      <xdr:rowOff>0</xdr:rowOff>
    </xdr:from>
    <xdr:to>
      <xdr:col>2</xdr:col>
      <xdr:colOff>590550</xdr:colOff>
      <xdr:row>300</xdr:row>
      <xdr:rowOff>139700</xdr:rowOff>
    </xdr:to>
    <xdr:pic>
      <xdr:nvPicPr>
        <xdr:cNvPr id="11" name="图片 10" descr="https://a-invdn-com.akamaized.net/Broker_Button_New/fab_76368117.jpg">
          <a:hlinkClick xmlns:r="http://schemas.openxmlformats.org/officeDocument/2006/relationships" r:id="rId5"/>
          <a:extLst>
            <a:ext uri="{FF2B5EF4-FFF2-40B4-BE49-F238E27FC236}">
              <a16:creationId xmlns:a16="http://schemas.microsoft.com/office/drawing/2014/main" id="{00000000-0008-0000-0600-00000B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58850" y="54978300"/>
          <a:ext cx="952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596900</xdr:colOff>
      <xdr:row>299</xdr:row>
      <xdr:rowOff>0</xdr:rowOff>
    </xdr:from>
    <xdr:to>
      <xdr:col>4</xdr:col>
      <xdr:colOff>228600</xdr:colOff>
      <xdr:row>300</xdr:row>
      <xdr:rowOff>139700</xdr:rowOff>
    </xdr:to>
    <xdr:pic>
      <xdr:nvPicPr>
        <xdr:cNvPr id="12" name="图片 11" descr="https://a-invdn-com.akamaized.net/Broker_Button_New/Forex_Tab/EN/AVA/AVA_White%20100x33.png">
          <a:hlinkClick xmlns:r="http://schemas.openxmlformats.org/officeDocument/2006/relationships" r:id="rId5"/>
          <a:extLst>
            <a:ext uri="{FF2B5EF4-FFF2-40B4-BE49-F238E27FC236}">
              <a16:creationId xmlns:a16="http://schemas.microsoft.com/office/drawing/2014/main" id="{00000000-0008-0000-0600-00000C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17700" y="54978300"/>
          <a:ext cx="952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234950</xdr:colOff>
      <xdr:row>299</xdr:row>
      <xdr:rowOff>0</xdr:rowOff>
    </xdr:from>
    <xdr:to>
      <xdr:col>5</xdr:col>
      <xdr:colOff>527050</xdr:colOff>
      <xdr:row>300</xdr:row>
      <xdr:rowOff>139700</xdr:rowOff>
    </xdr:to>
    <xdr:pic>
      <xdr:nvPicPr>
        <xdr:cNvPr id="13" name="图片 12" descr="https://a-invdn-com.akamaized.net/Broker_Button_New/Forex_Tab/EN/EN_Iforex_Button_100x33_YellowBook_YB.GIF">
          <a:hlinkClick xmlns:r="http://schemas.openxmlformats.org/officeDocument/2006/relationships" r:id="rId5"/>
          <a:extLst>
            <a:ext uri="{FF2B5EF4-FFF2-40B4-BE49-F238E27FC236}">
              <a16:creationId xmlns:a16="http://schemas.microsoft.com/office/drawing/2014/main" id="{00000000-0008-0000-0600-00000D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876550" y="54978300"/>
          <a:ext cx="952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300</xdr:row>
      <xdr:rowOff>0</xdr:rowOff>
    </xdr:from>
    <xdr:to>
      <xdr:col>1</xdr:col>
      <xdr:colOff>292100</xdr:colOff>
      <xdr:row>301</xdr:row>
      <xdr:rowOff>139700</xdr:rowOff>
    </xdr:to>
    <xdr:pic>
      <xdr:nvPicPr>
        <xdr:cNvPr id="14" name="图片 13" descr="https://a-invdn-com.akamaized.net/Broker_Button_New/fab_93952366.png">
          <a:hlinkClick xmlns:r="http://schemas.openxmlformats.org/officeDocument/2006/relationships" r:id="rId5"/>
          <a:extLst>
            <a:ext uri="{FF2B5EF4-FFF2-40B4-BE49-F238E27FC236}">
              <a16:creationId xmlns:a16="http://schemas.microsoft.com/office/drawing/2014/main" id="{00000000-0008-0000-0600-00000E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55156100"/>
          <a:ext cx="952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298450</xdr:colOff>
      <xdr:row>300</xdr:row>
      <xdr:rowOff>0</xdr:rowOff>
    </xdr:from>
    <xdr:to>
      <xdr:col>2</xdr:col>
      <xdr:colOff>590550</xdr:colOff>
      <xdr:row>301</xdr:row>
      <xdr:rowOff>139700</xdr:rowOff>
    </xdr:to>
    <xdr:pic>
      <xdr:nvPicPr>
        <xdr:cNvPr id="15" name="图片 14" descr="https://a-invdn-com.akamaized.net/Broker_Button_New/fab_2979746.png">
          <a:hlinkClick xmlns:r="http://schemas.openxmlformats.org/officeDocument/2006/relationships" r:id="rId5"/>
          <a:extLst>
            <a:ext uri="{FF2B5EF4-FFF2-40B4-BE49-F238E27FC236}">
              <a16:creationId xmlns:a16="http://schemas.microsoft.com/office/drawing/2014/main" id="{00000000-0008-0000-0600-00000F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958850" y="55156100"/>
          <a:ext cx="952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596900</xdr:colOff>
      <xdr:row>300</xdr:row>
      <xdr:rowOff>0</xdr:rowOff>
    </xdr:from>
    <xdr:to>
      <xdr:col>4</xdr:col>
      <xdr:colOff>228600</xdr:colOff>
      <xdr:row>301</xdr:row>
      <xdr:rowOff>139700</xdr:rowOff>
    </xdr:to>
    <xdr:pic>
      <xdr:nvPicPr>
        <xdr:cNvPr id="16" name="图片 15" descr="https://a-invdn-com.akamaized.net/Broker_Button_New/Forex_Tab/Plus500%20Button%20UpdateSep2016.png">
          <a:hlinkClick xmlns:r="http://schemas.openxmlformats.org/officeDocument/2006/relationships" r:id="rId5"/>
          <a:extLst>
            <a:ext uri="{FF2B5EF4-FFF2-40B4-BE49-F238E27FC236}">
              <a16:creationId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917700" y="55156100"/>
          <a:ext cx="952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234950</xdr:colOff>
      <xdr:row>300</xdr:row>
      <xdr:rowOff>0</xdr:rowOff>
    </xdr:from>
    <xdr:to>
      <xdr:col>5</xdr:col>
      <xdr:colOff>527050</xdr:colOff>
      <xdr:row>301</xdr:row>
      <xdr:rowOff>139700</xdr:rowOff>
    </xdr:to>
    <xdr:pic>
      <xdr:nvPicPr>
        <xdr:cNvPr id="17" name="图片 16" descr="https://a-invdn-com.akamaized.net/Broker_Button_New/fab_61854540.gif">
          <a:hlinkClick xmlns:r="http://schemas.openxmlformats.org/officeDocument/2006/relationships" r:id="rId5"/>
          <a:extLst>
            <a:ext uri="{FF2B5EF4-FFF2-40B4-BE49-F238E27FC236}">
              <a16:creationId xmlns:a16="http://schemas.microsoft.com/office/drawing/2014/main" id="{00000000-0008-0000-0600-000011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876550" y="55156100"/>
          <a:ext cx="952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301</xdr:row>
      <xdr:rowOff>0</xdr:rowOff>
    </xdr:from>
    <xdr:to>
      <xdr:col>1</xdr:col>
      <xdr:colOff>292100</xdr:colOff>
      <xdr:row>302</xdr:row>
      <xdr:rowOff>139700</xdr:rowOff>
    </xdr:to>
    <xdr:pic>
      <xdr:nvPicPr>
        <xdr:cNvPr id="18" name="图片 17" descr="https://a-invdn-com.akamaized.net/Broker_Button_New/fab_19465987.png">
          <a:hlinkClick xmlns:r="http://schemas.openxmlformats.org/officeDocument/2006/relationships" r:id="rId5"/>
          <a:extLst>
            <a:ext uri="{FF2B5EF4-FFF2-40B4-BE49-F238E27FC236}">
              <a16:creationId xmlns:a16="http://schemas.microsoft.com/office/drawing/2014/main" id="{00000000-0008-0000-0600-000012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0" y="55333900"/>
          <a:ext cx="952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298450</xdr:colOff>
      <xdr:row>301</xdr:row>
      <xdr:rowOff>0</xdr:rowOff>
    </xdr:from>
    <xdr:to>
      <xdr:col>2</xdr:col>
      <xdr:colOff>590550</xdr:colOff>
      <xdr:row>302</xdr:row>
      <xdr:rowOff>139700</xdr:rowOff>
    </xdr:to>
    <xdr:pic>
      <xdr:nvPicPr>
        <xdr:cNvPr id="19" name="图片 18" descr="https://a-invdn-com.akamaized.net/Broker_Button_New/fab_75463807.png">
          <a:hlinkClick xmlns:r="http://schemas.openxmlformats.org/officeDocument/2006/relationships" r:id="rId5"/>
          <a:extLst>
            <a:ext uri="{FF2B5EF4-FFF2-40B4-BE49-F238E27FC236}">
              <a16:creationId xmlns:a16="http://schemas.microsoft.com/office/drawing/2014/main" id="{00000000-0008-0000-0600-000013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958850" y="55333900"/>
          <a:ext cx="952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596900</xdr:colOff>
      <xdr:row>301</xdr:row>
      <xdr:rowOff>0</xdr:rowOff>
    </xdr:from>
    <xdr:to>
      <xdr:col>4</xdr:col>
      <xdr:colOff>228600</xdr:colOff>
      <xdr:row>302</xdr:row>
      <xdr:rowOff>139700</xdr:rowOff>
    </xdr:to>
    <xdr:pic>
      <xdr:nvPicPr>
        <xdr:cNvPr id="20" name="图片 19" descr="https://a-invdn-com.akamaized.net/Broker_Button_New/fab_17493204.png">
          <a:hlinkClick xmlns:r="http://schemas.openxmlformats.org/officeDocument/2006/relationships" r:id="rId5"/>
          <a:extLst>
            <a:ext uri="{FF2B5EF4-FFF2-40B4-BE49-F238E27FC236}">
              <a16:creationId xmlns:a16="http://schemas.microsoft.com/office/drawing/2014/main" id="{00000000-0008-0000-0600-000014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917700" y="55333900"/>
          <a:ext cx="952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302</xdr:row>
      <xdr:rowOff>0</xdr:rowOff>
    </xdr:from>
    <xdr:to>
      <xdr:col>1</xdr:col>
      <xdr:colOff>292100</xdr:colOff>
      <xdr:row>303</xdr:row>
      <xdr:rowOff>139700</xdr:rowOff>
    </xdr:to>
    <xdr:pic>
      <xdr:nvPicPr>
        <xdr:cNvPr id="21" name="图片 20" descr="https://a-invdn-com.akamaized.net/Broker_Button_New/fab_48324161.png">
          <a:hlinkClick xmlns:r="http://schemas.openxmlformats.org/officeDocument/2006/relationships" r:id="rId5"/>
          <a:extLst>
            <a:ext uri="{FF2B5EF4-FFF2-40B4-BE49-F238E27FC236}">
              <a16:creationId xmlns:a16="http://schemas.microsoft.com/office/drawing/2014/main" id="{00000000-0008-0000-0600-000015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0" y="55511700"/>
          <a:ext cx="952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298450</xdr:colOff>
      <xdr:row>302</xdr:row>
      <xdr:rowOff>0</xdr:rowOff>
    </xdr:from>
    <xdr:to>
      <xdr:col>2</xdr:col>
      <xdr:colOff>590550</xdr:colOff>
      <xdr:row>303</xdr:row>
      <xdr:rowOff>139700</xdr:rowOff>
    </xdr:to>
    <xdr:pic>
      <xdr:nvPicPr>
        <xdr:cNvPr id="22" name="图片 21" descr="https://a-invdn-com.akamaized.net/Broker_Button_New/Forex_Tab/Kawase%20Flat%20Logo.jpg">
          <a:hlinkClick xmlns:r="http://schemas.openxmlformats.org/officeDocument/2006/relationships" r:id="rId5"/>
          <a:extLst>
            <a:ext uri="{FF2B5EF4-FFF2-40B4-BE49-F238E27FC236}">
              <a16:creationId xmlns:a16="http://schemas.microsoft.com/office/drawing/2014/main" id="{00000000-0008-0000-0600-000016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958850" y="55511700"/>
          <a:ext cx="952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596900</xdr:colOff>
      <xdr:row>302</xdr:row>
      <xdr:rowOff>0</xdr:rowOff>
    </xdr:from>
    <xdr:to>
      <xdr:col>4</xdr:col>
      <xdr:colOff>228600</xdr:colOff>
      <xdr:row>303</xdr:row>
      <xdr:rowOff>139700</xdr:rowOff>
    </xdr:to>
    <xdr:pic>
      <xdr:nvPicPr>
        <xdr:cNvPr id="23" name="图片 22" descr="https://a-invdn-com.akamaized.net/Broker_Button_New/fab_75463807.png">
          <a:hlinkClick xmlns:r="http://schemas.openxmlformats.org/officeDocument/2006/relationships" r:id="rId5"/>
          <a:extLst>
            <a:ext uri="{FF2B5EF4-FFF2-40B4-BE49-F238E27FC236}">
              <a16:creationId xmlns:a16="http://schemas.microsoft.com/office/drawing/2014/main" id="{00000000-0008-0000-0600-000017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17700" y="55511700"/>
          <a:ext cx="952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303</xdr:row>
      <xdr:rowOff>0</xdr:rowOff>
    </xdr:from>
    <xdr:to>
      <xdr:col>1</xdr:col>
      <xdr:colOff>292100</xdr:colOff>
      <xdr:row>304</xdr:row>
      <xdr:rowOff>139700</xdr:rowOff>
    </xdr:to>
    <xdr:pic>
      <xdr:nvPicPr>
        <xdr:cNvPr id="24" name="图片 23" descr="https://a-invdn-com.akamaized.net/Broker_Button_New/fab_85079988.png">
          <a:hlinkClick xmlns:r="http://schemas.openxmlformats.org/officeDocument/2006/relationships" r:id="rId5"/>
          <a:extLst>
            <a:ext uri="{FF2B5EF4-FFF2-40B4-BE49-F238E27FC236}">
              <a16:creationId xmlns:a16="http://schemas.microsoft.com/office/drawing/2014/main" id="{00000000-0008-0000-0600-000018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0" y="55689500"/>
          <a:ext cx="952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298450</xdr:colOff>
      <xdr:row>303</xdr:row>
      <xdr:rowOff>0</xdr:rowOff>
    </xdr:from>
    <xdr:to>
      <xdr:col>2</xdr:col>
      <xdr:colOff>590550</xdr:colOff>
      <xdr:row>304</xdr:row>
      <xdr:rowOff>139700</xdr:rowOff>
    </xdr:to>
    <xdr:pic>
      <xdr:nvPicPr>
        <xdr:cNvPr id="25" name="图片 24" descr="https://a-invdn-com.akamaized.net/Broker_Button_New/Forex_Tab/XM_logo_Jul16.png">
          <a:hlinkClick xmlns:r="http://schemas.openxmlformats.org/officeDocument/2006/relationships" r:id="rId5"/>
          <a:extLst>
            <a:ext uri="{FF2B5EF4-FFF2-40B4-BE49-F238E27FC236}">
              <a16:creationId xmlns:a16="http://schemas.microsoft.com/office/drawing/2014/main" id="{00000000-0008-0000-0600-000019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958850" y="55689500"/>
          <a:ext cx="952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596900</xdr:colOff>
      <xdr:row>303</xdr:row>
      <xdr:rowOff>0</xdr:rowOff>
    </xdr:from>
    <xdr:to>
      <xdr:col>4</xdr:col>
      <xdr:colOff>228600</xdr:colOff>
      <xdr:row>304</xdr:row>
      <xdr:rowOff>139700</xdr:rowOff>
    </xdr:to>
    <xdr:pic>
      <xdr:nvPicPr>
        <xdr:cNvPr id="26" name="图片 25" descr="https://a-invdn-com.akamaized.net/Broker_Button_New/fab_78944716.jpg">
          <a:hlinkClick xmlns:r="http://schemas.openxmlformats.org/officeDocument/2006/relationships" r:id="rId5"/>
          <a:extLst>
            <a:ext uri="{FF2B5EF4-FFF2-40B4-BE49-F238E27FC236}">
              <a16:creationId xmlns:a16="http://schemas.microsoft.com/office/drawing/2014/main" id="{00000000-0008-0000-0600-00001A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917700" y="55689500"/>
          <a:ext cx="952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332</xdr:row>
          <xdr:rowOff>0</xdr:rowOff>
        </xdr:from>
        <xdr:to>
          <xdr:col>1</xdr:col>
          <xdr:colOff>361950</xdr:colOff>
          <xdr:row>333</xdr:row>
          <xdr:rowOff>38100</xdr:rowOff>
        </xdr:to>
        <xdr:sp macro="" textlink="">
          <xdr:nvSpPr>
            <xdr:cNvPr id="29701" name="Control 5" hidden="1">
              <a:extLst>
                <a:ext uri="{63B3BB69-23CF-44E3-9099-C40C66FF867C}">
                  <a14:compatExt spid="_x0000_s29701"/>
                </a:ext>
                <a:ext uri="{FF2B5EF4-FFF2-40B4-BE49-F238E27FC236}">
                  <a16:creationId xmlns:a16="http://schemas.microsoft.com/office/drawing/2014/main" id="{00000000-0008-0000-0600-000005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0</xdr:colOff>
      <xdr:row>373</xdr:row>
      <xdr:rowOff>0</xdr:rowOff>
    </xdr:from>
    <xdr:to>
      <xdr:col>2</xdr:col>
      <xdr:colOff>215900</xdr:colOff>
      <xdr:row>382</xdr:row>
      <xdr:rowOff>165100</xdr:rowOff>
    </xdr:to>
    <xdr:pic>
      <xdr:nvPicPr>
        <xdr:cNvPr id="28" name="图片 27" descr="https://i-invdn-com.akamaized.net/footer/footerMobile4.png">
          <a:extLst>
            <a:ext uri="{FF2B5EF4-FFF2-40B4-BE49-F238E27FC236}">
              <a16:creationId xmlns:a16="http://schemas.microsoft.com/office/drawing/2014/main" id="{00000000-0008-0000-06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9576950"/>
          <a:ext cx="1536700" cy="176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85725</xdr:colOff>
          <xdr:row>8</xdr:row>
          <xdr:rowOff>123825</xdr:rowOff>
        </xdr:from>
        <xdr:to>
          <xdr:col>9</xdr:col>
          <xdr:colOff>85725</xdr:colOff>
          <xdr:row>15</xdr:row>
          <xdr:rowOff>19050</xdr:rowOff>
        </xdr:to>
        <xdr:sp macro="" textlink="">
          <xdr:nvSpPr>
            <xdr:cNvPr id="30721" name="Object 1" hidden="1">
              <a:extLst>
                <a:ext uri="{63B3BB69-23CF-44E3-9099-C40C66FF867C}">
                  <a14:compatExt spid="_x0000_s30721"/>
                </a:ext>
                <a:ext uri="{FF2B5EF4-FFF2-40B4-BE49-F238E27FC236}">
                  <a16:creationId xmlns:a16="http://schemas.microsoft.com/office/drawing/2014/main" id="{00000000-0008-0000-0800-0000017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142875</xdr:colOff>
          <xdr:row>22</xdr:row>
          <xdr:rowOff>47625</xdr:rowOff>
        </xdr:from>
        <xdr:to>
          <xdr:col>8</xdr:col>
          <xdr:colOff>85725</xdr:colOff>
          <xdr:row>28</xdr:row>
          <xdr:rowOff>28575</xdr:rowOff>
        </xdr:to>
        <xdr:sp macro="" textlink="">
          <xdr:nvSpPr>
            <xdr:cNvPr id="30722" name="Object 2" hidden="1">
              <a:extLst>
                <a:ext uri="{63B3BB69-23CF-44E3-9099-C40C66FF867C}">
                  <a14:compatExt spid="_x0000_s30722"/>
                </a:ext>
                <a:ext uri="{FF2B5EF4-FFF2-40B4-BE49-F238E27FC236}">
                  <a16:creationId xmlns:a16="http://schemas.microsoft.com/office/drawing/2014/main" id="{00000000-0008-0000-0800-0000027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38100</xdr:colOff>
          <xdr:row>39</xdr:row>
          <xdr:rowOff>104775</xdr:rowOff>
        </xdr:from>
        <xdr:to>
          <xdr:col>4</xdr:col>
          <xdr:colOff>533400</xdr:colOff>
          <xdr:row>41</xdr:row>
          <xdr:rowOff>133350</xdr:rowOff>
        </xdr:to>
        <xdr:sp macro="" textlink="">
          <xdr:nvSpPr>
            <xdr:cNvPr id="31745" name="Object 1" hidden="1">
              <a:extLst>
                <a:ext uri="{63B3BB69-23CF-44E3-9099-C40C66FF867C}">
                  <a14:compatExt spid="_x0000_s31745"/>
                </a:ext>
                <a:ext uri="{FF2B5EF4-FFF2-40B4-BE49-F238E27FC236}">
                  <a16:creationId xmlns:a16="http://schemas.microsoft.com/office/drawing/2014/main" id="{00000000-0008-0000-0A00-0000017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xdr:colOff>
          <xdr:row>39</xdr:row>
          <xdr:rowOff>104775</xdr:rowOff>
        </xdr:from>
        <xdr:to>
          <xdr:col>4</xdr:col>
          <xdr:colOff>533400</xdr:colOff>
          <xdr:row>41</xdr:row>
          <xdr:rowOff>133350</xdr:rowOff>
        </xdr:to>
        <xdr:sp macro="" textlink="">
          <xdr:nvSpPr>
            <xdr:cNvPr id="31746" name="Object 2" hidden="1">
              <a:extLst>
                <a:ext uri="{63B3BB69-23CF-44E3-9099-C40C66FF867C}">
                  <a14:compatExt spid="_x0000_s31746"/>
                </a:ext>
                <a:ext uri="{FF2B5EF4-FFF2-40B4-BE49-F238E27FC236}">
                  <a16:creationId xmlns:a16="http://schemas.microsoft.com/office/drawing/2014/main" id="{00000000-0008-0000-0A00-0000027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22</xdr:col>
      <xdr:colOff>38100</xdr:colOff>
      <xdr:row>4</xdr:row>
      <xdr:rowOff>47625</xdr:rowOff>
    </xdr:from>
    <xdr:to>
      <xdr:col>28</xdr:col>
      <xdr:colOff>38100</xdr:colOff>
      <xdr:row>20</xdr:row>
      <xdr:rowOff>66675</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28014</xdr:colOff>
      <xdr:row>34</xdr:row>
      <xdr:rowOff>22910</xdr:rowOff>
    </xdr:from>
    <xdr:to>
      <xdr:col>20</xdr:col>
      <xdr:colOff>28015</xdr:colOff>
      <xdr:row>48</xdr:row>
      <xdr:rowOff>91639</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137584</xdr:colOff>
      <xdr:row>4</xdr:row>
      <xdr:rowOff>67734</xdr:rowOff>
    </xdr:from>
    <xdr:to>
      <xdr:col>40</xdr:col>
      <xdr:colOff>137584</xdr:colOff>
      <xdr:row>20</xdr:row>
      <xdr:rowOff>80434</xdr:rowOff>
    </xdr:to>
    <xdr:graphicFrame macro="">
      <xdr:nvGraphicFramePr>
        <xdr:cNvPr id="7" name="Graphique 6">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412749</xdr:colOff>
      <xdr:row>78</xdr:row>
      <xdr:rowOff>4234</xdr:rowOff>
    </xdr:from>
    <xdr:to>
      <xdr:col>8</xdr:col>
      <xdr:colOff>761999</xdr:colOff>
      <xdr:row>93</xdr:row>
      <xdr:rowOff>48684</xdr:rowOff>
    </xdr:to>
    <xdr:graphicFrame macro="">
      <xdr:nvGraphicFramePr>
        <xdr:cNvPr id="2" name="Graphique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481853</xdr:colOff>
      <xdr:row>47</xdr:row>
      <xdr:rowOff>29136</xdr:rowOff>
    </xdr:from>
    <xdr:to>
      <xdr:col>20</xdr:col>
      <xdr:colOff>257735</xdr:colOff>
      <xdr:row>75</xdr:row>
      <xdr:rowOff>15689</xdr:rowOff>
    </xdr:to>
    <xdr:graphicFrame macro="">
      <xdr:nvGraphicFramePr>
        <xdr:cNvPr id="3" name="Graphique 2">
          <a:extLst>
            <a:ext uri="{FF2B5EF4-FFF2-40B4-BE49-F238E27FC236}">
              <a16:creationId xmlns:a16="http://schemas.microsoft.com/office/drawing/2014/main" id="{00000000-0008-0000-1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347382</xdr:colOff>
      <xdr:row>47</xdr:row>
      <xdr:rowOff>40341</xdr:rowOff>
    </xdr:from>
    <xdr:to>
      <xdr:col>26</xdr:col>
      <xdr:colOff>347382</xdr:colOff>
      <xdr:row>73</xdr:row>
      <xdr:rowOff>38099</xdr:rowOff>
    </xdr:to>
    <xdr:graphicFrame macro="">
      <xdr:nvGraphicFramePr>
        <xdr:cNvPr id="4" name="Graphique 3">
          <a:extLst>
            <a:ext uri="{FF2B5EF4-FFF2-40B4-BE49-F238E27FC236}">
              <a16:creationId xmlns:a16="http://schemas.microsoft.com/office/drawing/2014/main" id="{00000000-0008-0000-1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414618</xdr:colOff>
      <xdr:row>47</xdr:row>
      <xdr:rowOff>40342</xdr:rowOff>
    </xdr:from>
    <xdr:to>
      <xdr:col>32</xdr:col>
      <xdr:colOff>414618</xdr:colOff>
      <xdr:row>64</xdr:row>
      <xdr:rowOff>60512</xdr:rowOff>
    </xdr:to>
    <xdr:graphicFrame macro="">
      <xdr:nvGraphicFramePr>
        <xdr:cNvPr id="5" name="Graphique 4">
          <a:extLst>
            <a:ext uri="{FF2B5EF4-FFF2-40B4-BE49-F238E27FC236}">
              <a16:creationId xmlns:a16="http://schemas.microsoft.com/office/drawing/2014/main" id="{00000000-0008-0000-1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704850</xdr:colOff>
      <xdr:row>23</xdr:row>
      <xdr:rowOff>123825</xdr:rowOff>
    </xdr:from>
    <xdr:to>
      <xdr:col>7</xdr:col>
      <xdr:colOff>257175</xdr:colOff>
      <xdr:row>38</xdr:row>
      <xdr:rowOff>9525</xdr:rowOff>
    </xdr:to>
    <xdr:graphicFrame macro="">
      <xdr:nvGraphicFramePr>
        <xdr:cNvPr id="2" name="Graphique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510540</xdr:colOff>
      <xdr:row>85</xdr:row>
      <xdr:rowOff>69069</xdr:rowOff>
    </xdr:from>
    <xdr:to>
      <xdr:col>6</xdr:col>
      <xdr:colOff>0</xdr:colOff>
      <xdr:row>100</xdr:row>
      <xdr:rowOff>69068</xdr:rowOff>
    </xdr:to>
    <xdr:graphicFrame macro="">
      <xdr:nvGraphicFramePr>
        <xdr:cNvPr id="2" name="Diagramm 1">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54</xdr:row>
      <xdr:rowOff>75025</xdr:rowOff>
    </xdr:from>
    <xdr:to>
      <xdr:col>5</xdr:col>
      <xdr:colOff>975360</xdr:colOff>
      <xdr:row>69</xdr:row>
      <xdr:rowOff>75025</xdr:rowOff>
    </xdr:to>
    <xdr:graphicFrame macro="">
      <xdr:nvGraphicFramePr>
        <xdr:cNvPr id="3" name="Diagramm 2">
          <a:extLst>
            <a:ext uri="{FF2B5EF4-FFF2-40B4-BE49-F238E27FC236}">
              <a16:creationId xmlns:a16="http://schemas.microsoft.com/office/drawing/2014/main" id="{00000000-0008-0000-1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69</xdr:row>
      <xdr:rowOff>120746</xdr:rowOff>
    </xdr:from>
    <xdr:to>
      <xdr:col>5</xdr:col>
      <xdr:colOff>975360</xdr:colOff>
      <xdr:row>84</xdr:row>
      <xdr:rowOff>120746</xdr:rowOff>
    </xdr:to>
    <xdr:graphicFrame macro="">
      <xdr:nvGraphicFramePr>
        <xdr:cNvPr id="4" name="Diagramm 3">
          <a:extLst>
            <a:ext uri="{FF2B5EF4-FFF2-40B4-BE49-F238E27FC236}">
              <a16:creationId xmlns:a16="http://schemas.microsoft.com/office/drawing/2014/main" id="{00000000-0008-0000-1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583097</xdr:colOff>
      <xdr:row>11</xdr:row>
      <xdr:rowOff>188844</xdr:rowOff>
    </xdr:from>
    <xdr:to>
      <xdr:col>12</xdr:col>
      <xdr:colOff>960783</xdr:colOff>
      <xdr:row>24</xdr:row>
      <xdr:rowOff>175592</xdr:rowOff>
    </xdr:to>
    <xdr:graphicFrame macro="">
      <xdr:nvGraphicFramePr>
        <xdr:cNvPr id="8" name="Diagramm 12">
          <a:extLst>
            <a:ext uri="{FF2B5EF4-FFF2-40B4-BE49-F238E27FC236}">
              <a16:creationId xmlns:a16="http://schemas.microsoft.com/office/drawing/2014/main" id="{00000000-0008-0000-1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Desktop\EVA\terminal-multipl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Luka%20T\Downloads\170401-EBS-Operating-Model-Lecture-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Documents%20and%20Settings\Administrator\My%20Documents\M&amp;A%20Mode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Luka%20T\Downloads\SANOFI_Valuation_Model-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Acc-Dil"/>
      <sheetName val="Contrib"/>
      <sheetName val="PPR"/>
      <sheetName val="S&amp;U"/>
      <sheetName val="GAAP"/>
      <sheetName val="PF BS"/>
      <sheetName val="PF P&amp;L"/>
      <sheetName val="Buyer P&amp;L"/>
      <sheetName val="Target P&amp;L"/>
      <sheetName val="DCF"/>
    </sheetNames>
    <sheetDataSet>
      <sheetData sheetId="0">
        <row r="7">
          <cell r="T7">
            <v>3</v>
          </cell>
        </row>
        <row r="8">
          <cell r="H8" t="str">
            <v>BuyerCo</v>
          </cell>
          <cell r="L8" t="str">
            <v>TargetCo</v>
          </cell>
          <cell r="T8">
            <v>0.4</v>
          </cell>
        </row>
        <row r="11">
          <cell r="J11">
            <v>31.75</v>
          </cell>
          <cell r="N11">
            <v>12.81</v>
          </cell>
          <cell r="T11">
            <v>1</v>
          </cell>
        </row>
        <row r="12">
          <cell r="T12">
            <v>0</v>
          </cell>
        </row>
        <row r="13">
          <cell r="T13">
            <v>0</v>
          </cell>
        </row>
        <row r="16">
          <cell r="T16">
            <v>0.06</v>
          </cell>
        </row>
        <row r="20">
          <cell r="T20">
            <v>0.02</v>
          </cell>
        </row>
        <row r="21">
          <cell r="T21">
            <v>100</v>
          </cell>
        </row>
        <row r="24">
          <cell r="T24">
            <v>30</v>
          </cell>
        </row>
        <row r="28">
          <cell r="T28">
            <v>1</v>
          </cell>
        </row>
        <row r="32">
          <cell r="H32">
            <v>39355</v>
          </cell>
        </row>
        <row r="39">
          <cell r="T39">
            <v>0.13768115942028988</v>
          </cell>
        </row>
        <row r="40">
          <cell r="T40" t="str">
            <v>FY</v>
          </cell>
        </row>
        <row r="41">
          <cell r="T41" t="str">
            <v>Cash</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Assumptions"/>
      <sheetName val="Income Statement"/>
      <sheetName val="Balance Sheet"/>
      <sheetName val="Cash Flow Statement"/>
      <sheetName val="LBO Control"/>
      <sheetName val="LBO Model"/>
      <sheetName val="DCF Model"/>
    </sheetNames>
    <sheetDataSet>
      <sheetData sheetId="0">
        <row r="5">
          <cell r="D5" t="str">
            <v>Project EBS</v>
          </cell>
        </row>
        <row r="9">
          <cell r="D9" t="str">
            <v>€m</v>
          </cell>
        </row>
        <row r="11">
          <cell r="D11">
            <v>2017</v>
          </cell>
        </row>
        <row r="13">
          <cell r="D13">
            <v>1</v>
          </cell>
        </row>
      </sheetData>
      <sheetData sheetId="1"/>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Merger --&gt;&gt;"/>
      <sheetName val="Contribution"/>
      <sheetName val="Acc-Dil"/>
      <sheetName val="PPR"/>
      <sheetName val="S&amp;U"/>
      <sheetName val="GAAP"/>
      <sheetName val="Pro Forma --&gt;&gt;"/>
      <sheetName val="BS"/>
      <sheetName val="IS"/>
      <sheetName val="Inputs --&gt;&gt;"/>
      <sheetName val="Acquirer"/>
      <sheetName val="Target"/>
      <sheetName val="Valuation --&gt;&gt;"/>
      <sheetName val="LBO"/>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34">
          <cell r="AF34">
            <v>2.7799999999999998E-2</v>
          </cell>
        </row>
      </sheetData>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gt;&gt;&gt;&gt;"/>
      <sheetName val="Capital structure"/>
      <sheetName val="cost of equity(use Fama French)"/>
      <sheetName val="LR1"/>
      <sheetName val="Raw material"/>
      <sheetName val="use 10-year bond"/>
      <sheetName val="France 10-Year Bond Yield"/>
      <sheetName val="LR2"/>
      <sheetName val="cost of equity(use French bond)"/>
      <sheetName val="WACC &gt;&gt;&gt;&gt;"/>
      <sheetName val="Cost of Equity"/>
      <sheetName val="Cost of Debt"/>
      <sheetName val="WACC"/>
      <sheetName val="FINANCIALS &gt;&gt;&gt;&gt;"/>
      <sheetName val="Assumption"/>
      <sheetName val="Balance Sheet"/>
      <sheetName val="Income Statement"/>
      <sheetName val="Cash Flow Statement"/>
      <sheetName val="ADJUSTMENTS &gt;&gt;&gt;&gt;"/>
      <sheetName val="Operating lease converter"/>
      <sheetName val="R&amp;D converter"/>
      <sheetName val="Free Cash Flow"/>
      <sheetName val="sensitivity"/>
      <sheetName val="Multiples"/>
      <sheetName val="optimal kapital structure"/>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4">
          <cell r="D4">
            <v>62444.25</v>
          </cell>
        </row>
        <row r="5">
          <cell r="D5">
            <v>13587.532915797365</v>
          </cell>
        </row>
        <row r="6">
          <cell r="D6">
            <v>76031.782915797361</v>
          </cell>
        </row>
      </sheetData>
      <sheetData sheetId="13"/>
      <sheetData sheetId="14"/>
      <sheetData sheetId="15"/>
      <sheetData sheetId="16"/>
      <sheetData sheetId="17"/>
      <sheetData sheetId="18"/>
      <sheetData sheetId="19"/>
      <sheetData sheetId="20"/>
      <sheetData sheetId="21">
        <row r="9">
          <cell r="J9">
            <v>11350</v>
          </cell>
        </row>
        <row r="11">
          <cell r="J11">
            <v>-5129</v>
          </cell>
        </row>
        <row r="12">
          <cell r="H12">
            <v>6221</v>
          </cell>
        </row>
      </sheetData>
      <sheetData sheetId="22"/>
      <sheetData sheetId="23"/>
      <sheetData sheetId="24"/>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7.xml.rels><?xml version="1.0" encoding="UTF-8" standalone="yes"?>
<Relationships xmlns="http://schemas.openxmlformats.org/package/2006/relationships"><Relationship Id="rId13" Type="http://schemas.openxmlformats.org/officeDocument/2006/relationships/hyperlink" Target="javascript:void(0);" TargetMode="External"/><Relationship Id="rId18" Type="http://schemas.openxmlformats.org/officeDocument/2006/relationships/hyperlink" Target="https://www.investing.com/indices/germany-30" TargetMode="External"/><Relationship Id="rId26" Type="http://schemas.openxmlformats.org/officeDocument/2006/relationships/hyperlink" Target="javascript:void(0);" TargetMode="External"/><Relationship Id="rId39" Type="http://schemas.openxmlformats.org/officeDocument/2006/relationships/hyperlink" Target="https://www.investing.com/equities/sanofi-aventis?cid=25425" TargetMode="External"/><Relationship Id="rId21" Type="http://schemas.openxmlformats.org/officeDocument/2006/relationships/hyperlink" Target="https://www.investing.com/indices/investing.com-eur-index" TargetMode="External"/><Relationship Id="rId34" Type="http://schemas.openxmlformats.org/officeDocument/2006/relationships/hyperlink" Target="https://www.investing.com/currencies/usd-cad" TargetMode="External"/><Relationship Id="rId42" Type="http://schemas.openxmlformats.org/officeDocument/2006/relationships/hyperlink" Target="https://www.investing.com/rates-bonds/france-10-year-bond-yield" TargetMode="External"/><Relationship Id="rId47" Type="http://schemas.openxmlformats.org/officeDocument/2006/relationships/hyperlink" Target="https://www.investing.com/mobile/" TargetMode="External"/><Relationship Id="rId50" Type="http://schemas.openxmlformats.org/officeDocument/2006/relationships/hyperlink" Target="https://www.investing.com/about-us/" TargetMode="External"/><Relationship Id="rId55" Type="http://schemas.openxmlformats.org/officeDocument/2006/relationships/vmlDrawing" Target="../drawings/vmlDrawing2.vml"/><Relationship Id="rId63" Type="http://schemas.openxmlformats.org/officeDocument/2006/relationships/image" Target="../media/image4.emf"/><Relationship Id="rId7" Type="http://schemas.openxmlformats.org/officeDocument/2006/relationships/hyperlink" Target="javascript:void(0);" TargetMode="External"/><Relationship Id="rId2" Type="http://schemas.openxmlformats.org/officeDocument/2006/relationships/hyperlink" Target="https://www.investing.com/rates-bonds/france-10-year-bond-yield-commentary" TargetMode="External"/><Relationship Id="rId16" Type="http://schemas.openxmlformats.org/officeDocument/2006/relationships/hyperlink" Target="https://www.investing.com/indices/us-30" TargetMode="External"/><Relationship Id="rId20" Type="http://schemas.openxmlformats.org/officeDocument/2006/relationships/hyperlink" Target="https://www.investing.com/quotes/us-dollar-index" TargetMode="External"/><Relationship Id="rId29" Type="http://schemas.openxmlformats.org/officeDocument/2006/relationships/hyperlink" Target="https://www.investing.com/currencies/eur-usd" TargetMode="External"/><Relationship Id="rId41" Type="http://schemas.openxmlformats.org/officeDocument/2006/relationships/hyperlink" Target="https://www.investing.com/equities/sanofi-aventis" TargetMode="External"/><Relationship Id="rId54" Type="http://schemas.openxmlformats.org/officeDocument/2006/relationships/drawing" Target="../drawings/drawing2.xml"/><Relationship Id="rId62" Type="http://schemas.openxmlformats.org/officeDocument/2006/relationships/control" Target="../activeX/activeX5.xml"/><Relationship Id="rId1" Type="http://schemas.openxmlformats.org/officeDocument/2006/relationships/hyperlink" Target="javascript:void(0);" TargetMode="External"/><Relationship Id="rId6" Type="http://schemas.openxmlformats.org/officeDocument/2006/relationships/hyperlink" Target="javascript:void(0);" TargetMode="External"/><Relationship Id="rId11" Type="http://schemas.openxmlformats.org/officeDocument/2006/relationships/hyperlink" Target="javascript:void(0);" TargetMode="External"/><Relationship Id="rId24" Type="http://schemas.openxmlformats.org/officeDocument/2006/relationships/hyperlink" Target="https://www.investing.com/central-banks/fed-rate-monitor" TargetMode="External"/><Relationship Id="rId32" Type="http://schemas.openxmlformats.org/officeDocument/2006/relationships/hyperlink" Target="https://www.investing.com/currencies/usd-jpy" TargetMode="External"/><Relationship Id="rId37" Type="http://schemas.openxmlformats.org/officeDocument/2006/relationships/hyperlink" Target="javascript:void(0);" TargetMode="External"/><Relationship Id="rId40" Type="http://schemas.openxmlformats.org/officeDocument/2006/relationships/hyperlink" Target="https://www.investing.com/equities/sanofi-aventis?cid=21258" TargetMode="External"/><Relationship Id="rId45" Type="http://schemas.openxmlformats.org/officeDocument/2006/relationships/hyperlink" Target="javascript:void(0);" TargetMode="External"/><Relationship Id="rId53" Type="http://schemas.openxmlformats.org/officeDocument/2006/relationships/hyperlink" Target="https://www.investing.com/about-us/contact-us" TargetMode="External"/><Relationship Id="rId58" Type="http://schemas.openxmlformats.org/officeDocument/2006/relationships/control" Target="../activeX/activeX2.xml"/><Relationship Id="rId5" Type="http://schemas.openxmlformats.org/officeDocument/2006/relationships/hyperlink" Target="https://www.investing.com/brokers/forex-brokers" TargetMode="External"/><Relationship Id="rId15" Type="http://schemas.openxmlformats.org/officeDocument/2006/relationships/hyperlink" Target="https://www.investing.com/indices/nq-100-futures" TargetMode="External"/><Relationship Id="rId23" Type="http://schemas.openxmlformats.org/officeDocument/2006/relationships/hyperlink" Target="javascript:void(0);" TargetMode="External"/><Relationship Id="rId28" Type="http://schemas.openxmlformats.org/officeDocument/2006/relationships/hyperlink" Target="javascript:void(0);" TargetMode="External"/><Relationship Id="rId36" Type="http://schemas.openxmlformats.org/officeDocument/2006/relationships/hyperlink" Target="https://www.investing.com/currencies/eur-chf" TargetMode="External"/><Relationship Id="rId49" Type="http://schemas.openxmlformats.org/officeDocument/2006/relationships/hyperlink" Target="https://www.investing.com/webmaster-tools/" TargetMode="External"/><Relationship Id="rId57" Type="http://schemas.openxmlformats.org/officeDocument/2006/relationships/image" Target="../media/image2.emf"/><Relationship Id="rId61" Type="http://schemas.openxmlformats.org/officeDocument/2006/relationships/control" Target="../activeX/activeX4.xml"/><Relationship Id="rId10" Type="http://schemas.openxmlformats.org/officeDocument/2006/relationships/hyperlink" Target="javascript:void(0);" TargetMode="External"/><Relationship Id="rId19" Type="http://schemas.openxmlformats.org/officeDocument/2006/relationships/hyperlink" Target="https://www.investing.com/indices/japan-ni225" TargetMode="External"/><Relationship Id="rId31" Type="http://schemas.openxmlformats.org/officeDocument/2006/relationships/hyperlink" Target="https://www.investing.com/currencies/gbp-usd" TargetMode="External"/><Relationship Id="rId44" Type="http://schemas.openxmlformats.org/officeDocument/2006/relationships/hyperlink" Target="https://www.investing.com/rates-bonds/u.s.-3-month-bond-yield" TargetMode="External"/><Relationship Id="rId52" Type="http://schemas.openxmlformats.org/officeDocument/2006/relationships/hyperlink" Target="https://www.investing.com/about-us/contributor-benefits" TargetMode="External"/><Relationship Id="rId60" Type="http://schemas.openxmlformats.org/officeDocument/2006/relationships/control" Target="../activeX/activeX3.xml"/><Relationship Id="rId4" Type="http://schemas.openxmlformats.org/officeDocument/2006/relationships/hyperlink" Target="https://www.investing.com/rates-bonds/france-10-year-bond-yield-historical-data" TargetMode="External"/><Relationship Id="rId9" Type="http://schemas.openxmlformats.org/officeDocument/2006/relationships/hyperlink" Target="javascript:void(0);" TargetMode="External"/><Relationship Id="rId14" Type="http://schemas.openxmlformats.org/officeDocument/2006/relationships/hyperlink" Target="https://www.investing.com/indices/us-spx-500-futures" TargetMode="External"/><Relationship Id="rId22" Type="http://schemas.openxmlformats.org/officeDocument/2006/relationships/hyperlink" Target="javascript:void(0);" TargetMode="External"/><Relationship Id="rId27" Type="http://schemas.openxmlformats.org/officeDocument/2006/relationships/hyperlink" Target="javascript:void(0);" TargetMode="External"/><Relationship Id="rId30" Type="http://schemas.openxmlformats.org/officeDocument/2006/relationships/hyperlink" Target="https://www.investing.com/currencies/eur-usd" TargetMode="External"/><Relationship Id="rId35" Type="http://schemas.openxmlformats.org/officeDocument/2006/relationships/hyperlink" Target="https://www.investing.com/currencies/eur-jpy" TargetMode="External"/><Relationship Id="rId43" Type="http://schemas.openxmlformats.org/officeDocument/2006/relationships/hyperlink" Target="https://www.investing.com/rates-bonds/france-3-month-bond-yield" TargetMode="External"/><Relationship Id="rId48" Type="http://schemas.openxmlformats.org/officeDocument/2006/relationships/hyperlink" Target="https://www.investing.com/portfolio/" TargetMode="External"/><Relationship Id="rId56" Type="http://schemas.openxmlformats.org/officeDocument/2006/relationships/control" Target="../activeX/activeX1.xml"/><Relationship Id="rId8" Type="http://schemas.openxmlformats.org/officeDocument/2006/relationships/hyperlink" Target="javascript:void(0);" TargetMode="External"/><Relationship Id="rId51" Type="http://schemas.openxmlformats.org/officeDocument/2006/relationships/hyperlink" Target="https://www.investing.com/about-us/advertise" TargetMode="External"/><Relationship Id="rId3" Type="http://schemas.openxmlformats.org/officeDocument/2006/relationships/hyperlink" Target="https://www.investing.com/members/200269538" TargetMode="External"/><Relationship Id="rId12" Type="http://schemas.openxmlformats.org/officeDocument/2006/relationships/hyperlink" Target="javascript:void(0);" TargetMode="External"/><Relationship Id="rId17" Type="http://schemas.openxmlformats.org/officeDocument/2006/relationships/hyperlink" Target="https://www.investing.com/indices/volatility-s-p-500" TargetMode="External"/><Relationship Id="rId25" Type="http://schemas.openxmlformats.org/officeDocument/2006/relationships/hyperlink" Target="javascript:void(0);" TargetMode="External"/><Relationship Id="rId33" Type="http://schemas.openxmlformats.org/officeDocument/2006/relationships/hyperlink" Target="https://www.investing.com/currencies/aud-usd" TargetMode="External"/><Relationship Id="rId38" Type="http://schemas.openxmlformats.org/officeDocument/2006/relationships/hyperlink" Target="javascript:void(0);" TargetMode="External"/><Relationship Id="rId46" Type="http://schemas.openxmlformats.org/officeDocument/2006/relationships/hyperlink" Target="https://www.investing.com/about-us/whats-new" TargetMode="External"/><Relationship Id="rId59" Type="http://schemas.openxmlformats.org/officeDocument/2006/relationships/image" Target="../media/image3.emf"/></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image" Target="../media/image24.emf"/><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oleObject" Target="../embeddings/oleObject3.bin"/><Relationship Id="rId5" Type="http://schemas.openxmlformats.org/officeDocument/2006/relationships/image" Target="../media/image23.emf"/><Relationship Id="rId4" Type="http://schemas.openxmlformats.org/officeDocument/2006/relationships/oleObject" Target="../embeddings/oleObject2.bin"/></Relationships>
</file>

<file path=xl/worksheets/_rels/sheet11.xml.rels><?xml version="1.0" encoding="UTF-8" standalone="yes"?>
<Relationships xmlns="http://schemas.openxmlformats.org/package/2006/relationships"><Relationship Id="rId3" Type="http://schemas.openxmlformats.org/officeDocument/2006/relationships/oleObject" Target="../embeddings/oleObject4.bin"/><Relationship Id="rId2" Type="http://schemas.openxmlformats.org/officeDocument/2006/relationships/vmlDrawing" Target="../drawings/vmlDrawing4.vml"/><Relationship Id="rId1" Type="http://schemas.openxmlformats.org/officeDocument/2006/relationships/drawing" Target="../drawings/drawing4.xml"/><Relationship Id="rId5" Type="http://schemas.openxmlformats.org/officeDocument/2006/relationships/oleObject" Target="../embeddings/oleObject5.bin"/><Relationship Id="rId4" Type="http://schemas.openxmlformats.org/officeDocument/2006/relationships/image" Target="../media/image25.wmf"/></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
  <sheetViews>
    <sheetView workbookViewId="0">
      <selection sqref="A1:XFD1048576"/>
    </sheetView>
  </sheetViews>
  <sheetFormatPr baseColWidth="10" defaultRowHeight="15"/>
  <cols>
    <col min="1" max="16384" width="11.42578125" style="527"/>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L11"/>
  <sheetViews>
    <sheetView workbookViewId="0">
      <selection activeCell="C18" sqref="C18"/>
    </sheetView>
  </sheetViews>
  <sheetFormatPr baseColWidth="10" defaultColWidth="10.7109375" defaultRowHeight="15"/>
  <cols>
    <col min="1" max="1" width="11.85546875" bestFit="1" customWidth="1"/>
  </cols>
  <sheetData>
    <row r="1" spans="1:12">
      <c r="A1" s="2" t="s">
        <v>6</v>
      </c>
    </row>
    <row r="3" spans="1:12">
      <c r="A3" s="196" t="s">
        <v>564</v>
      </c>
      <c r="B3" s="93"/>
      <c r="C3" s="93"/>
      <c r="D3" s="93"/>
      <c r="E3" s="93"/>
      <c r="F3" s="93"/>
      <c r="G3" s="93"/>
      <c r="H3" s="93"/>
      <c r="I3" s="93"/>
      <c r="J3" s="93"/>
      <c r="K3" s="93"/>
    </row>
    <row r="4" spans="1:12">
      <c r="A4" s="196" t="s">
        <v>5</v>
      </c>
      <c r="B4" s="93">
        <v>2006</v>
      </c>
      <c r="C4" s="93">
        <v>2007</v>
      </c>
      <c r="D4" s="93">
        <v>2008</v>
      </c>
      <c r="E4" s="93">
        <v>2009</v>
      </c>
      <c r="F4" s="93">
        <v>2010</v>
      </c>
      <c r="G4" s="93">
        <v>2011</v>
      </c>
      <c r="H4" s="93">
        <v>2012</v>
      </c>
      <c r="I4" s="93">
        <v>2013</v>
      </c>
      <c r="J4" s="93">
        <v>2014</v>
      </c>
      <c r="K4" s="94">
        <v>2015</v>
      </c>
    </row>
    <row r="5" spans="1:12">
      <c r="A5" s="399" t="s">
        <v>0</v>
      </c>
      <c r="B5" s="395">
        <v>77763</v>
      </c>
      <c r="C5" s="395">
        <v>71914</v>
      </c>
      <c r="D5" s="395">
        <v>71987</v>
      </c>
      <c r="E5" s="395">
        <v>80049</v>
      </c>
      <c r="F5" s="395">
        <v>85264</v>
      </c>
      <c r="G5" s="396">
        <v>100165</v>
      </c>
      <c r="H5" s="396">
        <v>100407</v>
      </c>
      <c r="I5" s="396">
        <v>96065</v>
      </c>
      <c r="J5" s="396">
        <v>97392</v>
      </c>
      <c r="K5" s="400">
        <v>102321</v>
      </c>
    </row>
    <row r="6" spans="1:12">
      <c r="A6" s="399" t="s">
        <v>1</v>
      </c>
      <c r="B6" s="395">
        <v>45600</v>
      </c>
      <c r="C6" s="395">
        <v>44719</v>
      </c>
      <c r="D6" s="395">
        <v>44571</v>
      </c>
      <c r="E6" s="395">
        <v>48446</v>
      </c>
      <c r="F6" s="395">
        <v>53097</v>
      </c>
      <c r="G6" s="396">
        <v>56219</v>
      </c>
      <c r="H6" s="396">
        <v>57338</v>
      </c>
      <c r="I6" s="396">
        <v>56885</v>
      </c>
      <c r="J6" s="396">
        <v>56120</v>
      </c>
      <c r="K6" s="400">
        <v>58049</v>
      </c>
    </row>
    <row r="7" spans="1:12">
      <c r="A7" s="399" t="s">
        <v>2</v>
      </c>
      <c r="B7" s="395">
        <v>4499</v>
      </c>
      <c r="C7" s="395">
        <v>3734</v>
      </c>
      <c r="D7" s="395">
        <v>4173</v>
      </c>
      <c r="E7" s="395">
        <v>5961</v>
      </c>
      <c r="F7" s="395">
        <v>6695</v>
      </c>
      <c r="G7" s="396">
        <v>12499</v>
      </c>
      <c r="H7" s="396">
        <v>10719</v>
      </c>
      <c r="I7" s="396">
        <v>10414</v>
      </c>
      <c r="J7" s="396">
        <v>13276</v>
      </c>
      <c r="K7" s="400">
        <v>13118</v>
      </c>
    </row>
    <row r="8" spans="1:12">
      <c r="A8" s="399"/>
      <c r="B8" s="395"/>
      <c r="C8" s="395"/>
      <c r="D8" s="395"/>
      <c r="E8" s="395"/>
      <c r="F8" s="395"/>
      <c r="G8" s="396"/>
      <c r="H8" s="396"/>
      <c r="I8" s="396"/>
      <c r="J8" s="396"/>
      <c r="K8" s="400"/>
    </row>
    <row r="9" spans="1:12">
      <c r="A9" s="399" t="s">
        <v>3</v>
      </c>
      <c r="B9" s="397">
        <f t="shared" ref="B9:F9" si="0">B7/B5</f>
        <v>5.785527821714697E-2</v>
      </c>
      <c r="C9" s="397">
        <f t="shared" si="0"/>
        <v>5.1923130405762435E-2</v>
      </c>
      <c r="D9" s="397">
        <f t="shared" si="0"/>
        <v>5.7968799922208179E-2</v>
      </c>
      <c r="E9" s="397">
        <f t="shared" si="0"/>
        <v>7.4466889030468844E-2</v>
      </c>
      <c r="F9" s="397">
        <f t="shared" si="0"/>
        <v>7.8520829423906924E-2</v>
      </c>
      <c r="G9" s="398">
        <f>G7/G5</f>
        <v>0.1247841062247292</v>
      </c>
      <c r="H9" s="398">
        <f t="shared" ref="H9:K9" si="1">H7/H5</f>
        <v>0.10675550509426633</v>
      </c>
      <c r="I9" s="398">
        <f t="shared" si="1"/>
        <v>0.10840576692864207</v>
      </c>
      <c r="J9" s="398">
        <f t="shared" si="1"/>
        <v>0.13631509774930178</v>
      </c>
      <c r="K9" s="404">
        <f t="shared" si="1"/>
        <v>0.12820437642321714</v>
      </c>
      <c r="L9" s="406">
        <f>AVERAGE(G9:K9)</f>
        <v>0.12089297048403132</v>
      </c>
    </row>
    <row r="10" spans="1:12">
      <c r="A10" s="399" t="s">
        <v>4</v>
      </c>
      <c r="B10" s="397">
        <f t="shared" ref="B10:F10" si="2">B7/(B6+B7)</f>
        <v>8.980219166051219E-2</v>
      </c>
      <c r="C10" s="397">
        <f t="shared" si="2"/>
        <v>7.7064371659133588E-2</v>
      </c>
      <c r="D10" s="397">
        <f t="shared" si="2"/>
        <v>8.5610536681437713E-2</v>
      </c>
      <c r="E10" s="397">
        <f t="shared" si="2"/>
        <v>0.10956310768834893</v>
      </c>
      <c r="F10" s="397">
        <f t="shared" si="2"/>
        <v>0.11197150120417447</v>
      </c>
      <c r="G10" s="398">
        <f>G7/(G6+G7)</f>
        <v>0.18188829709828574</v>
      </c>
      <c r="H10" s="398">
        <f t="shared" ref="H10:K10" si="3">H7/(H6+H7)</f>
        <v>0.15750033060522797</v>
      </c>
      <c r="I10" s="398">
        <f t="shared" si="3"/>
        <v>0.15474226957309917</v>
      </c>
      <c r="J10" s="398">
        <f t="shared" si="3"/>
        <v>0.19130785636059716</v>
      </c>
      <c r="K10" s="404">
        <f t="shared" si="3"/>
        <v>0.18432700549411946</v>
      </c>
      <c r="L10" s="407">
        <f>AVERAGE(G10:K10)</f>
        <v>0.17395315182626589</v>
      </c>
    </row>
    <row r="11" spans="1:12">
      <c r="A11" s="401" t="s">
        <v>7</v>
      </c>
      <c r="B11" s="402">
        <f t="shared" ref="B11:F11" si="4">B7/B6</f>
        <v>9.8662280701754382E-2</v>
      </c>
      <c r="C11" s="402">
        <f t="shared" si="4"/>
        <v>8.3499183792124149E-2</v>
      </c>
      <c r="D11" s="402">
        <f t="shared" si="4"/>
        <v>9.3625900249040855E-2</v>
      </c>
      <c r="E11" s="402">
        <f t="shared" si="4"/>
        <v>0.123044214176609</v>
      </c>
      <c r="F11" s="402">
        <f t="shared" si="4"/>
        <v>0.1260899862515773</v>
      </c>
      <c r="G11" s="403">
        <f>G7/G6</f>
        <v>0.22232697130863233</v>
      </c>
      <c r="H11" s="403">
        <f t="shared" ref="H11:K11" si="5">H7/H6</f>
        <v>0.18694408594649273</v>
      </c>
      <c r="I11" s="403">
        <f t="shared" si="5"/>
        <v>0.18307110837654919</v>
      </c>
      <c r="J11" s="403">
        <f t="shared" si="5"/>
        <v>0.23656450463292944</v>
      </c>
      <c r="K11" s="405">
        <f t="shared" si="5"/>
        <v>0.2259814983892918</v>
      </c>
      <c r="L11" s="408">
        <f>AVERAGE(G11:K11)</f>
        <v>0.21097763373077907</v>
      </c>
    </row>
  </sheetData>
  <phoneticPr fontId="3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sheetPr>
  <dimension ref="A1:P247"/>
  <sheetViews>
    <sheetView topLeftCell="G1" workbookViewId="0">
      <selection activeCell="D22" sqref="D22"/>
    </sheetView>
  </sheetViews>
  <sheetFormatPr baseColWidth="10" defaultColWidth="9.140625" defaultRowHeight="15"/>
  <cols>
    <col min="1" max="1" width="10.5703125" bestFit="1" customWidth="1"/>
    <col min="6" max="6" width="33.42578125" bestFit="1" customWidth="1"/>
    <col min="11" max="11" width="21.28515625" bestFit="1" customWidth="1"/>
    <col min="12" max="12" width="13.42578125" customWidth="1"/>
  </cols>
  <sheetData>
    <row r="1" spans="1:16" ht="18">
      <c r="A1" t="s">
        <v>351</v>
      </c>
      <c r="B1" t="s">
        <v>352</v>
      </c>
      <c r="C1" t="s">
        <v>555</v>
      </c>
      <c r="D1" s="252" t="s">
        <v>556</v>
      </c>
      <c r="E1" s="252" t="s">
        <v>557</v>
      </c>
      <c r="K1" s="249" t="s">
        <v>351</v>
      </c>
      <c r="L1" s="250" t="s">
        <v>353</v>
      </c>
      <c r="M1" s="249"/>
      <c r="O1" s="4" t="s">
        <v>354</v>
      </c>
    </row>
    <row r="2" spans="1:16">
      <c r="A2" s="251">
        <v>40543</v>
      </c>
      <c r="B2" s="252">
        <v>5.3727234353707617E-2</v>
      </c>
      <c r="C2" s="252">
        <v>1991</v>
      </c>
      <c r="D2" s="252">
        <v>4.7699999999999996</v>
      </c>
      <c r="E2" s="252">
        <f>D2/100</f>
        <v>4.7699999999999992E-2</v>
      </c>
      <c r="F2" s="4" t="s">
        <v>355</v>
      </c>
      <c r="G2" s="4"/>
      <c r="K2" s="253">
        <v>40543</v>
      </c>
      <c r="L2">
        <f>'Raw material'!J2</f>
        <v>1E-4</v>
      </c>
      <c r="M2" s="249"/>
      <c r="N2" t="s">
        <v>356</v>
      </c>
      <c r="O2" s="13">
        <v>0</v>
      </c>
      <c r="P2" t="s">
        <v>357</v>
      </c>
    </row>
    <row r="3" spans="1:16">
      <c r="A3" s="251">
        <v>40512</v>
      </c>
      <c r="B3" s="252">
        <v>-5.8287035346289331E-2</v>
      </c>
      <c r="C3" s="252">
        <v>1992</v>
      </c>
      <c r="D3" s="252">
        <v>-11.31</v>
      </c>
      <c r="E3" s="252">
        <f t="shared" ref="E3:E21" si="0">D3/100</f>
        <v>-0.11310000000000001</v>
      </c>
      <c r="F3" s="4" t="s">
        <v>358</v>
      </c>
      <c r="N3" t="s">
        <v>359</v>
      </c>
      <c r="O3" s="13">
        <f>(1+O2)^12-1</f>
        <v>0</v>
      </c>
      <c r="P3" s="13"/>
    </row>
    <row r="4" spans="1:16">
      <c r="A4" s="251">
        <v>40480</v>
      </c>
      <c r="B4" s="252">
        <v>3.1747716665141409E-2</v>
      </c>
      <c r="C4" s="252">
        <v>1993</v>
      </c>
      <c r="D4" s="252">
        <v>25.54</v>
      </c>
      <c r="E4" s="252">
        <f t="shared" si="0"/>
        <v>0.25540000000000002</v>
      </c>
      <c r="K4" s="254" t="s">
        <v>360</v>
      </c>
      <c r="L4" s="386">
        <f>(1+L2)^12-1</f>
        <v>1.2006602200491656E-3</v>
      </c>
    </row>
    <row r="5" spans="1:16">
      <c r="A5" s="251">
        <v>40451</v>
      </c>
      <c r="B5" s="252">
        <v>6.4180578321812551E-2</v>
      </c>
      <c r="C5" s="252">
        <v>1994</v>
      </c>
      <c r="D5" s="252">
        <v>-0.5</v>
      </c>
      <c r="E5" s="252">
        <f t="shared" si="0"/>
        <v>-5.0000000000000001E-3</v>
      </c>
      <c r="F5" t="s">
        <v>361</v>
      </c>
      <c r="G5" s="13">
        <f>AVERAGE(B2:B247)</f>
        <v>1.2702854326180893E-3</v>
      </c>
      <c r="O5" s="4" t="s">
        <v>362</v>
      </c>
    </row>
    <row r="6" spans="1:16">
      <c r="A6" s="251">
        <v>40421</v>
      </c>
      <c r="B6" s="252">
        <v>-4.1918321557777097E-2</v>
      </c>
      <c r="C6" s="252">
        <v>1995</v>
      </c>
      <c r="D6" s="252">
        <v>13.36</v>
      </c>
      <c r="E6" s="252">
        <f t="shared" si="0"/>
        <v>0.1336</v>
      </c>
      <c r="F6" s="4" t="s">
        <v>363</v>
      </c>
      <c r="G6" s="255">
        <f>(1+G5)^12-1</f>
        <v>1.5350376686390721E-2</v>
      </c>
      <c r="O6" s="262">
        <v>0.6</v>
      </c>
      <c r="P6" t="s">
        <v>364</v>
      </c>
    </row>
    <row r="7" spans="1:16">
      <c r="A7" s="251">
        <v>40389</v>
      </c>
      <c r="B7" s="252">
        <v>5.8063345329069524E-2</v>
      </c>
      <c r="C7" s="252">
        <v>1996</v>
      </c>
      <c r="D7" s="252">
        <v>16.54</v>
      </c>
      <c r="E7" s="252">
        <f t="shared" si="0"/>
        <v>0.16539999999999999</v>
      </c>
    </row>
    <row r="8" spans="1:16">
      <c r="A8" s="251">
        <v>40359</v>
      </c>
      <c r="B8" s="252">
        <v>-1.8537318249723499E-2</v>
      </c>
      <c r="C8" s="252">
        <v>1997</v>
      </c>
      <c r="D8" s="252">
        <v>14.86</v>
      </c>
      <c r="E8" s="252">
        <f t="shared" si="0"/>
        <v>0.14859999999999998</v>
      </c>
      <c r="F8" s="4" t="s">
        <v>559</v>
      </c>
      <c r="G8" s="385">
        <f>E21</f>
        <v>6.0400000000000002E-2</v>
      </c>
    </row>
    <row r="9" spans="1:16">
      <c r="A9" s="251">
        <v>40329</v>
      </c>
      <c r="B9" s="252">
        <v>-8.1166494803496927E-2</v>
      </c>
      <c r="C9" s="252">
        <v>1998</v>
      </c>
      <c r="D9" s="252">
        <v>20.51</v>
      </c>
      <c r="E9" s="252">
        <f t="shared" si="0"/>
        <v>0.2051</v>
      </c>
    </row>
    <row r="10" spans="1:16">
      <c r="A10" s="251">
        <v>40298</v>
      </c>
      <c r="B10" s="252">
        <v>-3.9611727449100589E-2</v>
      </c>
      <c r="C10" s="252">
        <v>1999</v>
      </c>
      <c r="D10" s="252">
        <v>14.93</v>
      </c>
      <c r="E10" s="252">
        <f t="shared" si="0"/>
        <v>0.14929999999999999</v>
      </c>
    </row>
    <row r="11" spans="1:16">
      <c r="A11" s="251">
        <v>40268</v>
      </c>
      <c r="B11" s="252">
        <v>7.1408304572907685E-2</v>
      </c>
      <c r="C11" s="252">
        <v>2000</v>
      </c>
      <c r="D11" s="252">
        <v>-15.89</v>
      </c>
      <c r="E11" s="252">
        <f t="shared" si="0"/>
        <v>-0.15890000000000001</v>
      </c>
    </row>
    <row r="12" spans="1:16">
      <c r="A12" s="251">
        <v>40235</v>
      </c>
      <c r="B12" s="252">
        <v>-8.1990447818668377E-3</v>
      </c>
      <c r="C12" s="252">
        <v>2001</v>
      </c>
      <c r="D12" s="252">
        <v>-24.15</v>
      </c>
      <c r="E12" s="252">
        <f t="shared" si="0"/>
        <v>-0.24149999999999999</v>
      </c>
    </row>
    <row r="13" spans="1:16">
      <c r="A13" s="251">
        <v>40207</v>
      </c>
      <c r="B13" s="252">
        <v>-5.0013591340156927E-2</v>
      </c>
      <c r="C13" s="252">
        <v>2002</v>
      </c>
      <c r="D13" s="252">
        <v>-15.92</v>
      </c>
      <c r="E13" s="252">
        <f t="shared" si="0"/>
        <v>-0.15920000000000001</v>
      </c>
    </row>
    <row r="14" spans="1:16">
      <c r="A14" s="251">
        <v>40178</v>
      </c>
      <c r="B14" s="252">
        <v>6.9511293017947548E-2</v>
      </c>
      <c r="C14" s="252">
        <v>2003</v>
      </c>
      <c r="D14" s="252">
        <v>41.78</v>
      </c>
      <c r="E14" s="252">
        <f t="shared" si="0"/>
        <v>0.4178</v>
      </c>
      <c r="F14" s="256"/>
    </row>
    <row r="15" spans="1:16">
      <c r="A15" s="251">
        <v>40147</v>
      </c>
      <c r="B15" s="252">
        <v>2.0084874254717056E-2</v>
      </c>
      <c r="C15" s="252">
        <v>2004</v>
      </c>
      <c r="D15" s="252">
        <v>22.54</v>
      </c>
      <c r="E15" s="252">
        <f t="shared" si="0"/>
        <v>0.22539999999999999</v>
      </c>
    </row>
    <row r="16" spans="1:16">
      <c r="A16" s="251">
        <v>40116</v>
      </c>
      <c r="B16" s="252">
        <v>-4.9459742162243248E-2</v>
      </c>
      <c r="C16" s="252">
        <v>2005</v>
      </c>
      <c r="D16" s="252">
        <v>8.73</v>
      </c>
      <c r="E16" s="252">
        <f t="shared" si="0"/>
        <v>8.7300000000000003E-2</v>
      </c>
      <c r="F16" s="256"/>
    </row>
    <row r="17" spans="1:8">
      <c r="A17" s="251">
        <v>40086</v>
      </c>
      <c r="B17" s="252">
        <v>3.8730832562391612E-2</v>
      </c>
      <c r="C17" s="252">
        <v>2006</v>
      </c>
      <c r="D17" s="252">
        <v>32.229999999999997</v>
      </c>
      <c r="E17" s="252">
        <f t="shared" si="0"/>
        <v>0.32229999999999998</v>
      </c>
    </row>
    <row r="18" spans="1:8">
      <c r="A18" s="251">
        <v>40056</v>
      </c>
      <c r="B18" s="252">
        <v>6.6231608425489016E-2</v>
      </c>
      <c r="C18" s="252">
        <v>2007</v>
      </c>
      <c r="D18" s="252">
        <v>9.59</v>
      </c>
      <c r="E18" s="252">
        <f t="shared" si="0"/>
        <v>9.5899999999999999E-2</v>
      </c>
    </row>
    <row r="19" spans="1:8">
      <c r="A19" s="251">
        <v>40025</v>
      </c>
      <c r="B19" s="252">
        <v>9.0915908598795156E-2</v>
      </c>
      <c r="C19" s="252">
        <v>2008</v>
      </c>
      <c r="D19" s="252">
        <v>-47.58</v>
      </c>
      <c r="E19" s="252">
        <f t="shared" si="0"/>
        <v>-0.4758</v>
      </c>
    </row>
    <row r="20" spans="1:8">
      <c r="A20" s="251">
        <v>39994</v>
      </c>
      <c r="B20" s="252">
        <v>-4.1962309886656626E-2</v>
      </c>
      <c r="C20" s="252">
        <v>2009</v>
      </c>
      <c r="D20" s="252">
        <v>35.24</v>
      </c>
      <c r="E20" s="252">
        <f t="shared" si="0"/>
        <v>0.35240000000000005</v>
      </c>
    </row>
    <row r="21" spans="1:8">
      <c r="A21" s="251">
        <v>39962</v>
      </c>
      <c r="B21" s="252">
        <v>3.728025064480911E-2</v>
      </c>
      <c r="C21" s="252">
        <v>2010</v>
      </c>
      <c r="D21" s="252">
        <v>6.04</v>
      </c>
      <c r="E21" s="252">
        <f t="shared" si="0"/>
        <v>6.0400000000000002E-2</v>
      </c>
      <c r="H21" s="3"/>
    </row>
    <row r="22" spans="1:8">
      <c r="A22" s="251">
        <v>39933</v>
      </c>
      <c r="B22" s="252">
        <v>0.12546726296066724</v>
      </c>
      <c r="C22" s="252"/>
      <c r="D22" s="252"/>
      <c r="E22" s="252"/>
    </row>
    <row r="23" spans="1:8">
      <c r="A23" s="251">
        <v>39903</v>
      </c>
      <c r="B23" s="252">
        <v>3.8601397235132208E-2</v>
      </c>
      <c r="C23" s="252"/>
      <c r="D23" s="252"/>
      <c r="E23" s="252"/>
    </row>
    <row r="24" spans="1:8">
      <c r="A24" s="251">
        <v>39871</v>
      </c>
      <c r="B24" s="252">
        <v>-9.1373470705331652E-2</v>
      </c>
      <c r="C24" s="252"/>
      <c r="D24" s="252"/>
      <c r="E24" s="252"/>
    </row>
    <row r="25" spans="1:8">
      <c r="A25" s="251">
        <v>39843</v>
      </c>
      <c r="B25" s="252">
        <v>-7.5839737474246105E-2</v>
      </c>
      <c r="C25" s="252"/>
      <c r="D25" s="252"/>
      <c r="E25" s="252"/>
    </row>
    <row r="26" spans="1:8">
      <c r="A26" s="251">
        <v>39813</v>
      </c>
      <c r="B26" s="252">
        <v>-1.3703458506503896E-2</v>
      </c>
      <c r="C26" s="252"/>
      <c r="D26" s="252"/>
      <c r="E26" s="252"/>
    </row>
    <row r="27" spans="1:8">
      <c r="A27" s="251">
        <v>39780</v>
      </c>
      <c r="B27" s="252">
        <v>-6.4649152727074638E-2</v>
      </c>
      <c r="C27" s="252"/>
      <c r="D27" s="252"/>
      <c r="E27" s="252"/>
    </row>
    <row r="28" spans="1:8">
      <c r="A28" s="251">
        <v>39752</v>
      </c>
      <c r="B28" s="252">
        <v>-0.13597273877135982</v>
      </c>
      <c r="C28" s="252"/>
      <c r="D28" s="252"/>
      <c r="E28" s="252"/>
    </row>
    <row r="29" spans="1:8">
      <c r="A29" s="251">
        <v>39721</v>
      </c>
      <c r="B29" s="252">
        <v>-0.10199970998973823</v>
      </c>
      <c r="C29" s="252"/>
      <c r="D29" s="252"/>
      <c r="E29" s="252"/>
    </row>
    <row r="30" spans="1:8">
      <c r="A30" s="251">
        <v>39689</v>
      </c>
      <c r="B30" s="252">
        <v>1.9244764090375312E-2</v>
      </c>
      <c r="C30" s="252"/>
      <c r="D30" s="252"/>
      <c r="E30" s="252"/>
    </row>
    <row r="31" spans="1:8">
      <c r="A31" s="251">
        <v>39660</v>
      </c>
      <c r="B31" s="252">
        <v>-1.1080932838765821E-2</v>
      </c>
      <c r="C31" s="252"/>
      <c r="D31" s="252"/>
      <c r="E31" s="252"/>
    </row>
    <row r="32" spans="1:8">
      <c r="A32" s="251">
        <v>39629</v>
      </c>
      <c r="B32" s="252">
        <v>-0.11725597214355785</v>
      </c>
      <c r="C32" s="252"/>
      <c r="D32" s="252"/>
      <c r="E32" s="252"/>
    </row>
    <row r="33" spans="1:5">
      <c r="A33" s="251">
        <v>39598</v>
      </c>
      <c r="B33" s="252">
        <v>1.7504569161859401E-3</v>
      </c>
      <c r="C33" s="252"/>
      <c r="D33" s="252"/>
      <c r="E33" s="252"/>
    </row>
    <row r="34" spans="1:5">
      <c r="A34" s="251">
        <v>39568</v>
      </c>
      <c r="B34" s="252">
        <v>5.9696854731287295E-2</v>
      </c>
      <c r="C34" s="252"/>
      <c r="D34" s="252"/>
      <c r="E34" s="252"/>
    </row>
    <row r="35" spans="1:5">
      <c r="A35" s="251">
        <v>39538</v>
      </c>
      <c r="B35" s="252">
        <v>-1.9148535274889099E-2</v>
      </c>
      <c r="C35" s="252"/>
      <c r="D35" s="252"/>
      <c r="E35" s="252"/>
    </row>
    <row r="36" spans="1:5">
      <c r="A36" s="251">
        <v>39507</v>
      </c>
      <c r="B36" s="252">
        <v>-1.7549160641424009E-2</v>
      </c>
      <c r="C36" s="252"/>
      <c r="D36" s="252"/>
      <c r="E36" s="252"/>
    </row>
    <row r="37" spans="1:5">
      <c r="A37" s="251">
        <v>39478</v>
      </c>
      <c r="B37" s="252">
        <v>-0.13467559564523479</v>
      </c>
      <c r="C37" s="252"/>
      <c r="D37" s="252"/>
      <c r="E37" s="252"/>
    </row>
    <row r="38" spans="1:5">
      <c r="A38" s="251">
        <v>39447</v>
      </c>
      <c r="B38" s="252">
        <v>-1.2661961495934203E-2</v>
      </c>
      <c r="C38" s="252"/>
      <c r="D38" s="252"/>
      <c r="E38" s="252"/>
    </row>
    <row r="39" spans="1:5">
      <c r="A39" s="251">
        <v>39416</v>
      </c>
      <c r="B39" s="252">
        <v>-3.3731996682598228E-2</v>
      </c>
      <c r="C39" s="252"/>
      <c r="D39" s="252"/>
      <c r="E39" s="252"/>
    </row>
    <row r="40" spans="1:5">
      <c r="A40" s="251">
        <v>39386</v>
      </c>
      <c r="B40" s="252">
        <v>1.993981339085913E-2</v>
      </c>
      <c r="C40" s="252"/>
      <c r="D40" s="252"/>
      <c r="E40" s="252"/>
    </row>
    <row r="41" spans="1:5">
      <c r="A41" s="251">
        <v>39353</v>
      </c>
      <c r="B41" s="252">
        <v>6.1577268794038385E-3</v>
      </c>
      <c r="C41" s="252"/>
      <c r="D41" s="252"/>
      <c r="E41" s="252"/>
    </row>
    <row r="42" spans="1:5">
      <c r="A42" s="251">
        <v>39325</v>
      </c>
      <c r="B42" s="252">
        <v>-1.9567548356134851E-2</v>
      </c>
      <c r="C42" s="252"/>
      <c r="D42" s="252"/>
      <c r="E42" s="252"/>
    </row>
    <row r="43" spans="1:5">
      <c r="A43" s="251">
        <v>39294</v>
      </c>
      <c r="B43" s="252">
        <v>-5.4182248184537318E-2</v>
      </c>
      <c r="C43" s="252"/>
      <c r="D43" s="252"/>
      <c r="E43" s="252"/>
    </row>
    <row r="44" spans="1:5">
      <c r="A44" s="251">
        <v>39262</v>
      </c>
      <c r="B44" s="252">
        <v>-1.2038990825688042E-2</v>
      </c>
      <c r="C44" s="252"/>
      <c r="D44" s="252"/>
      <c r="E44" s="252"/>
    </row>
    <row r="45" spans="1:5">
      <c r="A45" s="251">
        <v>39233</v>
      </c>
      <c r="B45" s="252">
        <v>2.0054200307380469E-2</v>
      </c>
      <c r="C45" s="252"/>
      <c r="D45" s="252"/>
      <c r="E45" s="252"/>
    </row>
    <row r="46" spans="1:5">
      <c r="A46" s="251">
        <v>39202</v>
      </c>
      <c r="B46" s="252">
        <v>5.3440032941911533E-2</v>
      </c>
      <c r="C46" s="252"/>
      <c r="D46" s="252"/>
      <c r="E46" s="252"/>
    </row>
    <row r="47" spans="1:5">
      <c r="A47" s="251">
        <v>39171</v>
      </c>
      <c r="B47" s="252">
        <v>1.7062067465266811E-2</v>
      </c>
      <c r="C47" s="252"/>
      <c r="D47" s="252"/>
      <c r="E47" s="252"/>
    </row>
    <row r="48" spans="1:5">
      <c r="A48" s="251">
        <v>39141</v>
      </c>
      <c r="B48" s="252">
        <v>-2.0202445656534816E-2</v>
      </c>
      <c r="C48" s="252"/>
      <c r="D48" s="252"/>
      <c r="E48" s="252"/>
    </row>
    <row r="49" spans="1:5">
      <c r="A49" s="251">
        <v>39113</v>
      </c>
      <c r="B49" s="252">
        <v>7.60882030257544E-3</v>
      </c>
      <c r="C49" s="252"/>
      <c r="D49" s="252"/>
      <c r="E49" s="252"/>
    </row>
    <row r="50" spans="1:5">
      <c r="A50" s="251">
        <v>39080</v>
      </c>
      <c r="B50" s="252">
        <v>3.6190403255475179E-2</v>
      </c>
      <c r="C50" s="252"/>
      <c r="D50" s="252"/>
      <c r="E50" s="252"/>
    </row>
    <row r="51" spans="1:5">
      <c r="A51" s="251">
        <v>39051</v>
      </c>
      <c r="B51" s="252">
        <v>-8.1429920747540137E-3</v>
      </c>
      <c r="C51" s="252"/>
      <c r="D51" s="252"/>
      <c r="E51" s="252"/>
    </row>
    <row r="52" spans="1:5">
      <c r="A52" s="251">
        <v>39021</v>
      </c>
      <c r="B52" s="252">
        <v>1.4703773707097627E-2</v>
      </c>
      <c r="C52" s="252"/>
      <c r="D52" s="252"/>
      <c r="E52" s="252"/>
    </row>
    <row r="53" spans="1:5">
      <c r="A53" s="251">
        <v>38989</v>
      </c>
      <c r="B53" s="252">
        <v>1.2350985858773582E-2</v>
      </c>
      <c r="C53" s="252"/>
      <c r="D53" s="252"/>
      <c r="E53" s="252"/>
    </row>
    <row r="54" spans="1:5">
      <c r="A54" s="251">
        <v>38960</v>
      </c>
      <c r="B54" s="252">
        <v>2.6865472649528304E-2</v>
      </c>
      <c r="C54" s="252"/>
      <c r="D54" s="252"/>
      <c r="E54" s="252"/>
    </row>
    <row r="55" spans="1:5">
      <c r="A55" s="251">
        <v>38929</v>
      </c>
      <c r="B55" s="252">
        <v>4.7515807618265828E-3</v>
      </c>
      <c r="C55" s="252"/>
      <c r="D55" s="252"/>
      <c r="E55" s="252"/>
    </row>
    <row r="56" spans="1:5">
      <c r="A56" s="251">
        <v>38898</v>
      </c>
      <c r="B56" s="252">
        <v>3.2573415169425725E-3</v>
      </c>
      <c r="C56" s="252"/>
      <c r="D56" s="252"/>
      <c r="E56" s="252"/>
    </row>
    <row r="57" spans="1:5">
      <c r="A57" s="251">
        <v>38868</v>
      </c>
      <c r="B57" s="252">
        <v>-5.4068714825379588E-2</v>
      </c>
      <c r="C57" s="252"/>
      <c r="D57" s="252"/>
      <c r="E57" s="252"/>
    </row>
    <row r="58" spans="1:5">
      <c r="A58" s="251">
        <v>38835</v>
      </c>
      <c r="B58" s="252">
        <v>-9.8154629993201861E-3</v>
      </c>
      <c r="C58" s="252"/>
      <c r="D58" s="252"/>
      <c r="E58" s="252"/>
    </row>
    <row r="59" spans="1:5">
      <c r="A59" s="251">
        <v>38807</v>
      </c>
      <c r="B59" s="252">
        <v>4.0376033157016024E-2</v>
      </c>
      <c r="C59" s="252"/>
      <c r="D59" s="252"/>
      <c r="E59" s="252"/>
    </row>
    <row r="60" spans="1:5">
      <c r="A60" s="251">
        <v>38776</v>
      </c>
      <c r="B60" s="252">
        <v>7.2022849682396722E-3</v>
      </c>
      <c r="C60" s="252"/>
      <c r="D60" s="252"/>
      <c r="E60" s="252"/>
    </row>
    <row r="61" spans="1:5">
      <c r="A61" s="251">
        <v>38748</v>
      </c>
      <c r="B61" s="252">
        <v>4.5863445685576265E-2</v>
      </c>
      <c r="C61" s="252"/>
      <c r="D61" s="252"/>
      <c r="E61" s="252"/>
    </row>
    <row r="62" spans="1:5">
      <c r="A62" s="251">
        <v>38716</v>
      </c>
      <c r="B62" s="252">
        <v>2.9164075044718941E-2</v>
      </c>
      <c r="C62" s="252"/>
      <c r="D62" s="252"/>
      <c r="E62" s="252"/>
    </row>
    <row r="63" spans="1:5">
      <c r="A63" s="253">
        <v>38686</v>
      </c>
      <c r="B63">
        <v>2.6419097476585988E-2</v>
      </c>
    </row>
    <row r="64" spans="1:5">
      <c r="A64" s="253">
        <v>38656</v>
      </c>
      <c r="B64">
        <v>-3.8258541049821702E-2</v>
      </c>
    </row>
    <row r="65" spans="1:2">
      <c r="A65" s="253">
        <v>38625</v>
      </c>
      <c r="B65">
        <v>4.2711179807972136E-2</v>
      </c>
    </row>
    <row r="66" spans="1:2">
      <c r="A66" s="253">
        <v>38595</v>
      </c>
      <c r="B66">
        <v>-1.4766185805999529E-2</v>
      </c>
    </row>
    <row r="67" spans="1:2">
      <c r="A67" s="253">
        <v>38562</v>
      </c>
      <c r="B67">
        <v>5.0182548145696074E-2</v>
      </c>
    </row>
    <row r="68" spans="1:2">
      <c r="A68" s="253">
        <v>38533</v>
      </c>
      <c r="B68">
        <v>2.4059407192415141E-2</v>
      </c>
    </row>
    <row r="69" spans="1:2">
      <c r="A69" s="253">
        <v>38503</v>
      </c>
      <c r="B69">
        <v>5.1034431489041812E-2</v>
      </c>
    </row>
    <row r="70" spans="1:2">
      <c r="A70" s="253">
        <v>38471</v>
      </c>
      <c r="B70">
        <v>-4.0467365000073759E-2</v>
      </c>
    </row>
    <row r="71" spans="1:2">
      <c r="A71" s="253">
        <v>38442</v>
      </c>
      <c r="B71">
        <v>7.9865125795848171E-3</v>
      </c>
    </row>
    <row r="72" spans="1:2">
      <c r="A72" s="253">
        <v>38411</v>
      </c>
      <c r="B72">
        <v>2.7393098584711551E-2</v>
      </c>
    </row>
    <row r="73" spans="1:2">
      <c r="A73" s="253">
        <v>38383</v>
      </c>
      <c r="B73">
        <v>2.2615159794408025E-2</v>
      </c>
    </row>
    <row r="74" spans="1:2">
      <c r="A74" s="253">
        <v>38352</v>
      </c>
      <c r="B74">
        <v>1.6358041958041847E-2</v>
      </c>
    </row>
    <row r="75" spans="1:2">
      <c r="A75" s="253">
        <v>38321</v>
      </c>
      <c r="B75">
        <v>1.1160447499473815E-2</v>
      </c>
    </row>
    <row r="76" spans="1:2">
      <c r="A76" s="253">
        <v>38289</v>
      </c>
      <c r="B76">
        <v>1.7086512699794876E-2</v>
      </c>
    </row>
    <row r="77" spans="1:2">
      <c r="A77" s="253">
        <v>38260</v>
      </c>
      <c r="B77">
        <v>1.1789925103219513E-2</v>
      </c>
    </row>
    <row r="78" spans="1:2">
      <c r="A78" s="253">
        <v>38230</v>
      </c>
      <c r="B78">
        <v>-1.5582739711003223E-2</v>
      </c>
    </row>
    <row r="79" spans="1:2">
      <c r="A79" s="253">
        <v>38198</v>
      </c>
      <c r="B79">
        <v>-2.4008365947939869E-2</v>
      </c>
    </row>
    <row r="80" spans="1:2">
      <c r="A80" s="253">
        <v>38168</v>
      </c>
      <c r="B80">
        <v>1.6466045895635075E-2</v>
      </c>
    </row>
    <row r="81" spans="1:2">
      <c r="A81" s="253">
        <v>38138</v>
      </c>
      <c r="B81">
        <v>-1.8655540677357633E-3</v>
      </c>
    </row>
    <row r="82" spans="1:2">
      <c r="A82" s="253">
        <v>38107</v>
      </c>
      <c r="B82">
        <v>1.2730176016418371E-2</v>
      </c>
    </row>
    <row r="83" spans="1:2">
      <c r="A83" s="253">
        <v>38077</v>
      </c>
      <c r="B83">
        <v>-2.7798836110633929E-2</v>
      </c>
    </row>
    <row r="84" spans="1:2">
      <c r="A84" s="253">
        <v>38044</v>
      </c>
      <c r="B84">
        <v>2.331134662107941E-2</v>
      </c>
    </row>
    <row r="85" spans="1:2">
      <c r="A85" s="253">
        <v>38016</v>
      </c>
      <c r="B85">
        <v>2.1936948761910026E-2</v>
      </c>
    </row>
    <row r="86" spans="1:2">
      <c r="A86" s="253">
        <v>37986</v>
      </c>
      <c r="B86">
        <v>3.8066616639268379E-2</v>
      </c>
    </row>
    <row r="87" spans="1:2">
      <c r="A87" s="253">
        <v>37953</v>
      </c>
      <c r="B87">
        <v>1.4594082770070051E-2</v>
      </c>
    </row>
    <row r="88" spans="1:2">
      <c r="A88" s="253">
        <v>37925</v>
      </c>
      <c r="B88">
        <v>7.5284293410824349E-2</v>
      </c>
    </row>
    <row r="89" spans="1:2">
      <c r="A89" s="253">
        <v>37894</v>
      </c>
      <c r="B89">
        <v>-5.4079257841047147E-2</v>
      </c>
    </row>
    <row r="90" spans="1:2">
      <c r="A90" s="253">
        <v>37862</v>
      </c>
      <c r="B90">
        <v>3.0808253199886705E-2</v>
      </c>
    </row>
    <row r="91" spans="1:2">
      <c r="A91" s="253">
        <v>37833</v>
      </c>
      <c r="B91">
        <v>4.020982782659447E-2</v>
      </c>
    </row>
    <row r="92" spans="1:2">
      <c r="A92" s="253">
        <v>37802</v>
      </c>
      <c r="B92">
        <v>2.9868220940920787E-2</v>
      </c>
    </row>
    <row r="93" spans="1:2">
      <c r="A93" s="253">
        <v>37771</v>
      </c>
      <c r="B93">
        <v>1.1992435512430245E-2</v>
      </c>
    </row>
    <row r="94" spans="1:2">
      <c r="A94" s="253">
        <v>37741</v>
      </c>
      <c r="B94">
        <v>0.12701799531022051</v>
      </c>
    </row>
    <row r="95" spans="1:2">
      <c r="A95" s="253">
        <v>37711</v>
      </c>
      <c r="B95">
        <v>-5.0239852291336096E-2</v>
      </c>
    </row>
    <row r="96" spans="1:2">
      <c r="A96" s="253">
        <v>37680</v>
      </c>
      <c r="B96">
        <v>-6.3465523438670055E-2</v>
      </c>
    </row>
    <row r="97" spans="1:2">
      <c r="A97" s="253">
        <v>37652</v>
      </c>
      <c r="B97">
        <v>-4.2133714763162078E-2</v>
      </c>
    </row>
    <row r="98" spans="1:2">
      <c r="A98" s="253">
        <v>37621</v>
      </c>
      <c r="B98">
        <v>-8.0080355613004098E-2</v>
      </c>
    </row>
    <row r="99" spans="1:2">
      <c r="A99" s="253">
        <v>37589</v>
      </c>
      <c r="B99">
        <v>5.4865954718035327E-2</v>
      </c>
    </row>
    <row r="100" spans="1:2">
      <c r="A100" s="253">
        <v>37560</v>
      </c>
      <c r="B100">
        <v>0.13274822949108006</v>
      </c>
    </row>
    <row r="101" spans="1:2">
      <c r="A101" s="253">
        <v>37529</v>
      </c>
      <c r="B101">
        <v>-0.1763029323779563</v>
      </c>
    </row>
    <row r="102" spans="1:2">
      <c r="A102" s="253">
        <v>37498</v>
      </c>
      <c r="B102">
        <v>-1.5796641076542037E-2</v>
      </c>
    </row>
    <row r="103" spans="1:2">
      <c r="A103" s="253">
        <v>37468</v>
      </c>
      <c r="B103">
        <v>-0.12530996359662278</v>
      </c>
    </row>
    <row r="104" spans="1:2">
      <c r="A104" s="253">
        <v>37435</v>
      </c>
      <c r="B104">
        <v>-8.941268317331999E-2</v>
      </c>
    </row>
    <row r="105" spans="1:2">
      <c r="A105" s="253">
        <v>37407</v>
      </c>
      <c r="B105">
        <v>-4.3548993667567301E-2</v>
      </c>
    </row>
    <row r="106" spans="1:2">
      <c r="A106" s="253">
        <v>37376</v>
      </c>
      <c r="B106">
        <v>-4.9554402498282968E-2</v>
      </c>
    </row>
    <row r="107" spans="1:2">
      <c r="A107" s="253">
        <v>37344</v>
      </c>
      <c r="B107">
        <v>4.912135429387051E-2</v>
      </c>
    </row>
    <row r="108" spans="1:2">
      <c r="A108" s="253">
        <v>37315</v>
      </c>
      <c r="B108">
        <v>-1.0489841703142143E-3</v>
      </c>
    </row>
    <row r="109" spans="1:2">
      <c r="A109" s="253">
        <v>37287</v>
      </c>
      <c r="B109">
        <v>-3.6583735604098153E-2</v>
      </c>
    </row>
    <row r="110" spans="1:2">
      <c r="A110" s="253">
        <v>37256</v>
      </c>
      <c r="B110">
        <v>3.1680967189894604E-2</v>
      </c>
    </row>
    <row r="111" spans="1:2">
      <c r="A111" s="253">
        <v>37225</v>
      </c>
      <c r="B111">
        <v>2.9343768096579605E-2</v>
      </c>
    </row>
    <row r="112" spans="1:2">
      <c r="A112" s="253">
        <v>37195</v>
      </c>
      <c r="B112">
        <v>6.2097306706022627E-2</v>
      </c>
    </row>
    <row r="113" spans="1:2">
      <c r="A113" s="253">
        <v>37162</v>
      </c>
      <c r="B113">
        <v>-0.13295051158585222</v>
      </c>
    </row>
    <row r="114" spans="1:2">
      <c r="A114" s="253">
        <v>37134</v>
      </c>
      <c r="B114">
        <v>-8.1001724704110281E-2</v>
      </c>
    </row>
    <row r="115" spans="1:2">
      <c r="A115" s="253">
        <v>37103</v>
      </c>
      <c r="B115">
        <v>-2.9758118626000637E-2</v>
      </c>
    </row>
    <row r="116" spans="1:2">
      <c r="A116" s="253">
        <v>37071</v>
      </c>
      <c r="B116">
        <v>-4.4760401086137408E-2</v>
      </c>
    </row>
    <row r="117" spans="1:2">
      <c r="A117" s="253">
        <v>37042</v>
      </c>
      <c r="B117">
        <v>-3.6150179343017695E-2</v>
      </c>
    </row>
    <row r="118" spans="1:2">
      <c r="A118" s="253">
        <v>37011</v>
      </c>
      <c r="B118">
        <v>8.4814300881197471E-2</v>
      </c>
    </row>
    <row r="119" spans="1:2">
      <c r="A119" s="253">
        <v>36980</v>
      </c>
      <c r="B119">
        <v>-3.9045029697362586E-2</v>
      </c>
    </row>
    <row r="120" spans="1:2">
      <c r="A120" s="253">
        <v>36950</v>
      </c>
      <c r="B120">
        <v>-0.10899480735985231</v>
      </c>
    </row>
    <row r="121" spans="1:2">
      <c r="A121" s="253">
        <v>36922</v>
      </c>
      <c r="B121">
        <v>6.7607985934171212E-3</v>
      </c>
    </row>
    <row r="122" spans="1:2">
      <c r="A122" s="253">
        <v>36889</v>
      </c>
      <c r="B122">
        <v>-5.280023211562619E-3</v>
      </c>
    </row>
    <row r="123" spans="1:2">
      <c r="A123" s="253">
        <v>36860</v>
      </c>
      <c r="B123">
        <v>-7.8498711403857002E-2</v>
      </c>
    </row>
    <row r="124" spans="1:2">
      <c r="A124" s="253">
        <v>36830</v>
      </c>
      <c r="B124">
        <v>1.5309164894049813E-2</v>
      </c>
    </row>
    <row r="125" spans="1:2">
      <c r="A125" s="253">
        <v>36798</v>
      </c>
      <c r="B125">
        <v>-5.9253548001485197E-2</v>
      </c>
    </row>
    <row r="126" spans="1:2">
      <c r="A126" s="253">
        <v>36769</v>
      </c>
      <c r="B126">
        <v>7.6756021025633546E-3</v>
      </c>
    </row>
    <row r="127" spans="1:2">
      <c r="A127" s="253">
        <v>36738</v>
      </c>
      <c r="B127">
        <v>1.0083953252442296E-2</v>
      </c>
    </row>
    <row r="128" spans="1:2">
      <c r="A128" s="253">
        <v>36707</v>
      </c>
      <c r="B128">
        <v>-8.441986474247952E-4</v>
      </c>
    </row>
    <row r="129" spans="1:2">
      <c r="A129" s="253">
        <v>36677</v>
      </c>
      <c r="B129">
        <v>-3.9812639803605788E-3</v>
      </c>
    </row>
    <row r="130" spans="1:2">
      <c r="A130" s="253">
        <v>36644</v>
      </c>
      <c r="B130">
        <v>1.6664546098106241E-2</v>
      </c>
    </row>
    <row r="131" spans="1:2">
      <c r="A131" s="253">
        <v>36616</v>
      </c>
      <c r="B131">
        <v>1.0659491904324952E-2</v>
      </c>
    </row>
    <row r="132" spans="1:2">
      <c r="A132" s="253">
        <v>36585</v>
      </c>
      <c r="B132">
        <v>8.9545906488026822E-2</v>
      </c>
    </row>
    <row r="133" spans="1:2">
      <c r="A133" s="253">
        <v>36556</v>
      </c>
      <c r="B133">
        <v>-5.4199692530780393E-2</v>
      </c>
    </row>
    <row r="134" spans="1:2">
      <c r="A134" s="253">
        <v>36525</v>
      </c>
      <c r="B134">
        <v>0.11105186666217355</v>
      </c>
    </row>
    <row r="135" spans="1:2">
      <c r="A135" s="253">
        <v>36494</v>
      </c>
      <c r="B135">
        <v>8.9064187439400075E-2</v>
      </c>
    </row>
    <row r="136" spans="1:2">
      <c r="A136" s="253">
        <v>36462</v>
      </c>
      <c r="B136">
        <v>6.0829430110946006E-2</v>
      </c>
    </row>
    <row r="137" spans="1:2">
      <c r="A137" s="253">
        <v>36433</v>
      </c>
      <c r="B137">
        <v>-3.4206157037579422E-3</v>
      </c>
    </row>
    <row r="138" spans="1:2">
      <c r="A138" s="253">
        <v>36403</v>
      </c>
      <c r="B138">
        <v>4.3374569494712537E-2</v>
      </c>
    </row>
    <row r="139" spans="1:2">
      <c r="A139" s="253">
        <v>36371</v>
      </c>
      <c r="B139">
        <v>-3.7867288129241755E-2</v>
      </c>
    </row>
    <row r="140" spans="1:2">
      <c r="A140" s="253">
        <v>36341</v>
      </c>
      <c r="B140">
        <v>3.8589668810858235E-2</v>
      </c>
    </row>
    <row r="141" spans="1:2">
      <c r="A141" s="253">
        <v>36311</v>
      </c>
      <c r="B141">
        <v>-1.5671442677653344E-2</v>
      </c>
    </row>
    <row r="142" spans="1:2">
      <c r="A142" s="253">
        <v>36280</v>
      </c>
      <c r="B142">
        <v>4.5722565676007888E-2</v>
      </c>
    </row>
    <row r="143" spans="1:2">
      <c r="A143" s="253">
        <v>36250</v>
      </c>
      <c r="B143">
        <v>2.1339271526091358E-2</v>
      </c>
    </row>
    <row r="144" spans="1:2">
      <c r="A144" s="253">
        <v>36217</v>
      </c>
      <c r="B144">
        <v>-4.0862999200338701E-2</v>
      </c>
    </row>
    <row r="145" spans="1:2">
      <c r="A145" s="253">
        <v>36189</v>
      </c>
      <c r="B145">
        <v>7.4908992913413963E-2</v>
      </c>
    </row>
    <row r="146" spans="1:2">
      <c r="A146" s="253">
        <v>36160</v>
      </c>
      <c r="B146">
        <v>2.2031429627046985E-2</v>
      </c>
    </row>
    <row r="147" spans="1:2">
      <c r="A147" s="253">
        <v>36129</v>
      </c>
      <c r="B147">
        <v>8.7861216941579875E-2</v>
      </c>
    </row>
    <row r="148" spans="1:2">
      <c r="A148" s="253">
        <v>36098</v>
      </c>
      <c r="B148">
        <v>9.8421351178098568E-2</v>
      </c>
    </row>
    <row r="149" spans="1:2">
      <c r="A149" s="253">
        <v>36068</v>
      </c>
      <c r="B149">
        <v>-0.12889316647726495</v>
      </c>
    </row>
    <row r="150" spans="1:2">
      <c r="A150" s="253">
        <v>36038</v>
      </c>
      <c r="B150">
        <v>-0.13008908436290348</v>
      </c>
    </row>
    <row r="151" spans="1:2">
      <c r="A151" s="253">
        <v>36007</v>
      </c>
      <c r="B151">
        <v>-1.0218701304880336E-2</v>
      </c>
    </row>
    <row r="152" spans="1:2">
      <c r="A152" s="253">
        <v>35976</v>
      </c>
      <c r="B152">
        <v>3.6059261202229013E-2</v>
      </c>
    </row>
    <row r="153" spans="1:2">
      <c r="A153" s="253">
        <v>35944</v>
      </c>
      <c r="B153">
        <v>3.728917885449845E-2</v>
      </c>
    </row>
    <row r="154" spans="1:2">
      <c r="A154" s="253">
        <v>35915</v>
      </c>
      <c r="B154">
        <v>-2.9815659178338578E-3</v>
      </c>
    </row>
    <row r="155" spans="1:2">
      <c r="A155" s="253">
        <v>35885</v>
      </c>
      <c r="B155">
        <v>0.12874190863608728</v>
      </c>
    </row>
    <row r="156" spans="1:2">
      <c r="A156" s="253">
        <v>35853</v>
      </c>
      <c r="B156">
        <v>7.4841795759329713E-2</v>
      </c>
    </row>
    <row r="157" spans="1:2">
      <c r="A157" s="253">
        <v>35825</v>
      </c>
      <c r="B157">
        <v>5.346432103664342E-2</v>
      </c>
    </row>
    <row r="158" spans="1:2">
      <c r="A158" s="253">
        <v>35795</v>
      </c>
      <c r="B158">
        <v>4.406698680395485E-2</v>
      </c>
    </row>
    <row r="159" spans="1:2">
      <c r="A159" s="253">
        <v>35762</v>
      </c>
      <c r="B159">
        <v>3.9866655714963631E-2</v>
      </c>
    </row>
    <row r="160" spans="1:2">
      <c r="A160" s="253">
        <v>35734</v>
      </c>
      <c r="B160">
        <v>-9.3607165604036938E-2</v>
      </c>
    </row>
    <row r="161" spans="1:2">
      <c r="A161" s="253">
        <v>35703</v>
      </c>
      <c r="B161">
        <v>8.1422363553017754E-2</v>
      </c>
    </row>
    <row r="162" spans="1:2">
      <c r="A162" s="253">
        <v>35671</v>
      </c>
      <c r="B162">
        <v>-0.10332390893691468</v>
      </c>
    </row>
    <row r="163" spans="1:2">
      <c r="A163" s="253">
        <v>35642</v>
      </c>
      <c r="B163">
        <v>7.1763759070203575E-2</v>
      </c>
    </row>
    <row r="164" spans="1:2">
      <c r="A164" s="253">
        <v>35611</v>
      </c>
      <c r="B164">
        <v>0.10246345580779752</v>
      </c>
    </row>
    <row r="165" spans="1:2">
      <c r="A165" s="253">
        <v>35580</v>
      </c>
      <c r="B165">
        <v>-2.5934605563259092E-2</v>
      </c>
    </row>
    <row r="166" spans="1:2">
      <c r="A166" s="253">
        <v>35550</v>
      </c>
      <c r="B166">
        <v>-1.0781774244545768E-2</v>
      </c>
    </row>
    <row r="167" spans="1:2">
      <c r="A167" s="253">
        <v>35520</v>
      </c>
      <c r="B167">
        <v>1.4541441199593412E-2</v>
      </c>
    </row>
    <row r="168" spans="1:2">
      <c r="A168" s="253">
        <v>35489</v>
      </c>
      <c r="B168">
        <v>3.2256499348316772E-2</v>
      </c>
    </row>
    <row r="169" spans="1:2">
      <c r="A169" s="253">
        <v>35461</v>
      </c>
      <c r="B169">
        <v>8.2224272691548694E-2</v>
      </c>
    </row>
    <row r="170" spans="1:2">
      <c r="A170" s="253">
        <v>35430</v>
      </c>
      <c r="B170">
        <v>-4.5697710371988623E-3</v>
      </c>
    </row>
    <row r="171" spans="1:2">
      <c r="A171" s="253">
        <v>35398</v>
      </c>
      <c r="B171">
        <v>7.7726293733736185E-2</v>
      </c>
    </row>
    <row r="172" spans="1:2">
      <c r="A172" s="253">
        <v>35369</v>
      </c>
      <c r="B172">
        <v>-5.8973935793617694E-4</v>
      </c>
    </row>
    <row r="173" spans="1:2">
      <c r="A173" s="253">
        <v>35338</v>
      </c>
      <c r="B173">
        <v>7.7909538670766845E-2</v>
      </c>
    </row>
    <row r="174" spans="1:2">
      <c r="A174" s="253">
        <v>35307</v>
      </c>
      <c r="B174">
        <v>-1.6766028688955943E-2</v>
      </c>
    </row>
    <row r="175" spans="1:2">
      <c r="A175" s="253">
        <v>35277</v>
      </c>
      <c r="B175">
        <v>-6.4682700004708604E-2</v>
      </c>
    </row>
    <row r="176" spans="1:2">
      <c r="A176" s="253">
        <v>35244</v>
      </c>
      <c r="B176">
        <v>2.4642711581661682E-3</v>
      </c>
    </row>
    <row r="177" spans="1:2">
      <c r="A177" s="253">
        <v>35216</v>
      </c>
      <c r="B177">
        <v>-2.1309265461456412E-2</v>
      </c>
    </row>
    <row r="178" spans="1:2">
      <c r="A178" s="253">
        <v>35185</v>
      </c>
      <c r="B178">
        <v>4.5293142015972503E-2</v>
      </c>
    </row>
    <row r="179" spans="1:2">
      <c r="A179" s="253">
        <v>35153</v>
      </c>
      <c r="B179">
        <v>2.32251827182446E-2</v>
      </c>
    </row>
    <row r="180" spans="1:2">
      <c r="A180" s="253">
        <v>35124</v>
      </c>
      <c r="B180">
        <v>-1.8872563494851655E-2</v>
      </c>
    </row>
    <row r="181" spans="1:2">
      <c r="A181" s="253">
        <v>35095</v>
      </c>
      <c r="B181">
        <v>7.5327344455306394E-2</v>
      </c>
    </row>
    <row r="182" spans="1:2">
      <c r="A182" s="253">
        <v>35062</v>
      </c>
      <c r="B182">
        <v>1.8996777298882064E-2</v>
      </c>
    </row>
    <row r="183" spans="1:2">
      <c r="A183" s="253">
        <v>35033</v>
      </c>
      <c r="B183">
        <v>3.6665497985126456E-3</v>
      </c>
    </row>
    <row r="184" spans="1:2">
      <c r="A184" s="253">
        <v>35003</v>
      </c>
      <c r="B184">
        <v>9.6484217295273282E-3</v>
      </c>
    </row>
    <row r="185" spans="1:2">
      <c r="A185" s="253">
        <v>34971</v>
      </c>
      <c r="B185">
        <v>-5.4762198482523644E-2</v>
      </c>
    </row>
    <row r="186" spans="1:2">
      <c r="A186" s="253">
        <v>34942</v>
      </c>
      <c r="B186">
        <v>-2.3788143996999984E-2</v>
      </c>
    </row>
    <row r="187" spans="1:2">
      <c r="A187" s="253">
        <v>34911</v>
      </c>
      <c r="B187">
        <v>2.8434872661150693E-2</v>
      </c>
    </row>
    <row r="188" spans="1:2">
      <c r="A188" s="253">
        <v>34880</v>
      </c>
      <c r="B188">
        <v>-5.0455794553248293E-2</v>
      </c>
    </row>
    <row r="189" spans="1:2">
      <c r="A189" s="253">
        <v>34850</v>
      </c>
      <c r="B189">
        <v>9.9717043878944801E-3</v>
      </c>
    </row>
    <row r="190" spans="1:2">
      <c r="A190" s="253">
        <v>34817</v>
      </c>
      <c r="B190">
        <v>2.721854496956139E-2</v>
      </c>
    </row>
    <row r="191" spans="1:2">
      <c r="A191" s="253">
        <v>34789</v>
      </c>
      <c r="B191">
        <v>4.1903644089259222E-2</v>
      </c>
    </row>
    <row r="192" spans="1:2">
      <c r="A192" s="253">
        <v>34758</v>
      </c>
      <c r="B192">
        <v>-1.570810389899335E-2</v>
      </c>
    </row>
    <row r="193" spans="1:2">
      <c r="A193" s="253">
        <v>34730</v>
      </c>
      <c r="B193">
        <v>-4.8454844111314864E-2</v>
      </c>
    </row>
    <row r="194" spans="1:2">
      <c r="A194" s="253">
        <v>34698</v>
      </c>
      <c r="B194">
        <v>-5.2372104416125984E-2</v>
      </c>
    </row>
    <row r="195" spans="1:2">
      <c r="A195" s="253">
        <v>34668</v>
      </c>
      <c r="B195">
        <v>3.3163288362745326E-2</v>
      </c>
    </row>
    <row r="196" spans="1:2">
      <c r="A196" s="253">
        <v>34638</v>
      </c>
      <c r="B196">
        <v>1.0269442596780668E-2</v>
      </c>
    </row>
    <row r="197" spans="1:2">
      <c r="A197" s="253">
        <v>34607</v>
      </c>
      <c r="B197">
        <v>-9.5446090049683921E-2</v>
      </c>
    </row>
    <row r="198" spans="1:2">
      <c r="A198" s="253">
        <v>34577</v>
      </c>
      <c r="B198">
        <v>-6.5482064973806011E-3</v>
      </c>
    </row>
    <row r="199" spans="1:2">
      <c r="A199" s="253">
        <v>34544</v>
      </c>
      <c r="B199">
        <v>9.3917758985200633E-2</v>
      </c>
    </row>
    <row r="200" spans="1:2">
      <c r="A200" s="253">
        <v>34515</v>
      </c>
      <c r="B200">
        <v>-7.1034381003990413E-2</v>
      </c>
    </row>
    <row r="201" spans="1:2">
      <c r="A201" s="253">
        <v>34485</v>
      </c>
      <c r="B201">
        <v>-6.6017411217196967E-2</v>
      </c>
    </row>
    <row r="202" spans="1:2">
      <c r="A202" s="253">
        <v>34453</v>
      </c>
      <c r="B202">
        <v>3.7656590487718113E-2</v>
      </c>
    </row>
    <row r="203" spans="1:2">
      <c r="A203" s="253">
        <v>34424</v>
      </c>
      <c r="B203">
        <v>-7.2456842980080885E-2</v>
      </c>
    </row>
    <row r="204" spans="1:2">
      <c r="A204" s="253">
        <v>34393</v>
      </c>
      <c r="B204">
        <v>-4.335327712949167E-2</v>
      </c>
    </row>
    <row r="205" spans="1:2">
      <c r="A205" s="253">
        <v>34365</v>
      </c>
      <c r="B205">
        <v>2.6659428979552483E-2</v>
      </c>
    </row>
    <row r="206" spans="1:2">
      <c r="A206" s="253">
        <v>34334</v>
      </c>
      <c r="B206">
        <v>7.2639931472117086E-2</v>
      </c>
    </row>
    <row r="207" spans="1:2">
      <c r="A207" s="253">
        <v>34303</v>
      </c>
      <c r="B207">
        <v>-3.5433843580283508E-2</v>
      </c>
    </row>
    <row r="208" spans="1:2">
      <c r="A208" s="253">
        <v>34271</v>
      </c>
      <c r="B208">
        <v>2.9635356539914538E-2</v>
      </c>
    </row>
    <row r="209" spans="1:2">
      <c r="A209" s="253">
        <v>34242</v>
      </c>
      <c r="B209">
        <v>-4.8555542321417962E-2</v>
      </c>
    </row>
    <row r="210" spans="1:2">
      <c r="A210" s="253">
        <v>34212</v>
      </c>
      <c r="B210">
        <v>6.0116257886359603E-2</v>
      </c>
    </row>
    <row r="211" spans="1:2">
      <c r="A211" s="253">
        <v>34180</v>
      </c>
      <c r="B211">
        <v>5.5418213168211009E-2</v>
      </c>
    </row>
    <row r="212" spans="1:2">
      <c r="A212" s="253">
        <v>34150</v>
      </c>
      <c r="B212">
        <v>4.1535580028590979E-2</v>
      </c>
    </row>
    <row r="213" spans="1:2">
      <c r="A213" s="253">
        <v>34120</v>
      </c>
      <c r="B213">
        <v>-2.8156277107625936E-2</v>
      </c>
    </row>
    <row r="214" spans="1:2">
      <c r="A214" s="253">
        <v>34089</v>
      </c>
      <c r="B214">
        <v>-4.7861705835441956E-2</v>
      </c>
    </row>
    <row r="215" spans="1:2">
      <c r="A215" s="253">
        <v>34059</v>
      </c>
      <c r="B215">
        <v>2.1530730298279625E-2</v>
      </c>
    </row>
    <row r="216" spans="1:2">
      <c r="A216" s="253">
        <v>34026</v>
      </c>
      <c r="B216">
        <v>0.11714251584180201</v>
      </c>
    </row>
    <row r="217" spans="1:2">
      <c r="A217" s="253">
        <v>33998</v>
      </c>
      <c r="B217">
        <v>-4.8360351602450252E-2</v>
      </c>
    </row>
    <row r="218" spans="1:2">
      <c r="A218" s="253">
        <v>33969</v>
      </c>
      <c r="B218">
        <v>4.5981451644772214E-2</v>
      </c>
    </row>
    <row r="219" spans="1:2">
      <c r="A219" s="253">
        <v>33938</v>
      </c>
      <c r="B219">
        <v>1.4326492194673936E-2</v>
      </c>
    </row>
    <row r="220" spans="1:2">
      <c r="A220" s="253">
        <v>33907</v>
      </c>
      <c r="B220">
        <v>9.6475617971699887E-4</v>
      </c>
    </row>
    <row r="221" spans="1:2">
      <c r="A221" s="253">
        <v>33877</v>
      </c>
      <c r="B221">
        <v>2.817370495228138E-2</v>
      </c>
    </row>
    <row r="222" spans="1:2">
      <c r="A222" s="253">
        <v>33847</v>
      </c>
      <c r="B222">
        <v>-4.2373860611966858E-2</v>
      </c>
    </row>
    <row r="223" spans="1:2">
      <c r="A223" s="253">
        <v>33816</v>
      </c>
      <c r="B223">
        <v>-7.9895588831071854E-2</v>
      </c>
    </row>
    <row r="224" spans="1:2">
      <c r="A224" s="253">
        <v>33785</v>
      </c>
      <c r="B224">
        <v>-6.84440133970068E-2</v>
      </c>
    </row>
    <row r="225" spans="1:2">
      <c r="A225" s="253">
        <v>33753</v>
      </c>
      <c r="B225">
        <v>-1.741481138670984E-3</v>
      </c>
    </row>
    <row r="226" spans="1:2">
      <c r="A226" s="253">
        <v>33724</v>
      </c>
      <c r="B226">
        <v>4.2469599419284167E-2</v>
      </c>
    </row>
    <row r="227" spans="1:2">
      <c r="A227" s="253">
        <v>33694</v>
      </c>
      <c r="B227">
        <v>-2.4046573021811277E-2</v>
      </c>
    </row>
    <row r="228" spans="1:2">
      <c r="A228" s="253">
        <v>33662</v>
      </c>
      <c r="B228">
        <v>5.4861645113984864E-2</v>
      </c>
    </row>
    <row r="229" spans="1:2">
      <c r="A229" s="253">
        <v>33634</v>
      </c>
      <c r="B229">
        <v>5.866744220291549E-2</v>
      </c>
    </row>
    <row r="230" spans="1:2">
      <c r="A230" s="253">
        <v>33603</v>
      </c>
      <c r="B230">
        <v>1.1122113007989957E-2</v>
      </c>
    </row>
    <row r="231" spans="1:2">
      <c r="A231" s="253">
        <v>33571</v>
      </c>
      <c r="B231">
        <v>-6.689988689427849E-2</v>
      </c>
    </row>
    <row r="232" spans="1:2">
      <c r="A232" s="253">
        <v>33542</v>
      </c>
      <c r="B232">
        <v>-1.6919412524792694E-2</v>
      </c>
    </row>
    <row r="233" spans="1:2">
      <c r="A233" s="253">
        <v>33511</v>
      </c>
      <c r="B233">
        <v>4.1595077939772726E-3</v>
      </c>
    </row>
    <row r="234" spans="1:2">
      <c r="A234" s="253">
        <v>33480</v>
      </c>
      <c r="B234">
        <v>5.7819859465558725E-2</v>
      </c>
    </row>
    <row r="235" spans="1:2">
      <c r="A235" s="253">
        <v>33450</v>
      </c>
      <c r="B235">
        <v>-8.3160984653406038E-4</v>
      </c>
    </row>
    <row r="236" spans="1:2">
      <c r="A236" s="253">
        <v>33417</v>
      </c>
      <c r="B236">
        <v>-6.5517663741150992E-2</v>
      </c>
    </row>
    <row r="237" spans="1:2">
      <c r="A237" s="253">
        <v>33389</v>
      </c>
      <c r="B237">
        <v>4.1725881585899113E-2</v>
      </c>
    </row>
    <row r="238" spans="1:2">
      <c r="A238" s="253">
        <v>33358</v>
      </c>
      <c r="B238">
        <v>-2.5769510449470318E-2</v>
      </c>
    </row>
    <row r="239" spans="1:2">
      <c r="A239" s="253">
        <v>33326</v>
      </c>
      <c r="B239">
        <v>2.7745881042624279E-2</v>
      </c>
    </row>
    <row r="240" spans="1:2">
      <c r="A240" s="253">
        <v>33297</v>
      </c>
      <c r="B240">
        <v>0.10851903559882828</v>
      </c>
    </row>
    <row r="241" spans="1:2">
      <c r="A241" s="253">
        <v>33269</v>
      </c>
      <c r="B241">
        <v>4.5009288419374335E-2</v>
      </c>
    </row>
    <row r="242" spans="1:2">
      <c r="A242" s="253">
        <v>33238</v>
      </c>
      <c r="B242">
        <v>-6.8313098086124402E-2</v>
      </c>
    </row>
    <row r="243" spans="1:2">
      <c r="A243" s="253">
        <v>33207</v>
      </c>
      <c r="B243">
        <v>-3.0281148173581258E-2</v>
      </c>
    </row>
    <row r="244" spans="1:2">
      <c r="A244" s="253">
        <v>33177</v>
      </c>
      <c r="B244">
        <v>9.6306397811980388E-2</v>
      </c>
    </row>
    <row r="245" spans="1:2">
      <c r="A245" s="253">
        <v>33144</v>
      </c>
      <c r="B245">
        <v>-0.12339055834620194</v>
      </c>
    </row>
    <row r="246" spans="1:2">
      <c r="A246" s="253">
        <v>33116</v>
      </c>
      <c r="B246">
        <v>-0.14671202857186455</v>
      </c>
    </row>
    <row r="247" spans="1:2">
      <c r="A247" s="253">
        <v>33085</v>
      </c>
      <c r="B247">
        <v>-4.0932174955651796E-2</v>
      </c>
    </row>
  </sheetData>
  <phoneticPr fontId="38"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Equation.3" shapeId="28673" r:id="rId4">
          <objectPr defaultSize="0" autoPict="0" r:id="rId5">
            <anchor moveWithCells="1" sizeWithCells="1">
              <from>
                <xdr:col>11</xdr:col>
                <xdr:colOff>276225</xdr:colOff>
                <xdr:row>15</xdr:row>
                <xdr:rowOff>161925</xdr:rowOff>
              </from>
              <to>
                <xdr:col>18</xdr:col>
                <xdr:colOff>142875</xdr:colOff>
                <xdr:row>22</xdr:row>
                <xdr:rowOff>9525</xdr:rowOff>
              </to>
            </anchor>
          </objectPr>
        </oleObject>
      </mc:Choice>
      <mc:Fallback>
        <oleObject progId="Equation.3" shapeId="28673"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I19"/>
  <sheetViews>
    <sheetView workbookViewId="0">
      <selection activeCell="D22" sqref="D22"/>
    </sheetView>
  </sheetViews>
  <sheetFormatPr baseColWidth="10" defaultColWidth="9.140625" defaultRowHeight="15"/>
  <sheetData>
    <row r="1" spans="1:9">
      <c r="A1" t="s">
        <v>365</v>
      </c>
    </row>
    <row r="2" spans="1:9" ht="15.75" thickBot="1"/>
    <row r="3" spans="1:9">
      <c r="A3" s="257" t="s">
        <v>366</v>
      </c>
      <c r="B3" s="257"/>
    </row>
    <row r="4" spans="1:9">
      <c r="A4" s="258" t="s">
        <v>367</v>
      </c>
      <c r="B4" s="258">
        <v>0.53941259099057492</v>
      </c>
    </row>
    <row r="5" spans="1:9">
      <c r="A5" s="258" t="s">
        <v>368</v>
      </c>
      <c r="B5" s="258">
        <v>0.29096594331916531</v>
      </c>
    </row>
    <row r="6" spans="1:9">
      <c r="A6" s="258" t="s">
        <v>369</v>
      </c>
      <c r="B6" s="258">
        <v>0.27874121820397846</v>
      </c>
    </row>
    <row r="7" spans="1:9">
      <c r="A7" s="258" t="s">
        <v>370</v>
      </c>
      <c r="B7" s="258">
        <v>5.13210934099321E-2</v>
      </c>
    </row>
    <row r="8" spans="1:9" ht="15.75" thickBot="1">
      <c r="A8" s="259" t="s">
        <v>371</v>
      </c>
      <c r="B8" s="259">
        <v>60</v>
      </c>
    </row>
    <row r="10" spans="1:9" ht="15.75" thickBot="1">
      <c r="A10" t="s">
        <v>372</v>
      </c>
    </row>
    <row r="11" spans="1:9">
      <c r="A11" s="260"/>
      <c r="B11" s="260" t="s">
        <v>373</v>
      </c>
      <c r="C11" s="260" t="s">
        <v>374</v>
      </c>
      <c r="D11" s="260" t="s">
        <v>375</v>
      </c>
      <c r="E11" s="260" t="s">
        <v>376</v>
      </c>
      <c r="F11" s="260" t="s">
        <v>377</v>
      </c>
    </row>
    <row r="12" spans="1:9">
      <c r="A12" s="258" t="s">
        <v>378</v>
      </c>
      <c r="B12" s="258">
        <v>1</v>
      </c>
      <c r="C12" s="258">
        <v>6.2689507486729745E-2</v>
      </c>
      <c r="D12" s="258">
        <v>6.2689507486729745E-2</v>
      </c>
      <c r="E12" s="258">
        <v>23.801430345267857</v>
      </c>
      <c r="F12" s="258">
        <v>8.7017200038948775E-6</v>
      </c>
    </row>
    <row r="13" spans="1:9">
      <c r="A13" s="258" t="s">
        <v>379</v>
      </c>
      <c r="B13" s="258">
        <v>58</v>
      </c>
      <c r="C13" s="258">
        <v>0.1527635684698766</v>
      </c>
      <c r="D13" s="258">
        <v>2.633854628790976E-3</v>
      </c>
      <c r="E13" s="258"/>
      <c r="F13" s="258"/>
    </row>
    <row r="14" spans="1:9" ht="15.75" thickBot="1">
      <c r="A14" s="259" t="s">
        <v>380</v>
      </c>
      <c r="B14" s="259">
        <v>59</v>
      </c>
      <c r="C14" s="259">
        <v>0.21545307595660634</v>
      </c>
      <c r="D14" s="259"/>
      <c r="E14" s="259"/>
      <c r="F14" s="259"/>
    </row>
    <row r="15" spans="1:9" ht="15.75" thickBot="1"/>
    <row r="16" spans="1:9">
      <c r="A16" s="260"/>
      <c r="B16" s="260" t="s">
        <v>381</v>
      </c>
      <c r="C16" s="260" t="s">
        <v>370</v>
      </c>
      <c r="D16" s="260" t="s">
        <v>382</v>
      </c>
      <c r="E16" s="260" t="s">
        <v>383</v>
      </c>
      <c r="F16" s="260" t="s">
        <v>384</v>
      </c>
      <c r="G16" s="260" t="s">
        <v>385</v>
      </c>
      <c r="H16" s="260" t="s">
        <v>386</v>
      </c>
      <c r="I16" s="260" t="s">
        <v>387</v>
      </c>
    </row>
    <row r="17" spans="1:9">
      <c r="A17" s="258" t="s">
        <v>388</v>
      </c>
      <c r="B17" s="258">
        <v>-1.8291614938743869E-3</v>
      </c>
      <c r="C17" s="258">
        <v>6.6426816410621809E-3</v>
      </c>
      <c r="D17" s="258">
        <v>-0.27536491927707368</v>
      </c>
      <c r="E17" s="258">
        <v>0.7840145397731364</v>
      </c>
      <c r="F17" s="258">
        <v>-1.5125933476399117E-2</v>
      </c>
      <c r="G17" s="258">
        <v>1.1467610488650344E-2</v>
      </c>
      <c r="H17" s="258">
        <v>-1.5125933476399117E-2</v>
      </c>
      <c r="I17" s="258">
        <v>1.1467610488650344E-2</v>
      </c>
    </row>
    <row r="18" spans="1:9" ht="15.75" thickBot="1">
      <c r="A18" s="259" t="s">
        <v>389</v>
      </c>
      <c r="B18" s="261">
        <v>0.59595671163175712</v>
      </c>
      <c r="C18" s="259">
        <v>0.12215554531168263</v>
      </c>
      <c r="D18" s="259">
        <v>4.8786709609552323</v>
      </c>
      <c r="E18" s="261">
        <v>8.7017200038949097E-6</v>
      </c>
      <c r="F18" s="259">
        <v>0.3514358207960665</v>
      </c>
      <c r="G18" s="259">
        <v>0.84047760246744774</v>
      </c>
      <c r="H18" s="259">
        <v>0.3514358207960665</v>
      </c>
      <c r="I18" s="259">
        <v>0.84047760246744774</v>
      </c>
    </row>
    <row r="19" spans="1:9">
      <c r="B19" s="262" t="s">
        <v>390</v>
      </c>
    </row>
  </sheetData>
  <phoneticPr fontId="3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V283"/>
  <sheetViews>
    <sheetView topLeftCell="E1" zoomScaleNormal="100" workbookViewId="0">
      <selection activeCell="D22" sqref="D22"/>
    </sheetView>
  </sheetViews>
  <sheetFormatPr baseColWidth="10" defaultColWidth="9" defaultRowHeight="15"/>
  <cols>
    <col min="1" max="1" width="20" style="263" customWidth="1"/>
    <col min="2" max="2" width="24.28515625" style="272" customWidth="1"/>
    <col min="3" max="3" width="13.85546875" style="272" customWidth="1"/>
    <col min="4" max="6" width="23.28515625" style="272" customWidth="1"/>
    <col min="7" max="7" width="13.85546875" style="263" customWidth="1"/>
    <col min="8" max="8" width="14.28515625" style="263" customWidth="1"/>
    <col min="9" max="10" width="22" style="263" customWidth="1"/>
    <col min="11" max="11" width="17.28515625" style="263" customWidth="1"/>
    <col min="12" max="12" width="16.28515625" style="263" customWidth="1"/>
    <col min="13" max="13" width="9" style="263"/>
    <col min="14" max="14" width="30.85546875" style="263" customWidth="1"/>
    <col min="15" max="15" width="12.140625" style="263" customWidth="1"/>
    <col min="16" max="16" width="16.28515625" style="263" customWidth="1"/>
    <col min="17" max="17" width="9" style="263"/>
    <col min="18" max="18" width="18.140625" style="263" customWidth="1"/>
    <col min="19" max="19" width="15.28515625" style="263" customWidth="1"/>
    <col min="20" max="20" width="19.5703125" style="263" customWidth="1"/>
    <col min="21" max="21" width="15.140625" style="263" customWidth="1"/>
    <col min="22" max="22" width="13.5703125" style="263" customWidth="1"/>
    <col min="23" max="16384" width="9" style="263"/>
  </cols>
  <sheetData>
    <row r="1" spans="1:15">
      <c r="A1" s="245" t="s">
        <v>351</v>
      </c>
      <c r="B1" s="245" t="s">
        <v>391</v>
      </c>
      <c r="C1" s="245" t="s">
        <v>392</v>
      </c>
      <c r="D1" s="245" t="s">
        <v>393</v>
      </c>
      <c r="E1" s="245" t="s">
        <v>394</v>
      </c>
      <c r="F1" s="245" t="s">
        <v>395</v>
      </c>
      <c r="G1" s="245" t="s">
        <v>396</v>
      </c>
      <c r="H1" s="245" t="s">
        <v>397</v>
      </c>
      <c r="I1" s="245" t="s">
        <v>398</v>
      </c>
      <c r="J1" s="245" t="s">
        <v>399</v>
      </c>
      <c r="K1" s="245" t="s">
        <v>400</v>
      </c>
      <c r="L1" s="245" t="s">
        <v>401</v>
      </c>
    </row>
    <row r="2" spans="1:15">
      <c r="A2" s="251">
        <v>40543</v>
      </c>
      <c r="B2">
        <v>47.85</v>
      </c>
      <c r="C2" s="264"/>
      <c r="D2" s="264">
        <f t="shared" ref="D2:D55" si="0">(D3*C2)/B2+D3</f>
        <v>1.4976876609723422</v>
      </c>
      <c r="E2" s="264">
        <f>B2*D2</f>
        <v>71.664354577526581</v>
      </c>
      <c r="F2" s="264">
        <f t="shared" ref="F2:F60" si="1">E2/E3-1</f>
        <v>2.7264920566766992E-2</v>
      </c>
      <c r="G2">
        <v>3804.78</v>
      </c>
      <c r="H2" s="263">
        <f t="shared" ref="H2:H60" si="2">(G2/G3)-1</f>
        <v>5.382723435370762E-2</v>
      </c>
      <c r="I2" s="252">
        <v>0.01</v>
      </c>
      <c r="J2">
        <f>I2/100</f>
        <v>1E-4</v>
      </c>
      <c r="K2" s="252">
        <f>H2-J2</f>
        <v>5.3727234353707617E-2</v>
      </c>
      <c r="L2" s="263">
        <f>F2-J2</f>
        <v>2.7164920566766993E-2</v>
      </c>
      <c r="O2" s="265"/>
    </row>
    <row r="3" spans="1:15">
      <c r="A3" s="251">
        <v>40512</v>
      </c>
      <c r="B3">
        <v>46.58</v>
      </c>
      <c r="C3"/>
      <c r="D3" s="264">
        <f t="shared" si="0"/>
        <v>1.4976876609723422</v>
      </c>
      <c r="E3" s="264">
        <f t="shared" ref="E3:E60" si="3">B3*D3</f>
        <v>69.762291248091699</v>
      </c>
      <c r="F3" s="264">
        <f t="shared" si="1"/>
        <v>-7.1741729772817786E-2</v>
      </c>
      <c r="G3">
        <v>3610.44</v>
      </c>
      <c r="H3" s="263">
        <f t="shared" si="2"/>
        <v>-5.8187035346289329E-2</v>
      </c>
      <c r="I3" s="252">
        <v>0.01</v>
      </c>
      <c r="J3">
        <f t="shared" ref="J3:J66" si="4">I3/100</f>
        <v>1E-4</v>
      </c>
      <c r="K3" s="252">
        <f t="shared" ref="K3:K66" si="5">H3-J3</f>
        <v>-5.8287035346289331E-2</v>
      </c>
      <c r="L3" s="263">
        <f t="shared" ref="L3:L66" si="6">F3-J3</f>
        <v>-7.1841729772817789E-2</v>
      </c>
      <c r="O3" s="265"/>
    </row>
    <row r="4" spans="1:15">
      <c r="A4" s="251">
        <v>40480</v>
      </c>
      <c r="B4">
        <v>50.18</v>
      </c>
      <c r="C4" s="264"/>
      <c r="D4" s="264">
        <f t="shared" si="0"/>
        <v>1.4976876609723422</v>
      </c>
      <c r="E4" s="264">
        <f t="shared" si="3"/>
        <v>75.153966827592129</v>
      </c>
      <c r="F4" s="264">
        <f t="shared" si="1"/>
        <v>2.6700767263427183E-2</v>
      </c>
      <c r="G4">
        <v>3833.5</v>
      </c>
      <c r="H4" s="263">
        <f t="shared" si="2"/>
        <v>3.1847716665141412E-2</v>
      </c>
      <c r="I4" s="252">
        <v>0.01</v>
      </c>
      <c r="J4">
        <f t="shared" si="4"/>
        <v>1E-4</v>
      </c>
      <c r="K4" s="252">
        <f t="shared" si="5"/>
        <v>3.1747716665141409E-2</v>
      </c>
      <c r="L4" s="263">
        <f t="shared" si="6"/>
        <v>2.6600767263427184E-2</v>
      </c>
    </row>
    <row r="5" spans="1:15">
      <c r="A5" s="251">
        <v>40451</v>
      </c>
      <c r="B5">
        <v>48.875</v>
      </c>
      <c r="C5" s="264"/>
      <c r="D5" s="264">
        <f t="shared" si="0"/>
        <v>1.4976876609723422</v>
      </c>
      <c r="E5" s="264">
        <f t="shared" si="3"/>
        <v>73.199484430023219</v>
      </c>
      <c r="F5" s="264">
        <f t="shared" si="1"/>
        <v>7.9633311243649141E-2</v>
      </c>
      <c r="G5">
        <v>3715.18</v>
      </c>
      <c r="H5" s="263">
        <f t="shared" si="2"/>
        <v>6.4280578321812554E-2</v>
      </c>
      <c r="I5" s="252">
        <v>0.01</v>
      </c>
      <c r="J5">
        <f t="shared" si="4"/>
        <v>1E-4</v>
      </c>
      <c r="K5" s="252">
        <f t="shared" si="5"/>
        <v>6.4180578321812551E-2</v>
      </c>
      <c r="L5" s="263">
        <f t="shared" si="6"/>
        <v>7.9533311243649138E-2</v>
      </c>
    </row>
    <row r="6" spans="1:15">
      <c r="A6" s="251">
        <v>40421</v>
      </c>
      <c r="B6">
        <v>45.27</v>
      </c>
      <c r="C6" s="264"/>
      <c r="D6" s="264">
        <f t="shared" si="0"/>
        <v>1.4976876609723422</v>
      </c>
      <c r="E6" s="264">
        <f t="shared" si="3"/>
        <v>67.800320412217928</v>
      </c>
      <c r="F6" s="264">
        <f t="shared" si="1"/>
        <v>1.5705631590756219E-2</v>
      </c>
      <c r="G6">
        <v>3490.79</v>
      </c>
      <c r="H6" s="263">
        <f t="shared" si="2"/>
        <v>-4.1818321557777094E-2</v>
      </c>
      <c r="I6" s="252">
        <v>0.01</v>
      </c>
      <c r="J6">
        <f t="shared" si="4"/>
        <v>1E-4</v>
      </c>
      <c r="K6" s="252">
        <f t="shared" si="5"/>
        <v>-4.1918321557777097E-2</v>
      </c>
      <c r="L6" s="263">
        <f t="shared" si="6"/>
        <v>1.560563159075622E-2</v>
      </c>
    </row>
    <row r="7" spans="1:15">
      <c r="A7" s="251">
        <v>40389</v>
      </c>
      <c r="B7">
        <v>44.57</v>
      </c>
      <c r="C7" s="264"/>
      <c r="D7" s="264">
        <f t="shared" si="0"/>
        <v>1.4976876609723422</v>
      </c>
      <c r="E7" s="264">
        <f t="shared" si="3"/>
        <v>66.751939049537285</v>
      </c>
      <c r="F7" s="264">
        <f t="shared" si="1"/>
        <v>-0.10014132848778534</v>
      </c>
      <c r="G7">
        <v>3643.14</v>
      </c>
      <c r="H7" s="263">
        <f t="shared" si="2"/>
        <v>5.8163345329069527E-2</v>
      </c>
      <c r="I7" s="252">
        <v>0.01</v>
      </c>
      <c r="J7">
        <f t="shared" si="4"/>
        <v>1E-4</v>
      </c>
      <c r="K7" s="252">
        <f t="shared" si="5"/>
        <v>5.8063345329069524E-2</v>
      </c>
      <c r="L7" s="263">
        <f t="shared" si="6"/>
        <v>-0.10024132848778534</v>
      </c>
    </row>
    <row r="8" spans="1:15">
      <c r="A8" s="251">
        <v>40359</v>
      </c>
      <c r="B8">
        <v>49.53</v>
      </c>
      <c r="C8" s="264"/>
      <c r="D8" s="264">
        <f t="shared" si="0"/>
        <v>1.4976876609723422</v>
      </c>
      <c r="E8" s="264">
        <f t="shared" si="3"/>
        <v>74.180469847960111</v>
      </c>
      <c r="F8" s="264">
        <f t="shared" si="1"/>
        <v>1.6177957532861331E-3</v>
      </c>
      <c r="G8">
        <v>3442.89</v>
      </c>
      <c r="H8" s="263">
        <f t="shared" si="2"/>
        <v>-1.84373182497235E-2</v>
      </c>
      <c r="I8" s="252">
        <v>0.01</v>
      </c>
      <c r="J8">
        <f t="shared" si="4"/>
        <v>1E-4</v>
      </c>
      <c r="K8" s="252">
        <f t="shared" si="5"/>
        <v>-1.8537318249723499E-2</v>
      </c>
      <c r="L8" s="263">
        <f t="shared" si="6"/>
        <v>1.5177957532861331E-3</v>
      </c>
    </row>
    <row r="9" spans="1:15">
      <c r="A9" s="251">
        <v>40329</v>
      </c>
      <c r="B9">
        <v>49.45</v>
      </c>
      <c r="C9" s="264">
        <v>2.4</v>
      </c>
      <c r="D9" s="264">
        <f>(D10*C9)/B9+D10</f>
        <v>1.4976876609723422</v>
      </c>
      <c r="E9" s="264">
        <f t="shared" si="3"/>
        <v>74.060654835082332</v>
      </c>
      <c r="F9" s="264">
        <f t="shared" si="1"/>
        <v>3.6778939217965156E-3</v>
      </c>
      <c r="G9">
        <v>3507.56</v>
      </c>
      <c r="H9" s="263">
        <f t="shared" si="2"/>
        <v>-8.1066494803496925E-2</v>
      </c>
      <c r="I9" s="252">
        <v>0.01</v>
      </c>
      <c r="J9">
        <f t="shared" si="4"/>
        <v>1E-4</v>
      </c>
      <c r="K9" s="252">
        <f t="shared" si="5"/>
        <v>-8.1166494803496927E-2</v>
      </c>
      <c r="L9" s="263">
        <f t="shared" si="6"/>
        <v>3.5778939217965158E-3</v>
      </c>
    </row>
    <row r="10" spans="1:15">
      <c r="A10" s="251">
        <v>40298</v>
      </c>
      <c r="B10">
        <v>51.66</v>
      </c>
      <c r="C10" s="264"/>
      <c r="D10" s="264">
        <f t="shared" si="0"/>
        <v>1.4283636419495145</v>
      </c>
      <c r="E10" s="264">
        <f t="shared" si="3"/>
        <v>73.789265743111912</v>
      </c>
      <c r="F10" s="264">
        <f t="shared" si="1"/>
        <v>-6.3960862475086033E-2</v>
      </c>
      <c r="G10">
        <v>3816.99</v>
      </c>
      <c r="H10" s="263">
        <f t="shared" si="2"/>
        <v>-3.9511727449100587E-2</v>
      </c>
      <c r="I10" s="252">
        <v>0.01</v>
      </c>
      <c r="J10">
        <f t="shared" si="4"/>
        <v>1E-4</v>
      </c>
      <c r="K10" s="252">
        <f t="shared" si="5"/>
        <v>-3.9611727449100589E-2</v>
      </c>
      <c r="L10" s="263">
        <f t="shared" si="6"/>
        <v>-6.4060862475086036E-2</v>
      </c>
    </row>
    <row r="11" spans="1:15">
      <c r="A11" s="251">
        <v>40268</v>
      </c>
      <c r="B11">
        <v>55.19</v>
      </c>
      <c r="C11" s="264"/>
      <c r="D11" s="264">
        <f t="shared" si="0"/>
        <v>1.4283636419495145</v>
      </c>
      <c r="E11" s="264">
        <f t="shared" si="3"/>
        <v>78.831389399193696</v>
      </c>
      <c r="F11" s="264">
        <f t="shared" si="1"/>
        <v>2.7364110201042458E-2</v>
      </c>
      <c r="G11">
        <v>3974.01</v>
      </c>
      <c r="H11" s="263">
        <f t="shared" si="2"/>
        <v>7.1508304572907688E-2</v>
      </c>
      <c r="I11" s="252">
        <v>0.01</v>
      </c>
      <c r="J11">
        <f t="shared" si="4"/>
        <v>1E-4</v>
      </c>
      <c r="K11" s="252">
        <f t="shared" si="5"/>
        <v>7.1408304572907685E-2</v>
      </c>
      <c r="L11" s="263">
        <f t="shared" si="6"/>
        <v>2.7264110201042458E-2</v>
      </c>
    </row>
    <row r="12" spans="1:15">
      <c r="A12" s="251">
        <v>40235</v>
      </c>
      <c r="B12">
        <v>53.72</v>
      </c>
      <c r="C12" s="264"/>
      <c r="D12" s="264">
        <f t="shared" si="0"/>
        <v>1.4283636419495145</v>
      </c>
      <c r="E12" s="264">
        <f t="shared" si="3"/>
        <v>76.731694845527912</v>
      </c>
      <c r="F12" s="264">
        <f t="shared" si="1"/>
        <v>2.2388059701492491E-3</v>
      </c>
      <c r="G12">
        <v>3708.8</v>
      </c>
      <c r="H12" s="263">
        <f t="shared" si="2"/>
        <v>-8.1990447818668377E-3</v>
      </c>
      <c r="I12" s="252">
        <v>0</v>
      </c>
      <c r="J12">
        <f t="shared" si="4"/>
        <v>0</v>
      </c>
      <c r="K12" s="252">
        <f t="shared" si="5"/>
        <v>-8.1990447818668377E-3</v>
      </c>
      <c r="L12" s="263">
        <f t="shared" si="6"/>
        <v>2.2388059701492491E-3</v>
      </c>
    </row>
    <row r="13" spans="1:15">
      <c r="A13" s="251">
        <v>40207</v>
      </c>
      <c r="B13">
        <v>53.6</v>
      </c>
      <c r="C13" s="264"/>
      <c r="D13" s="264">
        <f t="shared" si="0"/>
        <v>1.4283636419495145</v>
      </c>
      <c r="E13" s="264">
        <f t="shared" si="3"/>
        <v>76.560291208493979</v>
      </c>
      <c r="F13" s="264">
        <f t="shared" si="1"/>
        <v>-2.6516527424627734E-2</v>
      </c>
      <c r="G13">
        <v>3739.46</v>
      </c>
      <c r="H13" s="263">
        <f t="shared" si="2"/>
        <v>-5.0013591340156927E-2</v>
      </c>
      <c r="I13" s="252">
        <v>0</v>
      </c>
      <c r="J13">
        <f t="shared" si="4"/>
        <v>0</v>
      </c>
      <c r="K13" s="252">
        <f t="shared" si="5"/>
        <v>-5.0013591340156927E-2</v>
      </c>
      <c r="L13" s="263">
        <f t="shared" si="6"/>
        <v>-2.6516527424627734E-2</v>
      </c>
    </row>
    <row r="14" spans="1:15">
      <c r="A14" s="251">
        <v>40178</v>
      </c>
      <c r="B14">
        <v>55.06</v>
      </c>
      <c r="C14" s="264"/>
      <c r="D14" s="264">
        <f t="shared" si="0"/>
        <v>1.4283636419495145</v>
      </c>
      <c r="E14" s="264">
        <f t="shared" si="3"/>
        <v>78.645702125740272</v>
      </c>
      <c r="F14" s="264">
        <f t="shared" si="1"/>
        <v>9.4197138314785489E-2</v>
      </c>
      <c r="G14">
        <v>3936.33</v>
      </c>
      <c r="H14" s="263">
        <f t="shared" si="2"/>
        <v>6.9611293017947551E-2</v>
      </c>
      <c r="I14" s="252">
        <v>0.01</v>
      </c>
      <c r="J14">
        <f t="shared" si="4"/>
        <v>1E-4</v>
      </c>
      <c r="K14" s="252">
        <f t="shared" si="5"/>
        <v>6.9511293017947548E-2</v>
      </c>
      <c r="L14" s="263">
        <f t="shared" si="6"/>
        <v>9.4097138314785486E-2</v>
      </c>
    </row>
    <row r="15" spans="1:15">
      <c r="A15" s="251">
        <v>40147</v>
      </c>
      <c r="B15">
        <v>50.32</v>
      </c>
      <c r="C15" s="264"/>
      <c r="D15" s="264">
        <f t="shared" si="0"/>
        <v>1.4283636419495145</v>
      </c>
      <c r="E15" s="264">
        <f t="shared" si="3"/>
        <v>71.875258462899566</v>
      </c>
      <c r="F15" s="264">
        <f t="shared" si="1"/>
        <v>1.1558950648306476E-2</v>
      </c>
      <c r="G15">
        <v>3680.15</v>
      </c>
      <c r="H15" s="263">
        <f t="shared" si="2"/>
        <v>2.0084874254717056E-2</v>
      </c>
      <c r="I15" s="252">
        <v>0</v>
      </c>
      <c r="J15">
        <f t="shared" si="4"/>
        <v>0</v>
      </c>
      <c r="K15" s="252">
        <f t="shared" si="5"/>
        <v>2.0084874254717056E-2</v>
      </c>
      <c r="L15" s="263">
        <f t="shared" si="6"/>
        <v>1.1558950648306476E-2</v>
      </c>
    </row>
    <row r="16" spans="1:15" ht="15.75" thickBot="1">
      <c r="A16" s="251">
        <v>40116</v>
      </c>
      <c r="B16">
        <v>49.744999999999997</v>
      </c>
      <c r="C16" s="264"/>
      <c r="D16" s="264">
        <f t="shared" si="0"/>
        <v>1.4283636419495145</v>
      </c>
      <c r="E16" s="264">
        <f t="shared" si="3"/>
        <v>71.053949368778589</v>
      </c>
      <c r="F16" s="264">
        <f t="shared" si="1"/>
        <v>-8.0757726819541409E-3</v>
      </c>
      <c r="G16">
        <v>3607.69</v>
      </c>
      <c r="H16" s="263">
        <f t="shared" si="2"/>
        <v>-4.9459742162243248E-2</v>
      </c>
      <c r="I16" s="252">
        <v>0</v>
      </c>
      <c r="J16">
        <f t="shared" si="4"/>
        <v>0</v>
      </c>
      <c r="K16" s="252">
        <f t="shared" si="5"/>
        <v>-4.9459742162243248E-2</v>
      </c>
      <c r="L16" s="263">
        <f t="shared" si="6"/>
        <v>-8.0757726819541409E-3</v>
      </c>
    </row>
    <row r="17" spans="1:22">
      <c r="A17" s="251">
        <v>40086</v>
      </c>
      <c r="B17">
        <v>50.15</v>
      </c>
      <c r="C17" s="264"/>
      <c r="D17" s="264">
        <f t="shared" si="0"/>
        <v>1.4283636419495145</v>
      </c>
      <c r="E17" s="264">
        <f t="shared" si="3"/>
        <v>71.632436643768145</v>
      </c>
      <c r="F17" s="264">
        <f t="shared" si="1"/>
        <v>5.9805579036348089E-2</v>
      </c>
      <c r="G17">
        <v>3795.41</v>
      </c>
      <c r="H17" s="263">
        <f t="shared" si="2"/>
        <v>3.8830832562391615E-2</v>
      </c>
      <c r="I17" s="252">
        <v>0.01</v>
      </c>
      <c r="J17">
        <f t="shared" si="4"/>
        <v>1E-4</v>
      </c>
      <c r="K17" s="252">
        <f t="shared" si="5"/>
        <v>3.8730832562391612E-2</v>
      </c>
      <c r="L17" s="263">
        <f t="shared" si="6"/>
        <v>5.9705579036348086E-2</v>
      </c>
      <c r="T17" s="266"/>
      <c r="U17" s="266"/>
      <c r="V17" s="266"/>
    </row>
    <row r="18" spans="1:22">
      <c r="A18" s="251">
        <v>40056</v>
      </c>
      <c r="B18">
        <v>47.32</v>
      </c>
      <c r="C18" s="264"/>
      <c r="D18" s="264">
        <f t="shared" si="0"/>
        <v>1.4283636419495145</v>
      </c>
      <c r="E18" s="264">
        <f t="shared" si="3"/>
        <v>67.59016753705103</v>
      </c>
      <c r="F18" s="264">
        <f t="shared" si="1"/>
        <v>2.959094865100087E-2</v>
      </c>
      <c r="G18">
        <v>3653.54</v>
      </c>
      <c r="H18" s="263">
        <f t="shared" si="2"/>
        <v>6.6331608425489019E-2</v>
      </c>
      <c r="I18" s="252">
        <v>0.01</v>
      </c>
      <c r="J18">
        <f t="shared" si="4"/>
        <v>1E-4</v>
      </c>
      <c r="K18" s="252">
        <f t="shared" si="5"/>
        <v>6.6231608425489016E-2</v>
      </c>
      <c r="L18" s="263">
        <f t="shared" si="6"/>
        <v>2.9490948651000871E-2</v>
      </c>
      <c r="T18" s="267"/>
      <c r="U18" s="267"/>
      <c r="V18" s="267"/>
    </row>
    <row r="19" spans="1:22" ht="15.75" thickBot="1">
      <c r="A19" s="251">
        <v>40025</v>
      </c>
      <c r="B19">
        <v>45.96</v>
      </c>
      <c r="C19" s="264"/>
      <c r="D19" s="264">
        <f t="shared" si="0"/>
        <v>1.4283636419495145</v>
      </c>
      <c r="E19" s="264">
        <f t="shared" si="3"/>
        <v>65.647592983999687</v>
      </c>
      <c r="F19" s="264">
        <f t="shared" si="1"/>
        <v>9.7683305469309811E-2</v>
      </c>
      <c r="G19">
        <v>3426.27</v>
      </c>
      <c r="H19" s="263">
        <f t="shared" si="2"/>
        <v>9.1015908598795159E-2</v>
      </c>
      <c r="I19" s="252">
        <v>0.01</v>
      </c>
      <c r="J19">
        <f t="shared" si="4"/>
        <v>1E-4</v>
      </c>
      <c r="K19" s="252">
        <f t="shared" si="5"/>
        <v>9.0915908598795156E-2</v>
      </c>
      <c r="L19" s="263">
        <f t="shared" si="6"/>
        <v>9.7583305469309808E-2</v>
      </c>
      <c r="T19" s="268"/>
      <c r="U19" s="268"/>
      <c r="V19" s="268"/>
    </row>
    <row r="20" spans="1:22">
      <c r="A20" s="251">
        <v>39994</v>
      </c>
      <c r="B20">
        <v>41.87</v>
      </c>
      <c r="C20" s="264"/>
      <c r="D20" s="264">
        <f t="shared" si="0"/>
        <v>1.4283636419495145</v>
      </c>
      <c r="E20" s="264">
        <f t="shared" si="3"/>
        <v>59.80558568842617</v>
      </c>
      <c r="F20" s="264">
        <f t="shared" si="1"/>
        <v>-6.8520578420467215E-2</v>
      </c>
      <c r="G20">
        <v>3140.44</v>
      </c>
      <c r="H20" s="263">
        <f t="shared" si="2"/>
        <v>-4.1862309886656623E-2</v>
      </c>
      <c r="I20" s="252">
        <v>0.01</v>
      </c>
      <c r="J20">
        <f t="shared" si="4"/>
        <v>1E-4</v>
      </c>
      <c r="K20" s="252">
        <f t="shared" si="5"/>
        <v>-4.1962309886656626E-2</v>
      </c>
      <c r="L20" s="263">
        <f t="shared" si="6"/>
        <v>-6.8620578420467218E-2</v>
      </c>
    </row>
    <row r="21" spans="1:22">
      <c r="A21" s="251">
        <v>39962</v>
      </c>
      <c r="B21">
        <v>44.95</v>
      </c>
      <c r="C21" s="264"/>
      <c r="D21" s="264">
        <f t="shared" si="0"/>
        <v>1.4283636419495145</v>
      </c>
      <c r="E21" s="264">
        <f t="shared" si="3"/>
        <v>64.204945705630678</v>
      </c>
      <c r="F21" s="264">
        <f t="shared" si="1"/>
        <v>2.6959104409412848E-2</v>
      </c>
      <c r="G21">
        <v>3277.65</v>
      </c>
      <c r="H21" s="263">
        <f t="shared" si="2"/>
        <v>3.728025064480911E-2</v>
      </c>
      <c r="I21" s="252">
        <v>0</v>
      </c>
      <c r="J21">
        <f t="shared" si="4"/>
        <v>0</v>
      </c>
      <c r="K21" s="252">
        <f t="shared" si="5"/>
        <v>3.728025064480911E-2</v>
      </c>
      <c r="L21" s="263">
        <f t="shared" si="6"/>
        <v>2.6959104409412848E-2</v>
      </c>
    </row>
    <row r="22" spans="1:22">
      <c r="A22" s="251">
        <v>39933</v>
      </c>
      <c r="B22">
        <v>43.77</v>
      </c>
      <c r="C22" s="264">
        <v>2.2000000000000002</v>
      </c>
      <c r="D22" s="264">
        <f>(D23*C22)/B22+D23</f>
        <v>1.4283636419495145</v>
      </c>
      <c r="E22" s="264">
        <f t="shared" si="3"/>
        <v>62.519476608130255</v>
      </c>
      <c r="F22" s="264">
        <f t="shared" si="1"/>
        <v>8.4709768758848503E-2</v>
      </c>
      <c r="G22">
        <v>3159.85</v>
      </c>
      <c r="H22" s="263">
        <f t="shared" si="2"/>
        <v>0.12556726296066723</v>
      </c>
      <c r="I22" s="252">
        <v>0.01</v>
      </c>
      <c r="J22">
        <f t="shared" si="4"/>
        <v>1E-4</v>
      </c>
      <c r="K22" s="252">
        <f t="shared" si="5"/>
        <v>0.12546726296066724</v>
      </c>
      <c r="L22" s="263">
        <f t="shared" si="6"/>
        <v>8.46097687588485E-2</v>
      </c>
    </row>
    <row r="23" spans="1:22">
      <c r="A23" s="251">
        <v>39903</v>
      </c>
      <c r="B23">
        <v>42.38</v>
      </c>
      <c r="C23" s="264"/>
      <c r="D23" s="264">
        <f t="shared" si="0"/>
        <v>1.3600060171444475</v>
      </c>
      <c r="E23" s="264">
        <f t="shared" si="3"/>
        <v>57.63705500658169</v>
      </c>
      <c r="F23" s="264">
        <f t="shared" si="1"/>
        <v>3.5805939142124155E-2</v>
      </c>
      <c r="G23">
        <v>2807.34</v>
      </c>
      <c r="H23" s="263">
        <f t="shared" si="2"/>
        <v>3.8801397235132207E-2</v>
      </c>
      <c r="I23" s="252">
        <v>0.02</v>
      </c>
      <c r="J23">
        <f t="shared" si="4"/>
        <v>2.0000000000000001E-4</v>
      </c>
      <c r="K23" s="252">
        <f t="shared" si="5"/>
        <v>3.8601397235132208E-2</v>
      </c>
      <c r="L23" s="263">
        <f t="shared" si="6"/>
        <v>3.5605939142124156E-2</v>
      </c>
      <c r="O23" s="265"/>
    </row>
    <row r="24" spans="1:22">
      <c r="A24" s="251">
        <v>39871</v>
      </c>
      <c r="B24">
        <v>40.914999999999999</v>
      </c>
      <c r="C24" s="264"/>
      <c r="D24" s="264">
        <f t="shared" si="0"/>
        <v>1.3600060171444475</v>
      </c>
      <c r="E24" s="264">
        <f t="shared" si="3"/>
        <v>55.644646191465064</v>
      </c>
      <c r="F24" s="264">
        <f t="shared" si="1"/>
        <v>-7.1906544176023712E-2</v>
      </c>
      <c r="G24">
        <v>2702.48</v>
      </c>
      <c r="H24" s="263">
        <f t="shared" si="2"/>
        <v>-9.127347070533165E-2</v>
      </c>
      <c r="I24" s="252">
        <v>0.01</v>
      </c>
      <c r="J24">
        <f t="shared" si="4"/>
        <v>1E-4</v>
      </c>
      <c r="K24" s="252">
        <f t="shared" si="5"/>
        <v>-9.1373470705331652E-2</v>
      </c>
      <c r="L24" s="263">
        <f t="shared" si="6"/>
        <v>-7.2006544176023715E-2</v>
      </c>
      <c r="O24" s="265"/>
    </row>
    <row r="25" spans="1:22">
      <c r="A25" s="251">
        <v>39843</v>
      </c>
      <c r="B25">
        <v>44.085000000000001</v>
      </c>
      <c r="C25" s="264"/>
      <c r="D25" s="264">
        <f t="shared" si="0"/>
        <v>1.3600060171444475</v>
      </c>
      <c r="E25" s="264">
        <f t="shared" si="3"/>
        <v>59.955865265812967</v>
      </c>
      <c r="F25" s="264">
        <f t="shared" si="1"/>
        <v>-2.896475770925111E-2</v>
      </c>
      <c r="G25">
        <v>2973.92</v>
      </c>
      <c r="H25" s="263">
        <f t="shared" si="2"/>
        <v>-7.5839737474246105E-2</v>
      </c>
      <c r="I25" s="252">
        <v>0</v>
      </c>
      <c r="J25">
        <f t="shared" si="4"/>
        <v>0</v>
      </c>
      <c r="K25" s="252">
        <f t="shared" si="5"/>
        <v>-7.5839737474246105E-2</v>
      </c>
      <c r="L25" s="263">
        <f t="shared" si="6"/>
        <v>-2.896475770925111E-2</v>
      </c>
      <c r="O25" s="265"/>
    </row>
    <row r="26" spans="1:22">
      <c r="A26" s="251">
        <v>39813</v>
      </c>
      <c r="B26">
        <v>45.4</v>
      </c>
      <c r="C26" s="264"/>
      <c r="D26" s="264">
        <f t="shared" si="0"/>
        <v>1.3600060171444475</v>
      </c>
      <c r="E26" s="264">
        <f t="shared" si="3"/>
        <v>61.744273178357915</v>
      </c>
      <c r="F26" s="264">
        <f t="shared" si="1"/>
        <v>4.4879171461449818E-2</v>
      </c>
      <c r="G26">
        <v>3217.97</v>
      </c>
      <c r="H26" s="263">
        <f t="shared" si="2"/>
        <v>-1.3703458506503896E-2</v>
      </c>
      <c r="I26" s="252">
        <v>0</v>
      </c>
      <c r="J26">
        <f t="shared" si="4"/>
        <v>0</v>
      </c>
      <c r="K26" s="252">
        <f t="shared" si="5"/>
        <v>-1.3703458506503896E-2</v>
      </c>
      <c r="L26" s="263">
        <f t="shared" si="6"/>
        <v>4.4879171461449818E-2</v>
      </c>
      <c r="O26" s="265"/>
    </row>
    <row r="27" spans="1:22">
      <c r="A27" s="251">
        <v>39780</v>
      </c>
      <c r="B27">
        <v>43.45</v>
      </c>
      <c r="C27" s="264"/>
      <c r="D27" s="264">
        <f t="shared" si="0"/>
        <v>1.3600060171444475</v>
      </c>
      <c r="E27" s="264">
        <f t="shared" si="3"/>
        <v>59.092261444926244</v>
      </c>
      <c r="F27" s="264">
        <f t="shared" si="1"/>
        <v>-0.12097916245195228</v>
      </c>
      <c r="G27">
        <v>3262.68</v>
      </c>
      <c r="H27" s="263">
        <f t="shared" si="2"/>
        <v>-6.4349152727074643E-2</v>
      </c>
      <c r="I27" s="252">
        <v>0.03</v>
      </c>
      <c r="J27">
        <f t="shared" si="4"/>
        <v>2.9999999999999997E-4</v>
      </c>
      <c r="K27" s="252">
        <f t="shared" si="5"/>
        <v>-6.4649152727074638E-2</v>
      </c>
      <c r="L27" s="263">
        <f t="shared" si="6"/>
        <v>-0.12127916245195228</v>
      </c>
      <c r="O27" s="265"/>
    </row>
    <row r="28" spans="1:22">
      <c r="A28" s="251">
        <v>39752</v>
      </c>
      <c r="B28">
        <v>49.43</v>
      </c>
      <c r="C28" s="264"/>
      <c r="D28" s="264">
        <f t="shared" si="0"/>
        <v>1.3600060171444475</v>
      </c>
      <c r="E28" s="264">
        <f t="shared" si="3"/>
        <v>67.225097427450038</v>
      </c>
      <c r="F28" s="264">
        <f t="shared" si="1"/>
        <v>6.1868958109559724E-2</v>
      </c>
      <c r="G28">
        <v>3487.07</v>
      </c>
      <c r="H28" s="263">
        <f t="shared" si="2"/>
        <v>-0.13517273877135982</v>
      </c>
      <c r="I28" s="252">
        <v>0.08</v>
      </c>
      <c r="J28">
        <f t="shared" si="4"/>
        <v>8.0000000000000004E-4</v>
      </c>
      <c r="K28" s="252">
        <f t="shared" si="5"/>
        <v>-0.13597273877135982</v>
      </c>
      <c r="L28" s="263">
        <f t="shared" si="6"/>
        <v>6.1068958109559722E-2</v>
      </c>
      <c r="O28" s="265"/>
    </row>
    <row r="29" spans="1:22">
      <c r="A29" s="251">
        <v>39721</v>
      </c>
      <c r="B29">
        <v>46.55</v>
      </c>
      <c r="C29" s="264"/>
      <c r="D29" s="264">
        <f t="shared" si="0"/>
        <v>1.3600060171444475</v>
      </c>
      <c r="E29" s="264">
        <f t="shared" si="3"/>
        <v>63.308280098074029</v>
      </c>
      <c r="F29" s="264">
        <f t="shared" si="1"/>
        <v>-4.2378111499691284E-2</v>
      </c>
      <c r="G29">
        <v>4032.1</v>
      </c>
      <c r="H29" s="263">
        <f t="shared" si="2"/>
        <v>-0.10049970998973823</v>
      </c>
      <c r="I29" s="252">
        <v>0.15</v>
      </c>
      <c r="J29">
        <f t="shared" si="4"/>
        <v>1.5E-3</v>
      </c>
      <c r="K29" s="252">
        <f t="shared" si="5"/>
        <v>-0.10199970998973823</v>
      </c>
      <c r="L29" s="263">
        <f t="shared" si="6"/>
        <v>-4.3878111499691286E-2</v>
      </c>
      <c r="O29" s="265"/>
    </row>
    <row r="30" spans="1:22">
      <c r="A30" s="251">
        <v>39689</v>
      </c>
      <c r="B30">
        <v>48.61</v>
      </c>
      <c r="C30" s="264"/>
      <c r="D30" s="264">
        <f t="shared" si="0"/>
        <v>1.3600060171444475</v>
      </c>
      <c r="E30" s="264">
        <f t="shared" si="3"/>
        <v>66.109892493391584</v>
      </c>
      <c r="F30" s="264">
        <f t="shared" si="1"/>
        <v>7.8544486354559462E-2</v>
      </c>
      <c r="G30">
        <v>4482.6000000000004</v>
      </c>
      <c r="H30" s="263">
        <f t="shared" si="2"/>
        <v>2.0544764090375311E-2</v>
      </c>
      <c r="I30" s="252">
        <v>0.13</v>
      </c>
      <c r="J30">
        <f t="shared" si="4"/>
        <v>1.2999999999999999E-3</v>
      </c>
      <c r="K30" s="252">
        <f t="shared" si="5"/>
        <v>1.9244764090375312E-2</v>
      </c>
      <c r="L30" s="263">
        <f t="shared" si="6"/>
        <v>7.7244486354559466E-2</v>
      </c>
      <c r="O30" s="265"/>
    </row>
    <row r="31" spans="1:22">
      <c r="A31" s="251">
        <v>39660</v>
      </c>
      <c r="B31">
        <v>45.07</v>
      </c>
      <c r="C31" s="264"/>
      <c r="D31" s="264">
        <f t="shared" si="0"/>
        <v>1.3600060171444475</v>
      </c>
      <c r="E31" s="264">
        <f t="shared" si="3"/>
        <v>61.295471192700248</v>
      </c>
      <c r="F31" s="264">
        <f t="shared" si="1"/>
        <v>6.2220127268442171E-2</v>
      </c>
      <c r="G31">
        <v>4392.3599999999997</v>
      </c>
      <c r="H31" s="263">
        <f t="shared" si="2"/>
        <v>-9.580932838765821E-3</v>
      </c>
      <c r="I31" s="252">
        <v>0.15</v>
      </c>
      <c r="J31">
        <f t="shared" si="4"/>
        <v>1.5E-3</v>
      </c>
      <c r="K31" s="252">
        <f t="shared" si="5"/>
        <v>-1.1080932838765821E-2</v>
      </c>
      <c r="L31" s="263">
        <f t="shared" si="6"/>
        <v>6.072012726844217E-2</v>
      </c>
      <c r="O31" s="265"/>
    </row>
    <row r="32" spans="1:22">
      <c r="A32" s="251">
        <v>39629</v>
      </c>
      <c r="B32">
        <v>42.43</v>
      </c>
      <c r="C32" s="264"/>
      <c r="D32" s="264">
        <f t="shared" si="0"/>
        <v>1.3600060171444475</v>
      </c>
      <c r="E32" s="264">
        <f t="shared" si="3"/>
        <v>57.705055307438904</v>
      </c>
      <c r="F32" s="264">
        <f t="shared" si="1"/>
        <v>-0.11438113128783123</v>
      </c>
      <c r="G32">
        <v>4434.8500000000004</v>
      </c>
      <c r="H32" s="263">
        <f t="shared" si="2"/>
        <v>-0.11555597214355784</v>
      </c>
      <c r="I32" s="252">
        <v>0.17</v>
      </c>
      <c r="J32">
        <f t="shared" si="4"/>
        <v>1.7000000000000001E-3</v>
      </c>
      <c r="K32" s="252">
        <f t="shared" si="5"/>
        <v>-0.11725597214355785</v>
      </c>
      <c r="L32" s="263">
        <f t="shared" si="6"/>
        <v>-0.11608113128783124</v>
      </c>
      <c r="O32" s="265"/>
    </row>
    <row r="33" spans="1:21">
      <c r="A33" s="251">
        <v>39598</v>
      </c>
      <c r="B33">
        <v>47.91</v>
      </c>
      <c r="C33" s="264">
        <v>2.0699999999999998</v>
      </c>
      <c r="D33" s="264">
        <f>(D34*C33)/B33+D34</f>
        <v>1.3600060171444475</v>
      </c>
      <c r="E33" s="264">
        <f t="shared" si="3"/>
        <v>65.15788828139047</v>
      </c>
      <c r="F33" s="264">
        <f t="shared" si="1"/>
        <v>-3.3898305084747449E-3</v>
      </c>
      <c r="G33">
        <v>5014.28</v>
      </c>
      <c r="H33" s="263">
        <f t="shared" si="2"/>
        <v>3.5504569161859401E-3</v>
      </c>
      <c r="I33" s="252">
        <v>0.18</v>
      </c>
      <c r="J33">
        <f t="shared" si="4"/>
        <v>1.8E-3</v>
      </c>
      <c r="K33" s="252">
        <f t="shared" si="5"/>
        <v>1.7504569161859401E-3</v>
      </c>
      <c r="L33" s="263">
        <f t="shared" si="6"/>
        <v>-5.1898305084747444E-3</v>
      </c>
      <c r="O33" s="265"/>
    </row>
    <row r="34" spans="1:21">
      <c r="A34" s="251">
        <v>39568</v>
      </c>
      <c r="B34">
        <v>50.15</v>
      </c>
      <c r="C34" s="264"/>
      <c r="D34" s="264">
        <f t="shared" si="0"/>
        <v>1.3036792373227386</v>
      </c>
      <c r="E34" s="264">
        <f t="shared" si="3"/>
        <v>65.379513751735345</v>
      </c>
      <c r="F34" s="264">
        <f t="shared" si="1"/>
        <v>5.5345117845117864E-2</v>
      </c>
      <c r="G34">
        <v>4996.54</v>
      </c>
      <c r="H34" s="263">
        <f t="shared" si="2"/>
        <v>6.1496854731287298E-2</v>
      </c>
      <c r="I34" s="252">
        <v>0.18</v>
      </c>
      <c r="J34">
        <f t="shared" si="4"/>
        <v>1.8E-3</v>
      </c>
      <c r="K34" s="252">
        <f t="shared" si="5"/>
        <v>5.9696854731287295E-2</v>
      </c>
      <c r="L34" s="263">
        <f t="shared" si="6"/>
        <v>5.3545117845117861E-2</v>
      </c>
      <c r="O34" s="265"/>
    </row>
    <row r="35" spans="1:21">
      <c r="A35" s="251">
        <v>39538</v>
      </c>
      <c r="B35">
        <v>47.52</v>
      </c>
      <c r="C35" s="264"/>
      <c r="D35" s="264">
        <f t="shared" si="0"/>
        <v>1.3036792373227386</v>
      </c>
      <c r="E35" s="264">
        <f t="shared" si="3"/>
        <v>61.950837357576546</v>
      </c>
      <c r="F35" s="264">
        <f t="shared" si="1"/>
        <v>-2.6029924164787666E-2</v>
      </c>
      <c r="G35">
        <v>4707.07</v>
      </c>
      <c r="H35" s="263">
        <f t="shared" si="2"/>
        <v>-1.7448535274889099E-2</v>
      </c>
      <c r="I35" s="252">
        <v>0.17</v>
      </c>
      <c r="J35">
        <f t="shared" si="4"/>
        <v>1.7000000000000001E-3</v>
      </c>
      <c r="K35" s="252">
        <f t="shared" si="5"/>
        <v>-1.9148535274889099E-2</v>
      </c>
      <c r="L35" s="263">
        <f t="shared" si="6"/>
        <v>-2.7729924164787666E-2</v>
      </c>
      <c r="O35" s="265"/>
    </row>
    <row r="36" spans="1:21">
      <c r="A36" s="251">
        <v>39507</v>
      </c>
      <c r="B36">
        <v>48.79</v>
      </c>
      <c r="C36" s="264"/>
      <c r="D36" s="264">
        <f t="shared" si="0"/>
        <v>1.3036792373227386</v>
      </c>
      <c r="E36" s="264">
        <f t="shared" si="3"/>
        <v>63.606509988976413</v>
      </c>
      <c r="F36" s="264">
        <f t="shared" si="1"/>
        <v>-0.10229990800367994</v>
      </c>
      <c r="G36">
        <v>4790.66</v>
      </c>
      <c r="H36" s="263">
        <f t="shared" si="2"/>
        <v>-1.624916064142401E-2</v>
      </c>
      <c r="I36" s="252">
        <v>0.13</v>
      </c>
      <c r="J36">
        <f t="shared" si="4"/>
        <v>1.2999999999999999E-3</v>
      </c>
      <c r="K36" s="252">
        <f t="shared" si="5"/>
        <v>-1.7549160641424009E-2</v>
      </c>
      <c r="L36" s="263">
        <f t="shared" si="6"/>
        <v>-0.10359990800367994</v>
      </c>
      <c r="O36" s="265"/>
    </row>
    <row r="37" spans="1:21">
      <c r="A37" s="251">
        <v>39478</v>
      </c>
      <c r="B37">
        <v>54.35</v>
      </c>
      <c r="C37" s="264"/>
      <c r="D37" s="264">
        <f t="shared" si="0"/>
        <v>1.3036792373227386</v>
      </c>
      <c r="E37" s="264">
        <f t="shared" si="3"/>
        <v>70.85496654849085</v>
      </c>
      <c r="F37" s="264">
        <f t="shared" si="1"/>
        <v>-0.13702762781835487</v>
      </c>
      <c r="G37">
        <v>4869.79</v>
      </c>
      <c r="H37" s="263">
        <f t="shared" si="2"/>
        <v>-0.1325755956452348</v>
      </c>
      <c r="I37" s="252">
        <v>0.21</v>
      </c>
      <c r="J37">
        <f t="shared" si="4"/>
        <v>2.0999999999999999E-3</v>
      </c>
      <c r="K37" s="252">
        <f t="shared" si="5"/>
        <v>-0.13467559564523479</v>
      </c>
      <c r="L37" s="263">
        <f t="shared" si="6"/>
        <v>-0.13912762781835486</v>
      </c>
      <c r="O37" s="265"/>
    </row>
    <row r="38" spans="1:21">
      <c r="A38" s="251">
        <v>39447</v>
      </c>
      <c r="B38">
        <v>62.98</v>
      </c>
      <c r="C38" s="264"/>
      <c r="D38" s="264">
        <f t="shared" si="0"/>
        <v>1.3036792373227386</v>
      </c>
      <c r="E38" s="264">
        <f t="shared" si="3"/>
        <v>82.105718366586075</v>
      </c>
      <c r="F38" s="264">
        <f t="shared" si="1"/>
        <v>-3.1225965236117537E-2</v>
      </c>
      <c r="G38">
        <v>5614.08</v>
      </c>
      <c r="H38" s="263">
        <f t="shared" si="2"/>
        <v>-9.9619614959342018E-3</v>
      </c>
      <c r="I38" s="252">
        <v>0.27</v>
      </c>
      <c r="J38">
        <f t="shared" si="4"/>
        <v>2.7000000000000001E-3</v>
      </c>
      <c r="K38" s="252">
        <f t="shared" si="5"/>
        <v>-1.2661961495934203E-2</v>
      </c>
      <c r="L38" s="263">
        <f t="shared" si="6"/>
        <v>-3.3925965236117538E-2</v>
      </c>
      <c r="O38" s="265"/>
    </row>
    <row r="39" spans="1:21">
      <c r="A39" s="251">
        <v>39416</v>
      </c>
      <c r="B39">
        <v>65.010000000000005</v>
      </c>
      <c r="C39" s="264"/>
      <c r="D39" s="264">
        <f t="shared" si="0"/>
        <v>1.3036792373227386</v>
      </c>
      <c r="E39" s="264">
        <f t="shared" si="3"/>
        <v>84.752187218351239</v>
      </c>
      <c r="F39" s="264">
        <f t="shared" si="1"/>
        <v>7.383548067393475E-2</v>
      </c>
      <c r="G39">
        <v>5670.57</v>
      </c>
      <c r="H39" s="263">
        <f t="shared" si="2"/>
        <v>-3.0331996682598228E-2</v>
      </c>
      <c r="I39" s="252">
        <v>0.34</v>
      </c>
      <c r="J39">
        <f t="shared" si="4"/>
        <v>3.4000000000000002E-3</v>
      </c>
      <c r="K39" s="252">
        <f t="shared" si="5"/>
        <v>-3.3731996682598228E-2</v>
      </c>
      <c r="L39" s="263">
        <f t="shared" si="6"/>
        <v>7.043548067393475E-2</v>
      </c>
      <c r="O39" s="265"/>
    </row>
    <row r="40" spans="1:21">
      <c r="A40" s="251">
        <v>39386</v>
      </c>
      <c r="B40">
        <v>60.54</v>
      </c>
      <c r="C40" s="264"/>
      <c r="D40" s="264">
        <f t="shared" si="0"/>
        <v>1.3036792373227386</v>
      </c>
      <c r="E40" s="264">
        <f t="shared" si="3"/>
        <v>78.924741027518593</v>
      </c>
      <c r="F40" s="264">
        <f t="shared" si="1"/>
        <v>1.953519703603912E-2</v>
      </c>
      <c r="G40">
        <v>5847.95</v>
      </c>
      <c r="H40" s="263">
        <f t="shared" si="2"/>
        <v>2.3139813390859132E-2</v>
      </c>
      <c r="I40" s="252">
        <v>0.32</v>
      </c>
      <c r="J40">
        <f t="shared" si="4"/>
        <v>3.2000000000000002E-3</v>
      </c>
      <c r="K40" s="252">
        <f t="shared" si="5"/>
        <v>1.993981339085913E-2</v>
      </c>
      <c r="L40" s="263">
        <f t="shared" si="6"/>
        <v>1.6335197036039119E-2</v>
      </c>
      <c r="N40" s="269"/>
      <c r="O40" s="269"/>
      <c r="P40" s="270"/>
      <c r="Q40" s="270"/>
      <c r="R40" s="270"/>
      <c r="S40" s="270"/>
      <c r="T40" s="270"/>
      <c r="U40" s="270"/>
    </row>
    <row r="41" spans="1:21">
      <c r="A41" s="251">
        <v>39353</v>
      </c>
      <c r="B41">
        <v>59.38</v>
      </c>
      <c r="C41" s="264"/>
      <c r="D41" s="264">
        <f t="shared" si="0"/>
        <v>1.3036792373227386</v>
      </c>
      <c r="E41" s="264">
        <f t="shared" si="3"/>
        <v>77.41247311222422</v>
      </c>
      <c r="F41" s="264">
        <f t="shared" si="1"/>
        <v>-9.0120160213618128E-3</v>
      </c>
      <c r="G41">
        <v>5715.69</v>
      </c>
      <c r="H41" s="263">
        <f t="shared" si="2"/>
        <v>9.3577268794038382E-3</v>
      </c>
      <c r="I41" s="252">
        <v>0.32</v>
      </c>
      <c r="J41">
        <f t="shared" si="4"/>
        <v>3.2000000000000002E-3</v>
      </c>
      <c r="K41" s="252">
        <f t="shared" si="5"/>
        <v>6.1577268794038385E-3</v>
      </c>
      <c r="L41" s="263">
        <f t="shared" si="6"/>
        <v>-1.2212016021361813E-2</v>
      </c>
      <c r="N41" s="267"/>
      <c r="O41" s="267"/>
      <c r="P41" s="270"/>
      <c r="Q41" s="270"/>
      <c r="R41" s="270"/>
      <c r="S41" s="270"/>
      <c r="T41" s="270"/>
      <c r="U41" s="270"/>
    </row>
    <row r="42" spans="1:21">
      <c r="A42" s="251">
        <v>39325</v>
      </c>
      <c r="B42">
        <v>59.92</v>
      </c>
      <c r="C42" s="264"/>
      <c r="D42" s="264">
        <f t="shared" si="0"/>
        <v>1.3036792373227386</v>
      </c>
      <c r="E42" s="264">
        <f t="shared" si="3"/>
        <v>78.116459900378501</v>
      </c>
      <c r="F42" s="264">
        <f t="shared" si="1"/>
        <v>-2.5691056910569054E-2</v>
      </c>
      <c r="G42">
        <v>5662.7</v>
      </c>
      <c r="H42" s="263">
        <f t="shared" si="2"/>
        <v>-1.5367548356134852E-2</v>
      </c>
      <c r="I42" s="252">
        <v>0.42</v>
      </c>
      <c r="J42">
        <f t="shared" si="4"/>
        <v>4.1999999999999997E-3</v>
      </c>
      <c r="K42" s="252">
        <f t="shared" si="5"/>
        <v>-1.9567548356134851E-2</v>
      </c>
      <c r="L42" s="263">
        <f t="shared" si="6"/>
        <v>-2.9891056910569053E-2</v>
      </c>
      <c r="N42" s="267"/>
      <c r="O42" s="267"/>
      <c r="P42" s="270"/>
      <c r="Q42" s="270"/>
      <c r="R42" s="270"/>
      <c r="S42" s="270"/>
      <c r="T42" s="270"/>
      <c r="U42" s="270"/>
    </row>
    <row r="43" spans="1:21">
      <c r="A43" s="251">
        <v>39294</v>
      </c>
      <c r="B43">
        <v>61.5</v>
      </c>
      <c r="C43" s="264"/>
      <c r="D43" s="264">
        <f t="shared" si="0"/>
        <v>1.3036792373227386</v>
      </c>
      <c r="E43" s="264">
        <f t="shared" si="3"/>
        <v>80.176273095348421</v>
      </c>
      <c r="F43" s="264">
        <f t="shared" si="1"/>
        <v>2.3294509151414289E-2</v>
      </c>
      <c r="G43">
        <v>5751.08</v>
      </c>
      <c r="H43" s="263">
        <f t="shared" si="2"/>
        <v>-5.0182248184537315E-2</v>
      </c>
      <c r="I43" s="252">
        <v>0.4</v>
      </c>
      <c r="J43">
        <f t="shared" si="4"/>
        <v>4.0000000000000001E-3</v>
      </c>
      <c r="K43" s="252">
        <f t="shared" si="5"/>
        <v>-5.4182248184537318E-2</v>
      </c>
      <c r="L43" s="263">
        <f t="shared" si="6"/>
        <v>1.9294509151414289E-2</v>
      </c>
      <c r="N43" s="267"/>
      <c r="O43" s="267"/>
      <c r="P43" s="270"/>
      <c r="Q43" s="270"/>
      <c r="R43" s="270"/>
      <c r="S43" s="270"/>
      <c r="T43" s="270"/>
      <c r="U43" s="270"/>
    </row>
    <row r="44" spans="1:21">
      <c r="A44" s="251">
        <v>39262</v>
      </c>
      <c r="B44">
        <v>60.1</v>
      </c>
      <c r="C44" s="264">
        <v>1.75</v>
      </c>
      <c r="D44" s="264">
        <f>(D45*C44)/B44+D45</f>
        <v>1.3036792373227386</v>
      </c>
      <c r="E44" s="264">
        <f t="shared" si="3"/>
        <v>78.351122163096591</v>
      </c>
      <c r="F44" s="264">
        <f t="shared" si="1"/>
        <v>-0.13689645548423102</v>
      </c>
      <c r="G44">
        <v>6054.93</v>
      </c>
      <c r="H44" s="263">
        <f t="shared" si="2"/>
        <v>-8.0389908256880416E-3</v>
      </c>
      <c r="I44" s="252">
        <v>0.4</v>
      </c>
      <c r="J44">
        <f t="shared" si="4"/>
        <v>4.0000000000000001E-3</v>
      </c>
      <c r="K44" s="252">
        <f t="shared" si="5"/>
        <v>-1.2038990825688042E-2</v>
      </c>
      <c r="L44" s="263">
        <f t="shared" si="6"/>
        <v>-0.14089645548423102</v>
      </c>
      <c r="N44" s="267"/>
      <c r="O44" s="267"/>
      <c r="P44" s="270"/>
      <c r="Q44" s="270"/>
      <c r="R44" s="270"/>
      <c r="S44" s="270"/>
      <c r="T44" s="270"/>
      <c r="U44" s="270"/>
    </row>
    <row r="45" spans="1:21">
      <c r="A45" s="251">
        <v>39233</v>
      </c>
      <c r="B45">
        <v>71.66</v>
      </c>
      <c r="C45" s="264"/>
      <c r="D45" s="264">
        <f t="shared" si="0"/>
        <v>1.2667925976248438</v>
      </c>
      <c r="E45" s="264">
        <f t="shared" si="3"/>
        <v>90.778357545796297</v>
      </c>
      <c r="F45" s="264">
        <f t="shared" si="1"/>
        <v>6.1944279786603218E-2</v>
      </c>
      <c r="G45">
        <v>6104</v>
      </c>
      <c r="H45" s="263">
        <f t="shared" si="2"/>
        <v>2.4154200307380469E-2</v>
      </c>
      <c r="I45" s="252">
        <v>0.41</v>
      </c>
      <c r="J45">
        <f t="shared" si="4"/>
        <v>4.0999999999999995E-3</v>
      </c>
      <c r="K45" s="252">
        <f t="shared" si="5"/>
        <v>2.0054200307380469E-2</v>
      </c>
      <c r="L45" s="263">
        <f t="shared" si="6"/>
        <v>5.7844279786603219E-2</v>
      </c>
      <c r="N45" s="270"/>
      <c r="O45" s="270"/>
      <c r="P45" s="270"/>
      <c r="Q45" s="270"/>
      <c r="R45" s="270"/>
      <c r="S45" s="270"/>
      <c r="T45" s="270"/>
      <c r="U45" s="270"/>
    </row>
    <row r="46" spans="1:21">
      <c r="A46" s="251">
        <v>39202</v>
      </c>
      <c r="B46">
        <v>67.48</v>
      </c>
      <c r="C46" s="264"/>
      <c r="D46" s="264">
        <f t="shared" si="0"/>
        <v>1.2667925976248438</v>
      </c>
      <c r="E46" s="264">
        <f t="shared" si="3"/>
        <v>85.483164487724466</v>
      </c>
      <c r="F46" s="264">
        <f t="shared" si="1"/>
        <v>3.6559139784946293E-2</v>
      </c>
      <c r="G46">
        <v>5960.04</v>
      </c>
      <c r="H46" s="263">
        <f t="shared" si="2"/>
        <v>5.7840032941911534E-2</v>
      </c>
      <c r="I46" s="252">
        <v>0.44</v>
      </c>
      <c r="J46">
        <f t="shared" si="4"/>
        <v>4.4000000000000003E-3</v>
      </c>
      <c r="K46" s="252">
        <f t="shared" si="5"/>
        <v>5.3440032941911533E-2</v>
      </c>
      <c r="L46" s="263">
        <f t="shared" si="6"/>
        <v>3.2159139784946292E-2</v>
      </c>
      <c r="N46" s="270"/>
      <c r="O46" s="270"/>
      <c r="P46" s="270"/>
      <c r="Q46" s="270"/>
      <c r="R46" s="270"/>
      <c r="S46" s="270"/>
      <c r="T46" s="270"/>
      <c r="U46" s="270"/>
    </row>
    <row r="47" spans="1:21">
      <c r="A47" s="251">
        <v>39171</v>
      </c>
      <c r="B47">
        <v>65.099999999999994</v>
      </c>
      <c r="C47" s="264"/>
      <c r="D47" s="264">
        <f t="shared" si="0"/>
        <v>1.2667925976248438</v>
      </c>
      <c r="E47" s="264">
        <f t="shared" si="3"/>
        <v>82.468198105377326</v>
      </c>
      <c r="F47" s="264">
        <f t="shared" si="1"/>
        <v>1.3071895424836555E-2</v>
      </c>
      <c r="G47">
        <v>5634.16</v>
      </c>
      <c r="H47" s="263">
        <f t="shared" si="2"/>
        <v>2.136206746526681E-2</v>
      </c>
      <c r="I47" s="252">
        <v>0.43</v>
      </c>
      <c r="J47">
        <f t="shared" si="4"/>
        <v>4.3E-3</v>
      </c>
      <c r="K47" s="252">
        <f t="shared" si="5"/>
        <v>1.7062067465266811E-2</v>
      </c>
      <c r="L47" s="263">
        <f t="shared" si="6"/>
        <v>8.7718954248365549E-3</v>
      </c>
      <c r="N47" s="271"/>
      <c r="O47" s="271"/>
      <c r="P47" s="271"/>
      <c r="Q47" s="271"/>
      <c r="R47" s="271"/>
      <c r="S47" s="271"/>
      <c r="T47" s="270"/>
      <c r="U47" s="270"/>
    </row>
    <row r="48" spans="1:21">
      <c r="A48" s="251">
        <v>39141</v>
      </c>
      <c r="B48">
        <v>64.260000000000005</v>
      </c>
      <c r="C48" s="264"/>
      <c r="D48" s="264">
        <f t="shared" si="0"/>
        <v>1.2667925976248438</v>
      </c>
      <c r="E48" s="264">
        <f t="shared" si="3"/>
        <v>81.404092323372467</v>
      </c>
      <c r="F48" s="264">
        <f t="shared" si="1"/>
        <v>-4.7294292068198573E-2</v>
      </c>
      <c r="G48">
        <v>5516.32</v>
      </c>
      <c r="H48" s="263">
        <f t="shared" si="2"/>
        <v>-1.6402445656534814E-2</v>
      </c>
      <c r="I48" s="252">
        <v>0.38</v>
      </c>
      <c r="J48">
        <f t="shared" si="4"/>
        <v>3.8E-3</v>
      </c>
      <c r="K48" s="252">
        <f t="shared" si="5"/>
        <v>-2.0202445656534816E-2</v>
      </c>
      <c r="L48" s="263">
        <f t="shared" si="6"/>
        <v>-5.1094292068198571E-2</v>
      </c>
      <c r="N48" s="267"/>
      <c r="O48" s="267"/>
      <c r="P48" s="267"/>
      <c r="Q48" s="267"/>
      <c r="R48" s="267"/>
      <c r="S48" s="267"/>
      <c r="T48" s="270"/>
      <c r="U48" s="270"/>
    </row>
    <row r="49" spans="1:21">
      <c r="A49" s="251">
        <v>39113</v>
      </c>
      <c r="B49">
        <v>67.45</v>
      </c>
      <c r="C49" s="264"/>
      <c r="D49" s="264">
        <f t="shared" si="0"/>
        <v>1.2667925976248438</v>
      </c>
      <c r="E49" s="264">
        <f t="shared" si="3"/>
        <v>85.445160709795715</v>
      </c>
      <c r="F49" s="264">
        <f t="shared" si="1"/>
        <v>-3.5739814152966454E-2</v>
      </c>
      <c r="G49">
        <v>5608.31</v>
      </c>
      <c r="H49" s="263">
        <f t="shared" si="2"/>
        <v>1.200882030257544E-2</v>
      </c>
      <c r="I49" s="252">
        <v>0.44</v>
      </c>
      <c r="J49">
        <f t="shared" si="4"/>
        <v>4.4000000000000003E-3</v>
      </c>
      <c r="K49" s="252">
        <f t="shared" si="5"/>
        <v>7.60882030257544E-3</v>
      </c>
      <c r="L49" s="263">
        <f t="shared" si="6"/>
        <v>-4.0139814152966455E-2</v>
      </c>
      <c r="N49" s="267"/>
      <c r="O49" s="267"/>
      <c r="P49" s="267"/>
      <c r="Q49" s="267"/>
      <c r="R49" s="267"/>
      <c r="S49" s="267"/>
      <c r="T49" s="270"/>
      <c r="U49" s="270"/>
    </row>
    <row r="50" spans="1:21">
      <c r="A50" s="251">
        <v>39080</v>
      </c>
      <c r="B50">
        <v>69.95</v>
      </c>
      <c r="C50" s="264"/>
      <c r="D50" s="264">
        <f t="shared" si="0"/>
        <v>1.2667925976248438</v>
      </c>
      <c r="E50" s="264">
        <f t="shared" si="3"/>
        <v>88.612142203857829</v>
      </c>
      <c r="F50" s="264">
        <f t="shared" si="1"/>
        <v>5.5052790346908242E-2</v>
      </c>
      <c r="G50">
        <v>5541.76</v>
      </c>
      <c r="H50" s="263">
        <f t="shared" si="2"/>
        <v>4.0190403255475182E-2</v>
      </c>
      <c r="I50" s="252">
        <v>0.4</v>
      </c>
      <c r="J50">
        <f t="shared" si="4"/>
        <v>4.0000000000000001E-3</v>
      </c>
      <c r="K50" s="252">
        <f t="shared" si="5"/>
        <v>3.6190403255475179E-2</v>
      </c>
      <c r="L50" s="263">
        <f t="shared" si="6"/>
        <v>5.1052790346908239E-2</v>
      </c>
      <c r="N50" s="267"/>
      <c r="O50" s="267"/>
      <c r="P50" s="267"/>
      <c r="Q50" s="267"/>
      <c r="R50" s="267"/>
      <c r="S50" s="267"/>
      <c r="T50" s="270"/>
      <c r="U50" s="270"/>
    </row>
    <row r="51" spans="1:21">
      <c r="A51" s="251">
        <v>39051</v>
      </c>
      <c r="B51">
        <v>66.3</v>
      </c>
      <c r="C51" s="264"/>
      <c r="D51" s="264">
        <f t="shared" si="0"/>
        <v>1.2667925976248438</v>
      </c>
      <c r="E51" s="264">
        <f t="shared" si="3"/>
        <v>83.988349222527134</v>
      </c>
      <c r="F51" s="264">
        <f t="shared" si="1"/>
        <v>-4.5045045045044585E-3</v>
      </c>
      <c r="G51">
        <v>5327.64</v>
      </c>
      <c r="H51" s="263">
        <f t="shared" si="2"/>
        <v>-3.9429920747540148E-3</v>
      </c>
      <c r="I51" s="252">
        <v>0.42</v>
      </c>
      <c r="J51">
        <f t="shared" si="4"/>
        <v>4.1999999999999997E-3</v>
      </c>
      <c r="K51" s="252">
        <f t="shared" si="5"/>
        <v>-8.1429920747540137E-3</v>
      </c>
      <c r="L51" s="263">
        <f t="shared" si="6"/>
        <v>-8.7045045045044574E-3</v>
      </c>
      <c r="O51" s="265"/>
    </row>
    <row r="52" spans="1:21">
      <c r="A52" s="251">
        <v>39021</v>
      </c>
      <c r="B52">
        <v>66.599999999999994</v>
      </c>
      <c r="C52" s="264"/>
      <c r="D52" s="264">
        <f t="shared" si="0"/>
        <v>1.2667925976248438</v>
      </c>
      <c r="E52" s="264">
        <f t="shared" si="3"/>
        <v>84.368387001814583</v>
      </c>
      <c r="F52" s="264">
        <f t="shared" si="1"/>
        <v>-5.1282051282051433E-2</v>
      </c>
      <c r="G52">
        <v>5348.73</v>
      </c>
      <c r="H52" s="263">
        <f t="shared" si="2"/>
        <v>1.8803773707097626E-2</v>
      </c>
      <c r="I52" s="252">
        <v>0.41</v>
      </c>
      <c r="J52">
        <f t="shared" si="4"/>
        <v>4.0999999999999995E-3</v>
      </c>
      <c r="K52" s="252">
        <f t="shared" si="5"/>
        <v>1.4703773707097627E-2</v>
      </c>
      <c r="L52" s="263">
        <f t="shared" si="6"/>
        <v>-5.5382051282051432E-2</v>
      </c>
      <c r="O52" s="265"/>
    </row>
    <row r="53" spans="1:21">
      <c r="A53" s="251">
        <v>38989</v>
      </c>
      <c r="B53">
        <v>70.2</v>
      </c>
      <c r="C53" s="264"/>
      <c r="D53" s="264">
        <f t="shared" si="0"/>
        <v>1.2667925976248438</v>
      </c>
      <c r="E53" s="264">
        <f t="shared" si="3"/>
        <v>88.928840353264036</v>
      </c>
      <c r="F53" s="264">
        <f t="shared" si="1"/>
        <v>2.1413276231265765E-3</v>
      </c>
      <c r="G53">
        <v>5250.01</v>
      </c>
      <c r="H53" s="263">
        <f t="shared" si="2"/>
        <v>1.6450985858773581E-2</v>
      </c>
      <c r="I53" s="252">
        <v>0.41</v>
      </c>
      <c r="J53">
        <f t="shared" si="4"/>
        <v>4.0999999999999995E-3</v>
      </c>
      <c r="K53" s="252">
        <f t="shared" si="5"/>
        <v>1.2350985858773582E-2</v>
      </c>
      <c r="L53" s="263">
        <f t="shared" si="6"/>
        <v>-1.9586723768734229E-3</v>
      </c>
      <c r="O53" s="265"/>
    </row>
    <row r="54" spans="1:21">
      <c r="A54" s="251">
        <v>38960</v>
      </c>
      <c r="B54">
        <v>70.05</v>
      </c>
      <c r="C54" s="264"/>
      <c r="D54" s="264">
        <f t="shared" si="0"/>
        <v>1.2667925976248438</v>
      </c>
      <c r="E54" s="264">
        <f t="shared" si="3"/>
        <v>88.738821463620297</v>
      </c>
      <c r="F54" s="264">
        <f t="shared" si="1"/>
        <v>-5.910006715916738E-2</v>
      </c>
      <c r="G54">
        <v>5165.04</v>
      </c>
      <c r="H54" s="263">
        <f t="shared" si="2"/>
        <v>3.1065472649528303E-2</v>
      </c>
      <c r="I54" s="252">
        <v>0.42</v>
      </c>
      <c r="J54">
        <f t="shared" si="4"/>
        <v>4.1999999999999997E-3</v>
      </c>
      <c r="K54" s="252">
        <f t="shared" si="5"/>
        <v>2.6865472649528304E-2</v>
      </c>
      <c r="L54" s="263">
        <f t="shared" si="6"/>
        <v>-6.3300067159167375E-2</v>
      </c>
      <c r="O54" s="265"/>
    </row>
    <row r="55" spans="1:21">
      <c r="A55" s="251">
        <v>38929</v>
      </c>
      <c r="B55">
        <v>74.45</v>
      </c>
      <c r="C55" s="264"/>
      <c r="D55" s="264">
        <f t="shared" si="0"/>
        <v>1.2667925976248438</v>
      </c>
      <c r="E55" s="264">
        <f t="shared" si="3"/>
        <v>94.312708893169628</v>
      </c>
      <c r="F55" s="264">
        <f t="shared" si="1"/>
        <v>-2.424639580602872E-2</v>
      </c>
      <c r="G55">
        <v>5009.42</v>
      </c>
      <c r="H55" s="263">
        <f t="shared" si="2"/>
        <v>8.7515807618265828E-3</v>
      </c>
      <c r="I55" s="252">
        <v>0.4</v>
      </c>
      <c r="J55">
        <f t="shared" si="4"/>
        <v>4.0000000000000001E-3</v>
      </c>
      <c r="K55" s="252">
        <f t="shared" si="5"/>
        <v>4.7515807618265828E-3</v>
      </c>
      <c r="L55" s="263">
        <f t="shared" si="6"/>
        <v>-2.824639580602872E-2</v>
      </c>
      <c r="O55" s="265"/>
    </row>
    <row r="56" spans="1:21">
      <c r="A56" s="251">
        <v>38898</v>
      </c>
      <c r="B56">
        <v>76.3</v>
      </c>
      <c r="C56" s="264">
        <v>1.52</v>
      </c>
      <c r="D56" s="264">
        <f>(D57*C56)/B56+D57</f>
        <v>1.2667925976248438</v>
      </c>
      <c r="E56" s="264">
        <f t="shared" si="3"/>
        <v>96.656275198775575</v>
      </c>
      <c r="F56" s="264">
        <f t="shared" si="1"/>
        <v>5.8055744391570352E-2</v>
      </c>
      <c r="G56">
        <v>4965.96</v>
      </c>
      <c r="H56" s="263">
        <f t="shared" si="2"/>
        <v>7.2573415169425726E-3</v>
      </c>
      <c r="I56" s="252">
        <v>0.4</v>
      </c>
      <c r="J56">
        <f t="shared" si="4"/>
        <v>4.0000000000000001E-3</v>
      </c>
      <c r="K56" s="252">
        <f t="shared" si="5"/>
        <v>3.2573415169425725E-3</v>
      </c>
      <c r="L56" s="263">
        <f t="shared" si="6"/>
        <v>5.4055744391570348E-2</v>
      </c>
      <c r="O56" s="265"/>
    </row>
    <row r="57" spans="1:21">
      <c r="A57" s="251">
        <v>38868</v>
      </c>
      <c r="B57">
        <v>73.55</v>
      </c>
      <c r="C57" s="264"/>
      <c r="D57" s="264">
        <f t="shared" ref="D57:D120" si="7">(D58*C57)/B57+D58</f>
        <v>1.2420492829449445</v>
      </c>
      <c r="E57" s="264">
        <f t="shared" si="3"/>
        <v>91.352724760600665</v>
      </c>
      <c r="F57" s="264">
        <f t="shared" si="1"/>
        <v>-1.6053511705685697E-2</v>
      </c>
      <c r="G57">
        <v>4930.18</v>
      </c>
      <c r="H57" s="263">
        <f t="shared" si="2"/>
        <v>-4.976871482537959E-2</v>
      </c>
      <c r="I57" s="252">
        <v>0.43</v>
      </c>
      <c r="J57">
        <f t="shared" si="4"/>
        <v>4.3E-3</v>
      </c>
      <c r="K57" s="252">
        <f t="shared" si="5"/>
        <v>-5.4068714825379588E-2</v>
      </c>
      <c r="L57" s="263">
        <f t="shared" si="6"/>
        <v>-2.0353511705685695E-2</v>
      </c>
      <c r="O57" s="265"/>
    </row>
    <row r="58" spans="1:21">
      <c r="A58" s="251">
        <v>38835</v>
      </c>
      <c r="B58">
        <v>74.75</v>
      </c>
      <c r="C58" s="264"/>
      <c r="D58" s="264">
        <f t="shared" si="7"/>
        <v>1.2420492829449445</v>
      </c>
      <c r="E58" s="264">
        <f t="shared" si="3"/>
        <v>92.843183900134605</v>
      </c>
      <c r="F58" s="264">
        <f t="shared" si="1"/>
        <v>-4.7770700636942665E-2</v>
      </c>
      <c r="G58">
        <v>5188.3999999999996</v>
      </c>
      <c r="H58" s="263">
        <f t="shared" si="2"/>
        <v>-6.2154629993201871E-3</v>
      </c>
      <c r="I58" s="252">
        <v>0.36</v>
      </c>
      <c r="J58">
        <f t="shared" si="4"/>
        <v>3.5999999999999999E-3</v>
      </c>
      <c r="K58" s="252">
        <f t="shared" si="5"/>
        <v>-9.8154629993201861E-3</v>
      </c>
      <c r="L58" s="263">
        <f t="shared" si="6"/>
        <v>-5.1370700636942664E-2</v>
      </c>
      <c r="O58" s="265"/>
    </row>
    <row r="59" spans="1:21">
      <c r="A59" s="251">
        <v>38807</v>
      </c>
      <c r="B59">
        <v>78.5</v>
      </c>
      <c r="C59" s="264"/>
      <c r="D59" s="264">
        <f t="shared" si="7"/>
        <v>1.2420492829449445</v>
      </c>
      <c r="E59" s="264">
        <f t="shared" si="3"/>
        <v>97.500868711178143</v>
      </c>
      <c r="F59" s="264">
        <f t="shared" si="1"/>
        <v>9.9439775910364014E-2</v>
      </c>
      <c r="G59">
        <v>5220.8500000000004</v>
      </c>
      <c r="H59" s="263">
        <f t="shared" si="2"/>
        <v>4.4076033157016026E-2</v>
      </c>
      <c r="I59" s="252">
        <v>0.37</v>
      </c>
      <c r="J59">
        <f t="shared" si="4"/>
        <v>3.7000000000000002E-3</v>
      </c>
      <c r="K59" s="252">
        <f t="shared" si="5"/>
        <v>4.0376033157016024E-2</v>
      </c>
      <c r="L59" s="263">
        <f t="shared" si="6"/>
        <v>9.5739775910364019E-2</v>
      </c>
      <c r="O59" s="265"/>
    </row>
    <row r="60" spans="1:21">
      <c r="A60" s="251">
        <v>38776</v>
      </c>
      <c r="B60">
        <v>71.400000000000006</v>
      </c>
      <c r="C60" s="264"/>
      <c r="D60" s="264">
        <f t="shared" si="7"/>
        <v>1.2420492829449445</v>
      </c>
      <c r="E60" s="264">
        <f t="shared" si="3"/>
        <v>88.682318802269052</v>
      </c>
      <c r="F60" s="264">
        <f t="shared" si="1"/>
        <v>-5.3677932405566509E-2</v>
      </c>
      <c r="G60">
        <v>5000.45</v>
      </c>
      <c r="H60" s="263">
        <f t="shared" si="2"/>
        <v>1.0602284968239672E-2</v>
      </c>
      <c r="I60" s="252">
        <v>0.34</v>
      </c>
      <c r="J60">
        <f t="shared" si="4"/>
        <v>3.4000000000000002E-3</v>
      </c>
      <c r="K60" s="252">
        <f t="shared" si="5"/>
        <v>7.2022849682396722E-3</v>
      </c>
      <c r="L60" s="263">
        <f t="shared" si="6"/>
        <v>-5.7077932405566509E-2</v>
      </c>
      <c r="O60" s="265"/>
    </row>
    <row r="61" spans="1:21">
      <c r="A61" s="251">
        <v>38748</v>
      </c>
      <c r="B61">
        <v>75.45</v>
      </c>
      <c r="C61" s="264"/>
      <c r="D61" s="264">
        <f t="shared" si="7"/>
        <v>1.2420492829449445</v>
      </c>
      <c r="E61" s="264">
        <f>B61*D61</f>
        <v>93.712618398196071</v>
      </c>
      <c r="F61" s="264">
        <f>E61/E62-1</f>
        <v>1.9594594594594561E-2</v>
      </c>
      <c r="G61">
        <v>4947.99</v>
      </c>
      <c r="H61" s="263">
        <f>(G61/G62)-1</f>
        <v>4.9363445685576268E-2</v>
      </c>
      <c r="I61" s="252">
        <v>0.35</v>
      </c>
      <c r="J61">
        <f t="shared" si="4"/>
        <v>3.4999999999999996E-3</v>
      </c>
      <c r="K61" s="252">
        <f t="shared" si="5"/>
        <v>4.5863445685576265E-2</v>
      </c>
      <c r="L61" s="263">
        <f t="shared" si="6"/>
        <v>1.6094594594594561E-2</v>
      </c>
      <c r="O61" s="265"/>
    </row>
    <row r="62" spans="1:21">
      <c r="A62" s="251">
        <v>38716</v>
      </c>
      <c r="B62">
        <v>74</v>
      </c>
      <c r="C62" s="264"/>
      <c r="D62" s="264">
        <f t="shared" si="7"/>
        <v>1.2420492829449445</v>
      </c>
      <c r="E62" s="264">
        <f>B62*D62</f>
        <v>91.911646937925894</v>
      </c>
      <c r="F62" s="264">
        <f t="shared" ref="F62:F125" si="8">E62/E63-1</f>
        <v>7.871720116618075E-2</v>
      </c>
      <c r="G62">
        <v>4715.2299999999996</v>
      </c>
      <c r="H62" s="263">
        <f t="shared" ref="H62:H125" si="9">(G62/G63)-1</f>
        <v>3.2364075044718943E-2</v>
      </c>
      <c r="I62" s="252">
        <v>0.32</v>
      </c>
      <c r="J62">
        <f t="shared" si="4"/>
        <v>3.2000000000000002E-3</v>
      </c>
      <c r="K62" s="252">
        <f t="shared" si="5"/>
        <v>2.9164075044718941E-2</v>
      </c>
      <c r="L62" s="263">
        <f t="shared" si="6"/>
        <v>7.5517201166180756E-2</v>
      </c>
      <c r="O62" s="265"/>
    </row>
    <row r="63" spans="1:21">
      <c r="A63" s="253">
        <v>38686</v>
      </c>
      <c r="B63">
        <v>68.599999999999994</v>
      </c>
      <c r="C63" s="264"/>
      <c r="D63" s="264">
        <f t="shared" si="7"/>
        <v>1.2420492829449445</v>
      </c>
      <c r="E63" s="264">
        <f t="shared" ref="E63:E126" si="10">B63*D63</f>
        <v>85.204580810023188</v>
      </c>
      <c r="F63" s="264">
        <f t="shared" si="8"/>
        <v>2.6946107784431073E-2</v>
      </c>
      <c r="G63">
        <v>4567.41</v>
      </c>
      <c r="H63" s="263">
        <f t="shared" si="9"/>
        <v>2.9519097476585987E-2</v>
      </c>
      <c r="I63" s="252">
        <v>0.31</v>
      </c>
      <c r="J63">
        <f t="shared" si="4"/>
        <v>3.0999999999999999E-3</v>
      </c>
      <c r="K63" s="252">
        <f t="shared" si="5"/>
        <v>2.6419097476585988E-2</v>
      </c>
      <c r="L63" s="263">
        <f t="shared" si="6"/>
        <v>2.3846107784431074E-2</v>
      </c>
      <c r="O63" s="265"/>
    </row>
    <row r="64" spans="1:21">
      <c r="A64" s="253">
        <v>38656</v>
      </c>
      <c r="B64">
        <v>66.8</v>
      </c>
      <c r="C64" s="264"/>
      <c r="D64" s="264">
        <f t="shared" si="7"/>
        <v>1.2420492829449445</v>
      </c>
      <c r="E64" s="264">
        <f t="shared" si="10"/>
        <v>82.968892100722286</v>
      </c>
      <c r="F64" s="264">
        <f t="shared" si="8"/>
        <v>-2.836363636363648E-2</v>
      </c>
      <c r="G64">
        <v>4436.45</v>
      </c>
      <c r="H64" s="263">
        <f t="shared" si="9"/>
        <v>-3.5558541049821701E-2</v>
      </c>
      <c r="I64" s="252">
        <v>0.27</v>
      </c>
      <c r="J64">
        <f t="shared" si="4"/>
        <v>2.7000000000000001E-3</v>
      </c>
      <c r="K64" s="252">
        <f t="shared" si="5"/>
        <v>-3.8258541049821702E-2</v>
      </c>
      <c r="L64" s="263">
        <f t="shared" si="6"/>
        <v>-3.1063636363636481E-2</v>
      </c>
      <c r="O64" s="265"/>
    </row>
    <row r="65" spans="1:15">
      <c r="A65" s="253">
        <v>38625</v>
      </c>
      <c r="B65">
        <v>68.75</v>
      </c>
      <c r="C65" s="264"/>
      <c r="D65" s="264">
        <f t="shared" si="7"/>
        <v>1.2420492829449445</v>
      </c>
      <c r="E65" s="264">
        <f t="shared" si="10"/>
        <v>85.390888202464936</v>
      </c>
      <c r="F65" s="264">
        <f t="shared" si="8"/>
        <v>-6.5028901734104361E-3</v>
      </c>
      <c r="G65">
        <v>4600.0200000000004</v>
      </c>
      <c r="H65" s="263">
        <f t="shared" si="9"/>
        <v>4.5611179807972135E-2</v>
      </c>
      <c r="I65" s="252">
        <v>0.28999999999999998</v>
      </c>
      <c r="J65">
        <f t="shared" si="4"/>
        <v>2.8999999999999998E-3</v>
      </c>
      <c r="K65" s="252">
        <f t="shared" si="5"/>
        <v>4.2711179807972136E-2</v>
      </c>
      <c r="L65" s="263">
        <f t="shared" si="6"/>
        <v>-9.4028901734104359E-3</v>
      </c>
      <c r="O65" s="265"/>
    </row>
    <row r="66" spans="1:15">
      <c r="A66" s="253">
        <v>38595</v>
      </c>
      <c r="B66">
        <v>69.2</v>
      </c>
      <c r="C66" s="264"/>
      <c r="D66" s="264">
        <f t="shared" si="7"/>
        <v>1.2420492829449445</v>
      </c>
      <c r="E66" s="264">
        <f t="shared" si="10"/>
        <v>85.949810379790165</v>
      </c>
      <c r="F66" s="264">
        <f t="shared" si="8"/>
        <v>-3.0133146461107208E-2</v>
      </c>
      <c r="G66">
        <v>4399.3599999999997</v>
      </c>
      <c r="H66" s="263">
        <f t="shared" si="9"/>
        <v>-1.1766185805999529E-2</v>
      </c>
      <c r="I66" s="252">
        <v>0.3</v>
      </c>
      <c r="J66">
        <f t="shared" si="4"/>
        <v>3.0000000000000001E-3</v>
      </c>
      <c r="K66" s="252">
        <f t="shared" si="5"/>
        <v>-1.4766185805999529E-2</v>
      </c>
      <c r="L66" s="263">
        <f t="shared" si="6"/>
        <v>-3.313314646110721E-2</v>
      </c>
      <c r="O66" s="265"/>
    </row>
    <row r="67" spans="1:15">
      <c r="A67" s="253">
        <v>38562</v>
      </c>
      <c r="B67">
        <v>71.349999999999994</v>
      </c>
      <c r="C67" s="264"/>
      <c r="D67" s="264">
        <f t="shared" si="7"/>
        <v>1.2420492829449445</v>
      </c>
      <c r="E67" s="264">
        <f t="shared" si="10"/>
        <v>88.620216338121793</v>
      </c>
      <c r="F67" s="264">
        <f t="shared" si="8"/>
        <v>5.0810014727540542E-2</v>
      </c>
      <c r="G67">
        <v>4451.74</v>
      </c>
      <c r="H67" s="263">
        <f t="shared" si="9"/>
        <v>5.2582548145696073E-2</v>
      </c>
      <c r="I67" s="252">
        <v>0.24</v>
      </c>
      <c r="J67">
        <f t="shared" ref="J67:J130" si="11">I67/100</f>
        <v>2.3999999999999998E-3</v>
      </c>
      <c r="K67" s="252">
        <f t="shared" ref="K67:K130" si="12">H67-J67</f>
        <v>5.0182548145696074E-2</v>
      </c>
      <c r="L67" s="263">
        <f t="shared" ref="L67:L130" si="13">F67-J67</f>
        <v>4.8410014727540543E-2</v>
      </c>
      <c r="O67" s="265"/>
    </row>
    <row r="68" spans="1:15">
      <c r="A68" s="253">
        <v>38533</v>
      </c>
      <c r="B68">
        <v>67.900000000000006</v>
      </c>
      <c r="C68" s="264">
        <v>1.2</v>
      </c>
      <c r="D68" s="264">
        <f t="shared" si="7"/>
        <v>1.2420492829449445</v>
      </c>
      <c r="E68" s="264">
        <f t="shared" si="10"/>
        <v>84.335146311961736</v>
      </c>
      <c r="F68" s="264">
        <f t="shared" si="8"/>
        <v>-5.7298772169167789E-2</v>
      </c>
      <c r="G68">
        <v>4229.3500000000004</v>
      </c>
      <c r="H68" s="263">
        <f t="shared" si="9"/>
        <v>2.6359407192415141E-2</v>
      </c>
      <c r="I68" s="252">
        <v>0.23</v>
      </c>
      <c r="J68">
        <f t="shared" si="11"/>
        <v>2.3E-3</v>
      </c>
      <c r="K68" s="252">
        <f t="shared" si="12"/>
        <v>2.4059407192415141E-2</v>
      </c>
      <c r="L68" s="263">
        <f t="shared" si="13"/>
        <v>-5.9598772169167785E-2</v>
      </c>
      <c r="O68" s="265"/>
    </row>
    <row r="69" spans="1:15">
      <c r="A69" s="253">
        <v>38503</v>
      </c>
      <c r="B69">
        <v>73.3</v>
      </c>
      <c r="C69" s="264"/>
      <c r="D69" s="264">
        <f t="shared" si="7"/>
        <v>1.220479686135481</v>
      </c>
      <c r="E69" s="264">
        <f t="shared" si="10"/>
        <v>89.461160993730758</v>
      </c>
      <c r="F69" s="264">
        <f t="shared" si="8"/>
        <v>7.1637426900584833E-2</v>
      </c>
      <c r="G69">
        <v>4120.7299999999996</v>
      </c>
      <c r="H69" s="263">
        <f t="shared" si="9"/>
        <v>5.3434431489041812E-2</v>
      </c>
      <c r="I69" s="252">
        <v>0.24</v>
      </c>
      <c r="J69">
        <f t="shared" si="11"/>
        <v>2.3999999999999998E-3</v>
      </c>
      <c r="K69" s="252">
        <f t="shared" si="12"/>
        <v>5.1034431489041812E-2</v>
      </c>
      <c r="L69" s="263">
        <f t="shared" si="13"/>
        <v>6.9237426900584834E-2</v>
      </c>
      <c r="O69" s="265"/>
    </row>
    <row r="70" spans="1:15">
      <c r="A70" s="253">
        <v>38471</v>
      </c>
      <c r="B70">
        <v>68.400000000000006</v>
      </c>
      <c r="C70" s="264"/>
      <c r="D70" s="264">
        <f t="shared" si="7"/>
        <v>1.220479686135481</v>
      </c>
      <c r="E70" s="264">
        <f t="shared" si="10"/>
        <v>83.480810531666904</v>
      </c>
      <c r="F70" s="264">
        <f t="shared" si="8"/>
        <v>5.1498847040738038E-2</v>
      </c>
      <c r="G70">
        <v>3911.71</v>
      </c>
      <c r="H70" s="263">
        <f t="shared" si="9"/>
        <v>-3.8367365000073761E-2</v>
      </c>
      <c r="I70" s="252">
        <v>0.21</v>
      </c>
      <c r="J70">
        <f t="shared" si="11"/>
        <v>2.0999999999999999E-3</v>
      </c>
      <c r="K70" s="252">
        <f t="shared" si="12"/>
        <v>-4.0467365000073759E-2</v>
      </c>
      <c r="L70" s="263">
        <f t="shared" si="13"/>
        <v>4.9398847040738041E-2</v>
      </c>
      <c r="O70" s="265"/>
    </row>
    <row r="71" spans="1:15">
      <c r="A71" s="253">
        <v>38442</v>
      </c>
      <c r="B71">
        <v>65.05</v>
      </c>
      <c r="C71" s="264"/>
      <c r="D71" s="264">
        <f t="shared" si="7"/>
        <v>1.220479686135481</v>
      </c>
      <c r="E71" s="264">
        <f t="shared" si="10"/>
        <v>79.39220358311303</v>
      </c>
      <c r="F71" s="264">
        <f t="shared" si="8"/>
        <v>7.698675496688745E-2</v>
      </c>
      <c r="G71">
        <v>4067.78</v>
      </c>
      <c r="H71" s="263">
        <f t="shared" si="9"/>
        <v>1.0086512579584817E-2</v>
      </c>
      <c r="I71" s="252">
        <v>0.21</v>
      </c>
      <c r="J71">
        <f t="shared" si="11"/>
        <v>2.0999999999999999E-3</v>
      </c>
      <c r="K71" s="252">
        <f t="shared" si="12"/>
        <v>7.9865125795848171E-3</v>
      </c>
      <c r="L71" s="263">
        <f t="shared" si="13"/>
        <v>7.4886754966887445E-2</v>
      </c>
      <c r="O71" s="265"/>
    </row>
    <row r="72" spans="1:15">
      <c r="A72" s="253">
        <v>38411</v>
      </c>
      <c r="B72">
        <v>60.4</v>
      </c>
      <c r="C72" s="264"/>
      <c r="D72" s="264">
        <f t="shared" si="7"/>
        <v>1.220479686135481</v>
      </c>
      <c r="E72" s="264">
        <f t="shared" si="10"/>
        <v>73.716973042583049</v>
      </c>
      <c r="F72" s="264">
        <f t="shared" si="8"/>
        <v>5.5021834061135255E-2</v>
      </c>
      <c r="G72">
        <v>4027.16</v>
      </c>
      <c r="H72" s="263">
        <f t="shared" si="9"/>
        <v>2.8993098584711552E-2</v>
      </c>
      <c r="I72" s="252">
        <v>0.16</v>
      </c>
      <c r="J72">
        <f t="shared" si="11"/>
        <v>1.6000000000000001E-3</v>
      </c>
      <c r="K72" s="252">
        <f t="shared" si="12"/>
        <v>2.7393098584711551E-2</v>
      </c>
      <c r="L72" s="263">
        <f t="shared" si="13"/>
        <v>5.3421834061135258E-2</v>
      </c>
      <c r="O72" s="265"/>
    </row>
    <row r="73" spans="1:15">
      <c r="A73" s="253">
        <v>38383</v>
      </c>
      <c r="B73">
        <v>57.25</v>
      </c>
      <c r="C73" s="264"/>
      <c r="D73" s="264">
        <f t="shared" si="7"/>
        <v>1.220479686135481</v>
      </c>
      <c r="E73" s="264">
        <f t="shared" si="10"/>
        <v>69.872462031256291</v>
      </c>
      <c r="F73" s="264">
        <f t="shared" si="8"/>
        <v>-2.6360544217687076E-2</v>
      </c>
      <c r="G73">
        <v>3913.69</v>
      </c>
      <c r="H73" s="263">
        <f t="shared" si="9"/>
        <v>2.4215159794408025E-2</v>
      </c>
      <c r="I73" s="252">
        <v>0.16</v>
      </c>
      <c r="J73">
        <f t="shared" si="11"/>
        <v>1.6000000000000001E-3</v>
      </c>
      <c r="K73" s="252">
        <f t="shared" si="12"/>
        <v>2.2615159794408025E-2</v>
      </c>
      <c r="L73" s="263">
        <f t="shared" si="13"/>
        <v>-2.7960544217687077E-2</v>
      </c>
      <c r="O73" s="265"/>
    </row>
    <row r="74" spans="1:15">
      <c r="A74" s="253">
        <v>38352</v>
      </c>
      <c r="B74">
        <v>58.8</v>
      </c>
      <c r="C74" s="264"/>
      <c r="D74" s="264">
        <f t="shared" si="7"/>
        <v>1.220479686135481</v>
      </c>
      <c r="E74" s="264">
        <f t="shared" si="10"/>
        <v>71.764205544766284</v>
      </c>
      <c r="F74" s="264">
        <f t="shared" si="8"/>
        <v>3.7952338923212592E-2</v>
      </c>
      <c r="G74">
        <v>3821.16</v>
      </c>
      <c r="H74" s="263">
        <f t="shared" si="9"/>
        <v>1.7958041958041848E-2</v>
      </c>
      <c r="I74" s="252">
        <v>0.16</v>
      </c>
      <c r="J74">
        <f t="shared" si="11"/>
        <v>1.6000000000000001E-3</v>
      </c>
      <c r="K74" s="252">
        <f t="shared" si="12"/>
        <v>1.6358041958041847E-2</v>
      </c>
      <c r="L74" s="263">
        <f t="shared" si="13"/>
        <v>3.6352338923212595E-2</v>
      </c>
      <c r="O74" s="265"/>
    </row>
    <row r="75" spans="1:15">
      <c r="A75" s="253">
        <v>38321</v>
      </c>
      <c r="B75">
        <v>56.65</v>
      </c>
      <c r="C75" s="264"/>
      <c r="D75" s="264">
        <f t="shared" si="7"/>
        <v>1.220479686135481</v>
      </c>
      <c r="E75" s="264">
        <f t="shared" si="10"/>
        <v>69.140174219575002</v>
      </c>
      <c r="F75" s="264">
        <f t="shared" si="8"/>
        <v>-1.1343804537521818E-2</v>
      </c>
      <c r="G75">
        <v>3753.75</v>
      </c>
      <c r="H75" s="263">
        <f t="shared" si="9"/>
        <v>1.2660447499473815E-2</v>
      </c>
      <c r="I75" s="252">
        <v>0.15</v>
      </c>
      <c r="J75">
        <f t="shared" si="11"/>
        <v>1.5E-3</v>
      </c>
      <c r="K75" s="252">
        <f t="shared" si="12"/>
        <v>1.1160447499473815E-2</v>
      </c>
      <c r="L75" s="263">
        <f t="shared" si="13"/>
        <v>-1.2843804537521817E-2</v>
      </c>
      <c r="O75" s="265"/>
    </row>
    <row r="76" spans="1:15">
      <c r="A76" s="253">
        <v>38289</v>
      </c>
      <c r="B76">
        <v>57.3</v>
      </c>
      <c r="C76" s="264"/>
      <c r="D76" s="264">
        <f t="shared" si="7"/>
        <v>1.220479686135481</v>
      </c>
      <c r="E76" s="264">
        <f t="shared" si="10"/>
        <v>69.933486015563062</v>
      </c>
      <c r="F76" s="264">
        <f t="shared" si="8"/>
        <v>-1.8835616438356073E-2</v>
      </c>
      <c r="G76">
        <v>3706.82</v>
      </c>
      <c r="H76" s="263">
        <f t="shared" si="9"/>
        <v>1.8186512699794877E-2</v>
      </c>
      <c r="I76" s="252">
        <v>0.11</v>
      </c>
      <c r="J76">
        <f t="shared" si="11"/>
        <v>1.1000000000000001E-3</v>
      </c>
      <c r="K76" s="252">
        <f t="shared" si="12"/>
        <v>1.7086512699794876E-2</v>
      </c>
      <c r="L76" s="263">
        <f t="shared" si="13"/>
        <v>-1.9935616438356073E-2</v>
      </c>
      <c r="O76" s="265"/>
    </row>
    <row r="77" spans="1:15">
      <c r="A77" s="253">
        <v>38260</v>
      </c>
      <c r="B77">
        <v>58.4</v>
      </c>
      <c r="C77" s="264"/>
      <c r="D77" s="264">
        <f t="shared" si="7"/>
        <v>1.220479686135481</v>
      </c>
      <c r="E77" s="264">
        <f t="shared" si="10"/>
        <v>71.276013670312082</v>
      </c>
      <c r="F77" s="264">
        <f t="shared" si="8"/>
        <v>0</v>
      </c>
      <c r="G77">
        <v>3640.61</v>
      </c>
      <c r="H77" s="263">
        <f t="shared" si="9"/>
        <v>1.2889925103219513E-2</v>
      </c>
      <c r="I77" s="252">
        <v>0.11</v>
      </c>
      <c r="J77">
        <f t="shared" si="11"/>
        <v>1.1000000000000001E-3</v>
      </c>
      <c r="K77" s="252">
        <f t="shared" si="12"/>
        <v>1.1789925103219513E-2</v>
      </c>
      <c r="L77" s="263">
        <f t="shared" si="13"/>
        <v>-1.1000000000000001E-3</v>
      </c>
      <c r="O77" s="265"/>
    </row>
    <row r="78" spans="1:15">
      <c r="A78" s="253">
        <v>38230</v>
      </c>
      <c r="B78">
        <v>58.4</v>
      </c>
      <c r="C78" s="264"/>
      <c r="D78" s="264">
        <f t="shared" si="7"/>
        <v>1.220479686135481</v>
      </c>
      <c r="E78" s="264">
        <f t="shared" si="10"/>
        <v>71.276013670312082</v>
      </c>
      <c r="F78" s="264">
        <f t="shared" si="8"/>
        <v>5.9891107078039685E-2</v>
      </c>
      <c r="G78">
        <v>3594.28</v>
      </c>
      <c r="H78" s="263">
        <f t="shared" si="9"/>
        <v>-1.4482739711003223E-2</v>
      </c>
      <c r="I78" s="252">
        <v>0.11</v>
      </c>
      <c r="J78">
        <f t="shared" si="11"/>
        <v>1.1000000000000001E-3</v>
      </c>
      <c r="K78" s="252">
        <f t="shared" si="12"/>
        <v>-1.5582739711003223E-2</v>
      </c>
      <c r="L78" s="263">
        <f t="shared" si="13"/>
        <v>5.8791107078039688E-2</v>
      </c>
      <c r="O78" s="265"/>
    </row>
    <row r="79" spans="1:15">
      <c r="A79" s="253">
        <v>38198</v>
      </c>
      <c r="B79">
        <v>55.1</v>
      </c>
      <c r="C79" s="264"/>
      <c r="D79" s="264">
        <f t="shared" si="7"/>
        <v>1.220479686135481</v>
      </c>
      <c r="E79" s="264">
        <f t="shared" si="10"/>
        <v>67.248430706065008</v>
      </c>
      <c r="F79" s="264">
        <f t="shared" si="8"/>
        <v>5.7581573896353211E-2</v>
      </c>
      <c r="G79">
        <v>3647.1</v>
      </c>
      <c r="H79" s="263">
        <f t="shared" si="9"/>
        <v>-2.3008365947939868E-2</v>
      </c>
      <c r="I79" s="252">
        <v>0.1</v>
      </c>
      <c r="J79">
        <f t="shared" si="11"/>
        <v>1E-3</v>
      </c>
      <c r="K79" s="252">
        <f t="shared" si="12"/>
        <v>-2.4008365947939869E-2</v>
      </c>
      <c r="L79" s="263">
        <f t="shared" si="13"/>
        <v>5.658157389635321E-2</v>
      </c>
      <c r="O79" s="265"/>
    </row>
    <row r="80" spans="1:15">
      <c r="A80" s="253">
        <v>38168</v>
      </c>
      <c r="B80">
        <v>52.1</v>
      </c>
      <c r="C80" s="264"/>
      <c r="D80" s="264">
        <f t="shared" si="7"/>
        <v>1.220479686135481</v>
      </c>
      <c r="E80" s="264">
        <f t="shared" si="10"/>
        <v>63.586991647658557</v>
      </c>
      <c r="F80" s="264">
        <f t="shared" si="8"/>
        <v>-3.785780240073866E-2</v>
      </c>
      <c r="G80">
        <v>3732.99</v>
      </c>
      <c r="H80" s="263">
        <f t="shared" si="9"/>
        <v>1.7266045895635074E-2</v>
      </c>
      <c r="I80" s="252">
        <v>0.08</v>
      </c>
      <c r="J80">
        <f t="shared" si="11"/>
        <v>8.0000000000000004E-4</v>
      </c>
      <c r="K80" s="252">
        <f t="shared" si="12"/>
        <v>1.6466045895635075E-2</v>
      </c>
      <c r="L80" s="263">
        <f t="shared" si="13"/>
        <v>-3.8657802400738663E-2</v>
      </c>
      <c r="O80" s="265"/>
    </row>
    <row r="81" spans="1:15">
      <c r="A81" s="253">
        <v>38138</v>
      </c>
      <c r="B81">
        <v>54.15</v>
      </c>
      <c r="C81" s="264">
        <v>1.02</v>
      </c>
      <c r="D81" s="264">
        <f t="shared" si="7"/>
        <v>1.220479686135481</v>
      </c>
      <c r="E81" s="264">
        <f t="shared" si="10"/>
        <v>66.088975004236289</v>
      </c>
      <c r="F81" s="264">
        <f t="shared" si="8"/>
        <v>4.0943396226414963E-2</v>
      </c>
      <c r="G81">
        <v>3669.63</v>
      </c>
      <c r="H81" s="263">
        <f t="shared" si="9"/>
        <v>-1.2655540677357635E-3</v>
      </c>
      <c r="I81" s="252">
        <v>0.06</v>
      </c>
      <c r="J81">
        <f t="shared" si="11"/>
        <v>5.9999999999999995E-4</v>
      </c>
      <c r="K81" s="252">
        <f t="shared" si="12"/>
        <v>-1.8655540677357633E-3</v>
      </c>
      <c r="L81" s="263">
        <f t="shared" si="13"/>
        <v>4.034339622641496E-2</v>
      </c>
      <c r="O81" s="265"/>
    </row>
    <row r="82" spans="1:15">
      <c r="A82" s="253">
        <v>38107</v>
      </c>
      <c r="B82">
        <v>53</v>
      </c>
      <c r="C82" s="264"/>
      <c r="D82" s="264">
        <f t="shared" si="7"/>
        <v>1.1979150807365651</v>
      </c>
      <c r="E82" s="264">
        <f t="shared" si="10"/>
        <v>63.48949927903795</v>
      </c>
      <c r="F82" s="264">
        <f t="shared" si="8"/>
        <v>-2.822201317027262E-3</v>
      </c>
      <c r="G82">
        <v>3674.28</v>
      </c>
      <c r="H82" s="263">
        <f t="shared" si="9"/>
        <v>1.3530176016418372E-2</v>
      </c>
      <c r="I82" s="252">
        <v>0.08</v>
      </c>
      <c r="J82">
        <f t="shared" si="11"/>
        <v>8.0000000000000004E-4</v>
      </c>
      <c r="K82" s="252">
        <f t="shared" si="12"/>
        <v>1.2730176016418371E-2</v>
      </c>
      <c r="L82" s="263">
        <f t="shared" si="13"/>
        <v>-3.6222013170272619E-3</v>
      </c>
      <c r="O82" s="265"/>
    </row>
    <row r="83" spans="1:15">
      <c r="A83" s="253">
        <v>38077</v>
      </c>
      <c r="B83">
        <v>53.15</v>
      </c>
      <c r="C83" s="264"/>
      <c r="D83" s="264">
        <f t="shared" si="7"/>
        <v>1.1979150807365651</v>
      </c>
      <c r="E83" s="264">
        <f t="shared" si="10"/>
        <v>63.669186541148434</v>
      </c>
      <c r="F83" s="264">
        <f t="shared" si="8"/>
        <v>-3.3636363636363464E-2</v>
      </c>
      <c r="G83">
        <v>3625.23</v>
      </c>
      <c r="H83" s="263">
        <f t="shared" si="9"/>
        <v>-2.6898836110633928E-2</v>
      </c>
      <c r="I83" s="252">
        <v>0.09</v>
      </c>
      <c r="J83">
        <f t="shared" si="11"/>
        <v>8.9999999999999998E-4</v>
      </c>
      <c r="K83" s="252">
        <f t="shared" si="12"/>
        <v>-2.7798836110633929E-2</v>
      </c>
      <c r="L83" s="263">
        <f t="shared" si="13"/>
        <v>-3.4536363636363462E-2</v>
      </c>
      <c r="O83" s="265"/>
    </row>
    <row r="84" spans="1:15">
      <c r="A84" s="253">
        <v>38044</v>
      </c>
      <c r="B84">
        <v>55</v>
      </c>
      <c r="C84" s="264"/>
      <c r="D84" s="264">
        <f t="shared" si="7"/>
        <v>1.1979150807365651</v>
      </c>
      <c r="E84" s="264">
        <f t="shared" si="10"/>
        <v>65.885329440511072</v>
      </c>
      <c r="F84" s="264">
        <f t="shared" si="8"/>
        <v>-3.8461538461538547E-2</v>
      </c>
      <c r="G84">
        <v>3725.44</v>
      </c>
      <c r="H84" s="263">
        <f t="shared" si="9"/>
        <v>2.391134662107941E-2</v>
      </c>
      <c r="I84" s="252">
        <v>0.06</v>
      </c>
      <c r="J84">
        <f t="shared" si="11"/>
        <v>5.9999999999999995E-4</v>
      </c>
      <c r="K84" s="252">
        <f t="shared" si="12"/>
        <v>2.331134662107941E-2</v>
      </c>
      <c r="L84" s="263">
        <f t="shared" si="13"/>
        <v>-3.906153846153855E-2</v>
      </c>
      <c r="O84" s="265"/>
    </row>
    <row r="85" spans="1:15">
      <c r="A85" s="253">
        <v>38016</v>
      </c>
      <c r="B85">
        <v>57.2</v>
      </c>
      <c r="C85" s="264"/>
      <c r="D85" s="264">
        <f t="shared" si="7"/>
        <v>1.1979150807365651</v>
      </c>
      <c r="E85" s="264">
        <f t="shared" si="10"/>
        <v>68.520742618131521</v>
      </c>
      <c r="F85" s="264">
        <f t="shared" si="8"/>
        <v>-4.1876046901172637E-2</v>
      </c>
      <c r="G85">
        <v>3638.44</v>
      </c>
      <c r="H85" s="263">
        <f t="shared" si="9"/>
        <v>2.2636948761910025E-2</v>
      </c>
      <c r="I85" s="252">
        <v>7.0000000000000007E-2</v>
      </c>
      <c r="J85">
        <f t="shared" si="11"/>
        <v>7.000000000000001E-4</v>
      </c>
      <c r="K85" s="252">
        <f t="shared" si="12"/>
        <v>2.1936948761910026E-2</v>
      </c>
      <c r="L85" s="263">
        <f t="shared" si="13"/>
        <v>-4.2576046901172636E-2</v>
      </c>
      <c r="O85" s="265"/>
    </row>
    <row r="86" spans="1:15">
      <c r="A86" s="253">
        <v>37986</v>
      </c>
      <c r="B86">
        <v>59.7</v>
      </c>
      <c r="C86" s="264"/>
      <c r="D86" s="264">
        <f t="shared" si="7"/>
        <v>1.1979150807365651</v>
      </c>
      <c r="E86" s="264">
        <f t="shared" si="10"/>
        <v>71.515530319972939</v>
      </c>
      <c r="F86" s="264">
        <f t="shared" si="8"/>
        <v>5.663716814159292E-2</v>
      </c>
      <c r="G86">
        <v>3557.9</v>
      </c>
      <c r="H86" s="263">
        <f t="shared" si="9"/>
        <v>3.8866616639268381E-2</v>
      </c>
      <c r="I86" s="252">
        <v>0.08</v>
      </c>
      <c r="J86">
        <f t="shared" si="11"/>
        <v>8.0000000000000004E-4</v>
      </c>
      <c r="K86" s="252">
        <f t="shared" si="12"/>
        <v>3.8066616639268379E-2</v>
      </c>
      <c r="L86" s="263">
        <f t="shared" si="13"/>
        <v>5.5837168141592917E-2</v>
      </c>
      <c r="O86" s="265"/>
    </row>
    <row r="87" spans="1:15">
      <c r="A87" s="253">
        <v>37953</v>
      </c>
      <c r="B87">
        <v>56.5</v>
      </c>
      <c r="C87" s="264"/>
      <c r="D87" s="264">
        <f t="shared" si="7"/>
        <v>1.1979150807365651</v>
      </c>
      <c r="E87" s="264">
        <f t="shared" si="10"/>
        <v>67.682202061615925</v>
      </c>
      <c r="F87" s="264">
        <f t="shared" si="8"/>
        <v>6.1032863849765251E-2</v>
      </c>
      <c r="G87">
        <v>3424.79</v>
      </c>
      <c r="H87" s="263">
        <f t="shared" si="9"/>
        <v>1.529408277007005E-2</v>
      </c>
      <c r="I87" s="252">
        <v>7.0000000000000007E-2</v>
      </c>
      <c r="J87">
        <f t="shared" si="11"/>
        <v>7.000000000000001E-4</v>
      </c>
      <c r="K87" s="252">
        <f t="shared" si="12"/>
        <v>1.4594082770070051E-2</v>
      </c>
      <c r="L87" s="263">
        <f t="shared" si="13"/>
        <v>6.0332863849765252E-2</v>
      </c>
      <c r="O87" s="265"/>
    </row>
    <row r="88" spans="1:15">
      <c r="A88" s="253">
        <v>37925</v>
      </c>
      <c r="B88">
        <v>53.25</v>
      </c>
      <c r="C88" s="264"/>
      <c r="D88" s="264">
        <f t="shared" si="7"/>
        <v>1.1979150807365651</v>
      </c>
      <c r="E88" s="264">
        <f t="shared" si="10"/>
        <v>63.788978049222088</v>
      </c>
      <c r="F88" s="264">
        <f t="shared" si="8"/>
        <v>2.0114942528735469E-2</v>
      </c>
      <c r="G88">
        <v>3373.2</v>
      </c>
      <c r="H88" s="263">
        <f t="shared" si="9"/>
        <v>7.5984293410824355E-2</v>
      </c>
      <c r="I88" s="252">
        <v>7.0000000000000007E-2</v>
      </c>
      <c r="J88">
        <f t="shared" si="11"/>
        <v>7.000000000000001E-4</v>
      </c>
      <c r="K88" s="252">
        <f t="shared" si="12"/>
        <v>7.5284293410824349E-2</v>
      </c>
      <c r="L88" s="263">
        <f t="shared" si="13"/>
        <v>1.941494252873547E-2</v>
      </c>
      <c r="O88" s="265"/>
    </row>
    <row r="89" spans="1:15">
      <c r="A89" s="253">
        <v>37894</v>
      </c>
      <c r="B89">
        <v>52.2</v>
      </c>
      <c r="C89" s="264"/>
      <c r="D89" s="264">
        <f t="shared" si="7"/>
        <v>1.1979150807365651</v>
      </c>
      <c r="E89" s="264">
        <f t="shared" si="10"/>
        <v>62.531167214448701</v>
      </c>
      <c r="F89" s="264">
        <f t="shared" si="8"/>
        <v>1.953125E-2</v>
      </c>
      <c r="G89">
        <v>3134.99</v>
      </c>
      <c r="H89" s="263">
        <f t="shared" si="9"/>
        <v>-5.3279257841047145E-2</v>
      </c>
      <c r="I89" s="252">
        <v>0.08</v>
      </c>
      <c r="J89">
        <f t="shared" si="11"/>
        <v>8.0000000000000004E-4</v>
      </c>
      <c r="K89" s="252">
        <f t="shared" si="12"/>
        <v>-5.4079257841047147E-2</v>
      </c>
      <c r="L89" s="263">
        <f t="shared" si="13"/>
        <v>1.8731250000000001E-2</v>
      </c>
      <c r="O89" s="265"/>
    </row>
    <row r="90" spans="1:15">
      <c r="A90" s="253">
        <v>37862</v>
      </c>
      <c r="B90">
        <v>51.2</v>
      </c>
      <c r="C90" s="264"/>
      <c r="D90" s="264">
        <f t="shared" si="7"/>
        <v>1.1979150807365651</v>
      </c>
      <c r="E90" s="264">
        <f t="shared" si="10"/>
        <v>61.333252133712136</v>
      </c>
      <c r="F90" s="264">
        <f t="shared" si="8"/>
        <v>2.1956087824351433E-2</v>
      </c>
      <c r="G90">
        <v>3311.42</v>
      </c>
      <c r="H90" s="263">
        <f t="shared" si="9"/>
        <v>3.1508253199886704E-2</v>
      </c>
      <c r="I90" s="252">
        <v>7.0000000000000007E-2</v>
      </c>
      <c r="J90">
        <f t="shared" si="11"/>
        <v>7.000000000000001E-4</v>
      </c>
      <c r="K90" s="252">
        <f t="shared" si="12"/>
        <v>3.0808253199886705E-2</v>
      </c>
      <c r="L90" s="263">
        <f t="shared" si="13"/>
        <v>2.1256087824351434E-2</v>
      </c>
      <c r="O90" s="265"/>
    </row>
    <row r="91" spans="1:15">
      <c r="A91" s="253">
        <v>37833</v>
      </c>
      <c r="B91">
        <v>50.1</v>
      </c>
      <c r="C91" s="264"/>
      <c r="D91" s="264">
        <f t="shared" si="7"/>
        <v>1.1979150807365651</v>
      </c>
      <c r="E91" s="264">
        <f t="shared" si="10"/>
        <v>60.015545544901912</v>
      </c>
      <c r="F91" s="264">
        <f t="shared" si="8"/>
        <v>-1.7647058823529349E-2</v>
      </c>
      <c r="G91">
        <v>3210.27</v>
      </c>
      <c r="H91" s="263">
        <f t="shared" si="9"/>
        <v>4.0909827826594469E-2</v>
      </c>
      <c r="I91" s="252">
        <v>7.0000000000000007E-2</v>
      </c>
      <c r="J91">
        <f t="shared" si="11"/>
        <v>7.000000000000001E-4</v>
      </c>
      <c r="K91" s="252">
        <f t="shared" si="12"/>
        <v>4.020982782659447E-2</v>
      </c>
      <c r="L91" s="263">
        <f t="shared" si="13"/>
        <v>-1.8347058823529348E-2</v>
      </c>
      <c r="O91" s="265"/>
    </row>
    <row r="92" spans="1:15">
      <c r="A92" s="253">
        <v>37802</v>
      </c>
      <c r="B92">
        <v>51</v>
      </c>
      <c r="C92" s="264">
        <v>0.84</v>
      </c>
      <c r="D92" s="264">
        <f t="shared" si="7"/>
        <v>1.1979150807365651</v>
      </c>
      <c r="E92" s="264">
        <f t="shared" si="10"/>
        <v>61.093669117564815</v>
      </c>
      <c r="F92" s="264">
        <f t="shared" si="8"/>
        <v>-4.6182152713891478E-2</v>
      </c>
      <c r="G92">
        <v>3084.1</v>
      </c>
      <c r="H92" s="263">
        <f t="shared" si="9"/>
        <v>3.0868220940920787E-2</v>
      </c>
      <c r="I92" s="252">
        <v>0.1</v>
      </c>
      <c r="J92">
        <f t="shared" si="11"/>
        <v>1E-3</v>
      </c>
      <c r="K92" s="252">
        <f t="shared" si="12"/>
        <v>2.9868220940920787E-2</v>
      </c>
      <c r="L92" s="263">
        <f t="shared" si="13"/>
        <v>-4.7182152713891479E-2</v>
      </c>
      <c r="O92" s="265"/>
    </row>
    <row r="93" spans="1:15">
      <c r="A93" s="253">
        <v>37771</v>
      </c>
      <c r="B93">
        <v>54.35</v>
      </c>
      <c r="C93" s="264"/>
      <c r="D93" s="264">
        <f t="shared" si="7"/>
        <v>1.1785044197061114</v>
      </c>
      <c r="E93" s="264">
        <f t="shared" si="10"/>
        <v>64.051715211027158</v>
      </c>
      <c r="F93" s="264">
        <f t="shared" si="8"/>
        <v>1.6838166510757757E-2</v>
      </c>
      <c r="G93">
        <v>2991.75</v>
      </c>
      <c r="H93" s="263">
        <f t="shared" si="9"/>
        <v>1.2892435512430245E-2</v>
      </c>
      <c r="I93" s="252">
        <v>0.09</v>
      </c>
      <c r="J93">
        <f t="shared" si="11"/>
        <v>8.9999999999999998E-4</v>
      </c>
      <c r="K93" s="252">
        <f t="shared" si="12"/>
        <v>1.1992435512430245E-2</v>
      </c>
      <c r="L93" s="263">
        <f t="shared" si="13"/>
        <v>1.5938166510757756E-2</v>
      </c>
      <c r="O93" s="265"/>
    </row>
    <row r="94" spans="1:15">
      <c r="A94" s="253">
        <v>37741</v>
      </c>
      <c r="B94">
        <v>53.45</v>
      </c>
      <c r="C94" s="264"/>
      <c r="D94" s="264">
        <f t="shared" si="7"/>
        <v>1.1785044197061114</v>
      </c>
      <c r="E94" s="264">
        <f t="shared" si="10"/>
        <v>62.99106123329166</v>
      </c>
      <c r="F94" s="264">
        <f t="shared" si="8"/>
        <v>0.15918455866406434</v>
      </c>
      <c r="G94">
        <v>2953.67</v>
      </c>
      <c r="H94" s="263">
        <f t="shared" si="9"/>
        <v>0.12801799531022051</v>
      </c>
      <c r="I94" s="252">
        <v>0.1</v>
      </c>
      <c r="J94">
        <f t="shared" si="11"/>
        <v>1E-3</v>
      </c>
      <c r="K94" s="252">
        <f t="shared" si="12"/>
        <v>0.12701799531022051</v>
      </c>
      <c r="L94" s="263">
        <f t="shared" si="13"/>
        <v>0.15818455866406433</v>
      </c>
      <c r="O94" s="265"/>
    </row>
    <row r="95" spans="1:15">
      <c r="A95" s="253">
        <v>37711</v>
      </c>
      <c r="B95">
        <v>46.11</v>
      </c>
      <c r="C95" s="264"/>
      <c r="D95" s="264">
        <f t="shared" si="7"/>
        <v>1.1785044197061114</v>
      </c>
      <c r="E95" s="264">
        <f t="shared" si="10"/>
        <v>54.340838792648796</v>
      </c>
      <c r="F95" s="264">
        <f t="shared" si="8"/>
        <v>-7.0737605804111259E-2</v>
      </c>
      <c r="G95">
        <v>2618.46</v>
      </c>
      <c r="H95" s="263">
        <f t="shared" si="9"/>
        <v>-4.9239852291336095E-2</v>
      </c>
      <c r="I95" s="252">
        <v>0.1</v>
      </c>
      <c r="J95">
        <f t="shared" si="11"/>
        <v>1E-3</v>
      </c>
      <c r="K95" s="252">
        <f t="shared" si="12"/>
        <v>-5.0239852291336096E-2</v>
      </c>
      <c r="L95" s="263">
        <f t="shared" si="13"/>
        <v>-7.173760580411126E-2</v>
      </c>
      <c r="O95" s="265"/>
    </row>
    <row r="96" spans="1:15">
      <c r="A96" s="253">
        <v>37680</v>
      </c>
      <c r="B96">
        <v>49.62</v>
      </c>
      <c r="C96" s="264"/>
      <c r="D96" s="264">
        <f t="shared" si="7"/>
        <v>1.1785044197061114</v>
      </c>
      <c r="E96" s="264">
        <f t="shared" si="10"/>
        <v>58.477389305817248</v>
      </c>
      <c r="F96" s="264">
        <f t="shared" si="8"/>
        <v>1.9938335046248756E-2</v>
      </c>
      <c r="G96">
        <v>2754.07</v>
      </c>
      <c r="H96" s="263">
        <f t="shared" si="9"/>
        <v>-6.2565523438670056E-2</v>
      </c>
      <c r="I96" s="252">
        <v>0.09</v>
      </c>
      <c r="J96">
        <f t="shared" si="11"/>
        <v>8.9999999999999998E-4</v>
      </c>
      <c r="K96" s="252">
        <f t="shared" si="12"/>
        <v>-6.3465523438670055E-2</v>
      </c>
      <c r="L96" s="263">
        <f t="shared" si="13"/>
        <v>1.9038335046248755E-2</v>
      </c>
      <c r="O96" s="265"/>
    </row>
    <row r="97" spans="1:15">
      <c r="A97" s="253">
        <v>37652</v>
      </c>
      <c r="B97">
        <v>48.65</v>
      </c>
      <c r="C97" s="264"/>
      <c r="D97" s="264">
        <f t="shared" si="7"/>
        <v>1.1785044197061114</v>
      </c>
      <c r="E97" s="264">
        <f t="shared" si="10"/>
        <v>57.334240018702317</v>
      </c>
      <c r="F97" s="264">
        <f t="shared" si="8"/>
        <v>-0.16480686695278968</v>
      </c>
      <c r="G97">
        <v>2937.88</v>
      </c>
      <c r="H97" s="263">
        <f t="shared" si="9"/>
        <v>-4.1133714763162077E-2</v>
      </c>
      <c r="I97" s="252">
        <v>0.1</v>
      </c>
      <c r="J97">
        <f t="shared" si="11"/>
        <v>1E-3</v>
      </c>
      <c r="K97" s="252">
        <f t="shared" si="12"/>
        <v>-4.2133714763162078E-2</v>
      </c>
      <c r="L97" s="263">
        <f t="shared" si="13"/>
        <v>-0.16580686695278968</v>
      </c>
      <c r="O97" s="265"/>
    </row>
    <row r="98" spans="1:15">
      <c r="A98" s="253">
        <v>37621</v>
      </c>
      <c r="B98">
        <v>58.25</v>
      </c>
      <c r="C98" s="264"/>
      <c r="D98" s="264">
        <f t="shared" si="7"/>
        <v>1.1785044197061114</v>
      </c>
      <c r="E98" s="264">
        <f t="shared" si="10"/>
        <v>68.647882447880988</v>
      </c>
      <c r="F98" s="264">
        <f t="shared" si="8"/>
        <v>-1.9360269360269466E-2</v>
      </c>
      <c r="G98">
        <v>3063.91</v>
      </c>
      <c r="H98" s="263">
        <f t="shared" si="9"/>
        <v>-7.8980355613004094E-2</v>
      </c>
      <c r="I98" s="252">
        <v>0.11</v>
      </c>
      <c r="J98">
        <f t="shared" si="11"/>
        <v>1.1000000000000001E-3</v>
      </c>
      <c r="K98" s="252">
        <f t="shared" si="12"/>
        <v>-8.0080355613004098E-2</v>
      </c>
      <c r="L98" s="263">
        <f t="shared" si="13"/>
        <v>-2.0460269360269467E-2</v>
      </c>
      <c r="O98" s="265"/>
    </row>
    <row r="99" spans="1:15">
      <c r="A99" s="253">
        <v>37589</v>
      </c>
      <c r="B99">
        <v>59.4</v>
      </c>
      <c r="C99" s="264"/>
      <c r="D99" s="264">
        <f t="shared" si="7"/>
        <v>1.1785044197061114</v>
      </c>
      <c r="E99" s="264">
        <f t="shared" si="10"/>
        <v>70.003162530543023</v>
      </c>
      <c r="F99" s="264">
        <f t="shared" si="8"/>
        <v>-3.805668016194319E-2</v>
      </c>
      <c r="G99">
        <v>3326.65</v>
      </c>
      <c r="H99" s="263">
        <f t="shared" si="9"/>
        <v>5.6065954718035327E-2</v>
      </c>
      <c r="I99" s="252">
        <v>0.12</v>
      </c>
      <c r="J99">
        <f t="shared" si="11"/>
        <v>1.1999999999999999E-3</v>
      </c>
      <c r="K99" s="252">
        <f t="shared" si="12"/>
        <v>5.4865954718035327E-2</v>
      </c>
      <c r="L99" s="263">
        <f t="shared" si="13"/>
        <v>-3.925668016194319E-2</v>
      </c>
      <c r="O99" s="265"/>
    </row>
    <row r="100" spans="1:15">
      <c r="A100" s="253">
        <v>37560</v>
      </c>
      <c r="B100">
        <v>61.75</v>
      </c>
      <c r="C100" s="264"/>
      <c r="D100" s="264">
        <f t="shared" si="7"/>
        <v>1.1785044197061114</v>
      </c>
      <c r="E100" s="264">
        <f t="shared" si="10"/>
        <v>72.772647916852378</v>
      </c>
      <c r="F100" s="264">
        <f t="shared" si="8"/>
        <v>8.238387379491674E-2</v>
      </c>
      <c r="G100">
        <v>3150.04</v>
      </c>
      <c r="H100" s="263">
        <f t="shared" si="9"/>
        <v>0.13414822949108007</v>
      </c>
      <c r="I100" s="252">
        <v>0.14000000000000001</v>
      </c>
      <c r="J100">
        <f t="shared" si="11"/>
        <v>1.4000000000000002E-3</v>
      </c>
      <c r="K100" s="252">
        <f t="shared" si="12"/>
        <v>0.13274822949108006</v>
      </c>
      <c r="L100" s="263">
        <f t="shared" si="13"/>
        <v>8.0983873794916741E-2</v>
      </c>
      <c r="O100" s="265"/>
    </row>
    <row r="101" spans="1:15">
      <c r="A101" s="253">
        <v>37529</v>
      </c>
      <c r="B101">
        <v>57.05</v>
      </c>
      <c r="C101" s="264"/>
      <c r="D101" s="264">
        <f t="shared" si="7"/>
        <v>1.1785044197061114</v>
      </c>
      <c r="E101" s="264">
        <f t="shared" si="10"/>
        <v>67.233677144233653</v>
      </c>
      <c r="F101" s="264">
        <f t="shared" si="8"/>
        <v>-6.7048242027800575E-2</v>
      </c>
      <c r="G101">
        <v>2777.45</v>
      </c>
      <c r="H101" s="263">
        <f t="shared" si="9"/>
        <v>-0.17490293237795629</v>
      </c>
      <c r="I101" s="252">
        <v>0.14000000000000001</v>
      </c>
      <c r="J101">
        <f t="shared" si="11"/>
        <v>1.4000000000000002E-3</v>
      </c>
      <c r="K101" s="252">
        <f t="shared" si="12"/>
        <v>-0.1763029323779563</v>
      </c>
      <c r="L101" s="263">
        <f t="shared" si="13"/>
        <v>-6.8448242027800574E-2</v>
      </c>
      <c r="O101" s="265"/>
    </row>
    <row r="102" spans="1:15">
      <c r="A102" s="253">
        <v>37498</v>
      </c>
      <c r="B102">
        <v>61.15</v>
      </c>
      <c r="C102" s="264"/>
      <c r="D102" s="264">
        <f t="shared" si="7"/>
        <v>1.1785044197061114</v>
      </c>
      <c r="E102" s="264">
        <f t="shared" si="10"/>
        <v>72.065545265028717</v>
      </c>
      <c r="F102" s="264">
        <f t="shared" si="8"/>
        <v>1.5780730897009931E-2</v>
      </c>
      <c r="G102">
        <v>3366.21</v>
      </c>
      <c r="H102" s="263">
        <f t="shared" si="9"/>
        <v>-1.4396641076542038E-2</v>
      </c>
      <c r="I102" s="252">
        <v>0.14000000000000001</v>
      </c>
      <c r="J102">
        <f t="shared" si="11"/>
        <v>1.4000000000000002E-3</v>
      </c>
      <c r="K102" s="252">
        <f t="shared" si="12"/>
        <v>-1.5796641076542037E-2</v>
      </c>
      <c r="L102" s="263">
        <f t="shared" si="13"/>
        <v>1.4380730897009931E-2</v>
      </c>
      <c r="O102" s="265"/>
    </row>
    <row r="103" spans="1:15">
      <c r="A103" s="253">
        <v>37468</v>
      </c>
      <c r="B103">
        <v>60.2</v>
      </c>
      <c r="C103" s="264"/>
      <c r="D103" s="264">
        <f t="shared" si="7"/>
        <v>1.1785044197061114</v>
      </c>
      <c r="E103" s="264">
        <f t="shared" si="10"/>
        <v>70.945966066307918</v>
      </c>
      <c r="F103" s="264">
        <f t="shared" si="8"/>
        <v>-2.2727272727272485E-2</v>
      </c>
      <c r="G103">
        <v>3415.38</v>
      </c>
      <c r="H103" s="263">
        <f t="shared" si="9"/>
        <v>-0.12380996359662277</v>
      </c>
      <c r="I103" s="252">
        <v>0.15</v>
      </c>
      <c r="J103">
        <f t="shared" si="11"/>
        <v>1.5E-3</v>
      </c>
      <c r="K103" s="252">
        <f t="shared" si="12"/>
        <v>-0.12530996359662278</v>
      </c>
      <c r="L103" s="263">
        <f t="shared" si="13"/>
        <v>-2.4227272727272486E-2</v>
      </c>
      <c r="O103" s="265"/>
    </row>
    <row r="104" spans="1:15">
      <c r="A104" s="253">
        <v>37435</v>
      </c>
      <c r="B104">
        <v>61.6</v>
      </c>
      <c r="C104" s="264">
        <v>0.66</v>
      </c>
      <c r="D104" s="264">
        <f t="shared" si="7"/>
        <v>1.1785044197061114</v>
      </c>
      <c r="E104" s="264">
        <f t="shared" si="10"/>
        <v>72.595872253896459</v>
      </c>
      <c r="F104" s="264">
        <f t="shared" si="8"/>
        <v>-4.1416474210931642E-2</v>
      </c>
      <c r="G104">
        <v>3897.99</v>
      </c>
      <c r="H104" s="263">
        <f t="shared" si="9"/>
        <v>-8.8112683173319994E-2</v>
      </c>
      <c r="I104" s="252">
        <v>0.13</v>
      </c>
      <c r="J104">
        <f t="shared" si="11"/>
        <v>1.2999999999999999E-3</v>
      </c>
      <c r="K104" s="252">
        <f t="shared" si="12"/>
        <v>-8.941268317331999E-2</v>
      </c>
      <c r="L104" s="263">
        <f t="shared" si="13"/>
        <v>-4.2716474210931644E-2</v>
      </c>
      <c r="O104" s="265"/>
    </row>
    <row r="105" spans="1:15">
      <c r="A105" s="253">
        <v>37407</v>
      </c>
      <c r="B105">
        <v>64.95</v>
      </c>
      <c r="C105" s="264"/>
      <c r="D105" s="264">
        <f t="shared" si="7"/>
        <v>1.1660114399919124</v>
      </c>
      <c r="E105" s="264">
        <f t="shared" si="10"/>
        <v>75.732443027474716</v>
      </c>
      <c r="F105" s="264">
        <f t="shared" si="8"/>
        <v>-8.5855031667839365E-2</v>
      </c>
      <c r="G105">
        <v>4274.6400000000003</v>
      </c>
      <c r="H105" s="263">
        <f t="shared" si="9"/>
        <v>-4.2148993667567303E-2</v>
      </c>
      <c r="I105" s="252">
        <v>0.14000000000000001</v>
      </c>
      <c r="J105">
        <f t="shared" si="11"/>
        <v>1.4000000000000002E-3</v>
      </c>
      <c r="K105" s="252">
        <f t="shared" si="12"/>
        <v>-4.3548993667567301E-2</v>
      </c>
      <c r="L105" s="263">
        <f t="shared" si="13"/>
        <v>-8.7255031667839364E-2</v>
      </c>
      <c r="O105" s="265"/>
    </row>
    <row r="106" spans="1:15">
      <c r="A106" s="253">
        <v>37376</v>
      </c>
      <c r="B106">
        <v>71.05</v>
      </c>
      <c r="C106" s="264"/>
      <c r="D106" s="264">
        <f t="shared" si="7"/>
        <v>1.1660114399919124</v>
      </c>
      <c r="E106" s="264">
        <f t="shared" si="10"/>
        <v>82.845112811425366</v>
      </c>
      <c r="F106" s="264">
        <f t="shared" si="8"/>
        <v>-3.4646739130434701E-2</v>
      </c>
      <c r="G106">
        <v>4462.74</v>
      </c>
      <c r="H106" s="263">
        <f t="shared" si="9"/>
        <v>-4.8054402498282967E-2</v>
      </c>
      <c r="I106" s="252">
        <v>0.15</v>
      </c>
      <c r="J106">
        <f t="shared" si="11"/>
        <v>1.5E-3</v>
      </c>
      <c r="K106" s="252">
        <f t="shared" si="12"/>
        <v>-4.9554402498282968E-2</v>
      </c>
      <c r="L106" s="263">
        <f t="shared" si="13"/>
        <v>-3.6146739130434702E-2</v>
      </c>
      <c r="O106" s="265"/>
    </row>
    <row r="107" spans="1:15">
      <c r="A107" s="253">
        <v>37344</v>
      </c>
      <c r="B107">
        <v>73.599999999999994</v>
      </c>
      <c r="C107" s="264"/>
      <c r="D107" s="264">
        <f t="shared" si="7"/>
        <v>1.1660114399919124</v>
      </c>
      <c r="E107" s="264">
        <f t="shared" si="10"/>
        <v>85.818441983404739</v>
      </c>
      <c r="F107" s="264">
        <f t="shared" si="8"/>
        <v>-3.0303030303030387E-2</v>
      </c>
      <c r="G107">
        <v>4688.0200000000004</v>
      </c>
      <c r="H107" s="263">
        <f t="shared" si="9"/>
        <v>5.0421354293870513E-2</v>
      </c>
      <c r="I107" s="252">
        <v>0.13</v>
      </c>
      <c r="J107">
        <f t="shared" si="11"/>
        <v>1.2999999999999999E-3</v>
      </c>
      <c r="K107" s="252">
        <f t="shared" si="12"/>
        <v>4.912135429387051E-2</v>
      </c>
      <c r="L107" s="263">
        <f t="shared" si="13"/>
        <v>-3.160303030303039E-2</v>
      </c>
      <c r="O107" s="265"/>
    </row>
    <row r="108" spans="1:15">
      <c r="A108" s="253">
        <v>37315</v>
      </c>
      <c r="B108">
        <v>75.900000000000006</v>
      </c>
      <c r="C108" s="264"/>
      <c r="D108" s="264">
        <f t="shared" si="7"/>
        <v>1.1660114399919124</v>
      </c>
      <c r="E108" s="264">
        <f t="shared" si="10"/>
        <v>88.500268295386149</v>
      </c>
      <c r="F108" s="264">
        <f t="shared" si="8"/>
        <v>-2.4421593830334154E-2</v>
      </c>
      <c r="G108">
        <v>4462.99</v>
      </c>
      <c r="H108" s="263">
        <f t="shared" si="9"/>
        <v>2.5101582968578562E-4</v>
      </c>
      <c r="I108" s="252">
        <v>0.13</v>
      </c>
      <c r="J108">
        <f t="shared" si="11"/>
        <v>1.2999999999999999E-3</v>
      </c>
      <c r="K108" s="252">
        <f t="shared" si="12"/>
        <v>-1.0489841703142143E-3</v>
      </c>
      <c r="L108" s="263">
        <f t="shared" si="13"/>
        <v>-2.5721593830334153E-2</v>
      </c>
      <c r="O108" s="265"/>
    </row>
    <row r="109" spans="1:15">
      <c r="A109" s="253">
        <v>37287</v>
      </c>
      <c r="B109">
        <v>77.8</v>
      </c>
      <c r="C109" s="264"/>
      <c r="D109" s="264">
        <f t="shared" si="7"/>
        <v>1.1660114399919124</v>
      </c>
      <c r="E109" s="264">
        <f t="shared" si="10"/>
        <v>90.715690031370784</v>
      </c>
      <c r="F109" s="264">
        <f t="shared" si="8"/>
        <v>-7.1599045346062096E-2</v>
      </c>
      <c r="G109">
        <v>4461.87</v>
      </c>
      <c r="H109" s="263">
        <f t="shared" si="9"/>
        <v>-3.5183735604098154E-2</v>
      </c>
      <c r="I109" s="252">
        <v>0.14000000000000001</v>
      </c>
      <c r="J109">
        <f t="shared" si="11"/>
        <v>1.4000000000000002E-3</v>
      </c>
      <c r="K109" s="252">
        <f t="shared" si="12"/>
        <v>-3.6583735604098153E-2</v>
      </c>
      <c r="L109" s="263">
        <f t="shared" si="13"/>
        <v>-7.2999045346062094E-2</v>
      </c>
      <c r="O109" s="265"/>
    </row>
    <row r="110" spans="1:15">
      <c r="A110" s="253">
        <v>37256</v>
      </c>
      <c r="B110">
        <v>83.8</v>
      </c>
      <c r="C110" s="264"/>
      <c r="D110" s="264">
        <f t="shared" si="7"/>
        <v>1.1660114399919124</v>
      </c>
      <c r="E110" s="264">
        <f t="shared" si="10"/>
        <v>97.711758671322258</v>
      </c>
      <c r="F110" s="264">
        <f t="shared" si="8"/>
        <v>8.2687338501292063E-2</v>
      </c>
      <c r="G110">
        <v>4624.58</v>
      </c>
      <c r="H110" s="263">
        <f t="shared" si="9"/>
        <v>3.3180967189894606E-2</v>
      </c>
      <c r="I110" s="252">
        <v>0.15</v>
      </c>
      <c r="J110">
        <f t="shared" si="11"/>
        <v>1.5E-3</v>
      </c>
      <c r="K110" s="252">
        <f t="shared" si="12"/>
        <v>3.1680967189894604E-2</v>
      </c>
      <c r="L110" s="263">
        <f t="shared" si="13"/>
        <v>8.1187338501292061E-2</v>
      </c>
      <c r="O110" s="265"/>
    </row>
    <row r="111" spans="1:15">
      <c r="A111" s="253">
        <v>37225</v>
      </c>
      <c r="B111">
        <v>77.400000000000006</v>
      </c>
      <c r="C111" s="264"/>
      <c r="D111" s="264">
        <f t="shared" si="7"/>
        <v>1.1660114399919124</v>
      </c>
      <c r="E111" s="264">
        <f t="shared" si="10"/>
        <v>90.249285455374022</v>
      </c>
      <c r="F111" s="264">
        <f t="shared" si="8"/>
        <v>5.6655290102389122E-2</v>
      </c>
      <c r="G111">
        <v>4476.0600000000004</v>
      </c>
      <c r="H111" s="263">
        <f t="shared" si="9"/>
        <v>3.1043768096579605E-2</v>
      </c>
      <c r="I111" s="252">
        <v>0.17</v>
      </c>
      <c r="J111">
        <f t="shared" si="11"/>
        <v>1.7000000000000001E-3</v>
      </c>
      <c r="K111" s="252">
        <f t="shared" si="12"/>
        <v>2.9343768096579605E-2</v>
      </c>
      <c r="L111" s="263">
        <f t="shared" si="13"/>
        <v>5.4955290102389122E-2</v>
      </c>
      <c r="O111" s="265"/>
    </row>
    <row r="112" spans="1:15">
      <c r="A112" s="253">
        <v>37195</v>
      </c>
      <c r="B112">
        <v>73.25</v>
      </c>
      <c r="C112" s="264"/>
      <c r="D112" s="264">
        <f t="shared" si="7"/>
        <v>1.1660114399919124</v>
      </c>
      <c r="E112" s="264">
        <f t="shared" si="10"/>
        <v>85.410337979407586</v>
      </c>
      <c r="F112" s="264">
        <f t="shared" si="8"/>
        <v>2.447552447552459E-2</v>
      </c>
      <c r="G112">
        <v>4341.29</v>
      </c>
      <c r="H112" s="263">
        <f t="shared" si="9"/>
        <v>6.4297306706022628E-2</v>
      </c>
      <c r="I112" s="252">
        <v>0.22</v>
      </c>
      <c r="J112">
        <f t="shared" si="11"/>
        <v>2.2000000000000001E-3</v>
      </c>
      <c r="K112" s="252">
        <f t="shared" si="12"/>
        <v>6.2097306706022627E-2</v>
      </c>
      <c r="L112" s="263">
        <f t="shared" si="13"/>
        <v>2.227552447552459E-2</v>
      </c>
      <c r="O112" s="265"/>
    </row>
    <row r="113" spans="1:15">
      <c r="A113" s="253">
        <v>37162</v>
      </c>
      <c r="B113">
        <v>71.5</v>
      </c>
      <c r="C113" s="264"/>
      <c r="D113" s="264">
        <f t="shared" si="7"/>
        <v>1.1660114399919124</v>
      </c>
      <c r="E113" s="264">
        <f t="shared" si="10"/>
        <v>83.369817959421738</v>
      </c>
      <c r="F113" s="264">
        <f t="shared" si="8"/>
        <v>-7.6335877862594437E-3</v>
      </c>
      <c r="G113">
        <v>4079.02</v>
      </c>
      <c r="H113" s="263">
        <f t="shared" si="9"/>
        <v>-0.13015051158585222</v>
      </c>
      <c r="I113" s="252">
        <v>0.28000000000000003</v>
      </c>
      <c r="J113">
        <f t="shared" si="11"/>
        <v>2.8000000000000004E-3</v>
      </c>
      <c r="K113" s="252">
        <f t="shared" si="12"/>
        <v>-0.13295051158585222</v>
      </c>
      <c r="L113" s="263">
        <f t="shared" si="13"/>
        <v>-1.0433587786259444E-2</v>
      </c>
      <c r="O113" s="265"/>
    </row>
    <row r="114" spans="1:15">
      <c r="A114" s="253">
        <v>37134</v>
      </c>
      <c r="B114">
        <v>72.05</v>
      </c>
      <c r="C114" s="264"/>
      <c r="D114" s="264">
        <f t="shared" si="7"/>
        <v>1.1660114399919124</v>
      </c>
      <c r="E114" s="264">
        <f t="shared" si="10"/>
        <v>84.011124251417286</v>
      </c>
      <c r="F114" s="264">
        <f t="shared" si="8"/>
        <v>3.4818941504177747E-3</v>
      </c>
      <c r="G114">
        <v>4689.34</v>
      </c>
      <c r="H114" s="263">
        <f t="shared" si="9"/>
        <v>-7.7901724704110276E-2</v>
      </c>
      <c r="I114" s="252">
        <v>0.31</v>
      </c>
      <c r="J114">
        <f t="shared" si="11"/>
        <v>3.0999999999999999E-3</v>
      </c>
      <c r="K114" s="252">
        <f t="shared" si="12"/>
        <v>-8.1001724704110281E-2</v>
      </c>
      <c r="L114" s="263">
        <f t="shared" si="13"/>
        <v>3.8189415041777483E-4</v>
      </c>
      <c r="O114" s="265"/>
    </row>
    <row r="115" spans="1:15">
      <c r="A115" s="253">
        <v>37103</v>
      </c>
      <c r="B115">
        <v>71.8</v>
      </c>
      <c r="C115" s="264"/>
      <c r="D115" s="264">
        <f t="shared" si="7"/>
        <v>1.1660114399919124</v>
      </c>
      <c r="E115" s="264">
        <f t="shared" si="10"/>
        <v>83.719621391419309</v>
      </c>
      <c r="F115" s="264">
        <f t="shared" si="8"/>
        <v>-7.3548387096774248E-2</v>
      </c>
      <c r="G115">
        <v>5085.51</v>
      </c>
      <c r="H115" s="263">
        <f t="shared" si="9"/>
        <v>-2.6758118626000638E-2</v>
      </c>
      <c r="I115" s="252">
        <v>0.3</v>
      </c>
      <c r="J115">
        <f t="shared" si="11"/>
        <v>3.0000000000000001E-3</v>
      </c>
      <c r="K115" s="252">
        <f t="shared" si="12"/>
        <v>-2.9758118626000637E-2</v>
      </c>
      <c r="L115" s="263">
        <f t="shared" si="13"/>
        <v>-7.6548387096774251E-2</v>
      </c>
      <c r="O115" s="265"/>
    </row>
    <row r="116" spans="1:15">
      <c r="A116" s="253">
        <v>37071</v>
      </c>
      <c r="B116">
        <v>77.5</v>
      </c>
      <c r="C116" s="264">
        <v>0.44</v>
      </c>
      <c r="D116" s="264">
        <f t="shared" si="7"/>
        <v>1.1660114399919124</v>
      </c>
      <c r="E116" s="264">
        <f t="shared" si="10"/>
        <v>90.365886599373212</v>
      </c>
      <c r="F116" s="264">
        <f t="shared" si="8"/>
        <v>7.503448275862068E-2</v>
      </c>
      <c r="G116">
        <v>5225.33</v>
      </c>
      <c r="H116" s="263">
        <f t="shared" si="9"/>
        <v>-4.1960401086137411E-2</v>
      </c>
      <c r="I116" s="252">
        <v>0.28000000000000003</v>
      </c>
      <c r="J116">
        <f t="shared" si="11"/>
        <v>2.8000000000000004E-3</v>
      </c>
      <c r="K116" s="252">
        <f t="shared" si="12"/>
        <v>-4.4760401086137408E-2</v>
      </c>
      <c r="L116" s="263">
        <f t="shared" si="13"/>
        <v>7.2234482758620683E-2</v>
      </c>
      <c r="O116" s="265"/>
    </row>
    <row r="117" spans="1:15">
      <c r="A117" s="253">
        <v>37042</v>
      </c>
      <c r="B117">
        <v>72.5</v>
      </c>
      <c r="D117" s="264">
        <f t="shared" si="7"/>
        <v>1.1594288760504645</v>
      </c>
      <c r="E117" s="264">
        <f t="shared" si="10"/>
        <v>84.058593513658678</v>
      </c>
      <c r="F117" s="264">
        <f t="shared" si="8"/>
        <v>7.248520710059192E-2</v>
      </c>
      <c r="G117">
        <v>5454.19</v>
      </c>
      <c r="H117" s="263">
        <f t="shared" si="9"/>
        <v>-3.2950179343017694E-2</v>
      </c>
      <c r="I117" s="252">
        <v>0.32</v>
      </c>
      <c r="J117">
        <f t="shared" si="11"/>
        <v>3.2000000000000002E-3</v>
      </c>
      <c r="K117" s="252">
        <f t="shared" si="12"/>
        <v>-3.6150179343017695E-2</v>
      </c>
      <c r="L117" s="263">
        <f t="shared" si="13"/>
        <v>6.9285207100591925E-2</v>
      </c>
      <c r="O117" s="265"/>
    </row>
    <row r="118" spans="1:15">
      <c r="A118" s="253">
        <v>37011</v>
      </c>
      <c r="B118">
        <v>67.599999999999994</v>
      </c>
      <c r="D118" s="264">
        <f t="shared" si="7"/>
        <v>1.1594288760504645</v>
      </c>
      <c r="E118" s="264">
        <f t="shared" si="10"/>
        <v>78.377392021011389</v>
      </c>
      <c r="F118" s="264">
        <f t="shared" si="8"/>
        <v>6.9620253164556667E-2</v>
      </c>
      <c r="G118">
        <v>5640.03</v>
      </c>
      <c r="H118" s="263">
        <f t="shared" si="9"/>
        <v>8.8714300881197472E-2</v>
      </c>
      <c r="I118" s="252">
        <v>0.39</v>
      </c>
      <c r="J118">
        <f t="shared" si="11"/>
        <v>3.9000000000000003E-3</v>
      </c>
      <c r="K118" s="252">
        <f t="shared" si="12"/>
        <v>8.4814300881197471E-2</v>
      </c>
      <c r="L118" s="263">
        <f t="shared" si="13"/>
        <v>6.5720253164556666E-2</v>
      </c>
      <c r="O118" s="265"/>
    </row>
    <row r="119" spans="1:15">
      <c r="A119" s="253">
        <v>36980</v>
      </c>
      <c r="B119">
        <v>63.2</v>
      </c>
      <c r="D119" s="264">
        <f t="shared" si="7"/>
        <v>1.1594288760504645</v>
      </c>
      <c r="E119" s="264">
        <f t="shared" si="10"/>
        <v>73.275904966389362</v>
      </c>
      <c r="F119" s="264">
        <f t="shared" si="8"/>
        <v>7.118644067796609E-2</v>
      </c>
      <c r="G119">
        <v>5180.45</v>
      </c>
      <c r="H119" s="263">
        <f t="shared" si="9"/>
        <v>-3.4845029697362584E-2</v>
      </c>
      <c r="I119" s="252">
        <v>0.42</v>
      </c>
      <c r="J119">
        <f t="shared" si="11"/>
        <v>4.1999999999999997E-3</v>
      </c>
      <c r="K119" s="252">
        <f t="shared" si="12"/>
        <v>-3.9045029697362586E-2</v>
      </c>
      <c r="L119" s="263">
        <f t="shared" si="13"/>
        <v>6.6986440677966094E-2</v>
      </c>
      <c r="O119" s="265"/>
    </row>
    <row r="120" spans="1:15">
      <c r="A120" s="253">
        <v>36950</v>
      </c>
      <c r="B120">
        <v>59</v>
      </c>
      <c r="D120" s="264">
        <f t="shared" si="7"/>
        <v>1.1594288760504645</v>
      </c>
      <c r="E120" s="264">
        <f t="shared" si="10"/>
        <v>68.406303686977409</v>
      </c>
      <c r="F120" s="264">
        <f t="shared" si="8"/>
        <v>-4.6849757673667058E-2</v>
      </c>
      <c r="G120">
        <v>5367.48</v>
      </c>
      <c r="H120" s="263">
        <f t="shared" si="9"/>
        <v>-0.10519480735985232</v>
      </c>
      <c r="I120" s="252">
        <v>0.38</v>
      </c>
      <c r="J120">
        <f t="shared" si="11"/>
        <v>3.8E-3</v>
      </c>
      <c r="K120" s="252">
        <f t="shared" si="12"/>
        <v>-0.10899480735985231</v>
      </c>
      <c r="L120" s="263">
        <f t="shared" si="13"/>
        <v>-5.0649757673667056E-2</v>
      </c>
      <c r="O120" s="265"/>
    </row>
    <row r="121" spans="1:15">
      <c r="A121" s="253">
        <v>36922</v>
      </c>
      <c r="B121">
        <v>61.9</v>
      </c>
      <c r="D121" s="264">
        <f t="shared" ref="D121:D184" si="14">(D122*C121)/B121+D122</f>
        <v>1.1594288760504645</v>
      </c>
      <c r="E121" s="264">
        <f t="shared" si="10"/>
        <v>71.768647427523746</v>
      </c>
      <c r="F121" s="264">
        <f t="shared" si="8"/>
        <v>-0.12816901408450709</v>
      </c>
      <c r="G121">
        <v>5998.49</v>
      </c>
      <c r="H121" s="263">
        <f t="shared" si="9"/>
        <v>1.2160798593417121E-2</v>
      </c>
      <c r="I121" s="252">
        <v>0.54</v>
      </c>
      <c r="J121">
        <f t="shared" si="11"/>
        <v>5.4000000000000003E-3</v>
      </c>
      <c r="K121" s="252">
        <f t="shared" si="12"/>
        <v>6.7607985934171212E-3</v>
      </c>
      <c r="L121" s="263">
        <f t="shared" si="13"/>
        <v>-0.13356901408450708</v>
      </c>
      <c r="O121" s="265"/>
    </row>
    <row r="122" spans="1:15">
      <c r="A122" s="253">
        <v>36889</v>
      </c>
      <c r="B122">
        <v>71</v>
      </c>
      <c r="D122" s="264">
        <f t="shared" si="14"/>
        <v>1.1594288760504645</v>
      </c>
      <c r="E122" s="264">
        <f t="shared" si="10"/>
        <v>82.319450199582974</v>
      </c>
      <c r="F122" s="264">
        <f t="shared" si="8"/>
        <v>1.4285714285714235E-2</v>
      </c>
      <c r="G122">
        <v>5926.42</v>
      </c>
      <c r="H122" s="263">
        <f t="shared" si="9"/>
        <v>-2.8002321156261889E-4</v>
      </c>
      <c r="I122" s="252">
        <v>0.5</v>
      </c>
      <c r="J122">
        <f t="shared" si="11"/>
        <v>5.0000000000000001E-3</v>
      </c>
      <c r="K122" s="252">
        <f t="shared" si="12"/>
        <v>-5.280023211562619E-3</v>
      </c>
      <c r="L122" s="263">
        <f t="shared" si="13"/>
        <v>9.285714285714234E-3</v>
      </c>
      <c r="O122" s="265"/>
    </row>
    <row r="123" spans="1:15">
      <c r="A123" s="253">
        <v>36860</v>
      </c>
      <c r="B123">
        <v>70</v>
      </c>
      <c r="D123" s="264">
        <f t="shared" si="14"/>
        <v>1.1594288760504645</v>
      </c>
      <c r="E123" s="264">
        <f t="shared" si="10"/>
        <v>81.160021323532519</v>
      </c>
      <c r="F123" s="264">
        <f t="shared" si="8"/>
        <v>0.12903225806451601</v>
      </c>
      <c r="G123">
        <v>5928.08</v>
      </c>
      <c r="H123" s="263">
        <f t="shared" si="9"/>
        <v>-7.3398711403857009E-2</v>
      </c>
      <c r="I123" s="252">
        <v>0.51</v>
      </c>
      <c r="J123">
        <f t="shared" si="11"/>
        <v>5.1000000000000004E-3</v>
      </c>
      <c r="K123" s="252">
        <f t="shared" si="12"/>
        <v>-7.8498711403857002E-2</v>
      </c>
      <c r="L123" s="263">
        <f t="shared" si="13"/>
        <v>0.12393225806451602</v>
      </c>
      <c r="O123" s="265"/>
    </row>
    <row r="124" spans="1:15">
      <c r="A124" s="253">
        <v>36830</v>
      </c>
      <c r="B124">
        <v>62</v>
      </c>
      <c r="D124" s="264">
        <f t="shared" si="14"/>
        <v>1.1594288760504645</v>
      </c>
      <c r="E124" s="264">
        <f t="shared" si="10"/>
        <v>71.884590315128804</v>
      </c>
      <c r="F124" s="264">
        <f t="shared" si="8"/>
        <v>1.8062397372742289E-2</v>
      </c>
      <c r="G124">
        <v>6397.66</v>
      </c>
      <c r="H124" s="263">
        <f t="shared" si="9"/>
        <v>2.0909164894049814E-2</v>
      </c>
      <c r="I124" s="252">
        <v>0.56000000000000005</v>
      </c>
      <c r="J124">
        <f t="shared" si="11"/>
        <v>5.6000000000000008E-3</v>
      </c>
      <c r="K124" s="252">
        <f t="shared" si="12"/>
        <v>1.5309164894049813E-2</v>
      </c>
      <c r="L124" s="263">
        <f t="shared" si="13"/>
        <v>1.2462397372742288E-2</v>
      </c>
      <c r="O124" s="265"/>
    </row>
    <row r="125" spans="1:15">
      <c r="A125" s="253">
        <v>36798</v>
      </c>
      <c r="B125">
        <v>60.9</v>
      </c>
      <c r="D125" s="264">
        <f t="shared" si="14"/>
        <v>1.1594288760504645</v>
      </c>
      <c r="E125" s="264">
        <f t="shared" si="10"/>
        <v>70.60921855147329</v>
      </c>
      <c r="F125" s="264">
        <f t="shared" si="8"/>
        <v>0.10928961748633892</v>
      </c>
      <c r="G125">
        <v>6266.63</v>
      </c>
      <c r="H125" s="263">
        <f t="shared" si="9"/>
        <v>-5.4153548001485197E-2</v>
      </c>
      <c r="I125" s="252">
        <v>0.51</v>
      </c>
      <c r="J125">
        <f t="shared" si="11"/>
        <v>5.1000000000000004E-3</v>
      </c>
      <c r="K125" s="252">
        <f t="shared" si="12"/>
        <v>-5.9253548001485197E-2</v>
      </c>
      <c r="L125" s="263">
        <f t="shared" si="13"/>
        <v>0.10418961748633893</v>
      </c>
      <c r="O125" s="265"/>
    </row>
    <row r="126" spans="1:15">
      <c r="A126" s="253">
        <v>36769</v>
      </c>
      <c r="B126">
        <v>54.9</v>
      </c>
      <c r="D126" s="264">
        <f t="shared" si="14"/>
        <v>1.1594288760504645</v>
      </c>
      <c r="E126" s="264">
        <f t="shared" si="10"/>
        <v>63.652645295170501</v>
      </c>
      <c r="F126" s="264">
        <f t="shared" ref="F126:F189" si="15">E126/E127-1</f>
        <v>-4.6046915725456161E-2</v>
      </c>
      <c r="G126">
        <v>6625.42</v>
      </c>
      <c r="H126" s="263">
        <f t="shared" ref="H126:H189" si="16">(G126/G127)-1</f>
        <v>1.2675602102563355E-2</v>
      </c>
      <c r="I126" s="252">
        <v>0.5</v>
      </c>
      <c r="J126">
        <f t="shared" si="11"/>
        <v>5.0000000000000001E-3</v>
      </c>
      <c r="K126" s="252">
        <f t="shared" si="12"/>
        <v>7.6756021025633546E-3</v>
      </c>
      <c r="L126" s="263">
        <f t="shared" si="13"/>
        <v>-5.1046915725456159E-2</v>
      </c>
      <c r="O126" s="265"/>
    </row>
    <row r="127" spans="1:15">
      <c r="A127" s="253">
        <v>36738</v>
      </c>
      <c r="B127">
        <v>57.55</v>
      </c>
      <c r="D127" s="264">
        <f t="shared" si="14"/>
        <v>1.1594288760504645</v>
      </c>
      <c r="E127" s="264">
        <f t="shared" ref="E127:E190" si="17">B127*D127</f>
        <v>66.725131816704234</v>
      </c>
      <c r="F127" s="264">
        <f t="shared" si="15"/>
        <v>0.15330661322645289</v>
      </c>
      <c r="G127">
        <v>6542.49</v>
      </c>
      <c r="H127" s="263">
        <f t="shared" si="16"/>
        <v>1.4883953252442295E-2</v>
      </c>
      <c r="I127" s="252">
        <v>0.48</v>
      </c>
      <c r="J127">
        <f t="shared" si="11"/>
        <v>4.7999999999999996E-3</v>
      </c>
      <c r="K127" s="252">
        <f t="shared" si="12"/>
        <v>1.0083953252442296E-2</v>
      </c>
      <c r="L127" s="263">
        <f t="shared" si="13"/>
        <v>0.14850661322645289</v>
      </c>
      <c r="O127" s="265"/>
    </row>
    <row r="128" spans="1:15">
      <c r="A128" s="253">
        <v>36707</v>
      </c>
      <c r="B128">
        <v>49.9</v>
      </c>
      <c r="C128" s="272">
        <v>0.32</v>
      </c>
      <c r="D128" s="264">
        <f t="shared" si="14"/>
        <v>1.1594288760504645</v>
      </c>
      <c r="E128" s="264">
        <f t="shared" si="17"/>
        <v>57.855500914918181</v>
      </c>
      <c r="F128" s="264">
        <f t="shared" si="15"/>
        <v>7.4224598930481278E-2</v>
      </c>
      <c r="G128">
        <v>6446.54</v>
      </c>
      <c r="H128" s="263">
        <f t="shared" si="16"/>
        <v>3.1558013525752049E-3</v>
      </c>
      <c r="I128" s="252">
        <v>0.4</v>
      </c>
      <c r="J128">
        <f t="shared" si="11"/>
        <v>4.0000000000000001E-3</v>
      </c>
      <c r="K128" s="252">
        <f t="shared" si="12"/>
        <v>-8.441986474247952E-4</v>
      </c>
      <c r="L128" s="263">
        <f t="shared" si="13"/>
        <v>7.0224598930481275E-2</v>
      </c>
      <c r="O128" s="265"/>
    </row>
    <row r="129" spans="1:15">
      <c r="A129" s="253">
        <v>36677</v>
      </c>
      <c r="B129">
        <v>46.75</v>
      </c>
      <c r="D129" s="264">
        <f t="shared" si="14"/>
        <v>1.1520410377323413</v>
      </c>
      <c r="E129" s="264">
        <f t="shared" si="17"/>
        <v>53.857918513986959</v>
      </c>
      <c r="F129" s="264">
        <f t="shared" si="15"/>
        <v>0.13885505481120597</v>
      </c>
      <c r="G129">
        <v>6426.26</v>
      </c>
      <c r="H129" s="263">
        <f t="shared" si="16"/>
        <v>1.0187360196394213E-3</v>
      </c>
      <c r="I129" s="252">
        <v>0.5</v>
      </c>
      <c r="J129">
        <f t="shared" si="11"/>
        <v>5.0000000000000001E-3</v>
      </c>
      <c r="K129" s="252">
        <f t="shared" si="12"/>
        <v>-3.9812639803605788E-3</v>
      </c>
      <c r="L129" s="263">
        <f t="shared" si="13"/>
        <v>0.13385505481120596</v>
      </c>
      <c r="O129" s="265"/>
    </row>
    <row r="130" spans="1:15">
      <c r="A130" s="253">
        <v>36644</v>
      </c>
      <c r="B130">
        <v>41.05</v>
      </c>
      <c r="D130" s="264">
        <f t="shared" si="14"/>
        <v>1.1520410377323413</v>
      </c>
      <c r="E130" s="264">
        <f t="shared" si="17"/>
        <v>47.291284598912611</v>
      </c>
      <c r="F130" s="264">
        <f t="shared" si="15"/>
        <v>3.0112923462986219E-2</v>
      </c>
      <c r="G130">
        <v>6419.72</v>
      </c>
      <c r="H130" s="263">
        <f t="shared" si="16"/>
        <v>2.1264546098106241E-2</v>
      </c>
      <c r="I130" s="252">
        <v>0.46</v>
      </c>
      <c r="J130">
        <f t="shared" si="11"/>
        <v>4.5999999999999999E-3</v>
      </c>
      <c r="K130" s="252">
        <f t="shared" si="12"/>
        <v>1.6664546098106241E-2</v>
      </c>
      <c r="L130" s="263">
        <f t="shared" si="13"/>
        <v>2.5512923462986219E-2</v>
      </c>
      <c r="O130" s="265"/>
    </row>
    <row r="131" spans="1:15">
      <c r="A131" s="253">
        <v>36616</v>
      </c>
      <c r="B131">
        <v>39.85</v>
      </c>
      <c r="D131" s="264">
        <f t="shared" si="14"/>
        <v>1.1520410377323413</v>
      </c>
      <c r="E131" s="264">
        <f t="shared" si="17"/>
        <v>45.908835353633805</v>
      </c>
      <c r="F131" s="264">
        <f t="shared" si="15"/>
        <v>-3.500875218804711E-3</v>
      </c>
      <c r="G131">
        <v>6286.05</v>
      </c>
      <c r="H131" s="263">
        <f t="shared" si="16"/>
        <v>1.5359491904324951E-2</v>
      </c>
      <c r="I131" s="252">
        <v>0.47</v>
      </c>
      <c r="J131">
        <f t="shared" ref="J131:J194" si="18">I131/100</f>
        <v>4.6999999999999993E-3</v>
      </c>
      <c r="K131" s="252">
        <f t="shared" ref="K131:K194" si="19">H131-J131</f>
        <v>1.0659491904324952E-2</v>
      </c>
      <c r="L131" s="263">
        <f t="shared" ref="L131:L194" si="20">F131-J131</f>
        <v>-8.2008752188047103E-3</v>
      </c>
      <c r="O131" s="265"/>
    </row>
    <row r="132" spans="1:15">
      <c r="A132" s="253">
        <v>36585</v>
      </c>
      <c r="B132">
        <v>39.99</v>
      </c>
      <c r="D132" s="264">
        <f t="shared" si="14"/>
        <v>1.1520410377323413</v>
      </c>
      <c r="E132" s="264">
        <f t="shared" si="17"/>
        <v>46.070121098916331</v>
      </c>
      <c r="F132" s="264">
        <f t="shared" si="15"/>
        <v>3.8701298701298681E-2</v>
      </c>
      <c r="G132">
        <v>6190.96</v>
      </c>
      <c r="H132" s="263">
        <f t="shared" si="16"/>
        <v>9.384590648802682E-2</v>
      </c>
      <c r="I132" s="252">
        <v>0.43</v>
      </c>
      <c r="J132">
        <f t="shared" si="18"/>
        <v>4.3E-3</v>
      </c>
      <c r="K132" s="252">
        <f t="shared" si="19"/>
        <v>8.9545906488026822E-2</v>
      </c>
      <c r="L132" s="263">
        <f t="shared" si="20"/>
        <v>3.4401298701298683E-2</v>
      </c>
      <c r="O132" s="265"/>
    </row>
    <row r="133" spans="1:15">
      <c r="A133" s="253">
        <v>36556</v>
      </c>
      <c r="B133">
        <v>38.5</v>
      </c>
      <c r="D133" s="264">
        <f t="shared" si="14"/>
        <v>1.1520410377323413</v>
      </c>
      <c r="E133" s="264">
        <f t="shared" si="17"/>
        <v>44.353579952695142</v>
      </c>
      <c r="F133" s="264">
        <f t="shared" si="15"/>
        <v>-6.8698597000483863E-2</v>
      </c>
      <c r="G133">
        <v>5659.81</v>
      </c>
      <c r="H133" s="263">
        <f t="shared" si="16"/>
        <v>-5.0099692530780393E-2</v>
      </c>
      <c r="I133" s="252">
        <v>0.41</v>
      </c>
      <c r="J133">
        <f t="shared" si="18"/>
        <v>4.0999999999999995E-3</v>
      </c>
      <c r="K133" s="252">
        <f t="shared" si="19"/>
        <v>-5.4199692530780393E-2</v>
      </c>
      <c r="L133" s="263">
        <f t="shared" si="20"/>
        <v>-7.2798597000483856E-2</v>
      </c>
      <c r="O133" s="265"/>
    </row>
    <row r="134" spans="1:15">
      <c r="A134" s="253">
        <v>36525</v>
      </c>
      <c r="B134">
        <v>41.34</v>
      </c>
      <c r="D134" s="264">
        <f t="shared" si="14"/>
        <v>1.1520410377323413</v>
      </c>
      <c r="E134" s="264">
        <f t="shared" si="17"/>
        <v>47.625376499854994</v>
      </c>
      <c r="F134" s="264">
        <f t="shared" si="15"/>
        <v>1.0757946210268932E-2</v>
      </c>
      <c r="G134">
        <v>5958.32</v>
      </c>
      <c r="H134" s="263">
        <f t="shared" si="16"/>
        <v>0.11545186666217355</v>
      </c>
      <c r="I134" s="252">
        <v>0.44</v>
      </c>
      <c r="J134">
        <f t="shared" si="18"/>
        <v>4.4000000000000003E-3</v>
      </c>
      <c r="K134" s="252">
        <f t="shared" si="19"/>
        <v>0.11105186666217355</v>
      </c>
      <c r="L134" s="263">
        <f t="shared" si="20"/>
        <v>6.3579462102689313E-3</v>
      </c>
      <c r="O134" s="265"/>
    </row>
    <row r="135" spans="1:15">
      <c r="A135" s="253">
        <v>36494</v>
      </c>
      <c r="B135">
        <v>40.9</v>
      </c>
      <c r="D135" s="264">
        <f t="shared" si="14"/>
        <v>1.1520410377323413</v>
      </c>
      <c r="E135" s="264">
        <f t="shared" si="17"/>
        <v>47.118478443252762</v>
      </c>
      <c r="F135" s="264">
        <f t="shared" si="15"/>
        <v>-2.5029797377830731E-2</v>
      </c>
      <c r="G135">
        <v>5341.62</v>
      </c>
      <c r="H135" s="263">
        <f t="shared" si="16"/>
        <v>9.2664187439400081E-2</v>
      </c>
      <c r="I135" s="252">
        <v>0.36</v>
      </c>
      <c r="J135">
        <f t="shared" si="18"/>
        <v>3.5999999999999999E-3</v>
      </c>
      <c r="K135" s="252">
        <f t="shared" si="19"/>
        <v>8.9064187439400075E-2</v>
      </c>
      <c r="L135" s="263">
        <f t="shared" si="20"/>
        <v>-2.862979737783073E-2</v>
      </c>
      <c r="O135" s="265"/>
    </row>
    <row r="136" spans="1:15">
      <c r="A136" s="253">
        <v>36462</v>
      </c>
      <c r="B136">
        <v>41.95</v>
      </c>
      <c r="D136" s="264">
        <f t="shared" si="14"/>
        <v>1.1520410377323413</v>
      </c>
      <c r="E136" s="264">
        <f t="shared" si="17"/>
        <v>48.32812153287172</v>
      </c>
      <c r="F136" s="264">
        <f t="shared" si="15"/>
        <v>4.8750000000000071E-2</v>
      </c>
      <c r="G136">
        <v>4888.62</v>
      </c>
      <c r="H136" s="263">
        <f t="shared" si="16"/>
        <v>6.4729430110946007E-2</v>
      </c>
      <c r="I136" s="252">
        <v>0.39</v>
      </c>
      <c r="J136">
        <f t="shared" si="18"/>
        <v>3.9000000000000003E-3</v>
      </c>
      <c r="K136" s="252">
        <f t="shared" si="19"/>
        <v>6.0829430110946006E-2</v>
      </c>
      <c r="L136" s="263">
        <f t="shared" si="20"/>
        <v>4.485000000000007E-2</v>
      </c>
      <c r="O136" s="265"/>
    </row>
    <row r="137" spans="1:15">
      <c r="A137" s="253">
        <v>36433</v>
      </c>
      <c r="B137">
        <v>40</v>
      </c>
      <c r="D137" s="264">
        <f t="shared" si="14"/>
        <v>1.1520410377323413</v>
      </c>
      <c r="E137" s="264">
        <f t="shared" si="17"/>
        <v>46.081641509293654</v>
      </c>
      <c r="F137" s="264">
        <f t="shared" si="15"/>
        <v>1.5228426395939021E-2</v>
      </c>
      <c r="G137">
        <v>4591.42</v>
      </c>
      <c r="H137" s="263">
        <f t="shared" si="16"/>
        <v>4.7938429624205803E-4</v>
      </c>
      <c r="I137" s="252">
        <v>0.39</v>
      </c>
      <c r="J137">
        <f t="shared" si="18"/>
        <v>3.9000000000000003E-3</v>
      </c>
      <c r="K137" s="252">
        <f t="shared" si="19"/>
        <v>-3.4206157037579422E-3</v>
      </c>
      <c r="L137" s="263">
        <f t="shared" si="20"/>
        <v>1.132842639593902E-2</v>
      </c>
      <c r="O137" s="265"/>
    </row>
    <row r="138" spans="1:15">
      <c r="A138" s="253">
        <v>36403</v>
      </c>
      <c r="B138">
        <v>39.4</v>
      </c>
      <c r="D138" s="264">
        <f t="shared" si="14"/>
        <v>1.1520410377323413</v>
      </c>
      <c r="E138" s="264">
        <f t="shared" si="17"/>
        <v>45.390416886654251</v>
      </c>
      <c r="F138" s="264">
        <f t="shared" si="15"/>
        <v>1.4157014157013981E-2</v>
      </c>
      <c r="G138">
        <v>4589.22</v>
      </c>
      <c r="H138" s="263">
        <f t="shared" si="16"/>
        <v>4.7274569494712537E-2</v>
      </c>
      <c r="I138" s="252">
        <v>0.39</v>
      </c>
      <c r="J138">
        <f t="shared" si="18"/>
        <v>3.9000000000000003E-3</v>
      </c>
      <c r="K138" s="252">
        <f t="shared" si="19"/>
        <v>4.3374569494712537E-2</v>
      </c>
      <c r="L138" s="263">
        <f t="shared" si="20"/>
        <v>1.025701415701398E-2</v>
      </c>
      <c r="O138" s="265"/>
    </row>
    <row r="139" spans="1:15">
      <c r="A139" s="253">
        <v>36371</v>
      </c>
      <c r="B139">
        <v>38.85</v>
      </c>
      <c r="D139" s="264">
        <f t="shared" si="14"/>
        <v>1.1520410377323413</v>
      </c>
      <c r="E139" s="264">
        <f t="shared" si="17"/>
        <v>44.756794315901466</v>
      </c>
      <c r="F139" s="264">
        <f t="shared" si="15"/>
        <v>-5.5893074119076402E-2</v>
      </c>
      <c r="G139">
        <v>4382.0600000000004</v>
      </c>
      <c r="H139" s="263">
        <f t="shared" si="16"/>
        <v>-3.4067288129241757E-2</v>
      </c>
      <c r="I139" s="252">
        <v>0.38</v>
      </c>
      <c r="J139">
        <f t="shared" si="18"/>
        <v>3.8E-3</v>
      </c>
      <c r="K139" s="252">
        <f t="shared" si="19"/>
        <v>-3.7867288129241755E-2</v>
      </c>
      <c r="L139" s="263">
        <f t="shared" si="20"/>
        <v>-5.96930741190764E-2</v>
      </c>
      <c r="O139" s="265"/>
    </row>
    <row r="140" spans="1:15">
      <c r="A140" s="253">
        <v>36341</v>
      </c>
      <c r="B140">
        <v>41.15</v>
      </c>
      <c r="D140" s="264">
        <f t="shared" si="14"/>
        <v>1.1520410377323413</v>
      </c>
      <c r="E140" s="264">
        <f t="shared" si="17"/>
        <v>47.406488702685841</v>
      </c>
      <c r="F140" s="264">
        <f t="shared" si="15"/>
        <v>2.6952832543049476E-2</v>
      </c>
      <c r="G140">
        <v>4536.6099999999997</v>
      </c>
      <c r="H140" s="263">
        <f t="shared" si="16"/>
        <v>4.2589668810858239E-2</v>
      </c>
      <c r="I140" s="252">
        <v>0.4</v>
      </c>
      <c r="J140">
        <f t="shared" si="18"/>
        <v>4.0000000000000001E-3</v>
      </c>
      <c r="K140" s="252">
        <f t="shared" si="19"/>
        <v>3.8589668810858235E-2</v>
      </c>
      <c r="L140" s="263">
        <f t="shared" si="20"/>
        <v>2.2952832543049476E-2</v>
      </c>
      <c r="O140" s="265"/>
    </row>
    <row r="141" spans="1:15">
      <c r="A141" s="253">
        <v>36311</v>
      </c>
      <c r="B141">
        <v>40.07</v>
      </c>
      <c r="C141" s="272">
        <v>0.28000000000000003</v>
      </c>
      <c r="D141" s="264">
        <f t="shared" si="14"/>
        <v>1.1520410377323413</v>
      </c>
      <c r="E141" s="264">
        <f t="shared" si="17"/>
        <v>46.162284381934917</v>
      </c>
      <c r="F141" s="264">
        <f t="shared" si="15"/>
        <v>8.8334457181389103E-2</v>
      </c>
      <c r="G141">
        <v>4351.29</v>
      </c>
      <c r="H141" s="263">
        <f t="shared" si="16"/>
        <v>-1.2271442677653344E-2</v>
      </c>
      <c r="I141" s="252">
        <v>0.34</v>
      </c>
      <c r="J141">
        <f t="shared" si="18"/>
        <v>3.4000000000000002E-3</v>
      </c>
      <c r="K141" s="252">
        <f t="shared" si="19"/>
        <v>-1.5671442677653344E-2</v>
      </c>
      <c r="L141" s="263">
        <f t="shared" si="20"/>
        <v>8.4934457181389103E-2</v>
      </c>
      <c r="O141" s="265"/>
    </row>
    <row r="142" spans="1:15">
      <c r="A142" s="253">
        <v>36280</v>
      </c>
      <c r="B142">
        <v>37.075000000000003</v>
      </c>
      <c r="D142" s="264">
        <f t="shared" si="14"/>
        <v>1.1440467009153634</v>
      </c>
      <c r="E142" s="264">
        <f t="shared" si="17"/>
        <v>42.415531436437099</v>
      </c>
      <c r="F142" s="264">
        <f t="shared" si="15"/>
        <v>-4.9358974358974406E-2</v>
      </c>
      <c r="G142">
        <v>4405.3500000000004</v>
      </c>
      <c r="H142" s="263">
        <f t="shared" si="16"/>
        <v>4.942256567600789E-2</v>
      </c>
      <c r="I142" s="252">
        <v>0.37</v>
      </c>
      <c r="J142">
        <f t="shared" si="18"/>
        <v>3.7000000000000002E-3</v>
      </c>
      <c r="K142" s="252">
        <f t="shared" si="19"/>
        <v>4.5722565676007888E-2</v>
      </c>
      <c r="L142" s="263">
        <f t="shared" si="20"/>
        <v>-5.3058974358974408E-2</v>
      </c>
    </row>
    <row r="143" spans="1:15">
      <c r="A143" s="253">
        <v>36250</v>
      </c>
      <c r="B143">
        <v>39</v>
      </c>
      <c r="D143" s="264">
        <f t="shared" si="14"/>
        <v>1.1440467009153634</v>
      </c>
      <c r="E143" s="264">
        <f t="shared" si="17"/>
        <v>44.617821335699176</v>
      </c>
      <c r="F143" s="264">
        <f t="shared" si="15"/>
        <v>-2.6824703680598971E-2</v>
      </c>
      <c r="G143">
        <v>4197.88</v>
      </c>
      <c r="H143" s="263">
        <f t="shared" si="16"/>
        <v>2.5639271526091356E-2</v>
      </c>
      <c r="I143" s="252">
        <v>0.43</v>
      </c>
      <c r="J143">
        <f t="shared" si="18"/>
        <v>4.3E-3</v>
      </c>
      <c r="K143" s="252">
        <f t="shared" si="19"/>
        <v>2.1339271526091358E-2</v>
      </c>
      <c r="L143" s="263">
        <f t="shared" si="20"/>
        <v>-3.112470368059897E-2</v>
      </c>
    </row>
    <row r="144" spans="1:15">
      <c r="A144" s="253">
        <v>36217</v>
      </c>
      <c r="B144">
        <v>40.075000000000003</v>
      </c>
      <c r="D144" s="264">
        <f t="shared" si="14"/>
        <v>1.1440467009153634</v>
      </c>
      <c r="E144" s="264">
        <f t="shared" si="17"/>
        <v>45.847671539183196</v>
      </c>
      <c r="F144" s="264">
        <f t="shared" si="15"/>
        <v>-7.3410404624277281E-2</v>
      </c>
      <c r="G144">
        <v>4092.94</v>
      </c>
      <c r="H144" s="263">
        <f t="shared" si="16"/>
        <v>-3.7362999200338698E-2</v>
      </c>
      <c r="I144" s="252">
        <v>0.35</v>
      </c>
      <c r="J144">
        <f t="shared" si="18"/>
        <v>3.4999999999999996E-3</v>
      </c>
      <c r="K144" s="252">
        <f t="shared" si="19"/>
        <v>-4.0862999200338701E-2</v>
      </c>
      <c r="L144" s="263">
        <f t="shared" si="20"/>
        <v>-7.6910404624277284E-2</v>
      </c>
    </row>
    <row r="145" spans="1:12">
      <c r="A145" s="253">
        <v>36189</v>
      </c>
      <c r="B145">
        <v>43.25</v>
      </c>
      <c r="D145" s="264">
        <f t="shared" si="14"/>
        <v>1.1440467009153634</v>
      </c>
      <c r="E145" s="264">
        <f t="shared" si="17"/>
        <v>49.480019814589468</v>
      </c>
      <c r="F145" s="264">
        <f t="shared" si="15"/>
        <v>0.23348344280201805</v>
      </c>
      <c r="G145">
        <v>4251.8</v>
      </c>
      <c r="H145" s="263">
        <f t="shared" si="16"/>
        <v>7.8408992913413966E-2</v>
      </c>
      <c r="I145" s="252">
        <v>0.35</v>
      </c>
      <c r="J145">
        <f t="shared" si="18"/>
        <v>3.4999999999999996E-3</v>
      </c>
      <c r="K145" s="252">
        <f t="shared" si="19"/>
        <v>7.4908992913413963E-2</v>
      </c>
      <c r="L145" s="263">
        <f t="shared" si="20"/>
        <v>0.22998344280201805</v>
      </c>
    </row>
    <row r="146" spans="1:12">
      <c r="A146" s="253">
        <v>36160</v>
      </c>
      <c r="B146">
        <v>35.063299999999998</v>
      </c>
      <c r="D146" s="264">
        <f t="shared" si="14"/>
        <v>1.1440467009153634</v>
      </c>
      <c r="E146" s="264">
        <f t="shared" si="17"/>
        <v>40.114052688205661</v>
      </c>
      <c r="F146" s="264">
        <f t="shared" si="15"/>
        <v>-9.3594492799329965E-2</v>
      </c>
      <c r="G146">
        <v>3942.66</v>
      </c>
      <c r="H146" s="263">
        <f t="shared" si="16"/>
        <v>2.5831429627046987E-2</v>
      </c>
      <c r="I146" s="252">
        <v>0.38</v>
      </c>
      <c r="J146">
        <f t="shared" si="18"/>
        <v>3.8E-3</v>
      </c>
      <c r="K146" s="252">
        <f t="shared" si="19"/>
        <v>2.2031429627046985E-2</v>
      </c>
      <c r="L146" s="263">
        <f t="shared" si="20"/>
        <v>-9.7394492799329963E-2</v>
      </c>
    </row>
    <row r="147" spans="1:12">
      <c r="A147" s="253">
        <v>36129</v>
      </c>
      <c r="B147">
        <v>38.683900000000001</v>
      </c>
      <c r="D147" s="264">
        <f t="shared" si="14"/>
        <v>1.1440467009153634</v>
      </c>
      <c r="E147" s="264">
        <f t="shared" si="17"/>
        <v>44.256188173539826</v>
      </c>
      <c r="F147" s="264">
        <f t="shared" si="15"/>
        <v>0.16666415342439311</v>
      </c>
      <c r="G147">
        <v>3843.38</v>
      </c>
      <c r="H147" s="263">
        <f t="shared" si="16"/>
        <v>9.0961216941579881E-2</v>
      </c>
      <c r="I147" s="252">
        <v>0.31</v>
      </c>
      <c r="J147">
        <f t="shared" si="18"/>
        <v>3.0999999999999999E-3</v>
      </c>
      <c r="K147" s="252">
        <f t="shared" si="19"/>
        <v>8.7861216941579875E-2</v>
      </c>
      <c r="L147" s="263">
        <f t="shared" si="20"/>
        <v>0.16356415342439312</v>
      </c>
    </row>
    <row r="148" spans="1:12">
      <c r="A148" s="253">
        <v>36098</v>
      </c>
      <c r="B148">
        <v>33.157699999999998</v>
      </c>
      <c r="D148" s="264">
        <f t="shared" si="14"/>
        <v>1.1440467009153634</v>
      </c>
      <c r="E148" s="264">
        <f t="shared" si="17"/>
        <v>37.933957294941344</v>
      </c>
      <c r="F148" s="264">
        <f t="shared" si="15"/>
        <v>5.5826394306548455E-2</v>
      </c>
      <c r="G148">
        <v>3522.93</v>
      </c>
      <c r="H148" s="263">
        <f t="shared" si="16"/>
        <v>0.10162135117809856</v>
      </c>
      <c r="I148" s="252">
        <v>0.32</v>
      </c>
      <c r="J148">
        <f t="shared" si="18"/>
        <v>3.2000000000000002E-3</v>
      </c>
      <c r="K148" s="252">
        <f t="shared" si="19"/>
        <v>9.8421351178098568E-2</v>
      </c>
      <c r="L148" s="263">
        <f t="shared" si="20"/>
        <v>5.2626394306548453E-2</v>
      </c>
    </row>
    <row r="149" spans="1:12">
      <c r="A149" s="253">
        <v>36068</v>
      </c>
      <c r="B149">
        <v>31.404499999999999</v>
      </c>
      <c r="D149" s="264">
        <f t="shared" si="14"/>
        <v>1.1440467009153634</v>
      </c>
      <c r="E149" s="264">
        <f t="shared" si="17"/>
        <v>35.928214618896526</v>
      </c>
      <c r="F149" s="264">
        <f t="shared" si="15"/>
        <v>0.24096575978503543</v>
      </c>
      <c r="G149">
        <v>3197.95</v>
      </c>
      <c r="H149" s="263">
        <f t="shared" si="16"/>
        <v>-0.12429316647726496</v>
      </c>
      <c r="I149" s="252">
        <v>0.46</v>
      </c>
      <c r="J149">
        <f t="shared" si="18"/>
        <v>4.5999999999999999E-3</v>
      </c>
      <c r="K149" s="252">
        <f t="shared" si="19"/>
        <v>-0.12889316647726495</v>
      </c>
      <c r="L149" s="263">
        <f t="shared" si="20"/>
        <v>0.23636575978503543</v>
      </c>
    </row>
    <row r="150" spans="1:12">
      <c r="A150" s="253">
        <v>36038</v>
      </c>
      <c r="B150">
        <v>25.3065</v>
      </c>
      <c r="D150" s="264">
        <f t="shared" si="14"/>
        <v>1.1440467009153634</v>
      </c>
      <c r="E150" s="264">
        <f t="shared" si="17"/>
        <v>28.951817836714643</v>
      </c>
      <c r="F150" s="264">
        <f t="shared" si="15"/>
        <v>-7.3920919254203854E-2</v>
      </c>
      <c r="G150">
        <v>3651.85</v>
      </c>
      <c r="H150" s="263">
        <f t="shared" si="16"/>
        <v>-0.12578908436290348</v>
      </c>
      <c r="I150" s="252">
        <v>0.43</v>
      </c>
      <c r="J150">
        <f t="shared" si="18"/>
        <v>4.3E-3</v>
      </c>
      <c r="K150" s="252">
        <f t="shared" si="19"/>
        <v>-0.13008908436290348</v>
      </c>
      <c r="L150" s="263">
        <f t="shared" si="20"/>
        <v>-7.8220919254203852E-2</v>
      </c>
    </row>
    <row r="151" spans="1:12">
      <c r="A151" s="253">
        <v>36007</v>
      </c>
      <c r="B151">
        <v>27.326499999999999</v>
      </c>
      <c r="D151" s="264">
        <f t="shared" si="14"/>
        <v>1.1440467009153634</v>
      </c>
      <c r="E151" s="264">
        <f t="shared" si="17"/>
        <v>31.262792172563678</v>
      </c>
      <c r="F151" s="264">
        <f t="shared" si="15"/>
        <v>8.4397995409222215E-3</v>
      </c>
      <c r="G151">
        <v>4177.3100000000004</v>
      </c>
      <c r="H151" s="263">
        <f t="shared" si="16"/>
        <v>-6.2187013048803363E-3</v>
      </c>
      <c r="I151" s="252">
        <v>0.4</v>
      </c>
      <c r="J151">
        <f t="shared" si="18"/>
        <v>4.0000000000000001E-3</v>
      </c>
      <c r="K151" s="252">
        <f t="shared" si="19"/>
        <v>-1.0218701304880336E-2</v>
      </c>
      <c r="L151" s="263">
        <f t="shared" si="20"/>
        <v>4.4397995409222214E-3</v>
      </c>
    </row>
    <row r="152" spans="1:12">
      <c r="A152" s="253">
        <v>35976</v>
      </c>
      <c r="B152">
        <v>27.097799999999999</v>
      </c>
      <c r="C152" s="272">
        <v>0.27</v>
      </c>
      <c r="D152" s="264">
        <f t="shared" si="14"/>
        <v>1.1440467009153634</v>
      </c>
      <c r="E152" s="264">
        <f t="shared" si="17"/>
        <v>31.001148692064334</v>
      </c>
      <c r="F152" s="264">
        <f t="shared" si="15"/>
        <v>2.4370524802838744E-2</v>
      </c>
      <c r="G152">
        <v>4203.45</v>
      </c>
      <c r="H152" s="263">
        <f t="shared" si="16"/>
        <v>4.0159261202229013E-2</v>
      </c>
      <c r="I152" s="252">
        <v>0.41</v>
      </c>
      <c r="J152">
        <f t="shared" si="18"/>
        <v>4.0999999999999995E-3</v>
      </c>
      <c r="K152" s="252">
        <f t="shared" si="19"/>
        <v>3.6059261202229013E-2</v>
      </c>
      <c r="L152" s="263">
        <f t="shared" si="20"/>
        <v>2.0270524802838745E-2</v>
      </c>
    </row>
    <row r="153" spans="1:12">
      <c r="A153" s="253">
        <v>35944</v>
      </c>
      <c r="B153">
        <v>26.716699999999999</v>
      </c>
      <c r="D153" s="264">
        <f t="shared" si="14"/>
        <v>1.1327599840712199</v>
      </c>
      <c r="E153" s="264">
        <f t="shared" si="17"/>
        <v>30.263608666435559</v>
      </c>
      <c r="F153" s="264">
        <f t="shared" si="15"/>
        <v>-3.8407273303147971E-2</v>
      </c>
      <c r="G153">
        <v>4041.16</v>
      </c>
      <c r="H153" s="263">
        <f t="shared" si="16"/>
        <v>4.1289178854498454E-2</v>
      </c>
      <c r="I153" s="252">
        <v>0.4</v>
      </c>
      <c r="J153">
        <f t="shared" si="18"/>
        <v>4.0000000000000001E-3</v>
      </c>
      <c r="K153" s="252">
        <f t="shared" si="19"/>
        <v>3.728917885449845E-2</v>
      </c>
      <c r="L153" s="263">
        <f t="shared" si="20"/>
        <v>-4.2407273303147974E-2</v>
      </c>
    </row>
    <row r="154" spans="1:12">
      <c r="A154" s="253">
        <v>35915</v>
      </c>
      <c r="B154">
        <v>27.783799999999999</v>
      </c>
      <c r="D154" s="264">
        <f t="shared" si="14"/>
        <v>1.1327599840712199</v>
      </c>
      <c r="E154" s="264">
        <f t="shared" si="17"/>
        <v>31.47237684543796</v>
      </c>
      <c r="F154" s="264">
        <f t="shared" si="15"/>
        <v>2.5315708286281602E-2</v>
      </c>
      <c r="G154">
        <v>3880.92</v>
      </c>
      <c r="H154" s="263">
        <f t="shared" si="16"/>
        <v>1.3184340821661422E-3</v>
      </c>
      <c r="I154" s="252">
        <v>0.43</v>
      </c>
      <c r="J154">
        <f t="shared" si="18"/>
        <v>4.3E-3</v>
      </c>
      <c r="K154" s="252">
        <f t="shared" si="19"/>
        <v>-2.9815659178338578E-3</v>
      </c>
      <c r="L154" s="263">
        <f t="shared" si="20"/>
        <v>2.1015708286281604E-2</v>
      </c>
    </row>
    <row r="155" spans="1:12">
      <c r="A155" s="253">
        <v>35885</v>
      </c>
      <c r="B155">
        <v>27.097799999999999</v>
      </c>
      <c r="D155" s="264">
        <f t="shared" si="14"/>
        <v>1.1327599840712199</v>
      </c>
      <c r="E155" s="264">
        <f t="shared" si="17"/>
        <v>30.695303496365103</v>
      </c>
      <c r="F155" s="264">
        <f t="shared" si="15"/>
        <v>3.0432550622682797E-2</v>
      </c>
      <c r="G155">
        <v>3875.81</v>
      </c>
      <c r="H155" s="263">
        <f t="shared" si="16"/>
        <v>0.13264190863608727</v>
      </c>
      <c r="I155" s="252">
        <v>0.39</v>
      </c>
      <c r="J155">
        <f t="shared" si="18"/>
        <v>3.9000000000000003E-3</v>
      </c>
      <c r="K155" s="252">
        <f t="shared" si="19"/>
        <v>0.12874190863608728</v>
      </c>
      <c r="L155" s="263">
        <f t="shared" si="20"/>
        <v>2.6532550622682796E-2</v>
      </c>
    </row>
    <row r="156" spans="1:12">
      <c r="A156" s="253">
        <v>35853</v>
      </c>
      <c r="B156">
        <v>26.297499999999999</v>
      </c>
      <c r="D156" s="264">
        <f t="shared" si="14"/>
        <v>1.1327599840712199</v>
      </c>
      <c r="E156" s="264">
        <f t="shared" si="17"/>
        <v>29.788755681112907</v>
      </c>
      <c r="F156" s="264">
        <f t="shared" si="15"/>
        <v>2.2222826889737313E-2</v>
      </c>
      <c r="G156">
        <v>3421.92</v>
      </c>
      <c r="H156" s="263">
        <f t="shared" si="16"/>
        <v>7.8741795759329714E-2</v>
      </c>
      <c r="I156" s="252">
        <v>0.39</v>
      </c>
      <c r="J156">
        <f t="shared" si="18"/>
        <v>3.9000000000000003E-3</v>
      </c>
      <c r="K156" s="252">
        <f t="shared" si="19"/>
        <v>7.4841795759329713E-2</v>
      </c>
      <c r="L156" s="263">
        <f t="shared" si="20"/>
        <v>1.8322826889737312E-2</v>
      </c>
    </row>
    <row r="157" spans="1:12">
      <c r="A157" s="253">
        <v>35825</v>
      </c>
      <c r="B157">
        <v>25.7258</v>
      </c>
      <c r="D157" s="264">
        <f t="shared" si="14"/>
        <v>1.1327599840712199</v>
      </c>
      <c r="E157" s="264">
        <f t="shared" si="17"/>
        <v>29.141156798219388</v>
      </c>
      <c r="F157" s="264">
        <f t="shared" si="15"/>
        <v>7.4642062721264058E-3</v>
      </c>
      <c r="G157">
        <v>3172.14</v>
      </c>
      <c r="H157" s="263">
        <f t="shared" si="16"/>
        <v>5.7764321036643418E-2</v>
      </c>
      <c r="I157" s="252">
        <v>0.43</v>
      </c>
      <c r="J157">
        <f t="shared" si="18"/>
        <v>4.3E-3</v>
      </c>
      <c r="K157" s="252">
        <f t="shared" si="19"/>
        <v>5.346432103664342E-2</v>
      </c>
      <c r="L157" s="263">
        <f t="shared" si="20"/>
        <v>3.1642062721264057E-3</v>
      </c>
    </row>
    <row r="158" spans="1:12">
      <c r="A158" s="253">
        <v>35795</v>
      </c>
      <c r="B158">
        <v>25.5352</v>
      </c>
      <c r="D158" s="264">
        <f t="shared" si="14"/>
        <v>1.1327599840712199</v>
      </c>
      <c r="E158" s="264">
        <f t="shared" si="17"/>
        <v>28.925252745255413</v>
      </c>
      <c r="F158" s="264">
        <f t="shared" si="15"/>
        <v>0.1336734104944437</v>
      </c>
      <c r="G158">
        <v>2998.91</v>
      </c>
      <c r="H158" s="263">
        <f t="shared" si="16"/>
        <v>4.8866986803954848E-2</v>
      </c>
      <c r="I158" s="252">
        <v>0.48</v>
      </c>
      <c r="J158">
        <f t="shared" si="18"/>
        <v>4.7999999999999996E-3</v>
      </c>
      <c r="K158" s="252">
        <f t="shared" si="19"/>
        <v>4.406698680395485E-2</v>
      </c>
      <c r="L158" s="263">
        <f t="shared" si="20"/>
        <v>0.1288734104944437</v>
      </c>
    </row>
    <row r="159" spans="1:12">
      <c r="A159" s="253">
        <v>35762</v>
      </c>
      <c r="B159">
        <v>22.5243</v>
      </c>
      <c r="D159" s="264">
        <f t="shared" si="14"/>
        <v>1.1327599840712199</v>
      </c>
      <c r="E159" s="264">
        <f t="shared" si="17"/>
        <v>25.51462570921538</v>
      </c>
      <c r="F159" s="264">
        <f t="shared" si="15"/>
        <v>7.8465921332982358E-2</v>
      </c>
      <c r="G159">
        <v>2859.19</v>
      </c>
      <c r="H159" s="263">
        <f t="shared" si="16"/>
        <v>4.3766655714963631E-2</v>
      </c>
      <c r="I159" s="252">
        <v>0.39</v>
      </c>
      <c r="J159">
        <f t="shared" si="18"/>
        <v>3.9000000000000003E-3</v>
      </c>
      <c r="K159" s="252">
        <f t="shared" si="19"/>
        <v>3.9866655714963631E-2</v>
      </c>
      <c r="L159" s="263">
        <f t="shared" si="20"/>
        <v>7.4565921332982357E-2</v>
      </c>
    </row>
    <row r="160" spans="1:12">
      <c r="A160" s="253">
        <v>35734</v>
      </c>
      <c r="B160">
        <v>20.8855</v>
      </c>
      <c r="D160" s="264">
        <f t="shared" si="14"/>
        <v>1.1327599840712199</v>
      </c>
      <c r="E160" s="264">
        <f t="shared" si="17"/>
        <v>23.658258647319464</v>
      </c>
      <c r="F160" s="264">
        <f t="shared" si="15"/>
        <v>-5.4476449887856937E-3</v>
      </c>
      <c r="G160">
        <v>2739.3</v>
      </c>
      <c r="H160" s="263">
        <f t="shared" si="16"/>
        <v>-8.9407165604036942E-2</v>
      </c>
      <c r="I160" s="252">
        <v>0.42</v>
      </c>
      <c r="J160">
        <f t="shared" si="18"/>
        <v>4.1999999999999997E-3</v>
      </c>
      <c r="K160" s="252">
        <f t="shared" si="19"/>
        <v>-9.3607165604036938E-2</v>
      </c>
      <c r="L160" s="263">
        <f t="shared" si="20"/>
        <v>-9.6476449887856926E-3</v>
      </c>
    </row>
    <row r="161" spans="1:12">
      <c r="A161" s="253">
        <v>35703</v>
      </c>
      <c r="B161">
        <v>20.9999</v>
      </c>
      <c r="D161" s="264">
        <f t="shared" si="14"/>
        <v>1.1327599840712199</v>
      </c>
      <c r="E161" s="264">
        <f t="shared" si="17"/>
        <v>23.787846389497211</v>
      </c>
      <c r="F161" s="264">
        <f t="shared" si="15"/>
        <v>-5.4884470327731583E-2</v>
      </c>
      <c r="G161">
        <v>3008.26</v>
      </c>
      <c r="H161" s="263">
        <f t="shared" si="16"/>
        <v>8.5822363553017755E-2</v>
      </c>
      <c r="I161" s="252">
        <v>0.44</v>
      </c>
      <c r="J161">
        <f t="shared" si="18"/>
        <v>4.4000000000000003E-3</v>
      </c>
      <c r="K161" s="252">
        <f t="shared" si="19"/>
        <v>8.1422363553017754E-2</v>
      </c>
      <c r="L161" s="263">
        <f t="shared" si="20"/>
        <v>-5.9284470327731584E-2</v>
      </c>
    </row>
    <row r="162" spans="1:12">
      <c r="A162" s="253">
        <v>35671</v>
      </c>
      <c r="B162">
        <v>22.2194</v>
      </c>
      <c r="D162" s="264">
        <f t="shared" si="14"/>
        <v>1.1327599840712199</v>
      </c>
      <c r="E162" s="264">
        <f t="shared" si="17"/>
        <v>25.169247190072063</v>
      </c>
      <c r="F162" s="264">
        <f t="shared" si="15"/>
        <v>-0.10445727920164771</v>
      </c>
      <c r="G162">
        <v>2770.49</v>
      </c>
      <c r="H162" s="263">
        <f t="shared" si="16"/>
        <v>-9.9223908936914684E-2</v>
      </c>
      <c r="I162" s="252">
        <v>0.41</v>
      </c>
      <c r="J162">
        <f t="shared" si="18"/>
        <v>4.0999999999999995E-3</v>
      </c>
      <c r="K162" s="252">
        <f t="shared" si="19"/>
        <v>-0.10332390893691468</v>
      </c>
      <c r="L162" s="263">
        <f t="shared" si="20"/>
        <v>-0.10855727920164771</v>
      </c>
    </row>
    <row r="163" spans="1:12">
      <c r="A163" s="253">
        <v>35642</v>
      </c>
      <c r="B163">
        <v>24.8111</v>
      </c>
      <c r="D163" s="264">
        <f t="shared" si="14"/>
        <v>1.1327599840712199</v>
      </c>
      <c r="E163" s="264">
        <f t="shared" si="17"/>
        <v>28.105021240789444</v>
      </c>
      <c r="F163" s="264">
        <f t="shared" si="15"/>
        <v>0.13020721824650261</v>
      </c>
      <c r="G163">
        <v>3075.67</v>
      </c>
      <c r="H163" s="263">
        <f t="shared" si="16"/>
        <v>7.6063759070203574E-2</v>
      </c>
      <c r="I163" s="252">
        <v>0.43</v>
      </c>
      <c r="J163">
        <f t="shared" si="18"/>
        <v>4.3E-3</v>
      </c>
      <c r="K163" s="252">
        <f t="shared" si="19"/>
        <v>7.1763759070203575E-2</v>
      </c>
      <c r="L163" s="263">
        <f t="shared" si="20"/>
        <v>0.12590721824650261</v>
      </c>
    </row>
    <row r="164" spans="1:12">
      <c r="A164" s="253">
        <v>35611</v>
      </c>
      <c r="B164">
        <v>21.9527</v>
      </c>
      <c r="C164" s="272">
        <v>0.25</v>
      </c>
      <c r="D164" s="264">
        <f t="shared" si="14"/>
        <v>1.1327599840712199</v>
      </c>
      <c r="E164" s="264">
        <f t="shared" si="17"/>
        <v>24.867140102320271</v>
      </c>
      <c r="F164" s="264">
        <f t="shared" si="15"/>
        <v>0.16279812717998143</v>
      </c>
      <c r="G164">
        <v>2858.26</v>
      </c>
      <c r="H164" s="263">
        <f t="shared" si="16"/>
        <v>0.10616345580779751</v>
      </c>
      <c r="I164" s="252">
        <v>0.37</v>
      </c>
      <c r="J164">
        <f t="shared" si="18"/>
        <v>3.7000000000000002E-3</v>
      </c>
      <c r="K164" s="252">
        <f t="shared" si="19"/>
        <v>0.10246345580779752</v>
      </c>
      <c r="L164" s="263">
        <f t="shared" si="20"/>
        <v>0.15909812717998142</v>
      </c>
    </row>
    <row r="165" spans="1:12">
      <c r="A165" s="253">
        <v>35580</v>
      </c>
      <c r="B165">
        <v>19.094200000000001</v>
      </c>
      <c r="D165" s="264">
        <f t="shared" si="14"/>
        <v>1.1200052291982627</v>
      </c>
      <c r="E165" s="264">
        <f t="shared" si="17"/>
        <v>21.385603847357469</v>
      </c>
      <c r="F165" s="264">
        <f t="shared" si="15"/>
        <v>-8.0736789400708608E-2</v>
      </c>
      <c r="G165">
        <v>2583.94</v>
      </c>
      <c r="H165" s="263">
        <f t="shared" si="16"/>
        <v>-2.103460556325909E-2</v>
      </c>
      <c r="I165" s="252">
        <v>0.49</v>
      </c>
      <c r="J165">
        <f t="shared" si="18"/>
        <v>4.8999999999999998E-3</v>
      </c>
      <c r="K165" s="252">
        <f t="shared" si="19"/>
        <v>-2.5934605563259092E-2</v>
      </c>
      <c r="L165" s="263">
        <f t="shared" si="20"/>
        <v>-8.563678940070861E-2</v>
      </c>
    </row>
    <row r="166" spans="1:12">
      <c r="A166" s="253">
        <v>35550</v>
      </c>
      <c r="B166">
        <v>20.7712</v>
      </c>
      <c r="D166" s="264">
        <f t="shared" si="14"/>
        <v>1.1200052291982627</v>
      </c>
      <c r="E166" s="264">
        <f t="shared" si="17"/>
        <v>23.263852616722954</v>
      </c>
      <c r="F166" s="264">
        <f t="shared" si="15"/>
        <v>-9.0880033585063469E-3</v>
      </c>
      <c r="G166">
        <v>2639.46</v>
      </c>
      <c r="H166" s="263">
        <f t="shared" si="16"/>
        <v>-6.4817742445457682E-3</v>
      </c>
      <c r="I166" s="252">
        <v>0.43</v>
      </c>
      <c r="J166">
        <f t="shared" si="18"/>
        <v>4.3E-3</v>
      </c>
      <c r="K166" s="252">
        <f t="shared" si="19"/>
        <v>-1.0781774244545768E-2</v>
      </c>
      <c r="L166" s="263">
        <f t="shared" si="20"/>
        <v>-1.3388003358506347E-2</v>
      </c>
    </row>
    <row r="167" spans="1:12">
      <c r="A167" s="253">
        <v>35520</v>
      </c>
      <c r="B167">
        <v>20.9617</v>
      </c>
      <c r="D167" s="264">
        <f t="shared" si="14"/>
        <v>1.1200052291982627</v>
      </c>
      <c r="E167" s="264">
        <f t="shared" si="17"/>
        <v>23.477213612885226</v>
      </c>
      <c r="F167" s="264">
        <f t="shared" si="15"/>
        <v>-2.4824031299865434E-2</v>
      </c>
      <c r="G167">
        <v>2656.68</v>
      </c>
      <c r="H167" s="263">
        <f t="shared" si="16"/>
        <v>1.8841441199593412E-2</v>
      </c>
      <c r="I167" s="252">
        <v>0.43</v>
      </c>
      <c r="J167">
        <f t="shared" si="18"/>
        <v>4.3E-3</v>
      </c>
      <c r="K167" s="252">
        <f t="shared" si="19"/>
        <v>1.4541441199593412E-2</v>
      </c>
      <c r="L167" s="263">
        <f t="shared" si="20"/>
        <v>-2.9124031299865433E-2</v>
      </c>
    </row>
    <row r="168" spans="1:12">
      <c r="A168" s="253">
        <v>35489</v>
      </c>
      <c r="B168">
        <v>21.4953</v>
      </c>
      <c r="D168" s="264">
        <f t="shared" si="14"/>
        <v>1.1200052291982627</v>
      </c>
      <c r="E168" s="264">
        <f t="shared" si="17"/>
        <v>24.074848403185417</v>
      </c>
      <c r="F168" s="264">
        <f t="shared" si="15"/>
        <v>1.6215730677042295E-2</v>
      </c>
      <c r="G168">
        <v>2607.5500000000002</v>
      </c>
      <c r="H168" s="263">
        <f t="shared" si="16"/>
        <v>3.6156499348316773E-2</v>
      </c>
      <c r="I168" s="252">
        <v>0.39</v>
      </c>
      <c r="J168">
        <f t="shared" si="18"/>
        <v>3.9000000000000003E-3</v>
      </c>
      <c r="K168" s="252">
        <f t="shared" si="19"/>
        <v>3.2256499348316772E-2</v>
      </c>
      <c r="L168" s="263">
        <f t="shared" si="20"/>
        <v>1.2315730677042294E-2</v>
      </c>
    </row>
    <row r="169" spans="1:12">
      <c r="A169" s="253">
        <v>35461</v>
      </c>
      <c r="B169">
        <v>21.1523</v>
      </c>
      <c r="D169" s="264">
        <f t="shared" si="14"/>
        <v>1.1200052291982627</v>
      </c>
      <c r="E169" s="264">
        <f t="shared" si="17"/>
        <v>23.690686609570413</v>
      </c>
      <c r="F169" s="264">
        <f t="shared" si="15"/>
        <v>7.5582607457578721E-2</v>
      </c>
      <c r="G169">
        <v>2516.56</v>
      </c>
      <c r="H169" s="263">
        <f t="shared" si="16"/>
        <v>8.6724272691548698E-2</v>
      </c>
      <c r="I169" s="252">
        <v>0.45</v>
      </c>
      <c r="J169">
        <f t="shared" si="18"/>
        <v>4.5000000000000005E-3</v>
      </c>
      <c r="K169" s="252">
        <f t="shared" si="19"/>
        <v>8.2224272691548694E-2</v>
      </c>
      <c r="L169" s="263">
        <f t="shared" si="20"/>
        <v>7.1082607457578717E-2</v>
      </c>
    </row>
    <row r="170" spans="1:12">
      <c r="A170" s="253">
        <v>35430</v>
      </c>
      <c r="B170">
        <v>19.665900000000001</v>
      </c>
      <c r="D170" s="264">
        <f t="shared" si="14"/>
        <v>1.1200052291982627</v>
      </c>
      <c r="E170" s="264">
        <f t="shared" si="17"/>
        <v>22.025910836890116</v>
      </c>
      <c r="F170" s="264">
        <f t="shared" si="15"/>
        <v>0.10256496509965518</v>
      </c>
      <c r="G170">
        <v>2315.73</v>
      </c>
      <c r="H170" s="263">
        <f t="shared" si="16"/>
        <v>3.0228962801137627E-5</v>
      </c>
      <c r="I170" s="252">
        <v>0.46</v>
      </c>
      <c r="J170">
        <f t="shared" si="18"/>
        <v>4.5999999999999999E-3</v>
      </c>
      <c r="K170" s="252">
        <f t="shared" si="19"/>
        <v>-4.5697710371988623E-3</v>
      </c>
      <c r="L170" s="263">
        <f t="shared" si="20"/>
        <v>9.7964965099655188E-2</v>
      </c>
    </row>
    <row r="171" spans="1:12">
      <c r="A171" s="253">
        <v>35398</v>
      </c>
      <c r="B171">
        <v>17.836500000000001</v>
      </c>
      <c r="D171" s="264">
        <f t="shared" si="14"/>
        <v>1.1200052291982627</v>
      </c>
      <c r="E171" s="264">
        <f t="shared" si="17"/>
        <v>19.976973270594815</v>
      </c>
      <c r="F171" s="264">
        <f t="shared" si="15"/>
        <v>1.0578023547009208E-2</v>
      </c>
      <c r="G171">
        <v>2315.66</v>
      </c>
      <c r="H171" s="263">
        <f t="shared" si="16"/>
        <v>8.1826293733736177E-2</v>
      </c>
      <c r="I171" s="252">
        <v>0.41</v>
      </c>
      <c r="J171">
        <f t="shared" si="18"/>
        <v>4.0999999999999995E-3</v>
      </c>
      <c r="K171" s="252">
        <f t="shared" si="19"/>
        <v>7.7726293733736185E-2</v>
      </c>
      <c r="L171" s="263">
        <f t="shared" si="20"/>
        <v>6.4780235470092082E-3</v>
      </c>
    </row>
    <row r="172" spans="1:12">
      <c r="A172" s="253">
        <v>35369</v>
      </c>
      <c r="B172">
        <v>17.649799999999999</v>
      </c>
      <c r="D172" s="264">
        <f t="shared" si="14"/>
        <v>1.1200052291982627</v>
      </c>
      <c r="E172" s="264">
        <f t="shared" si="17"/>
        <v>19.767868294303497</v>
      </c>
      <c r="F172" s="264">
        <f t="shared" si="15"/>
        <v>9.4283004011382898E-2</v>
      </c>
      <c r="G172">
        <v>2140.5100000000002</v>
      </c>
      <c r="H172" s="263">
        <f t="shared" si="16"/>
        <v>3.6102606420638228E-3</v>
      </c>
      <c r="I172" s="252">
        <v>0.42</v>
      </c>
      <c r="J172">
        <f t="shared" si="18"/>
        <v>4.1999999999999997E-3</v>
      </c>
      <c r="K172" s="252">
        <f t="shared" si="19"/>
        <v>-5.8973935793617694E-4</v>
      </c>
      <c r="L172" s="263">
        <f t="shared" si="20"/>
        <v>9.0083004011382903E-2</v>
      </c>
    </row>
    <row r="173" spans="1:12">
      <c r="A173" s="253">
        <v>35338</v>
      </c>
      <c r="B173">
        <v>16.129100000000001</v>
      </c>
      <c r="D173" s="264">
        <f t="shared" si="14"/>
        <v>1.1200052291982627</v>
      </c>
      <c r="E173" s="264">
        <f t="shared" si="17"/>
        <v>18.064676342261702</v>
      </c>
      <c r="F173" s="264">
        <f t="shared" si="15"/>
        <v>5.7472545484346993E-2</v>
      </c>
      <c r="G173">
        <v>2132.81</v>
      </c>
      <c r="H173" s="263">
        <f t="shared" si="16"/>
        <v>8.2309538670766846E-2</v>
      </c>
      <c r="I173" s="252">
        <v>0.44</v>
      </c>
      <c r="J173">
        <f t="shared" si="18"/>
        <v>4.4000000000000003E-3</v>
      </c>
      <c r="K173" s="252">
        <f t="shared" si="19"/>
        <v>7.7909538670766845E-2</v>
      </c>
      <c r="L173" s="263">
        <f t="shared" si="20"/>
        <v>5.3072545484346992E-2</v>
      </c>
    </row>
    <row r="174" spans="1:12">
      <c r="A174" s="253">
        <v>35307</v>
      </c>
      <c r="B174">
        <v>15.2525</v>
      </c>
      <c r="D174" s="264">
        <f t="shared" si="14"/>
        <v>1.1200052291982627</v>
      </c>
      <c r="E174" s="264">
        <f t="shared" si="17"/>
        <v>17.0828797583465</v>
      </c>
      <c r="F174" s="264">
        <f t="shared" si="15"/>
        <v>3.011494873907572E-2</v>
      </c>
      <c r="G174">
        <v>1970.61</v>
      </c>
      <c r="H174" s="263">
        <f t="shared" si="16"/>
        <v>-1.2666028688955944E-2</v>
      </c>
      <c r="I174" s="252">
        <v>0.41</v>
      </c>
      <c r="J174">
        <f t="shared" si="18"/>
        <v>4.0999999999999995E-3</v>
      </c>
      <c r="K174" s="252">
        <f t="shared" si="19"/>
        <v>-1.6766028688955943E-2</v>
      </c>
      <c r="L174" s="263">
        <f t="shared" si="20"/>
        <v>2.601494873907572E-2</v>
      </c>
    </row>
    <row r="175" spans="1:12">
      <c r="A175" s="253">
        <v>35277</v>
      </c>
      <c r="B175">
        <v>14.8066</v>
      </c>
      <c r="D175" s="264">
        <f t="shared" si="14"/>
        <v>1.1200052291982627</v>
      </c>
      <c r="E175" s="264">
        <f t="shared" si="17"/>
        <v>16.583469426646996</v>
      </c>
      <c r="F175" s="264">
        <f t="shared" si="15"/>
        <v>6.9982385385991552E-3</v>
      </c>
      <c r="G175">
        <v>1995.89</v>
      </c>
      <c r="H175" s="263">
        <f t="shared" si="16"/>
        <v>-6.01827000047086E-2</v>
      </c>
      <c r="I175" s="252">
        <v>0.45</v>
      </c>
      <c r="J175">
        <f t="shared" si="18"/>
        <v>4.5000000000000005E-3</v>
      </c>
      <c r="K175" s="252">
        <f t="shared" si="19"/>
        <v>-6.4682700004708604E-2</v>
      </c>
      <c r="L175" s="263">
        <f t="shared" si="20"/>
        <v>2.4982385385991547E-3</v>
      </c>
    </row>
    <row r="176" spans="1:12">
      <c r="A176" s="253">
        <v>35244</v>
      </c>
      <c r="B176">
        <v>14.7037</v>
      </c>
      <c r="C176" s="272">
        <v>0.24</v>
      </c>
      <c r="D176" s="264">
        <f t="shared" si="14"/>
        <v>1.1200052291982627</v>
      </c>
      <c r="E176" s="264">
        <f t="shared" si="17"/>
        <v>16.468220888562495</v>
      </c>
      <c r="F176" s="264">
        <f t="shared" si="15"/>
        <v>-1.4339328940512375E-2</v>
      </c>
      <c r="G176">
        <v>2123.6999999999998</v>
      </c>
      <c r="H176" s="263">
        <f t="shared" si="16"/>
        <v>6.4642711581661683E-3</v>
      </c>
      <c r="I176" s="252">
        <v>0.4</v>
      </c>
      <c r="J176">
        <f t="shared" si="18"/>
        <v>4.0000000000000001E-3</v>
      </c>
      <c r="K176" s="252">
        <f t="shared" si="19"/>
        <v>2.4642711581661682E-3</v>
      </c>
      <c r="L176" s="263">
        <f t="shared" si="20"/>
        <v>-1.8339328940512375E-2</v>
      </c>
    </row>
    <row r="177" spans="1:12">
      <c r="A177" s="253">
        <v>35216</v>
      </c>
      <c r="B177">
        <v>15.161099999999999</v>
      </c>
      <c r="D177" s="264">
        <f t="shared" si="14"/>
        <v>1.1020176320832522</v>
      </c>
      <c r="E177" s="264">
        <f t="shared" si="17"/>
        <v>16.707799521777396</v>
      </c>
      <c r="F177" s="264">
        <f t="shared" si="15"/>
        <v>-4.6039716097855621E-2</v>
      </c>
      <c r="G177">
        <v>2110.06</v>
      </c>
      <c r="H177" s="263">
        <f t="shared" si="16"/>
        <v>-1.7109265461456413E-2</v>
      </c>
      <c r="I177" s="252">
        <v>0.42</v>
      </c>
      <c r="J177">
        <f t="shared" si="18"/>
        <v>4.1999999999999997E-3</v>
      </c>
      <c r="K177" s="252">
        <f t="shared" si="19"/>
        <v>-2.1309265461456412E-2</v>
      </c>
      <c r="L177" s="263">
        <f t="shared" si="20"/>
        <v>-5.0239716097855623E-2</v>
      </c>
    </row>
    <row r="178" spans="1:12">
      <c r="A178" s="253">
        <v>35185</v>
      </c>
      <c r="B178">
        <v>15.892799999999999</v>
      </c>
      <c r="D178" s="264">
        <f t="shared" si="14"/>
        <v>1.1020176320832522</v>
      </c>
      <c r="E178" s="264">
        <f t="shared" si="17"/>
        <v>17.514145823172711</v>
      </c>
      <c r="F178" s="264">
        <f t="shared" si="15"/>
        <v>0.13934232316063411</v>
      </c>
      <c r="G178">
        <v>2146.79</v>
      </c>
      <c r="H178" s="263">
        <f t="shared" si="16"/>
        <v>4.9893142015972503E-2</v>
      </c>
      <c r="I178" s="252">
        <v>0.46</v>
      </c>
      <c r="J178">
        <f t="shared" si="18"/>
        <v>4.5999999999999999E-3</v>
      </c>
      <c r="K178" s="252">
        <f t="shared" si="19"/>
        <v>4.5293142015972503E-2</v>
      </c>
      <c r="L178" s="263">
        <f t="shared" si="20"/>
        <v>0.13474232316063411</v>
      </c>
    </row>
    <row r="179" spans="1:12">
      <c r="A179" s="253">
        <v>35153</v>
      </c>
      <c r="B179">
        <v>13.9491</v>
      </c>
      <c r="D179" s="264">
        <f t="shared" si="14"/>
        <v>1.1020176320832522</v>
      </c>
      <c r="E179" s="264">
        <f t="shared" si="17"/>
        <v>15.372154151692493</v>
      </c>
      <c r="F179" s="264">
        <f t="shared" si="15"/>
        <v>4.5714542742122832E-2</v>
      </c>
      <c r="G179">
        <v>2044.77</v>
      </c>
      <c r="H179" s="263">
        <f t="shared" si="16"/>
        <v>2.71251827182446E-2</v>
      </c>
      <c r="I179" s="252">
        <v>0.39</v>
      </c>
      <c r="J179">
        <f t="shared" si="18"/>
        <v>3.9000000000000003E-3</v>
      </c>
      <c r="K179" s="252">
        <f t="shared" si="19"/>
        <v>2.32251827182446E-2</v>
      </c>
      <c r="L179" s="263">
        <f t="shared" si="20"/>
        <v>4.1814542742122832E-2</v>
      </c>
    </row>
    <row r="180" spans="1:12">
      <c r="A180" s="253">
        <v>35124</v>
      </c>
      <c r="B180">
        <v>13.3393</v>
      </c>
      <c r="D180" s="264">
        <f t="shared" si="14"/>
        <v>1.1020176320832522</v>
      </c>
      <c r="E180" s="264">
        <f t="shared" si="17"/>
        <v>14.700143799648126</v>
      </c>
      <c r="F180" s="264">
        <f t="shared" si="15"/>
        <v>3.2445569306739142E-2</v>
      </c>
      <c r="G180">
        <v>1990.77</v>
      </c>
      <c r="H180" s="263">
        <f t="shared" si="16"/>
        <v>-1.4972563494851654E-2</v>
      </c>
      <c r="I180" s="252">
        <v>0.39</v>
      </c>
      <c r="J180">
        <f t="shared" si="18"/>
        <v>3.9000000000000003E-3</v>
      </c>
      <c r="K180" s="252">
        <f t="shared" si="19"/>
        <v>-1.8872563494851655E-2</v>
      </c>
      <c r="L180" s="263">
        <f t="shared" si="20"/>
        <v>2.8545569306739141E-2</v>
      </c>
    </row>
    <row r="181" spans="1:12">
      <c r="A181" s="253">
        <v>35095</v>
      </c>
      <c r="B181">
        <v>12.9201</v>
      </c>
      <c r="D181" s="264">
        <f t="shared" si="14"/>
        <v>1.1020176320832522</v>
      </c>
      <c r="E181" s="264">
        <f t="shared" si="17"/>
        <v>14.238178008278826</v>
      </c>
      <c r="F181" s="264">
        <f t="shared" si="15"/>
        <v>8.307416318079297E-2</v>
      </c>
      <c r="G181">
        <v>2021.03</v>
      </c>
      <c r="H181" s="263">
        <f t="shared" si="16"/>
        <v>7.9627344455306392E-2</v>
      </c>
      <c r="I181" s="252">
        <v>0.43</v>
      </c>
      <c r="J181">
        <f t="shared" si="18"/>
        <v>4.3E-3</v>
      </c>
      <c r="K181" s="252">
        <f t="shared" si="19"/>
        <v>7.5327344455306394E-2</v>
      </c>
      <c r="L181" s="263">
        <f t="shared" si="20"/>
        <v>7.8774163180792972E-2</v>
      </c>
    </row>
    <row r="182" spans="1:12">
      <c r="A182" s="253">
        <v>35062</v>
      </c>
      <c r="B182">
        <v>11.9291</v>
      </c>
      <c r="D182" s="264">
        <f t="shared" si="14"/>
        <v>1.1020176320832522</v>
      </c>
      <c r="E182" s="264">
        <f t="shared" si="17"/>
        <v>13.146078534884325</v>
      </c>
      <c r="F182" s="264">
        <f t="shared" si="15"/>
        <v>8.3419613826676065E-2</v>
      </c>
      <c r="G182">
        <v>1871.97</v>
      </c>
      <c r="H182" s="263">
        <f t="shared" si="16"/>
        <v>2.3896777298882066E-2</v>
      </c>
      <c r="I182" s="252">
        <v>0.49</v>
      </c>
      <c r="J182">
        <f t="shared" si="18"/>
        <v>4.8999999999999998E-3</v>
      </c>
      <c r="K182" s="252">
        <f t="shared" si="19"/>
        <v>1.8996777298882064E-2</v>
      </c>
      <c r="L182" s="263">
        <f t="shared" si="20"/>
        <v>7.8519613826676063E-2</v>
      </c>
    </row>
    <row r="183" spans="1:12">
      <c r="A183" s="253">
        <v>35033</v>
      </c>
      <c r="B183">
        <v>11.0106</v>
      </c>
      <c r="D183" s="264">
        <f t="shared" si="14"/>
        <v>1.1020176320832522</v>
      </c>
      <c r="E183" s="264">
        <f t="shared" si="17"/>
        <v>12.133875339815857</v>
      </c>
      <c r="F183" s="264">
        <f t="shared" si="15"/>
        <v>-7.3743185947910295E-2</v>
      </c>
      <c r="G183">
        <v>1828.28</v>
      </c>
      <c r="H183" s="263">
        <f t="shared" si="16"/>
        <v>7.8665497985126454E-3</v>
      </c>
      <c r="I183" s="252">
        <v>0.42</v>
      </c>
      <c r="J183">
        <f t="shared" si="18"/>
        <v>4.1999999999999997E-3</v>
      </c>
      <c r="K183" s="252">
        <f t="shared" si="19"/>
        <v>3.6665497985126456E-3</v>
      </c>
      <c r="L183" s="263">
        <f t="shared" si="20"/>
        <v>-7.794318594791029E-2</v>
      </c>
    </row>
    <row r="184" spans="1:12">
      <c r="A184" s="253">
        <v>35003</v>
      </c>
      <c r="B184">
        <v>11.8872</v>
      </c>
      <c r="D184" s="264">
        <f t="shared" si="14"/>
        <v>1.1020176320832522</v>
      </c>
      <c r="E184" s="264">
        <f t="shared" si="17"/>
        <v>13.099903996100036</v>
      </c>
      <c r="F184" s="264">
        <f t="shared" si="15"/>
        <v>8.9169873556899537E-2</v>
      </c>
      <c r="G184">
        <v>1814.01</v>
      </c>
      <c r="H184" s="263">
        <f t="shared" si="16"/>
        <v>1.4348421729527328E-2</v>
      </c>
      <c r="I184" s="252">
        <v>0.47</v>
      </c>
      <c r="J184">
        <f t="shared" si="18"/>
        <v>4.6999999999999993E-3</v>
      </c>
      <c r="K184" s="252">
        <f t="shared" si="19"/>
        <v>9.6484217295273282E-3</v>
      </c>
      <c r="L184" s="263">
        <f t="shared" si="20"/>
        <v>8.4469873556899541E-2</v>
      </c>
    </row>
    <row r="185" spans="1:12">
      <c r="A185" s="253">
        <v>34971</v>
      </c>
      <c r="B185">
        <v>10.914</v>
      </c>
      <c r="D185" s="264">
        <f t="shared" ref="D185:D241" si="21">(D186*C185)/B185+D186</f>
        <v>1.1020176320832522</v>
      </c>
      <c r="E185" s="264">
        <f t="shared" si="17"/>
        <v>12.027420436556614</v>
      </c>
      <c r="F185" s="264">
        <f t="shared" si="15"/>
        <v>9.9383709955027655E-3</v>
      </c>
      <c r="G185">
        <v>1788.35</v>
      </c>
      <c r="H185" s="263">
        <f t="shared" si="16"/>
        <v>-5.0462198482523646E-2</v>
      </c>
      <c r="I185" s="252">
        <v>0.43</v>
      </c>
      <c r="J185">
        <f t="shared" si="18"/>
        <v>4.3E-3</v>
      </c>
      <c r="K185" s="252">
        <f t="shared" si="19"/>
        <v>-5.4762198482523644E-2</v>
      </c>
      <c r="L185" s="263">
        <f t="shared" si="20"/>
        <v>5.6383709955027655E-3</v>
      </c>
    </row>
    <row r="186" spans="1:12">
      <c r="A186" s="253">
        <v>34942</v>
      </c>
      <c r="B186">
        <v>10.8066</v>
      </c>
      <c r="D186" s="264">
        <f t="shared" si="21"/>
        <v>1.1020176320832522</v>
      </c>
      <c r="E186" s="264">
        <f t="shared" si="17"/>
        <v>11.909063742870872</v>
      </c>
      <c r="F186" s="264">
        <f t="shared" si="15"/>
        <v>2.0617096228856324E-2</v>
      </c>
      <c r="G186">
        <v>1883.39</v>
      </c>
      <c r="H186" s="263">
        <f t="shared" si="16"/>
        <v>-1.9088143996999984E-2</v>
      </c>
      <c r="I186" s="252">
        <v>0.47</v>
      </c>
      <c r="J186">
        <f t="shared" si="18"/>
        <v>4.6999999999999993E-3</v>
      </c>
      <c r="K186" s="252">
        <f t="shared" si="19"/>
        <v>-2.3788143996999984E-2</v>
      </c>
      <c r="L186" s="263">
        <f t="shared" si="20"/>
        <v>1.5917096228856325E-2</v>
      </c>
    </row>
    <row r="187" spans="1:12">
      <c r="A187" s="253">
        <v>34911</v>
      </c>
      <c r="B187">
        <v>10.5883</v>
      </c>
      <c r="D187" s="264">
        <f t="shared" si="21"/>
        <v>1.1020176320832522</v>
      </c>
      <c r="E187" s="264">
        <f t="shared" si="17"/>
        <v>11.668493293787099</v>
      </c>
      <c r="F187" s="264">
        <f t="shared" si="15"/>
        <v>0.13817196788098363</v>
      </c>
      <c r="G187">
        <v>1920.04</v>
      </c>
      <c r="H187" s="263">
        <f t="shared" si="16"/>
        <v>3.2934872661150694E-2</v>
      </c>
      <c r="I187" s="252">
        <v>0.45</v>
      </c>
      <c r="J187">
        <f t="shared" si="18"/>
        <v>4.5000000000000005E-3</v>
      </c>
      <c r="K187" s="252">
        <f t="shared" si="19"/>
        <v>2.8434872661150693E-2</v>
      </c>
      <c r="L187" s="263">
        <f t="shared" si="20"/>
        <v>0.13367196788098362</v>
      </c>
    </row>
    <row r="188" spans="1:12">
      <c r="A188" s="253">
        <v>34880</v>
      </c>
      <c r="B188">
        <v>9.3028999999999993</v>
      </c>
      <c r="C188" s="272">
        <v>0.21</v>
      </c>
      <c r="D188" s="264">
        <f t="shared" si="21"/>
        <v>1.1020176320832522</v>
      </c>
      <c r="E188" s="264">
        <f t="shared" si="17"/>
        <v>10.251959829507285</v>
      </c>
      <c r="F188" s="264">
        <f t="shared" si="15"/>
        <v>-3.4928783021547893E-2</v>
      </c>
      <c r="G188">
        <v>1858.82</v>
      </c>
      <c r="H188" s="263">
        <f t="shared" si="16"/>
        <v>-4.5755794553248297E-2</v>
      </c>
      <c r="I188" s="252">
        <v>0.47</v>
      </c>
      <c r="J188">
        <f t="shared" si="18"/>
        <v>4.6999999999999993E-3</v>
      </c>
      <c r="K188" s="252">
        <f t="shared" si="19"/>
        <v>-5.0455794553248293E-2</v>
      </c>
      <c r="L188" s="263">
        <f t="shared" si="20"/>
        <v>-3.9628783021547889E-2</v>
      </c>
    </row>
    <row r="189" spans="1:12">
      <c r="A189" s="253">
        <v>34850</v>
      </c>
      <c r="B189">
        <v>9.8572000000000006</v>
      </c>
      <c r="D189" s="264">
        <f t="shared" si="21"/>
        <v>1.077690276309778</v>
      </c>
      <c r="E189" s="264">
        <f t="shared" si="17"/>
        <v>10.623008591640744</v>
      </c>
      <c r="F189" s="264">
        <f t="shared" si="15"/>
        <v>4.9810959050002657E-2</v>
      </c>
      <c r="G189">
        <v>1947.95</v>
      </c>
      <c r="H189" s="263">
        <f t="shared" si="16"/>
        <v>1.537170438789448E-2</v>
      </c>
      <c r="I189" s="252">
        <v>0.54</v>
      </c>
      <c r="J189">
        <f t="shared" si="18"/>
        <v>5.4000000000000003E-3</v>
      </c>
      <c r="K189" s="252">
        <f t="shared" si="19"/>
        <v>9.9717043878944801E-3</v>
      </c>
      <c r="L189" s="263">
        <f t="shared" si="20"/>
        <v>4.4410959050002655E-2</v>
      </c>
    </row>
    <row r="190" spans="1:12">
      <c r="A190" s="253">
        <v>34817</v>
      </c>
      <c r="B190">
        <v>9.3895</v>
      </c>
      <c r="D190" s="264">
        <f t="shared" si="21"/>
        <v>1.077690276309778</v>
      </c>
      <c r="E190" s="264">
        <f t="shared" si="17"/>
        <v>10.11897284941066</v>
      </c>
      <c r="F190" s="264">
        <f t="shared" ref="F190:F241" si="22">E190/E191-1</f>
        <v>-2.2364982351655072E-2</v>
      </c>
      <c r="G190">
        <v>1918.46</v>
      </c>
      <c r="H190" s="263">
        <f t="shared" ref="H190:H247" si="23">(G190/G191)-1</f>
        <v>3.1718544969561391E-2</v>
      </c>
      <c r="I190" s="252">
        <v>0.45</v>
      </c>
      <c r="J190">
        <f t="shared" si="18"/>
        <v>4.5000000000000005E-3</v>
      </c>
      <c r="K190" s="252">
        <f t="shared" si="19"/>
        <v>2.721854496956139E-2</v>
      </c>
      <c r="L190" s="263">
        <f t="shared" si="20"/>
        <v>-2.6864982351655072E-2</v>
      </c>
    </row>
    <row r="191" spans="1:12">
      <c r="A191" s="253">
        <v>34789</v>
      </c>
      <c r="B191">
        <v>9.6043000000000003</v>
      </c>
      <c r="D191" s="264">
        <f t="shared" si="21"/>
        <v>1.077690276309778</v>
      </c>
      <c r="E191" s="264">
        <f t="shared" ref="E191:E219" si="24">B191*D191</f>
        <v>10.350460720762001</v>
      </c>
      <c r="F191" s="264">
        <f t="shared" si="22"/>
        <v>3.0869299215387391E-2</v>
      </c>
      <c r="G191">
        <v>1859.48</v>
      </c>
      <c r="H191" s="263">
        <f t="shared" si="23"/>
        <v>4.6503644089259222E-2</v>
      </c>
      <c r="I191" s="252">
        <v>0.46</v>
      </c>
      <c r="J191">
        <f t="shared" si="18"/>
        <v>4.5999999999999999E-3</v>
      </c>
      <c r="K191" s="252">
        <f t="shared" si="19"/>
        <v>4.1903644089259222E-2</v>
      </c>
      <c r="L191" s="263">
        <f t="shared" si="20"/>
        <v>2.6269299215387391E-2</v>
      </c>
    </row>
    <row r="192" spans="1:12">
      <c r="A192" s="253">
        <v>34758</v>
      </c>
      <c r="B192">
        <v>9.3167000000000009</v>
      </c>
      <c r="D192" s="264">
        <f t="shared" si="21"/>
        <v>1.077690276309778</v>
      </c>
      <c r="E192" s="264">
        <f t="shared" si="24"/>
        <v>10.04051699729531</v>
      </c>
      <c r="F192" s="264">
        <f t="shared" si="22"/>
        <v>5.0384450607680265E-2</v>
      </c>
      <c r="G192">
        <v>1776.85</v>
      </c>
      <c r="H192" s="263">
        <f t="shared" si="23"/>
        <v>-1.1708103898993349E-2</v>
      </c>
      <c r="I192" s="252">
        <v>0.4</v>
      </c>
      <c r="J192">
        <f t="shared" si="18"/>
        <v>4.0000000000000001E-3</v>
      </c>
      <c r="K192" s="252">
        <f t="shared" si="19"/>
        <v>-1.570810389899335E-2</v>
      </c>
      <c r="L192" s="263">
        <f t="shared" si="20"/>
        <v>4.6384450607680261E-2</v>
      </c>
    </row>
    <row r="193" spans="1:12">
      <c r="A193" s="253">
        <v>34730</v>
      </c>
      <c r="B193">
        <v>8.8697999999999997</v>
      </c>
      <c r="D193" s="264">
        <f t="shared" si="21"/>
        <v>1.077690276309778</v>
      </c>
      <c r="E193" s="264">
        <f t="shared" si="24"/>
        <v>9.5588972128124681</v>
      </c>
      <c r="F193" s="264">
        <f t="shared" si="22"/>
        <v>3.9385026424645808E-2</v>
      </c>
      <c r="G193">
        <v>1797.9</v>
      </c>
      <c r="H193" s="263">
        <f t="shared" si="23"/>
        <v>-4.4254844111314862E-2</v>
      </c>
      <c r="I193" s="252">
        <v>0.42</v>
      </c>
      <c r="J193">
        <f t="shared" si="18"/>
        <v>4.1999999999999997E-3</v>
      </c>
      <c r="K193" s="252">
        <f t="shared" si="19"/>
        <v>-4.8454844111314864E-2</v>
      </c>
      <c r="L193" s="263">
        <f t="shared" si="20"/>
        <v>3.5185026424645806E-2</v>
      </c>
    </row>
    <row r="194" spans="1:12">
      <c r="A194" s="253">
        <v>34698</v>
      </c>
      <c r="B194">
        <v>8.5336999999999996</v>
      </c>
      <c r="D194" s="264">
        <f t="shared" si="21"/>
        <v>1.077690276309778</v>
      </c>
      <c r="E194" s="264">
        <f t="shared" si="24"/>
        <v>9.1966855109447518</v>
      </c>
      <c r="F194" s="264">
        <f t="shared" si="22"/>
        <v>-7.717845015896363E-2</v>
      </c>
      <c r="G194">
        <v>1881.15</v>
      </c>
      <c r="H194" s="263">
        <f t="shared" si="23"/>
        <v>-4.7972104416125982E-2</v>
      </c>
      <c r="I194" s="252">
        <v>0.44</v>
      </c>
      <c r="J194">
        <f t="shared" si="18"/>
        <v>4.4000000000000003E-3</v>
      </c>
      <c r="K194" s="252">
        <f t="shared" si="19"/>
        <v>-5.2372104416125984E-2</v>
      </c>
      <c r="L194" s="263">
        <f t="shared" si="20"/>
        <v>-8.1578450158963631E-2</v>
      </c>
    </row>
    <row r="195" spans="1:12">
      <c r="A195" s="253">
        <v>34668</v>
      </c>
      <c r="B195">
        <v>9.2474000000000007</v>
      </c>
      <c r="D195" s="264">
        <f t="shared" si="21"/>
        <v>1.077690276309778</v>
      </c>
      <c r="E195" s="264">
        <f t="shared" si="24"/>
        <v>9.9658330611470411</v>
      </c>
      <c r="F195" s="264">
        <f t="shared" si="22"/>
        <v>2.6929782673877689E-2</v>
      </c>
      <c r="G195">
        <v>1975.94</v>
      </c>
      <c r="H195" s="263">
        <f t="shared" si="23"/>
        <v>3.6863288362745328E-2</v>
      </c>
      <c r="I195" s="252">
        <v>0.37</v>
      </c>
      <c r="J195">
        <f t="shared" ref="J195:J247" si="25">I195/100</f>
        <v>3.7000000000000002E-3</v>
      </c>
      <c r="K195" s="252">
        <f t="shared" ref="K195:K247" si="26">H195-J195</f>
        <v>3.3163288362745326E-2</v>
      </c>
      <c r="L195" s="263">
        <f t="shared" ref="L195:L241" si="27">F195-J195</f>
        <v>2.3229782673877687E-2</v>
      </c>
    </row>
    <row r="196" spans="1:12">
      <c r="A196" s="253">
        <v>34638</v>
      </c>
      <c r="B196">
        <v>9.0048999999999992</v>
      </c>
      <c r="D196" s="264">
        <f t="shared" si="21"/>
        <v>1.077690276309778</v>
      </c>
      <c r="E196" s="264">
        <f t="shared" si="24"/>
        <v>9.7044931691419194</v>
      </c>
      <c r="F196" s="264">
        <f t="shared" si="22"/>
        <v>8.8363267180739058E-2</v>
      </c>
      <c r="G196">
        <v>1905.69</v>
      </c>
      <c r="H196" s="263">
        <f t="shared" si="23"/>
        <v>1.4069442596780668E-2</v>
      </c>
      <c r="I196" s="252">
        <v>0.38</v>
      </c>
      <c r="J196">
        <f t="shared" si="25"/>
        <v>3.8E-3</v>
      </c>
      <c r="K196" s="252">
        <f t="shared" si="26"/>
        <v>1.0269442596780668E-2</v>
      </c>
      <c r="L196" s="263">
        <f t="shared" si="27"/>
        <v>8.456326718073906E-2</v>
      </c>
    </row>
    <row r="197" spans="1:12">
      <c r="A197" s="253">
        <v>34607</v>
      </c>
      <c r="B197">
        <v>8.2737999999999996</v>
      </c>
      <c r="D197" s="264">
        <f t="shared" si="21"/>
        <v>1.077690276309778</v>
      </c>
      <c r="E197" s="264">
        <f t="shared" si="24"/>
        <v>8.9165938081318412</v>
      </c>
      <c r="F197" s="264">
        <f t="shared" si="22"/>
        <v>-3.9606582638110899E-3</v>
      </c>
      <c r="G197">
        <v>1879.25</v>
      </c>
      <c r="H197" s="263">
        <f t="shared" si="23"/>
        <v>-9.1746090049683926E-2</v>
      </c>
      <c r="I197" s="252">
        <v>0.37</v>
      </c>
      <c r="J197">
        <f t="shared" si="25"/>
        <v>3.7000000000000002E-3</v>
      </c>
      <c r="K197" s="252">
        <f t="shared" si="26"/>
        <v>-9.5446090049683921E-2</v>
      </c>
      <c r="L197" s="263">
        <f t="shared" si="27"/>
        <v>-7.66065826381109E-3</v>
      </c>
    </row>
    <row r="198" spans="1:12">
      <c r="A198" s="253">
        <v>34577</v>
      </c>
      <c r="B198">
        <v>8.3066999999999993</v>
      </c>
      <c r="D198" s="264">
        <f t="shared" si="21"/>
        <v>1.077690276309778</v>
      </c>
      <c r="E198" s="264">
        <f t="shared" si="24"/>
        <v>8.9520498182224326</v>
      </c>
      <c r="F198" s="264">
        <f t="shared" si="22"/>
        <v>-5.1856287425148251E-3</v>
      </c>
      <c r="G198">
        <v>2069.08</v>
      </c>
      <c r="H198" s="263">
        <f t="shared" si="23"/>
        <v>-2.8482064973806009E-3</v>
      </c>
      <c r="I198" s="252">
        <v>0.37</v>
      </c>
      <c r="J198">
        <f t="shared" si="25"/>
        <v>3.7000000000000002E-3</v>
      </c>
      <c r="K198" s="252">
        <f t="shared" si="26"/>
        <v>-6.5482064973806011E-3</v>
      </c>
      <c r="L198" s="263">
        <f t="shared" si="27"/>
        <v>-8.8856287425148252E-3</v>
      </c>
    </row>
    <row r="199" spans="1:12">
      <c r="A199" s="253">
        <v>34544</v>
      </c>
      <c r="B199">
        <v>8.35</v>
      </c>
      <c r="D199" s="264">
        <f t="shared" si="21"/>
        <v>1.077690276309778</v>
      </c>
      <c r="E199" s="264">
        <f t="shared" si="24"/>
        <v>8.998713807186645</v>
      </c>
      <c r="F199" s="264">
        <f t="shared" si="22"/>
        <v>0.11961812306413311</v>
      </c>
      <c r="G199">
        <v>2074.9899999999998</v>
      </c>
      <c r="H199" s="263">
        <f t="shared" si="23"/>
        <v>9.671775898520063E-2</v>
      </c>
      <c r="I199" s="252">
        <v>0.28000000000000003</v>
      </c>
      <c r="J199">
        <f t="shared" si="25"/>
        <v>2.8000000000000004E-3</v>
      </c>
      <c r="K199" s="252">
        <f t="shared" si="26"/>
        <v>9.3917758985200633E-2</v>
      </c>
      <c r="L199" s="263">
        <f t="shared" si="27"/>
        <v>0.11681812306413311</v>
      </c>
    </row>
    <row r="200" spans="1:12">
      <c r="A200" s="253">
        <v>34515</v>
      </c>
      <c r="B200">
        <v>7.4579000000000004</v>
      </c>
      <c r="C200" s="272">
        <v>0.21</v>
      </c>
      <c r="D200" s="264">
        <f t="shared" si="21"/>
        <v>1.077690276309778</v>
      </c>
      <c r="E200" s="264">
        <f t="shared" si="24"/>
        <v>8.0373063116906938</v>
      </c>
      <c r="F200" s="264">
        <f t="shared" si="22"/>
        <v>-5.3443333203616605E-3</v>
      </c>
      <c r="G200">
        <v>1892</v>
      </c>
      <c r="H200" s="263">
        <f t="shared" si="23"/>
        <v>-6.7934381003990407E-2</v>
      </c>
      <c r="I200" s="252">
        <v>0.31</v>
      </c>
      <c r="J200">
        <f t="shared" si="25"/>
        <v>3.0999999999999999E-3</v>
      </c>
      <c r="K200" s="252">
        <f t="shared" si="26"/>
        <v>-7.1034381003990413E-2</v>
      </c>
      <c r="L200" s="263">
        <f t="shared" si="27"/>
        <v>-8.4443333203616609E-3</v>
      </c>
    </row>
    <row r="201" spans="1:12">
      <c r="A201" s="253">
        <v>34485</v>
      </c>
      <c r="B201">
        <v>7.7091000000000003</v>
      </c>
      <c r="D201" s="264">
        <f t="shared" si="21"/>
        <v>1.048175681958645</v>
      </c>
      <c r="E201" s="264">
        <f t="shared" si="24"/>
        <v>8.0804911497873899</v>
      </c>
      <c r="F201" s="264">
        <f t="shared" si="22"/>
        <v>-0.11266243856397984</v>
      </c>
      <c r="G201">
        <v>2029.9</v>
      </c>
      <c r="H201" s="263">
        <f t="shared" si="23"/>
        <v>-6.2817411217196972E-2</v>
      </c>
      <c r="I201" s="252">
        <v>0.32</v>
      </c>
      <c r="J201">
        <f t="shared" si="25"/>
        <v>3.2000000000000002E-3</v>
      </c>
      <c r="K201" s="252">
        <f t="shared" si="26"/>
        <v>-6.6017411217196967E-2</v>
      </c>
      <c r="L201" s="263">
        <f t="shared" si="27"/>
        <v>-0.11586243856397983</v>
      </c>
    </row>
    <row r="202" spans="1:12">
      <c r="A202" s="253">
        <v>34453</v>
      </c>
      <c r="B202">
        <v>8.6879000000000008</v>
      </c>
      <c r="D202" s="264">
        <f t="shared" si="21"/>
        <v>1.048175681958645</v>
      </c>
      <c r="E202" s="264">
        <f t="shared" si="24"/>
        <v>9.1064455072885124</v>
      </c>
      <c r="F202" s="264">
        <f t="shared" si="22"/>
        <v>2.1384904773101399E-2</v>
      </c>
      <c r="G202">
        <v>2165.96</v>
      </c>
      <c r="H202" s="263">
        <f t="shared" si="23"/>
        <v>4.0356590487718114E-2</v>
      </c>
      <c r="I202" s="252">
        <v>0.27</v>
      </c>
      <c r="J202">
        <f t="shared" si="25"/>
        <v>2.7000000000000001E-3</v>
      </c>
      <c r="K202" s="252">
        <f t="shared" si="26"/>
        <v>3.7656590487718113E-2</v>
      </c>
      <c r="L202" s="263">
        <f t="shared" si="27"/>
        <v>1.8684904773101398E-2</v>
      </c>
    </row>
    <row r="203" spans="1:12">
      <c r="A203" s="253">
        <v>34424</v>
      </c>
      <c r="B203">
        <v>8.5060000000000002</v>
      </c>
      <c r="D203" s="264">
        <f t="shared" si="21"/>
        <v>1.048175681958645</v>
      </c>
      <c r="E203" s="264">
        <f t="shared" si="24"/>
        <v>8.9157823507402352</v>
      </c>
      <c r="F203" s="264">
        <f t="shared" si="22"/>
        <v>-7.4458940404556917E-2</v>
      </c>
      <c r="G203">
        <v>2081.94</v>
      </c>
      <c r="H203" s="263">
        <f t="shared" si="23"/>
        <v>-6.9756842980080891E-2</v>
      </c>
      <c r="I203" s="252">
        <v>0.27</v>
      </c>
      <c r="J203">
        <f t="shared" si="25"/>
        <v>2.7000000000000001E-3</v>
      </c>
      <c r="K203" s="252">
        <f t="shared" si="26"/>
        <v>-7.2456842980080885E-2</v>
      </c>
      <c r="L203" s="263">
        <f t="shared" si="27"/>
        <v>-7.7158940404556911E-2</v>
      </c>
    </row>
    <row r="204" spans="1:12">
      <c r="A204" s="253">
        <v>34393</v>
      </c>
      <c r="B204">
        <v>9.1903000000000006</v>
      </c>
      <c r="D204" s="264">
        <f t="shared" si="21"/>
        <v>1.048175681958645</v>
      </c>
      <c r="E204" s="264">
        <f t="shared" si="24"/>
        <v>9.6330489699045359</v>
      </c>
      <c r="F204" s="264">
        <f t="shared" si="22"/>
        <v>-5.4359681435597662E-2</v>
      </c>
      <c r="G204">
        <v>2238.06</v>
      </c>
      <c r="H204" s="263">
        <f t="shared" si="23"/>
        <v>-4.1253277129491672E-2</v>
      </c>
      <c r="I204" s="252">
        <v>0.21</v>
      </c>
      <c r="J204">
        <f t="shared" si="25"/>
        <v>2.0999999999999999E-3</v>
      </c>
      <c r="K204" s="252">
        <f t="shared" si="26"/>
        <v>-4.335327712949167E-2</v>
      </c>
      <c r="L204" s="263">
        <f t="shared" si="27"/>
        <v>-5.645968143559766E-2</v>
      </c>
    </row>
    <row r="205" spans="1:12">
      <c r="A205" s="253">
        <v>34365</v>
      </c>
      <c r="B205">
        <v>9.7186000000000003</v>
      </c>
      <c r="D205" s="264">
        <f t="shared" si="21"/>
        <v>1.048175681958645</v>
      </c>
      <c r="E205" s="264">
        <f t="shared" si="24"/>
        <v>10.186800182683287</v>
      </c>
      <c r="F205" s="264">
        <f t="shared" si="22"/>
        <v>0.10107063955135098</v>
      </c>
      <c r="G205">
        <v>2334.36</v>
      </c>
      <c r="H205" s="263">
        <f t="shared" si="23"/>
        <v>2.9159428979552482E-2</v>
      </c>
      <c r="I205" s="252">
        <v>0.25</v>
      </c>
      <c r="J205">
        <f t="shared" si="25"/>
        <v>2.5000000000000001E-3</v>
      </c>
      <c r="K205" s="252">
        <f t="shared" si="26"/>
        <v>2.6659428979552483E-2</v>
      </c>
      <c r="L205" s="263">
        <f t="shared" si="27"/>
        <v>9.857063955135098E-2</v>
      </c>
    </row>
    <row r="206" spans="1:12">
      <c r="A206" s="253">
        <v>34334</v>
      </c>
      <c r="B206">
        <v>8.8264999999999993</v>
      </c>
      <c r="D206" s="264">
        <f t="shared" si="21"/>
        <v>1.048175681958645</v>
      </c>
      <c r="E206" s="264">
        <f t="shared" si="24"/>
        <v>9.2517226568079796</v>
      </c>
      <c r="F206" s="264">
        <f t="shared" si="22"/>
        <v>8.8683317915510207E-2</v>
      </c>
      <c r="G206">
        <v>2268.2199999999998</v>
      </c>
      <c r="H206" s="263">
        <f t="shared" si="23"/>
        <v>7.4939931472117083E-2</v>
      </c>
      <c r="I206" s="252">
        <v>0.23</v>
      </c>
      <c r="J206">
        <f t="shared" si="25"/>
        <v>2.3E-3</v>
      </c>
      <c r="K206" s="252">
        <f t="shared" si="26"/>
        <v>7.2639931472117086E-2</v>
      </c>
      <c r="L206" s="263">
        <f t="shared" si="27"/>
        <v>8.638331791551021E-2</v>
      </c>
    </row>
    <row r="207" spans="1:12">
      <c r="A207" s="253">
        <v>34303</v>
      </c>
      <c r="B207">
        <v>8.1074999999999999</v>
      </c>
      <c r="D207" s="264">
        <f t="shared" si="21"/>
        <v>1.048175681958645</v>
      </c>
      <c r="E207" s="264">
        <f t="shared" si="24"/>
        <v>8.4980843414797143</v>
      </c>
      <c r="F207" s="264">
        <f t="shared" si="22"/>
        <v>-4.9742730224217269E-2</v>
      </c>
      <c r="G207">
        <v>2110.09</v>
      </c>
      <c r="H207" s="263">
        <f t="shared" si="23"/>
        <v>-3.2933843580283506E-2</v>
      </c>
      <c r="I207" s="252">
        <v>0.25</v>
      </c>
      <c r="J207">
        <f t="shared" si="25"/>
        <v>2.5000000000000001E-3</v>
      </c>
      <c r="K207" s="252">
        <f t="shared" si="26"/>
        <v>-3.5433843580283508E-2</v>
      </c>
      <c r="L207" s="263">
        <f t="shared" si="27"/>
        <v>-5.2242730224217271E-2</v>
      </c>
    </row>
    <row r="208" spans="1:12">
      <c r="A208" s="253">
        <v>34271</v>
      </c>
      <c r="B208">
        <v>8.5319000000000003</v>
      </c>
      <c r="D208" s="264">
        <f t="shared" si="21"/>
        <v>1.048175681958645</v>
      </c>
      <c r="E208" s="264">
        <f t="shared" si="24"/>
        <v>8.9429301009029629</v>
      </c>
      <c r="F208" s="264">
        <f t="shared" si="22"/>
        <v>7.1535655684487054E-3</v>
      </c>
      <c r="G208">
        <v>2181.9499999999998</v>
      </c>
      <c r="H208" s="263">
        <f t="shared" si="23"/>
        <v>3.1835356539914539E-2</v>
      </c>
      <c r="I208" s="252">
        <v>0.22</v>
      </c>
      <c r="J208">
        <f t="shared" si="25"/>
        <v>2.2000000000000001E-3</v>
      </c>
      <c r="K208" s="252">
        <f t="shared" si="26"/>
        <v>2.9635356539914538E-2</v>
      </c>
      <c r="L208" s="263">
        <f t="shared" si="27"/>
        <v>4.9535655684487048E-3</v>
      </c>
    </row>
    <row r="209" spans="1:12">
      <c r="A209" s="253">
        <v>34242</v>
      </c>
      <c r="B209">
        <v>8.4712999999999994</v>
      </c>
      <c r="D209" s="264">
        <f t="shared" si="21"/>
        <v>1.048175681958645</v>
      </c>
      <c r="E209" s="264">
        <f t="shared" si="24"/>
        <v>8.8794106545762688</v>
      </c>
      <c r="F209" s="264">
        <f t="shared" si="22"/>
        <v>-3.0721526808393906E-2</v>
      </c>
      <c r="G209">
        <v>2114.63</v>
      </c>
      <c r="H209" s="263">
        <f t="shared" si="23"/>
        <v>-4.5955542321417964E-2</v>
      </c>
      <c r="I209" s="252">
        <v>0.26</v>
      </c>
      <c r="J209">
        <f t="shared" si="25"/>
        <v>2.5999999999999999E-3</v>
      </c>
      <c r="K209" s="252">
        <f t="shared" si="26"/>
        <v>-4.8555542321417962E-2</v>
      </c>
      <c r="L209" s="263">
        <f t="shared" si="27"/>
        <v>-3.3321526808393905E-2</v>
      </c>
    </row>
    <row r="210" spans="1:12">
      <c r="A210" s="253">
        <v>34212</v>
      </c>
      <c r="B210">
        <v>8.7398000000000007</v>
      </c>
      <c r="D210" s="264">
        <f t="shared" si="21"/>
        <v>1.048175681958645</v>
      </c>
      <c r="E210" s="264">
        <f t="shared" si="24"/>
        <v>9.1608458251821663</v>
      </c>
      <c r="F210" s="264">
        <f t="shared" si="22"/>
        <v>1.9183002343941435E-2</v>
      </c>
      <c r="G210">
        <v>2216.4899999999998</v>
      </c>
      <c r="H210" s="263">
        <f t="shared" si="23"/>
        <v>6.2616257886359605E-2</v>
      </c>
      <c r="I210" s="252">
        <v>0.25</v>
      </c>
      <c r="J210">
        <f t="shared" si="25"/>
        <v>2.5000000000000001E-3</v>
      </c>
      <c r="K210" s="252">
        <f t="shared" si="26"/>
        <v>6.0116257886359603E-2</v>
      </c>
      <c r="L210" s="263">
        <f t="shared" si="27"/>
        <v>1.6683002343941437E-2</v>
      </c>
    </row>
    <row r="211" spans="1:12">
      <c r="A211" s="253">
        <v>34180</v>
      </c>
      <c r="B211">
        <v>8.5753000000000004</v>
      </c>
      <c r="D211" s="264">
        <f t="shared" si="21"/>
        <v>1.048175681958645</v>
      </c>
      <c r="E211" s="264">
        <f t="shared" si="24"/>
        <v>8.9884209254999679</v>
      </c>
      <c r="F211" s="264">
        <f t="shared" si="22"/>
        <v>4.5411322962890743E-2</v>
      </c>
      <c r="G211">
        <v>2085.88</v>
      </c>
      <c r="H211" s="263">
        <f t="shared" si="23"/>
        <v>5.7818213168211008E-2</v>
      </c>
      <c r="I211" s="252">
        <v>0.24</v>
      </c>
      <c r="J211">
        <f t="shared" si="25"/>
        <v>2.3999999999999998E-3</v>
      </c>
      <c r="K211" s="252">
        <f t="shared" si="26"/>
        <v>5.5418213168211009E-2</v>
      </c>
      <c r="L211" s="263">
        <f t="shared" si="27"/>
        <v>4.3011322962890744E-2</v>
      </c>
    </row>
    <row r="212" spans="1:12">
      <c r="A212" s="253">
        <v>34150</v>
      </c>
      <c r="B212">
        <v>8.2027999999999999</v>
      </c>
      <c r="C212" s="272">
        <v>0.21</v>
      </c>
      <c r="D212" s="264">
        <f t="shared" si="21"/>
        <v>1.048175681958645</v>
      </c>
      <c r="E212" s="264">
        <f t="shared" si="24"/>
        <v>8.597975483970373</v>
      </c>
      <c r="F212" s="264">
        <f t="shared" si="22"/>
        <v>7.3198112004082105E-2</v>
      </c>
      <c r="G212">
        <v>1971.87</v>
      </c>
      <c r="H212" s="263">
        <f t="shared" si="23"/>
        <v>4.4035580028590982E-2</v>
      </c>
      <c r="I212" s="252">
        <v>0.25</v>
      </c>
      <c r="J212">
        <f t="shared" si="25"/>
        <v>2.5000000000000001E-3</v>
      </c>
      <c r="K212" s="252">
        <f t="shared" si="26"/>
        <v>4.1535580028590979E-2</v>
      </c>
      <c r="L212" s="263">
        <f t="shared" si="27"/>
        <v>7.0698112004082103E-2</v>
      </c>
    </row>
    <row r="213" spans="1:12">
      <c r="A213" s="253">
        <v>34120</v>
      </c>
      <c r="B213">
        <v>7.8390000000000004</v>
      </c>
      <c r="D213" s="264">
        <f t="shared" si="21"/>
        <v>1.0220111596579466</v>
      </c>
      <c r="E213" s="264">
        <f t="shared" si="24"/>
        <v>8.0115454805586435</v>
      </c>
      <c r="F213" s="264">
        <f t="shared" si="22"/>
        <v>-6.6051897919794045E-2</v>
      </c>
      <c r="G213">
        <v>1888.7</v>
      </c>
      <c r="H213" s="263">
        <f t="shared" si="23"/>
        <v>-2.5956277107625936E-2</v>
      </c>
      <c r="I213" s="252">
        <v>0.22</v>
      </c>
      <c r="J213">
        <f t="shared" si="25"/>
        <v>2.2000000000000001E-3</v>
      </c>
      <c r="K213" s="252">
        <f t="shared" si="26"/>
        <v>-2.8156277107625936E-2</v>
      </c>
      <c r="L213" s="263">
        <f t="shared" si="27"/>
        <v>-6.8251897919794038E-2</v>
      </c>
    </row>
    <row r="214" spans="1:12">
      <c r="A214" s="253">
        <v>34089</v>
      </c>
      <c r="B214">
        <v>8.3933999999999997</v>
      </c>
      <c r="D214" s="264">
        <f t="shared" si="21"/>
        <v>1.0220111596579466</v>
      </c>
      <c r="E214" s="264">
        <f t="shared" si="24"/>
        <v>8.5781484674730084</v>
      </c>
      <c r="F214" s="264">
        <f t="shared" si="22"/>
        <v>-3.9634774251127269E-2</v>
      </c>
      <c r="G214">
        <v>1939.03</v>
      </c>
      <c r="H214" s="263">
        <f t="shared" si="23"/>
        <v>-4.5461705835441957E-2</v>
      </c>
      <c r="I214" s="252">
        <v>0.24</v>
      </c>
      <c r="J214">
        <f t="shared" si="25"/>
        <v>2.3999999999999998E-3</v>
      </c>
      <c r="K214" s="252">
        <f t="shared" si="26"/>
        <v>-4.7861705835441956E-2</v>
      </c>
      <c r="L214" s="263">
        <f t="shared" si="27"/>
        <v>-4.2034774251127269E-2</v>
      </c>
    </row>
    <row r="215" spans="1:12">
      <c r="A215" s="253">
        <v>34059</v>
      </c>
      <c r="B215">
        <v>8.7398000000000007</v>
      </c>
      <c r="D215" s="264">
        <f t="shared" si="21"/>
        <v>1.0220111596579466</v>
      </c>
      <c r="E215" s="264">
        <f t="shared" si="24"/>
        <v>8.932173133178523</v>
      </c>
      <c r="F215" s="264">
        <f t="shared" si="22"/>
        <v>-3.9054425508521118E-2</v>
      </c>
      <c r="G215">
        <v>2031.38</v>
      </c>
      <c r="H215" s="263">
        <f t="shared" si="23"/>
        <v>2.4030730298279623E-2</v>
      </c>
      <c r="I215" s="252">
        <v>0.25</v>
      </c>
      <c r="J215">
        <f t="shared" si="25"/>
        <v>2.5000000000000001E-3</v>
      </c>
      <c r="K215" s="252">
        <f t="shared" si="26"/>
        <v>2.1530730298279625E-2</v>
      </c>
      <c r="L215" s="263">
        <f t="shared" si="27"/>
        <v>-4.155442550852112E-2</v>
      </c>
    </row>
    <row r="216" spans="1:12">
      <c r="A216" s="253">
        <v>34026</v>
      </c>
      <c r="B216">
        <v>9.0950000000000006</v>
      </c>
      <c r="D216" s="264">
        <f t="shared" si="21"/>
        <v>1.0220111596579466</v>
      </c>
      <c r="E216" s="264">
        <f t="shared" si="24"/>
        <v>9.295191497089025</v>
      </c>
      <c r="F216" s="264">
        <f t="shared" si="22"/>
        <v>8.3589486977863725E-2</v>
      </c>
      <c r="G216">
        <v>1983.71</v>
      </c>
      <c r="H216" s="263">
        <f t="shared" si="23"/>
        <v>0.119342515841802</v>
      </c>
      <c r="I216" s="252">
        <v>0.22</v>
      </c>
      <c r="J216">
        <f t="shared" si="25"/>
        <v>2.2000000000000001E-3</v>
      </c>
      <c r="K216" s="252">
        <f t="shared" si="26"/>
        <v>0.11714251584180201</v>
      </c>
      <c r="L216" s="263">
        <f t="shared" si="27"/>
        <v>8.1389486977863731E-2</v>
      </c>
    </row>
    <row r="217" spans="1:12">
      <c r="A217" s="253">
        <v>33998</v>
      </c>
      <c r="B217">
        <v>8.3933999999999997</v>
      </c>
      <c r="D217" s="264">
        <f t="shared" si="21"/>
        <v>1.0220111596579466</v>
      </c>
      <c r="E217" s="264">
        <f t="shared" si="24"/>
        <v>8.5781484674730084</v>
      </c>
      <c r="F217" s="264">
        <f t="shared" si="22"/>
        <v>-0.1386614124746014</v>
      </c>
      <c r="G217">
        <v>1772.21</v>
      </c>
      <c r="H217" s="263">
        <f t="shared" si="23"/>
        <v>-4.6060351602450256E-2</v>
      </c>
      <c r="I217" s="252">
        <v>0.23</v>
      </c>
      <c r="J217">
        <f t="shared" si="25"/>
        <v>2.3E-3</v>
      </c>
      <c r="K217" s="252">
        <f t="shared" si="26"/>
        <v>-4.8360351602450252E-2</v>
      </c>
      <c r="L217" s="263">
        <f t="shared" si="27"/>
        <v>-0.14096141247460139</v>
      </c>
    </row>
    <row r="218" spans="1:12">
      <c r="A218" s="253">
        <v>33969</v>
      </c>
      <c r="B218">
        <v>9.7446000000000002</v>
      </c>
      <c r="D218" s="264">
        <f t="shared" si="21"/>
        <v>1.0220111596579466</v>
      </c>
      <c r="E218" s="264">
        <f t="shared" si="24"/>
        <v>9.9590899464028269</v>
      </c>
      <c r="F218" s="264">
        <f t="shared" si="22"/>
        <v>7.1423859263331391E-2</v>
      </c>
      <c r="G218">
        <v>1857.78</v>
      </c>
      <c r="H218" s="263">
        <f t="shared" si="23"/>
        <v>4.8781451644772211E-2</v>
      </c>
      <c r="I218" s="252">
        <v>0.28000000000000003</v>
      </c>
      <c r="J218">
        <f t="shared" si="25"/>
        <v>2.8000000000000004E-3</v>
      </c>
      <c r="K218" s="252">
        <f t="shared" si="26"/>
        <v>4.5981451644772214E-2</v>
      </c>
      <c r="L218" s="263">
        <f t="shared" si="27"/>
        <v>6.8623859263331394E-2</v>
      </c>
    </row>
    <row r="219" spans="1:12">
      <c r="A219" s="253">
        <v>33938</v>
      </c>
      <c r="B219">
        <v>9.0950000000000006</v>
      </c>
      <c r="D219" s="264">
        <f t="shared" si="21"/>
        <v>1.0220111596579466</v>
      </c>
      <c r="E219" s="264">
        <f t="shared" si="24"/>
        <v>9.295191497089025</v>
      </c>
      <c r="F219" s="264">
        <f t="shared" si="22"/>
        <v>2.0408163265306145E-2</v>
      </c>
      <c r="G219">
        <v>1771.37</v>
      </c>
      <c r="H219" s="263">
        <f t="shared" si="23"/>
        <v>1.6626492194673936E-2</v>
      </c>
      <c r="I219" s="252">
        <v>0.23</v>
      </c>
      <c r="J219">
        <f t="shared" si="25"/>
        <v>2.3E-3</v>
      </c>
      <c r="K219" s="252">
        <f t="shared" si="26"/>
        <v>1.4326492194673936E-2</v>
      </c>
      <c r="L219" s="263">
        <f t="shared" si="27"/>
        <v>1.8108163265306145E-2</v>
      </c>
    </row>
    <row r="220" spans="1:12">
      <c r="A220" s="253">
        <v>33907</v>
      </c>
      <c r="B220">
        <v>8.9131</v>
      </c>
      <c r="D220" s="264">
        <f t="shared" si="21"/>
        <v>1.0220111596579466</v>
      </c>
      <c r="E220" s="264">
        <f>B220*D220</f>
        <v>9.1092876671472442</v>
      </c>
      <c r="F220" s="264">
        <f t="shared" si="22"/>
        <v>-5.3358823217035667E-2</v>
      </c>
      <c r="G220">
        <v>1742.4</v>
      </c>
      <c r="H220" s="263">
        <f t="shared" si="23"/>
        <v>3.2647561797169988E-3</v>
      </c>
      <c r="I220" s="252">
        <v>0.23</v>
      </c>
      <c r="J220">
        <f t="shared" si="25"/>
        <v>2.3E-3</v>
      </c>
      <c r="K220" s="252">
        <f t="shared" si="26"/>
        <v>9.6475617971699887E-4</v>
      </c>
      <c r="L220" s="263">
        <f t="shared" si="27"/>
        <v>-5.5658823217035663E-2</v>
      </c>
    </row>
    <row r="221" spans="1:12">
      <c r="A221" s="253">
        <v>33877</v>
      </c>
      <c r="B221">
        <v>9.4154999999999998</v>
      </c>
      <c r="D221" s="264">
        <f t="shared" si="21"/>
        <v>1.0220111596579466</v>
      </c>
      <c r="E221" s="264">
        <f t="shared" ref="E221:E235" si="28">B221*D221</f>
        <v>9.6227460737593962</v>
      </c>
      <c r="F221" s="264">
        <f t="shared" si="22"/>
        <v>0.10356427056107065</v>
      </c>
      <c r="G221">
        <v>1736.73</v>
      </c>
      <c r="H221" s="263">
        <f t="shared" si="23"/>
        <v>3.0773704952281378E-2</v>
      </c>
      <c r="I221" s="252">
        <v>0.26</v>
      </c>
      <c r="J221">
        <f t="shared" si="25"/>
        <v>2.5999999999999999E-3</v>
      </c>
      <c r="K221" s="252">
        <f t="shared" si="26"/>
        <v>2.817370495228138E-2</v>
      </c>
      <c r="L221" s="263">
        <f t="shared" si="27"/>
        <v>0.10096427056107064</v>
      </c>
    </row>
    <row r="222" spans="1:12">
      <c r="A222" s="253">
        <v>33847</v>
      </c>
      <c r="B222">
        <v>8.5319000000000003</v>
      </c>
      <c r="D222" s="264">
        <f t="shared" si="21"/>
        <v>1.0220111596579466</v>
      </c>
      <c r="E222" s="264">
        <f t="shared" si="28"/>
        <v>8.7196970130856357</v>
      </c>
      <c r="F222" s="264">
        <f t="shared" si="22"/>
        <v>9.214572983203384E-3</v>
      </c>
      <c r="G222">
        <v>1684.88</v>
      </c>
      <c r="H222" s="263">
        <f t="shared" si="23"/>
        <v>-3.977386061196686E-2</v>
      </c>
      <c r="I222" s="252">
        <v>0.26</v>
      </c>
      <c r="J222">
        <f t="shared" si="25"/>
        <v>2.5999999999999999E-3</v>
      </c>
      <c r="K222" s="252">
        <f t="shared" si="26"/>
        <v>-4.2373860611966858E-2</v>
      </c>
      <c r="L222" s="263">
        <f t="shared" si="27"/>
        <v>6.6145729832033841E-3</v>
      </c>
    </row>
    <row r="223" spans="1:12">
      <c r="A223" s="253">
        <v>33816</v>
      </c>
      <c r="B223">
        <v>8.4540000000000006</v>
      </c>
      <c r="D223" s="264">
        <f t="shared" si="21"/>
        <v>1.0220111596579466</v>
      </c>
      <c r="E223" s="264">
        <f t="shared" si="28"/>
        <v>8.640082343748281</v>
      </c>
      <c r="F223" s="264">
        <f t="shared" si="22"/>
        <v>-6.9588281258598061E-2</v>
      </c>
      <c r="G223">
        <v>1754.67</v>
      </c>
      <c r="H223" s="263">
        <f t="shared" si="23"/>
        <v>-7.6795588831071848E-2</v>
      </c>
      <c r="I223" s="252">
        <v>0.31</v>
      </c>
      <c r="J223">
        <f t="shared" si="25"/>
        <v>3.0999999999999999E-3</v>
      </c>
      <c r="K223" s="252">
        <f t="shared" si="26"/>
        <v>-7.9895588831071854E-2</v>
      </c>
      <c r="L223" s="263">
        <f t="shared" si="27"/>
        <v>-7.2688281258598067E-2</v>
      </c>
    </row>
    <row r="224" spans="1:12">
      <c r="A224" s="253">
        <v>33785</v>
      </c>
      <c r="B224">
        <v>9.0862999999999996</v>
      </c>
      <c r="C224" s="272">
        <v>0.2</v>
      </c>
      <c r="D224" s="264">
        <f t="shared" si="21"/>
        <v>1.0220111596579466</v>
      </c>
      <c r="E224" s="264">
        <f t="shared" si="28"/>
        <v>9.2863000000000007</v>
      </c>
      <c r="F224" s="264">
        <f t="shared" si="22"/>
        <v>-3.2415029070373191E-2</v>
      </c>
      <c r="G224">
        <v>1900.63</v>
      </c>
      <c r="H224" s="263">
        <f t="shared" si="23"/>
        <v>-6.5244013397006806E-2</v>
      </c>
      <c r="I224" s="252">
        <v>0.32</v>
      </c>
      <c r="J224">
        <f t="shared" si="25"/>
        <v>3.2000000000000002E-3</v>
      </c>
      <c r="K224" s="252">
        <f t="shared" si="26"/>
        <v>-6.84440133970068E-2</v>
      </c>
      <c r="L224" s="263">
        <f t="shared" si="27"/>
        <v>-3.5615029070373193E-2</v>
      </c>
    </row>
    <row r="225" spans="1:12">
      <c r="A225" s="253">
        <v>33753</v>
      </c>
      <c r="B225">
        <v>9.5974000000000004</v>
      </c>
      <c r="D225" s="264">
        <f t="shared" si="21"/>
        <v>1</v>
      </c>
      <c r="E225" s="264">
        <f t="shared" si="28"/>
        <v>9.5974000000000004</v>
      </c>
      <c r="F225" s="264">
        <f t="shared" si="22"/>
        <v>-1.2470932027246695E-2</v>
      </c>
      <c r="G225">
        <v>2033.29</v>
      </c>
      <c r="H225" s="263">
        <f t="shared" si="23"/>
        <v>1.0585188613290164E-3</v>
      </c>
      <c r="I225" s="252">
        <v>0.28000000000000003</v>
      </c>
      <c r="J225">
        <f t="shared" si="25"/>
        <v>2.8000000000000004E-3</v>
      </c>
      <c r="K225" s="252">
        <f t="shared" si="26"/>
        <v>-1.741481138670984E-3</v>
      </c>
      <c r="L225" s="263">
        <f t="shared" si="27"/>
        <v>-1.5270932027246695E-2</v>
      </c>
    </row>
    <row r="226" spans="1:12">
      <c r="A226" s="253">
        <v>33724</v>
      </c>
      <c r="B226">
        <v>9.7186000000000003</v>
      </c>
      <c r="D226" s="264">
        <f t="shared" si="21"/>
        <v>1</v>
      </c>
      <c r="E226" s="264">
        <f t="shared" si="28"/>
        <v>9.7186000000000003</v>
      </c>
      <c r="F226" s="264">
        <f t="shared" si="22"/>
        <v>-3.2763390991062735E-2</v>
      </c>
      <c r="G226">
        <v>2031.14</v>
      </c>
      <c r="H226" s="263">
        <f t="shared" si="23"/>
        <v>4.5669599419284168E-2</v>
      </c>
      <c r="I226" s="252">
        <v>0.32</v>
      </c>
      <c r="J226">
        <f t="shared" si="25"/>
        <v>3.2000000000000002E-3</v>
      </c>
      <c r="K226" s="252">
        <f t="shared" si="26"/>
        <v>4.2469599419284167E-2</v>
      </c>
      <c r="L226" s="263">
        <f t="shared" si="27"/>
        <v>-3.5963390991062737E-2</v>
      </c>
    </row>
    <row r="227" spans="1:12">
      <c r="A227" s="253">
        <v>33694</v>
      </c>
      <c r="B227">
        <v>10.047800000000001</v>
      </c>
      <c r="D227" s="264">
        <f t="shared" si="21"/>
        <v>1</v>
      </c>
      <c r="E227" s="264">
        <f t="shared" si="28"/>
        <v>10.047800000000001</v>
      </c>
      <c r="F227" s="264">
        <f t="shared" si="22"/>
        <v>-2.5204703325701461E-2</v>
      </c>
      <c r="G227">
        <v>1942.43</v>
      </c>
      <c r="H227" s="263">
        <f t="shared" si="23"/>
        <v>-2.0646573021811276E-2</v>
      </c>
      <c r="I227" s="252">
        <v>0.34</v>
      </c>
      <c r="J227">
        <f t="shared" si="25"/>
        <v>3.4000000000000002E-3</v>
      </c>
      <c r="K227" s="252">
        <f t="shared" si="26"/>
        <v>-2.4046573021811277E-2</v>
      </c>
      <c r="L227" s="263">
        <f t="shared" si="27"/>
        <v>-2.8604703325701461E-2</v>
      </c>
    </row>
    <row r="228" spans="1:12">
      <c r="A228" s="253">
        <v>33662</v>
      </c>
      <c r="B228">
        <v>10.307600000000001</v>
      </c>
      <c r="D228" s="264">
        <f t="shared" si="21"/>
        <v>1</v>
      </c>
      <c r="E228" s="264">
        <f t="shared" si="28"/>
        <v>10.307600000000001</v>
      </c>
      <c r="F228" s="264">
        <f t="shared" si="22"/>
        <v>4.3860448630310467E-2</v>
      </c>
      <c r="G228">
        <v>1983.38</v>
      </c>
      <c r="H228" s="263">
        <f t="shared" si="23"/>
        <v>5.7661645113984861E-2</v>
      </c>
      <c r="I228" s="252">
        <v>0.28000000000000003</v>
      </c>
      <c r="J228">
        <f t="shared" si="25"/>
        <v>2.8000000000000004E-3</v>
      </c>
      <c r="K228" s="252">
        <f t="shared" si="26"/>
        <v>5.4861645113984864E-2</v>
      </c>
      <c r="L228" s="263">
        <f t="shared" si="27"/>
        <v>4.106044863031047E-2</v>
      </c>
    </row>
    <row r="229" spans="1:12">
      <c r="A229" s="253">
        <v>33634</v>
      </c>
      <c r="B229">
        <v>9.8744999999999994</v>
      </c>
      <c r="D229" s="264">
        <f t="shared" si="21"/>
        <v>1</v>
      </c>
      <c r="E229" s="264">
        <f t="shared" si="28"/>
        <v>9.8744999999999994</v>
      </c>
      <c r="F229" s="264">
        <f t="shared" si="22"/>
        <v>0.10250770398820941</v>
      </c>
      <c r="G229">
        <v>1875.25</v>
      </c>
      <c r="H229" s="263">
        <f t="shared" si="23"/>
        <v>6.206744220291549E-2</v>
      </c>
      <c r="I229" s="252">
        <v>0.34</v>
      </c>
      <c r="J229">
        <f t="shared" si="25"/>
        <v>3.4000000000000002E-3</v>
      </c>
      <c r="K229" s="252">
        <f t="shared" si="26"/>
        <v>5.866744220291549E-2</v>
      </c>
      <c r="L229" s="263">
        <f t="shared" si="27"/>
        <v>9.9107703988209409E-2</v>
      </c>
    </row>
    <row r="230" spans="1:12">
      <c r="A230" s="253">
        <v>33603</v>
      </c>
      <c r="B230">
        <v>8.9564000000000004</v>
      </c>
      <c r="D230" s="264">
        <f t="shared" si="21"/>
        <v>1</v>
      </c>
      <c r="E230" s="264">
        <f t="shared" si="28"/>
        <v>8.9564000000000004</v>
      </c>
      <c r="F230" s="264">
        <f t="shared" si="22"/>
        <v>6.818371557718228E-2</v>
      </c>
      <c r="G230">
        <v>1765.66</v>
      </c>
      <c r="H230" s="263">
        <f t="shared" si="23"/>
        <v>1.4922113007989957E-2</v>
      </c>
      <c r="I230" s="252">
        <v>0.38</v>
      </c>
      <c r="J230">
        <f t="shared" si="25"/>
        <v>3.8E-3</v>
      </c>
      <c r="K230" s="252">
        <f t="shared" si="26"/>
        <v>1.1122113007989957E-2</v>
      </c>
      <c r="L230" s="263">
        <f t="shared" si="27"/>
        <v>6.4383715577182282E-2</v>
      </c>
    </row>
    <row r="231" spans="1:12">
      <c r="A231" s="253">
        <v>33571</v>
      </c>
      <c r="B231">
        <v>8.3847000000000005</v>
      </c>
      <c r="D231" s="264">
        <f t="shared" si="21"/>
        <v>1</v>
      </c>
      <c r="E231" s="264">
        <f t="shared" si="28"/>
        <v>8.3847000000000005</v>
      </c>
      <c r="F231" s="264">
        <f t="shared" si="22"/>
        <v>-5.4691199350605291E-2</v>
      </c>
      <c r="G231">
        <v>1739.7</v>
      </c>
      <c r="H231" s="263">
        <f t="shared" si="23"/>
        <v>-6.299988689427849E-2</v>
      </c>
      <c r="I231" s="252">
        <v>0.39</v>
      </c>
      <c r="J231">
        <f t="shared" si="25"/>
        <v>3.9000000000000003E-3</v>
      </c>
      <c r="K231" s="252">
        <f t="shared" si="26"/>
        <v>-6.689988689427849E-2</v>
      </c>
      <c r="L231" s="263">
        <f t="shared" si="27"/>
        <v>-5.8591199350605291E-2</v>
      </c>
    </row>
    <row r="232" spans="1:12">
      <c r="A232" s="253">
        <v>33542</v>
      </c>
      <c r="B232">
        <v>8.8697999999999997</v>
      </c>
      <c r="D232" s="264">
        <f t="shared" si="21"/>
        <v>1</v>
      </c>
      <c r="E232" s="264">
        <f t="shared" si="28"/>
        <v>8.8697999999999997</v>
      </c>
      <c r="F232" s="264">
        <f t="shared" si="22"/>
        <v>4.4907287420776099E-2</v>
      </c>
      <c r="G232">
        <v>1856.67</v>
      </c>
      <c r="H232" s="263">
        <f t="shared" si="23"/>
        <v>-1.2719412524792695E-2</v>
      </c>
      <c r="I232" s="252">
        <v>0.42</v>
      </c>
      <c r="J232">
        <f t="shared" si="25"/>
        <v>4.1999999999999997E-3</v>
      </c>
      <c r="K232" s="252">
        <f t="shared" si="26"/>
        <v>-1.6919412524792694E-2</v>
      </c>
      <c r="L232" s="263">
        <f t="shared" si="27"/>
        <v>4.0707287420776096E-2</v>
      </c>
    </row>
    <row r="233" spans="1:12">
      <c r="A233" s="253">
        <v>33511</v>
      </c>
      <c r="B233">
        <v>8.4885999999999999</v>
      </c>
      <c r="D233" s="264">
        <f t="shared" si="21"/>
        <v>1</v>
      </c>
      <c r="E233" s="264">
        <f t="shared" si="28"/>
        <v>8.4885999999999999</v>
      </c>
      <c r="F233" s="264">
        <f t="shared" si="22"/>
        <v>3.2663836206372032E-2</v>
      </c>
      <c r="G233">
        <v>1880.59</v>
      </c>
      <c r="H233" s="263">
        <f t="shared" si="23"/>
        <v>8.7595077939772725E-3</v>
      </c>
      <c r="I233" s="252">
        <v>0.46</v>
      </c>
      <c r="J233">
        <f t="shared" si="25"/>
        <v>4.5999999999999999E-3</v>
      </c>
      <c r="K233" s="252">
        <f t="shared" si="26"/>
        <v>4.1595077939772726E-3</v>
      </c>
      <c r="L233" s="263">
        <f t="shared" si="27"/>
        <v>2.8063836206372032E-2</v>
      </c>
    </row>
    <row r="234" spans="1:12">
      <c r="A234" s="253">
        <v>33480</v>
      </c>
      <c r="B234">
        <v>8.2201000000000004</v>
      </c>
      <c r="D234" s="264">
        <f t="shared" si="21"/>
        <v>1</v>
      </c>
      <c r="E234" s="264">
        <f t="shared" si="28"/>
        <v>8.2201000000000004</v>
      </c>
      <c r="F234" s="264">
        <f t="shared" si="22"/>
        <v>0.10476305674273578</v>
      </c>
      <c r="G234">
        <v>1864.26</v>
      </c>
      <c r="H234" s="263">
        <f t="shared" si="23"/>
        <v>6.2419859465558725E-2</v>
      </c>
      <c r="I234" s="252">
        <v>0.46</v>
      </c>
      <c r="J234">
        <f t="shared" si="25"/>
        <v>4.5999999999999999E-3</v>
      </c>
      <c r="K234" s="252">
        <f t="shared" si="26"/>
        <v>5.7819859465558725E-2</v>
      </c>
      <c r="L234" s="263">
        <f t="shared" si="27"/>
        <v>0.10016305674273579</v>
      </c>
    </row>
    <row r="235" spans="1:12">
      <c r="A235" s="253">
        <v>33450</v>
      </c>
      <c r="B235">
        <v>7.4405999999999999</v>
      </c>
      <c r="D235" s="264">
        <f t="shared" si="21"/>
        <v>1</v>
      </c>
      <c r="E235" s="264">
        <f t="shared" si="28"/>
        <v>7.4405999999999999</v>
      </c>
      <c r="F235" s="264">
        <f t="shared" si="22"/>
        <v>0</v>
      </c>
      <c r="G235">
        <v>1754.73</v>
      </c>
      <c r="H235" s="263">
        <f t="shared" si="23"/>
        <v>4.0683901534659395E-3</v>
      </c>
      <c r="I235" s="252">
        <v>0.49</v>
      </c>
      <c r="J235">
        <f t="shared" si="25"/>
        <v>4.8999999999999998E-3</v>
      </c>
      <c r="K235" s="252">
        <f t="shared" si="26"/>
        <v>-8.3160984653406038E-4</v>
      </c>
      <c r="L235" s="263">
        <f t="shared" si="27"/>
        <v>-4.8999999999999998E-3</v>
      </c>
    </row>
    <row r="236" spans="1:12">
      <c r="A236" s="253">
        <v>33417</v>
      </c>
      <c r="B236">
        <v>7.4405999999999999</v>
      </c>
      <c r="D236" s="264">
        <f t="shared" si="21"/>
        <v>1</v>
      </c>
      <c r="E236" s="264">
        <f>B236*D236</f>
        <v>7.4405999999999999</v>
      </c>
      <c r="F236" s="264">
        <f t="shared" si="22"/>
        <v>-2.8274411983649106E-2</v>
      </c>
      <c r="G236">
        <v>1747.62</v>
      </c>
      <c r="H236" s="263">
        <f t="shared" si="23"/>
        <v>-6.1317663741150996E-2</v>
      </c>
      <c r="I236" s="252">
        <v>0.42</v>
      </c>
      <c r="J236">
        <f t="shared" si="25"/>
        <v>4.1999999999999997E-3</v>
      </c>
      <c r="K236" s="252">
        <f t="shared" si="26"/>
        <v>-6.5517663741150992E-2</v>
      </c>
      <c r="L236" s="263">
        <f t="shared" si="27"/>
        <v>-3.2474411983649108E-2</v>
      </c>
    </row>
    <row r="237" spans="1:12">
      <c r="A237" s="253">
        <v>33389</v>
      </c>
      <c r="B237">
        <v>7.6570999999999998</v>
      </c>
      <c r="D237" s="264">
        <f t="shared" si="21"/>
        <v>1</v>
      </c>
      <c r="E237" s="264">
        <f t="shared" ref="E237:E242" si="29">B237*D237</f>
        <v>7.6570999999999998</v>
      </c>
      <c r="F237" s="264">
        <f t="shared" si="22"/>
        <v>3.3918902496657966E-2</v>
      </c>
      <c r="G237">
        <v>1861.78</v>
      </c>
      <c r="H237" s="263">
        <f t="shared" si="23"/>
        <v>4.6425881585899109E-2</v>
      </c>
      <c r="I237" s="252">
        <v>0.47</v>
      </c>
      <c r="J237">
        <f t="shared" si="25"/>
        <v>4.6999999999999993E-3</v>
      </c>
      <c r="K237" s="252">
        <f t="shared" si="26"/>
        <v>4.1725881585899113E-2</v>
      </c>
      <c r="L237" s="263">
        <f t="shared" si="27"/>
        <v>2.9218902496657966E-2</v>
      </c>
    </row>
    <row r="238" spans="1:12">
      <c r="A238" s="253">
        <v>33358</v>
      </c>
      <c r="B238">
        <v>7.4058999999999999</v>
      </c>
      <c r="D238" s="264">
        <f t="shared" si="21"/>
        <v>1</v>
      </c>
      <c r="E238" s="264">
        <f t="shared" si="29"/>
        <v>7.4058999999999999</v>
      </c>
      <c r="F238" s="264">
        <f t="shared" si="22"/>
        <v>-3.824476650563613E-2</v>
      </c>
      <c r="G238">
        <v>1779.18</v>
      </c>
      <c r="H238" s="263">
        <f t="shared" si="23"/>
        <v>-2.0469510449470318E-2</v>
      </c>
      <c r="I238" s="252">
        <v>0.53</v>
      </c>
      <c r="J238">
        <f t="shared" si="25"/>
        <v>5.3E-3</v>
      </c>
      <c r="K238" s="252">
        <f t="shared" si="26"/>
        <v>-2.5769510449470318E-2</v>
      </c>
      <c r="L238" s="263">
        <f t="shared" si="27"/>
        <v>-4.3544766505636129E-2</v>
      </c>
    </row>
    <row r="239" spans="1:12">
      <c r="A239" s="253">
        <v>33326</v>
      </c>
      <c r="B239">
        <v>7.7004000000000001</v>
      </c>
      <c r="D239" s="264">
        <f t="shared" si="21"/>
        <v>1</v>
      </c>
      <c r="E239" s="264">
        <f t="shared" si="29"/>
        <v>7.7004000000000001</v>
      </c>
      <c r="F239" s="264">
        <f t="shared" si="22"/>
        <v>9.3480637877905837E-2</v>
      </c>
      <c r="G239">
        <v>1816.36</v>
      </c>
      <c r="H239" s="263">
        <f t="shared" si="23"/>
        <v>3.214588104262428E-2</v>
      </c>
      <c r="I239" s="252">
        <v>0.44</v>
      </c>
      <c r="J239">
        <f t="shared" si="25"/>
        <v>4.4000000000000003E-3</v>
      </c>
      <c r="K239" s="252">
        <f t="shared" si="26"/>
        <v>2.7745881042624279E-2</v>
      </c>
      <c r="L239" s="263">
        <f t="shared" si="27"/>
        <v>8.9080637877905836E-2</v>
      </c>
    </row>
    <row r="240" spans="1:12">
      <c r="A240" s="253">
        <v>33297</v>
      </c>
      <c r="B240">
        <v>7.0420999999999996</v>
      </c>
      <c r="D240" s="264">
        <f t="shared" si="21"/>
        <v>1</v>
      </c>
      <c r="E240" s="264">
        <f t="shared" si="29"/>
        <v>7.0420999999999996</v>
      </c>
      <c r="F240" s="264">
        <f t="shared" si="22"/>
        <v>-8.5319667168822777E-3</v>
      </c>
      <c r="G240">
        <v>1759.79</v>
      </c>
      <c r="H240" s="263">
        <f t="shared" si="23"/>
        <v>0.11331903559882828</v>
      </c>
      <c r="I240" s="252">
        <v>0.48</v>
      </c>
      <c r="J240">
        <f t="shared" si="25"/>
        <v>4.7999999999999996E-3</v>
      </c>
      <c r="K240" s="252">
        <f t="shared" si="26"/>
        <v>0.10851903559882828</v>
      </c>
      <c r="L240" s="263">
        <f t="shared" si="27"/>
        <v>-1.3331966716882276E-2</v>
      </c>
    </row>
    <row r="241" spans="1:12">
      <c r="A241" s="253">
        <v>33269</v>
      </c>
      <c r="B241">
        <v>7.1026999999999996</v>
      </c>
      <c r="D241" s="264">
        <f t="shared" si="21"/>
        <v>1</v>
      </c>
      <c r="E241" s="264">
        <f t="shared" si="29"/>
        <v>7.1026999999999996</v>
      </c>
      <c r="F241" s="264">
        <f t="shared" si="22"/>
        <v>9.0424796966393828E-2</v>
      </c>
      <c r="G241">
        <v>1580.67</v>
      </c>
      <c r="H241" s="263">
        <f t="shared" si="23"/>
        <v>5.0209288419374332E-2</v>
      </c>
      <c r="I241" s="252">
        <v>0.52</v>
      </c>
      <c r="J241">
        <f t="shared" si="25"/>
        <v>5.1999999999999998E-3</v>
      </c>
      <c r="K241" s="252">
        <f t="shared" si="26"/>
        <v>4.5009288419374335E-2</v>
      </c>
      <c r="L241" s="263">
        <f t="shared" si="27"/>
        <v>8.5224796966393832E-2</v>
      </c>
    </row>
    <row r="242" spans="1:12">
      <c r="A242" s="253">
        <v>33238</v>
      </c>
      <c r="B242">
        <v>6.5137</v>
      </c>
      <c r="D242" s="264">
        <v>1</v>
      </c>
      <c r="E242" s="264">
        <f t="shared" si="29"/>
        <v>6.5137</v>
      </c>
      <c r="F242" s="264"/>
      <c r="G242">
        <v>1505.1</v>
      </c>
      <c r="H242" s="263">
        <f t="shared" si="23"/>
        <v>-6.2313098086124397E-2</v>
      </c>
      <c r="I242" s="252">
        <v>0.6</v>
      </c>
      <c r="J242">
        <f t="shared" si="25"/>
        <v>6.0000000000000001E-3</v>
      </c>
      <c r="K242" s="252">
        <f t="shared" si="26"/>
        <v>-6.8313098086124402E-2</v>
      </c>
    </row>
    <row r="243" spans="1:12">
      <c r="A243" s="253">
        <v>33207</v>
      </c>
      <c r="B243">
        <v>7.4752000000000001</v>
      </c>
      <c r="D243" s="264"/>
      <c r="G243">
        <v>1605.12</v>
      </c>
      <c r="H243" s="263">
        <f t="shared" si="23"/>
        <v>-2.4581148173581258E-2</v>
      </c>
      <c r="I243" s="252">
        <v>0.56999999999999995</v>
      </c>
      <c r="J243">
        <f t="shared" si="25"/>
        <v>5.6999999999999993E-3</v>
      </c>
      <c r="K243" s="252">
        <f t="shared" si="26"/>
        <v>-3.0281148173581258E-2</v>
      </c>
    </row>
    <row r="244" spans="1:12">
      <c r="A244" s="253">
        <v>33177</v>
      </c>
      <c r="B244">
        <v>6.8601999999999999</v>
      </c>
      <c r="D244" s="264"/>
      <c r="G244">
        <v>1645.57</v>
      </c>
      <c r="H244" s="263">
        <f t="shared" si="23"/>
        <v>0.10310639781198039</v>
      </c>
      <c r="I244" s="252">
        <v>0.68</v>
      </c>
      <c r="J244">
        <f t="shared" si="25"/>
        <v>6.8000000000000005E-3</v>
      </c>
      <c r="K244" s="252">
        <f t="shared" si="26"/>
        <v>9.6306397811980388E-2</v>
      </c>
    </row>
    <row r="245" spans="1:12">
      <c r="A245" s="253">
        <v>33144</v>
      </c>
      <c r="B245">
        <v>6.2798999999999996</v>
      </c>
      <c r="D245" s="264"/>
      <c r="G245">
        <v>1491.76</v>
      </c>
      <c r="H245" s="263">
        <f t="shared" si="23"/>
        <v>-0.11739055834620193</v>
      </c>
      <c r="I245" s="252">
        <v>0.6</v>
      </c>
      <c r="J245">
        <f t="shared" si="25"/>
        <v>6.0000000000000001E-3</v>
      </c>
      <c r="K245" s="252">
        <f t="shared" si="26"/>
        <v>-0.12339055834620194</v>
      </c>
    </row>
    <row r="246" spans="1:12">
      <c r="A246" s="253">
        <v>33116</v>
      </c>
      <c r="B246">
        <v>7.1894</v>
      </c>
      <c r="D246" s="264"/>
      <c r="G246">
        <v>1690.17</v>
      </c>
      <c r="H246" s="263">
        <f t="shared" si="23"/>
        <v>-0.14011202857186456</v>
      </c>
      <c r="I246" s="252">
        <v>0.66</v>
      </c>
      <c r="J246">
        <f t="shared" si="25"/>
        <v>6.6E-3</v>
      </c>
      <c r="K246" s="252">
        <f t="shared" si="26"/>
        <v>-0.14671202857186455</v>
      </c>
    </row>
    <row r="247" spans="1:12">
      <c r="A247" s="253">
        <v>33085</v>
      </c>
      <c r="B247">
        <v>8.4626999999999999</v>
      </c>
      <c r="D247" s="264"/>
      <c r="G247">
        <v>1965.57</v>
      </c>
      <c r="H247" s="263">
        <f t="shared" si="23"/>
        <v>-3.4132174955651795E-2</v>
      </c>
      <c r="I247" s="252">
        <v>0.68</v>
      </c>
      <c r="J247">
        <f t="shared" si="25"/>
        <v>6.8000000000000005E-3</v>
      </c>
      <c r="K247" s="252">
        <f t="shared" si="26"/>
        <v>-4.0932174955651796E-2</v>
      </c>
    </row>
    <row r="248" spans="1:12">
      <c r="A248" s="253">
        <v>33053</v>
      </c>
      <c r="B248">
        <v>8.3847000000000005</v>
      </c>
      <c r="D248" s="264"/>
      <c r="G248">
        <v>2035.03</v>
      </c>
    </row>
    <row r="249" spans="1:12">
      <c r="A249" s="253">
        <v>33024</v>
      </c>
      <c r="B249">
        <v>8.9824000000000002</v>
      </c>
      <c r="D249" s="264"/>
      <c r="G249">
        <v>2107.5100000000002</v>
      </c>
    </row>
    <row r="250" spans="1:12">
      <c r="A250" s="253">
        <v>32993</v>
      </c>
      <c r="B250">
        <v>9.0084</v>
      </c>
      <c r="D250" s="264"/>
      <c r="G250">
        <v>2046.46</v>
      </c>
    </row>
    <row r="251" spans="1:12">
      <c r="A251" s="253">
        <v>32962</v>
      </c>
      <c r="B251">
        <v>9.2682000000000002</v>
      </c>
      <c r="D251" s="264"/>
      <c r="G251">
        <v>1971.79</v>
      </c>
    </row>
    <row r="252" spans="1:12">
      <c r="A252" s="253">
        <v>32932</v>
      </c>
      <c r="B252">
        <v>8.6098999999999997</v>
      </c>
      <c r="D252" s="264"/>
      <c r="G252">
        <v>1849.68</v>
      </c>
    </row>
    <row r="253" spans="1:12">
      <c r="A253" s="253">
        <v>32904</v>
      </c>
      <c r="B253">
        <v>8.9997000000000007</v>
      </c>
      <c r="D253" s="264"/>
      <c r="G253">
        <v>1882.88</v>
      </c>
    </row>
    <row r="254" spans="1:12">
      <c r="A254" s="253">
        <v>32871</v>
      </c>
      <c r="B254">
        <v>9.9177999999999997</v>
      </c>
      <c r="D254" s="264"/>
      <c r="G254">
        <v>2001.08</v>
      </c>
    </row>
    <row r="255" spans="1:12">
      <c r="A255" s="253">
        <v>32842</v>
      </c>
      <c r="B255">
        <v>8.4712999999999994</v>
      </c>
      <c r="D255" s="264"/>
      <c r="G255">
        <v>1890.43</v>
      </c>
    </row>
    <row r="256" spans="1:12">
      <c r="A256" s="253">
        <v>32812</v>
      </c>
      <c r="B256">
        <v>8.7311999999999994</v>
      </c>
      <c r="D256" s="264"/>
      <c r="G256">
        <v>1819.51</v>
      </c>
    </row>
    <row r="257" spans="1:7">
      <c r="A257" s="253">
        <v>32780</v>
      </c>
      <c r="G257">
        <v>1906.12</v>
      </c>
    </row>
    <row r="258" spans="1:7">
      <c r="A258" s="253">
        <v>32751</v>
      </c>
      <c r="G258">
        <v>1875.92</v>
      </c>
    </row>
    <row r="259" spans="1:7">
      <c r="A259" s="253">
        <v>32720</v>
      </c>
      <c r="G259">
        <v>1814.19</v>
      </c>
    </row>
    <row r="260" spans="1:7">
      <c r="A260" s="253">
        <v>32689</v>
      </c>
      <c r="G260">
        <v>1727.85</v>
      </c>
    </row>
    <row r="261" spans="1:7">
      <c r="A261" s="253">
        <v>32659</v>
      </c>
      <c r="G261">
        <v>1729.65</v>
      </c>
    </row>
    <row r="262" spans="1:7">
      <c r="A262" s="253">
        <v>32626</v>
      </c>
      <c r="G262">
        <v>1680.53</v>
      </c>
    </row>
    <row r="263" spans="1:7">
      <c r="A263" s="253">
        <v>32598</v>
      </c>
      <c r="G263">
        <v>1644.81</v>
      </c>
    </row>
    <row r="264" spans="1:7">
      <c r="A264" s="253">
        <v>32567</v>
      </c>
      <c r="G264">
        <v>1580.07</v>
      </c>
    </row>
    <row r="265" spans="1:7">
      <c r="A265" s="253">
        <v>32539</v>
      </c>
      <c r="G265">
        <v>1654.99</v>
      </c>
    </row>
    <row r="266" spans="1:7">
      <c r="A266" s="253">
        <v>32507</v>
      </c>
      <c r="G266">
        <v>1573.94</v>
      </c>
    </row>
    <row r="267" spans="1:7">
      <c r="A267" s="253">
        <v>32477</v>
      </c>
      <c r="G267">
        <v>1478.2</v>
      </c>
    </row>
    <row r="268" spans="1:7">
      <c r="A268" s="253">
        <v>32447</v>
      </c>
      <c r="G268">
        <v>1496.83</v>
      </c>
    </row>
    <row r="269" spans="1:7">
      <c r="A269" s="253">
        <v>32416</v>
      </c>
      <c r="G269">
        <v>1418.13</v>
      </c>
    </row>
    <row r="270" spans="1:7">
      <c r="A270" s="253">
        <v>32386</v>
      </c>
      <c r="G270">
        <v>1292.81</v>
      </c>
    </row>
    <row r="271" spans="1:7">
      <c r="A271" s="253">
        <v>32353</v>
      </c>
      <c r="G271">
        <v>1320.55</v>
      </c>
    </row>
    <row r="272" spans="1:7">
      <c r="A272" s="253">
        <v>32324</v>
      </c>
      <c r="G272">
        <v>1320.17</v>
      </c>
    </row>
    <row r="273" spans="1:7">
      <c r="A273" s="253">
        <v>32294</v>
      </c>
      <c r="G273">
        <v>1235.78</v>
      </c>
    </row>
    <row r="274" spans="1:7">
      <c r="A274" s="253">
        <v>32262</v>
      </c>
      <c r="G274">
        <v>1127.54</v>
      </c>
    </row>
    <row r="275" spans="1:7">
      <c r="A275" s="253">
        <v>32233</v>
      </c>
      <c r="G275">
        <v>1016.71</v>
      </c>
    </row>
    <row r="276" spans="1:7">
      <c r="A276" s="253">
        <v>32202</v>
      </c>
      <c r="G276">
        <v>1112.58</v>
      </c>
    </row>
    <row r="277" spans="1:7">
      <c r="A277" s="253">
        <v>32171</v>
      </c>
      <c r="G277">
        <v>893.82</v>
      </c>
    </row>
    <row r="278" spans="1:7">
      <c r="A278" s="253">
        <v>32142</v>
      </c>
      <c r="G278">
        <v>1000</v>
      </c>
    </row>
    <row r="279" spans="1:7">
      <c r="A279" s="253">
        <v>32111</v>
      </c>
      <c r="G279">
        <v>1037.43</v>
      </c>
    </row>
    <row r="280" spans="1:7">
      <c r="A280" s="253">
        <v>32080</v>
      </c>
      <c r="G280">
        <v>1116.47</v>
      </c>
    </row>
    <row r="281" spans="1:7">
      <c r="A281" s="253">
        <v>32050</v>
      </c>
      <c r="G281">
        <v>1447.87</v>
      </c>
    </row>
    <row r="282" spans="1:7">
      <c r="A282" s="253">
        <v>32020</v>
      </c>
      <c r="G282">
        <v>1533.59</v>
      </c>
    </row>
    <row r="283" spans="1:7">
      <c r="A283" s="253">
        <v>31989</v>
      </c>
      <c r="G283">
        <v>1488.31</v>
      </c>
    </row>
  </sheetData>
  <phoneticPr fontId="3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L283"/>
  <sheetViews>
    <sheetView workbookViewId="0">
      <selection activeCell="D22" sqref="D22"/>
    </sheetView>
  </sheetViews>
  <sheetFormatPr baseColWidth="10" defaultColWidth="9.140625" defaultRowHeight="15"/>
  <cols>
    <col min="1" max="1" width="10.5703125" bestFit="1" customWidth="1"/>
  </cols>
  <sheetData>
    <row r="1" spans="1:12">
      <c r="A1" s="245" t="s">
        <v>351</v>
      </c>
      <c r="B1" s="245" t="s">
        <v>402</v>
      </c>
      <c r="C1" s="245" t="s">
        <v>392</v>
      </c>
      <c r="D1" s="245" t="s">
        <v>403</v>
      </c>
      <c r="E1" s="245" t="s">
        <v>394</v>
      </c>
      <c r="F1" s="245" t="s">
        <v>395</v>
      </c>
      <c r="G1" s="245" t="s">
        <v>404</v>
      </c>
      <c r="H1" s="245" t="s">
        <v>405</v>
      </c>
      <c r="I1" s="245" t="s">
        <v>406</v>
      </c>
      <c r="J1" s="245" t="s">
        <v>407</v>
      </c>
      <c r="K1" s="245" t="s">
        <v>408</v>
      </c>
      <c r="L1" s="245" t="s">
        <v>409</v>
      </c>
    </row>
    <row r="2" spans="1:12">
      <c r="A2" s="251">
        <v>40543</v>
      </c>
      <c r="B2">
        <v>47.85</v>
      </c>
      <c r="C2" s="264"/>
      <c r="D2" s="264">
        <f t="shared" ref="D2:D55" si="0">(D3*C2)/B2+D3</f>
        <v>1.4976876609723422</v>
      </c>
      <c r="E2" s="264">
        <f>B2*D2</f>
        <v>71.664354577526581</v>
      </c>
      <c r="F2" s="264">
        <f t="shared" ref="F2:F60" si="1">E2/E3-1</f>
        <v>2.7264920566766992E-2</v>
      </c>
      <c r="G2">
        <v>3804.78</v>
      </c>
      <c r="H2" s="263">
        <f t="shared" ref="H2:H65" si="2">(G2/G3)-1</f>
        <v>5.382723435370762E-2</v>
      </c>
      <c r="I2" s="273">
        <v>3.35</v>
      </c>
      <c r="J2">
        <f>I2/100</f>
        <v>3.3500000000000002E-2</v>
      </c>
      <c r="K2" s="263">
        <f>H2-J2</f>
        <v>2.0327234353707618E-2</v>
      </c>
      <c r="L2" s="263">
        <f>F2-J2</f>
        <v>-6.2350794332330095E-3</v>
      </c>
    </row>
    <row r="3" spans="1:12">
      <c r="A3" s="251">
        <v>40512</v>
      </c>
      <c r="B3">
        <v>46.58</v>
      </c>
      <c r="D3" s="264">
        <f t="shared" si="0"/>
        <v>1.4976876609723422</v>
      </c>
      <c r="E3" s="264">
        <f t="shared" ref="E3:E60" si="3">B3*D3</f>
        <v>69.762291248091699</v>
      </c>
      <c r="F3" s="264">
        <f t="shared" si="1"/>
        <v>-7.1741729772817786E-2</v>
      </c>
      <c r="G3">
        <v>3610.44</v>
      </c>
      <c r="H3" s="263">
        <f t="shared" si="2"/>
        <v>-5.8187035346289329E-2</v>
      </c>
      <c r="I3" s="273">
        <v>3.1640000000000001</v>
      </c>
      <c r="J3">
        <f t="shared" ref="J3:J66" si="4">I3/100</f>
        <v>3.1640000000000001E-2</v>
      </c>
      <c r="K3" s="263">
        <f t="shared" ref="K3:K67" si="5">H3-J3</f>
        <v>-8.982703534628933E-2</v>
      </c>
      <c r="L3" s="263">
        <f t="shared" ref="L3:L66" si="6">F3-J3</f>
        <v>-0.10338172977281779</v>
      </c>
    </row>
    <row r="4" spans="1:12">
      <c r="A4" s="251">
        <v>40480</v>
      </c>
      <c r="B4">
        <v>50.18</v>
      </c>
      <c r="C4" s="264"/>
      <c r="D4" s="264">
        <f t="shared" si="0"/>
        <v>1.4976876609723422</v>
      </c>
      <c r="E4" s="264">
        <f t="shared" si="3"/>
        <v>75.153966827592129</v>
      </c>
      <c r="F4" s="264">
        <f t="shared" si="1"/>
        <v>2.6700767263427183E-2</v>
      </c>
      <c r="G4">
        <v>3833.5</v>
      </c>
      <c r="H4" s="263">
        <f t="shared" si="2"/>
        <v>3.1847716665141412E-2</v>
      </c>
      <c r="I4" s="273">
        <v>2.91</v>
      </c>
      <c r="J4">
        <f t="shared" si="4"/>
        <v>2.9100000000000001E-2</v>
      </c>
      <c r="K4" s="263">
        <f t="shared" si="5"/>
        <v>2.7477166651414114E-3</v>
      </c>
      <c r="L4" s="263">
        <f t="shared" si="6"/>
        <v>-2.3992327365728178E-3</v>
      </c>
    </row>
    <row r="5" spans="1:12">
      <c r="A5" s="251">
        <v>40451</v>
      </c>
      <c r="B5">
        <v>48.875</v>
      </c>
      <c r="C5" s="264"/>
      <c r="D5" s="264">
        <f t="shared" si="0"/>
        <v>1.4976876609723422</v>
      </c>
      <c r="E5" s="264">
        <f t="shared" si="3"/>
        <v>73.199484430023219</v>
      </c>
      <c r="F5" s="264">
        <f t="shared" si="1"/>
        <v>7.9633311243649141E-2</v>
      </c>
      <c r="G5">
        <v>3715.18</v>
      </c>
      <c r="H5" s="263">
        <f t="shared" si="2"/>
        <v>6.4280578321812554E-2</v>
      </c>
      <c r="I5" s="273">
        <v>2.673</v>
      </c>
      <c r="J5">
        <f t="shared" si="4"/>
        <v>2.673E-2</v>
      </c>
      <c r="K5" s="263">
        <f t="shared" si="5"/>
        <v>3.755057832181255E-2</v>
      </c>
      <c r="L5" s="263">
        <f t="shared" si="6"/>
        <v>5.2903311243649137E-2</v>
      </c>
    </row>
    <row r="6" spans="1:12">
      <c r="A6" s="251">
        <v>40421</v>
      </c>
      <c r="B6">
        <v>45.27</v>
      </c>
      <c r="C6" s="264"/>
      <c r="D6" s="264">
        <f t="shared" si="0"/>
        <v>1.4976876609723422</v>
      </c>
      <c r="E6" s="264">
        <f t="shared" si="3"/>
        <v>67.800320412217928</v>
      </c>
      <c r="F6" s="264">
        <f t="shared" si="1"/>
        <v>1.5705631590756219E-2</v>
      </c>
      <c r="G6">
        <v>3490.79</v>
      </c>
      <c r="H6" s="263">
        <f t="shared" si="2"/>
        <v>-4.1818321557777094E-2</v>
      </c>
      <c r="I6" s="273">
        <v>2.4750000000000001</v>
      </c>
      <c r="J6">
        <f t="shared" si="4"/>
        <v>2.4750000000000001E-2</v>
      </c>
      <c r="K6" s="263">
        <f t="shared" si="5"/>
        <v>-6.6568321557777088E-2</v>
      </c>
      <c r="L6" s="263">
        <f t="shared" si="6"/>
        <v>-9.0443684092437818E-3</v>
      </c>
    </row>
    <row r="7" spans="1:12">
      <c r="A7" s="251">
        <v>40389</v>
      </c>
      <c r="B7">
        <v>44.57</v>
      </c>
      <c r="C7" s="264"/>
      <c r="D7" s="264">
        <f t="shared" si="0"/>
        <v>1.4976876609723422</v>
      </c>
      <c r="E7" s="264">
        <f t="shared" si="3"/>
        <v>66.751939049537285</v>
      </c>
      <c r="F7" s="264">
        <f t="shared" si="1"/>
        <v>-0.10014132848778534</v>
      </c>
      <c r="G7">
        <v>3643.14</v>
      </c>
      <c r="H7" s="263">
        <f t="shared" si="2"/>
        <v>5.8163345329069527E-2</v>
      </c>
      <c r="I7" s="273">
        <v>2.956</v>
      </c>
      <c r="J7">
        <f t="shared" si="4"/>
        <v>2.9559999999999999E-2</v>
      </c>
      <c r="K7" s="263">
        <f t="shared" si="5"/>
        <v>2.8603345329069527E-2</v>
      </c>
      <c r="L7" s="263">
        <f t="shared" si="6"/>
        <v>-0.12970132848778534</v>
      </c>
    </row>
    <row r="8" spans="1:12">
      <c r="A8" s="251">
        <v>40359</v>
      </c>
      <c r="B8">
        <v>49.53</v>
      </c>
      <c r="C8" s="264"/>
      <c r="D8" s="264">
        <f t="shared" si="0"/>
        <v>1.4976876609723422</v>
      </c>
      <c r="E8" s="264">
        <f t="shared" si="3"/>
        <v>74.180469847960111</v>
      </c>
      <c r="F8" s="264">
        <f t="shared" si="1"/>
        <v>1.6177957532861331E-3</v>
      </c>
      <c r="G8">
        <v>3442.89</v>
      </c>
      <c r="H8" s="263">
        <f t="shared" si="2"/>
        <v>-1.84373182497235E-2</v>
      </c>
      <c r="I8" s="273">
        <v>3.0550000000000002</v>
      </c>
      <c r="J8">
        <f t="shared" si="4"/>
        <v>3.0550000000000001E-2</v>
      </c>
      <c r="K8" s="263">
        <f t="shared" si="5"/>
        <v>-4.8987318249723501E-2</v>
      </c>
      <c r="L8" s="263">
        <f t="shared" si="6"/>
        <v>-2.8932204246713868E-2</v>
      </c>
    </row>
    <row r="9" spans="1:12">
      <c r="A9" s="251">
        <v>40329</v>
      </c>
      <c r="B9">
        <v>49.45</v>
      </c>
      <c r="C9" s="264">
        <v>2.4</v>
      </c>
      <c r="D9" s="264">
        <f>(D10*C9)/B9+D10</f>
        <v>1.4976876609723422</v>
      </c>
      <c r="E9" s="264">
        <f t="shared" si="3"/>
        <v>74.060654835082332</v>
      </c>
      <c r="F9" s="264">
        <f t="shared" si="1"/>
        <v>3.6778939217965156E-3</v>
      </c>
      <c r="G9">
        <v>3507.56</v>
      </c>
      <c r="H9" s="263">
        <f t="shared" si="2"/>
        <v>-8.1066494803496925E-2</v>
      </c>
      <c r="I9" s="273">
        <v>2.9159999999999999</v>
      </c>
      <c r="J9">
        <f t="shared" si="4"/>
        <v>2.9159999999999998E-2</v>
      </c>
      <c r="K9" s="263">
        <f t="shared" si="5"/>
        <v>-0.11022649480349692</v>
      </c>
      <c r="L9" s="263">
        <f t="shared" si="6"/>
        <v>-2.5482106078203483E-2</v>
      </c>
    </row>
    <row r="10" spans="1:12">
      <c r="A10" s="251">
        <v>40298</v>
      </c>
      <c r="B10">
        <v>51.66</v>
      </c>
      <c r="C10" s="264"/>
      <c r="D10" s="264">
        <f t="shared" si="0"/>
        <v>1.4283636419495145</v>
      </c>
      <c r="E10" s="264">
        <f t="shared" si="3"/>
        <v>73.789265743111912</v>
      </c>
      <c r="F10" s="264">
        <f t="shared" si="1"/>
        <v>-6.3960862475086033E-2</v>
      </c>
      <c r="G10">
        <v>3816.99</v>
      </c>
      <c r="H10" s="263">
        <f t="shared" si="2"/>
        <v>-3.9511727449100587E-2</v>
      </c>
      <c r="I10" s="273">
        <v>3.3</v>
      </c>
      <c r="J10">
        <f t="shared" si="4"/>
        <v>3.3000000000000002E-2</v>
      </c>
      <c r="K10" s="263">
        <f t="shared" si="5"/>
        <v>-7.2511727449100588E-2</v>
      </c>
      <c r="L10" s="263">
        <f t="shared" si="6"/>
        <v>-9.6960862475086035E-2</v>
      </c>
    </row>
    <row r="11" spans="1:12">
      <c r="A11" s="251">
        <v>40268</v>
      </c>
      <c r="B11">
        <v>55.19</v>
      </c>
      <c r="C11" s="264"/>
      <c r="D11" s="264">
        <f t="shared" si="0"/>
        <v>1.4283636419495145</v>
      </c>
      <c r="E11" s="264">
        <f t="shared" si="3"/>
        <v>78.831389399193696</v>
      </c>
      <c r="F11" s="264">
        <f t="shared" si="1"/>
        <v>2.7364110201042458E-2</v>
      </c>
      <c r="G11">
        <v>3974.01</v>
      </c>
      <c r="H11" s="263">
        <f t="shared" si="2"/>
        <v>7.1508304572907688E-2</v>
      </c>
      <c r="I11" s="273">
        <v>3.4390000000000001</v>
      </c>
      <c r="J11">
        <f t="shared" si="4"/>
        <v>3.4390000000000004E-2</v>
      </c>
      <c r="K11" s="263">
        <f t="shared" si="5"/>
        <v>3.7118304572907684E-2</v>
      </c>
      <c r="L11" s="263">
        <f t="shared" si="6"/>
        <v>-7.0258897989575464E-3</v>
      </c>
    </row>
    <row r="12" spans="1:12">
      <c r="A12" s="251">
        <v>40235</v>
      </c>
      <c r="B12">
        <v>53.72</v>
      </c>
      <c r="C12" s="264"/>
      <c r="D12" s="264">
        <f t="shared" si="0"/>
        <v>1.4283636419495145</v>
      </c>
      <c r="E12" s="264">
        <f t="shared" si="3"/>
        <v>76.731694845527912</v>
      </c>
      <c r="F12" s="264">
        <f t="shared" si="1"/>
        <v>2.2388059701492491E-3</v>
      </c>
      <c r="G12">
        <v>3708.8</v>
      </c>
      <c r="H12" s="263">
        <f t="shared" si="2"/>
        <v>-8.1990447818668377E-3</v>
      </c>
      <c r="I12" s="273">
        <v>3.423</v>
      </c>
      <c r="J12">
        <f t="shared" si="4"/>
        <v>3.4230000000000003E-2</v>
      </c>
      <c r="K12" s="263">
        <f t="shared" si="5"/>
        <v>-4.2429044781866841E-2</v>
      </c>
      <c r="L12" s="263">
        <f t="shared" si="6"/>
        <v>-3.1991194029850754E-2</v>
      </c>
    </row>
    <row r="13" spans="1:12">
      <c r="A13" s="251">
        <v>40207</v>
      </c>
      <c r="B13">
        <v>53.6</v>
      </c>
      <c r="C13" s="264"/>
      <c r="D13" s="264">
        <f t="shared" si="0"/>
        <v>1.4283636419495145</v>
      </c>
      <c r="E13" s="264">
        <f t="shared" si="3"/>
        <v>76.560291208493979</v>
      </c>
      <c r="F13" s="264">
        <f t="shared" si="1"/>
        <v>-2.6516527424627734E-2</v>
      </c>
      <c r="G13">
        <v>3739.46</v>
      </c>
      <c r="H13" s="263">
        <f t="shared" si="2"/>
        <v>-5.0013591340156927E-2</v>
      </c>
      <c r="I13" s="273">
        <v>3.468</v>
      </c>
      <c r="J13">
        <f t="shared" si="4"/>
        <v>3.4680000000000002E-2</v>
      </c>
      <c r="K13" s="263">
        <f t="shared" si="5"/>
        <v>-8.4693591340156929E-2</v>
      </c>
      <c r="L13" s="263">
        <f t="shared" si="6"/>
        <v>-6.1196527424627736E-2</v>
      </c>
    </row>
    <row r="14" spans="1:12">
      <c r="A14" s="251">
        <v>40178</v>
      </c>
      <c r="B14">
        <v>55.06</v>
      </c>
      <c r="C14" s="264"/>
      <c r="D14" s="264">
        <f t="shared" si="0"/>
        <v>1.4283636419495145</v>
      </c>
      <c r="E14" s="264">
        <f t="shared" si="3"/>
        <v>78.645702125740272</v>
      </c>
      <c r="F14" s="264">
        <f t="shared" si="1"/>
        <v>9.4197138314785489E-2</v>
      </c>
      <c r="G14">
        <v>3936.33</v>
      </c>
      <c r="H14" s="263">
        <f t="shared" si="2"/>
        <v>6.9611293017947551E-2</v>
      </c>
      <c r="I14" s="273">
        <v>3.613</v>
      </c>
      <c r="J14">
        <f t="shared" si="4"/>
        <v>3.6130000000000002E-2</v>
      </c>
      <c r="K14" s="263">
        <f t="shared" si="5"/>
        <v>3.3481293017947548E-2</v>
      </c>
      <c r="L14" s="263">
        <f t="shared" si="6"/>
        <v>5.8067138314785487E-2</v>
      </c>
    </row>
    <row r="15" spans="1:12">
      <c r="A15" s="251">
        <v>40147</v>
      </c>
      <c r="B15">
        <v>50.32</v>
      </c>
      <c r="C15" s="264"/>
      <c r="D15" s="264">
        <f t="shared" si="0"/>
        <v>1.4283636419495145</v>
      </c>
      <c r="E15" s="264">
        <f t="shared" si="3"/>
        <v>71.875258462899566</v>
      </c>
      <c r="F15" s="264">
        <f t="shared" si="1"/>
        <v>1.1558950648306476E-2</v>
      </c>
      <c r="G15">
        <v>3680.15</v>
      </c>
      <c r="H15" s="263">
        <f t="shared" si="2"/>
        <v>2.0084874254717056E-2</v>
      </c>
      <c r="I15" s="273">
        <v>3.4209999999999998</v>
      </c>
      <c r="J15">
        <f t="shared" si="4"/>
        <v>3.4209999999999997E-2</v>
      </c>
      <c r="K15" s="263">
        <f t="shared" si="5"/>
        <v>-1.4125125745282942E-2</v>
      </c>
      <c r="L15" s="263">
        <f t="shared" si="6"/>
        <v>-2.2651049351693521E-2</v>
      </c>
    </row>
    <row r="16" spans="1:12">
      <c r="A16" s="251">
        <v>40116</v>
      </c>
      <c r="B16">
        <v>49.744999999999997</v>
      </c>
      <c r="C16" s="264"/>
      <c r="D16" s="264">
        <f t="shared" si="0"/>
        <v>1.4283636419495145</v>
      </c>
      <c r="E16" s="264">
        <f t="shared" si="3"/>
        <v>71.053949368778589</v>
      </c>
      <c r="F16" s="264">
        <f t="shared" si="1"/>
        <v>-8.0757726819541409E-3</v>
      </c>
      <c r="G16">
        <v>3607.69</v>
      </c>
      <c r="H16" s="263">
        <f t="shared" si="2"/>
        <v>-4.9459742162243248E-2</v>
      </c>
      <c r="I16" s="273">
        <v>3.5230000000000001</v>
      </c>
      <c r="J16">
        <f t="shared" si="4"/>
        <v>3.5230000000000004E-2</v>
      </c>
      <c r="K16" s="263">
        <f t="shared" si="5"/>
        <v>-8.4689742162243259E-2</v>
      </c>
      <c r="L16" s="263">
        <f t="shared" si="6"/>
        <v>-4.3305772681954145E-2</v>
      </c>
    </row>
    <row r="17" spans="1:12">
      <c r="A17" s="251">
        <v>40086</v>
      </c>
      <c r="B17">
        <v>50.15</v>
      </c>
      <c r="C17" s="264"/>
      <c r="D17" s="264">
        <f t="shared" si="0"/>
        <v>1.4283636419495145</v>
      </c>
      <c r="E17" s="264">
        <f t="shared" si="3"/>
        <v>71.632436643768145</v>
      </c>
      <c r="F17" s="264">
        <f t="shared" si="1"/>
        <v>5.9805579036348089E-2</v>
      </c>
      <c r="G17">
        <v>3795.41</v>
      </c>
      <c r="H17" s="263">
        <f t="shared" si="2"/>
        <v>3.8830832562391615E-2</v>
      </c>
      <c r="I17" s="273">
        <v>3.5419999999999998</v>
      </c>
      <c r="J17">
        <f t="shared" si="4"/>
        <v>3.542E-2</v>
      </c>
      <c r="K17" s="263">
        <f t="shared" si="5"/>
        <v>3.410832562391615E-3</v>
      </c>
      <c r="L17" s="263">
        <f t="shared" si="6"/>
        <v>2.4385579036348089E-2</v>
      </c>
    </row>
    <row r="18" spans="1:12">
      <c r="A18" s="251">
        <v>40056</v>
      </c>
      <c r="B18">
        <v>47.32</v>
      </c>
      <c r="C18" s="264"/>
      <c r="D18" s="264">
        <f t="shared" si="0"/>
        <v>1.4283636419495145</v>
      </c>
      <c r="E18" s="264">
        <f t="shared" si="3"/>
        <v>67.59016753705103</v>
      </c>
      <c r="F18" s="264">
        <f t="shared" si="1"/>
        <v>2.959094865100087E-2</v>
      </c>
      <c r="G18">
        <v>3653.54</v>
      </c>
      <c r="H18" s="263">
        <f t="shared" si="2"/>
        <v>6.6331608425489019E-2</v>
      </c>
      <c r="I18" s="273">
        <v>3.5339999999999998</v>
      </c>
      <c r="J18">
        <f t="shared" si="4"/>
        <v>3.5339999999999996E-2</v>
      </c>
      <c r="K18" s="263">
        <f t="shared" si="5"/>
        <v>3.0991608425489023E-2</v>
      </c>
      <c r="L18" s="263">
        <f t="shared" si="6"/>
        <v>-5.7490513489991263E-3</v>
      </c>
    </row>
    <row r="19" spans="1:12">
      <c r="A19" s="251">
        <v>40025</v>
      </c>
      <c r="B19">
        <v>45.96</v>
      </c>
      <c r="C19" s="264"/>
      <c r="D19" s="264">
        <f t="shared" si="0"/>
        <v>1.4283636419495145</v>
      </c>
      <c r="E19" s="264">
        <f t="shared" si="3"/>
        <v>65.647592983999687</v>
      </c>
      <c r="F19" s="264">
        <f t="shared" si="1"/>
        <v>9.7683305469309811E-2</v>
      </c>
      <c r="G19">
        <v>3426.27</v>
      </c>
      <c r="H19" s="263">
        <f t="shared" si="2"/>
        <v>9.1015908598795159E-2</v>
      </c>
      <c r="I19" s="273">
        <v>3.57</v>
      </c>
      <c r="J19">
        <f t="shared" si="4"/>
        <v>3.5699999999999996E-2</v>
      </c>
      <c r="K19" s="263">
        <f t="shared" si="5"/>
        <v>5.5315908598795163E-2</v>
      </c>
      <c r="L19" s="263">
        <f t="shared" si="6"/>
        <v>6.1983305469309816E-2</v>
      </c>
    </row>
    <row r="20" spans="1:12">
      <c r="A20" s="251">
        <v>39994</v>
      </c>
      <c r="B20">
        <v>41.87</v>
      </c>
      <c r="C20" s="264"/>
      <c r="D20" s="264">
        <f t="shared" si="0"/>
        <v>1.4283636419495145</v>
      </c>
      <c r="E20" s="264">
        <f t="shared" si="3"/>
        <v>59.80558568842617</v>
      </c>
      <c r="F20" s="264">
        <f t="shared" si="1"/>
        <v>-6.8520578420467215E-2</v>
      </c>
      <c r="G20">
        <v>3140.44</v>
      </c>
      <c r="H20" s="263">
        <f t="shared" si="2"/>
        <v>-4.1862309886656623E-2</v>
      </c>
      <c r="I20" s="273">
        <v>3.7320000000000002</v>
      </c>
      <c r="J20">
        <f t="shared" si="4"/>
        <v>3.7319999999999999E-2</v>
      </c>
      <c r="K20" s="263">
        <f t="shared" si="5"/>
        <v>-7.9182309886656616E-2</v>
      </c>
      <c r="L20" s="263">
        <f t="shared" si="6"/>
        <v>-0.10584057842046721</v>
      </c>
    </row>
    <row r="21" spans="1:12">
      <c r="A21" s="251">
        <v>39962</v>
      </c>
      <c r="B21">
        <v>44.95</v>
      </c>
      <c r="C21" s="264"/>
      <c r="D21" s="264">
        <f t="shared" si="0"/>
        <v>1.4283636419495145</v>
      </c>
      <c r="E21" s="264">
        <f t="shared" si="3"/>
        <v>64.204945705630678</v>
      </c>
      <c r="F21" s="264">
        <f t="shared" si="1"/>
        <v>2.6959104409412848E-2</v>
      </c>
      <c r="G21">
        <v>3277.65</v>
      </c>
      <c r="H21" s="263">
        <f t="shared" si="2"/>
        <v>3.728025064480911E-2</v>
      </c>
      <c r="I21" s="273">
        <v>3.9550000000000001</v>
      </c>
      <c r="J21">
        <f t="shared" si="4"/>
        <v>3.9550000000000002E-2</v>
      </c>
      <c r="K21" s="263">
        <f t="shared" si="5"/>
        <v>-2.269749355190892E-3</v>
      </c>
      <c r="L21" s="263">
        <f t="shared" si="6"/>
        <v>-1.2590895590587153E-2</v>
      </c>
    </row>
    <row r="22" spans="1:12">
      <c r="A22" s="251">
        <v>39933</v>
      </c>
      <c r="B22">
        <v>43.77</v>
      </c>
      <c r="C22" s="264">
        <v>2.2000000000000002</v>
      </c>
      <c r="D22" s="264">
        <f>(D23*C22)/B22+D23</f>
        <v>1.4283636419495145</v>
      </c>
      <c r="E22" s="264">
        <f t="shared" si="3"/>
        <v>62.519476608130255</v>
      </c>
      <c r="F22" s="264">
        <f t="shared" si="1"/>
        <v>8.4709768758848503E-2</v>
      </c>
      <c r="G22">
        <v>3159.85</v>
      </c>
      <c r="H22" s="263">
        <f t="shared" si="2"/>
        <v>0.12556726296066723</v>
      </c>
      <c r="I22" s="273">
        <v>3.5830000000000002</v>
      </c>
      <c r="J22">
        <f t="shared" si="4"/>
        <v>3.5830000000000001E-2</v>
      </c>
      <c r="K22" s="263">
        <f t="shared" si="5"/>
        <v>8.9737262960667225E-2</v>
      </c>
      <c r="L22" s="263">
        <f t="shared" si="6"/>
        <v>4.8879768758848502E-2</v>
      </c>
    </row>
    <row r="23" spans="1:12">
      <c r="A23" s="251">
        <v>39903</v>
      </c>
      <c r="B23">
        <v>42.38</v>
      </c>
      <c r="C23" s="264"/>
      <c r="D23" s="264">
        <f t="shared" si="0"/>
        <v>1.3600060171444475</v>
      </c>
      <c r="E23" s="264">
        <f t="shared" si="3"/>
        <v>57.63705500658169</v>
      </c>
      <c r="F23" s="264">
        <f t="shared" si="1"/>
        <v>3.5805939142124155E-2</v>
      </c>
      <c r="G23">
        <v>2807.34</v>
      </c>
      <c r="H23" s="263">
        <f t="shared" si="2"/>
        <v>3.8801397235132207E-2</v>
      </c>
      <c r="I23" s="273">
        <v>3.633</v>
      </c>
      <c r="J23">
        <f t="shared" si="4"/>
        <v>3.6330000000000001E-2</v>
      </c>
      <c r="K23" s="263">
        <f t="shared" si="5"/>
        <v>2.4713972351322055E-3</v>
      </c>
      <c r="L23" s="263">
        <f t="shared" si="6"/>
        <v>-5.2406085787584655E-4</v>
      </c>
    </row>
    <row r="24" spans="1:12">
      <c r="A24" s="251">
        <v>39871</v>
      </c>
      <c r="B24">
        <v>40.914999999999999</v>
      </c>
      <c r="C24" s="264"/>
      <c r="D24" s="264">
        <f t="shared" si="0"/>
        <v>1.3600060171444475</v>
      </c>
      <c r="E24" s="264">
        <f t="shared" si="3"/>
        <v>55.644646191465064</v>
      </c>
      <c r="F24" s="264">
        <f t="shared" si="1"/>
        <v>-7.1906544176023712E-2</v>
      </c>
      <c r="G24">
        <v>2702.48</v>
      </c>
      <c r="H24" s="263">
        <f t="shared" si="2"/>
        <v>-9.127347070533165E-2</v>
      </c>
      <c r="I24" s="273">
        <v>3.657</v>
      </c>
      <c r="J24">
        <f t="shared" si="4"/>
        <v>3.6569999999999998E-2</v>
      </c>
      <c r="K24" s="263">
        <f t="shared" si="5"/>
        <v>-0.12784347070533164</v>
      </c>
      <c r="L24" s="263">
        <f t="shared" si="6"/>
        <v>-0.1084765441760237</v>
      </c>
    </row>
    <row r="25" spans="1:12">
      <c r="A25" s="251">
        <v>39843</v>
      </c>
      <c r="B25">
        <v>44.085000000000001</v>
      </c>
      <c r="C25" s="264"/>
      <c r="D25" s="264">
        <f t="shared" si="0"/>
        <v>1.3600060171444475</v>
      </c>
      <c r="E25" s="264">
        <f t="shared" si="3"/>
        <v>59.955865265812967</v>
      </c>
      <c r="F25" s="264">
        <f t="shared" si="1"/>
        <v>-2.896475770925111E-2</v>
      </c>
      <c r="G25">
        <v>2973.92</v>
      </c>
      <c r="H25" s="263">
        <f t="shared" si="2"/>
        <v>-7.5839737474246105E-2</v>
      </c>
      <c r="I25" s="273">
        <v>3.819</v>
      </c>
      <c r="J25">
        <f t="shared" si="4"/>
        <v>3.8190000000000002E-2</v>
      </c>
      <c r="K25" s="263">
        <f t="shared" si="5"/>
        <v>-0.11402973747424611</v>
      </c>
      <c r="L25" s="263">
        <f t="shared" si="6"/>
        <v>-6.7154757709251112E-2</v>
      </c>
    </row>
    <row r="26" spans="1:12">
      <c r="A26" s="251">
        <v>39813</v>
      </c>
      <c r="B26">
        <v>45.4</v>
      </c>
      <c r="C26" s="264"/>
      <c r="D26" s="264">
        <f t="shared" si="0"/>
        <v>1.3600060171444475</v>
      </c>
      <c r="E26" s="264">
        <f t="shared" si="3"/>
        <v>61.744273178357915</v>
      </c>
      <c r="F26" s="264">
        <f t="shared" si="1"/>
        <v>4.4879171461449818E-2</v>
      </c>
      <c r="G26">
        <v>3217.97</v>
      </c>
      <c r="H26" s="263">
        <f t="shared" si="2"/>
        <v>-1.3703458506503896E-2</v>
      </c>
      <c r="I26" s="273">
        <v>3.4140000000000001</v>
      </c>
      <c r="J26">
        <f t="shared" si="4"/>
        <v>3.4140000000000004E-2</v>
      </c>
      <c r="K26" s="263">
        <f t="shared" si="5"/>
        <v>-4.78434585065039E-2</v>
      </c>
      <c r="L26" s="263">
        <f t="shared" si="6"/>
        <v>1.0739171461449815E-2</v>
      </c>
    </row>
    <row r="27" spans="1:12">
      <c r="A27" s="251">
        <v>39780</v>
      </c>
      <c r="B27">
        <v>43.45</v>
      </c>
      <c r="C27" s="264"/>
      <c r="D27" s="264">
        <f t="shared" si="0"/>
        <v>1.3600060171444475</v>
      </c>
      <c r="E27" s="264">
        <f t="shared" si="3"/>
        <v>59.092261444926244</v>
      </c>
      <c r="F27" s="264">
        <f t="shared" si="1"/>
        <v>-0.12097916245195228</v>
      </c>
      <c r="G27">
        <v>3262.68</v>
      </c>
      <c r="H27" s="263">
        <f t="shared" si="2"/>
        <v>-6.4349152727074643E-2</v>
      </c>
      <c r="I27" s="273">
        <v>3.6850000000000001</v>
      </c>
      <c r="J27">
        <f t="shared" si="4"/>
        <v>3.6850000000000001E-2</v>
      </c>
      <c r="K27" s="263">
        <f t="shared" si="5"/>
        <v>-0.10119915272707464</v>
      </c>
      <c r="L27" s="263">
        <f t="shared" si="6"/>
        <v>-0.15782916245195228</v>
      </c>
    </row>
    <row r="28" spans="1:12">
      <c r="A28" s="251">
        <v>39752</v>
      </c>
      <c r="B28">
        <v>49.43</v>
      </c>
      <c r="C28" s="264"/>
      <c r="D28" s="264">
        <f t="shared" si="0"/>
        <v>1.3600060171444475</v>
      </c>
      <c r="E28" s="264">
        <f t="shared" si="3"/>
        <v>67.225097427450038</v>
      </c>
      <c r="F28" s="264">
        <f t="shared" si="1"/>
        <v>6.1868958109559724E-2</v>
      </c>
      <c r="G28">
        <v>3487.07</v>
      </c>
      <c r="H28" s="263">
        <f t="shared" si="2"/>
        <v>-0.13517273877135982</v>
      </c>
      <c r="I28" s="273">
        <v>4.3040000000000003</v>
      </c>
      <c r="J28">
        <f t="shared" si="4"/>
        <v>4.3040000000000002E-2</v>
      </c>
      <c r="K28" s="263">
        <f t="shared" si="5"/>
        <v>-0.17821273877135982</v>
      </c>
      <c r="L28" s="263">
        <f t="shared" si="6"/>
        <v>1.8828958109559722E-2</v>
      </c>
    </row>
    <row r="29" spans="1:12">
      <c r="A29" s="251">
        <v>39721</v>
      </c>
      <c r="B29">
        <v>46.55</v>
      </c>
      <c r="C29" s="264"/>
      <c r="D29" s="264">
        <f t="shared" si="0"/>
        <v>1.3600060171444475</v>
      </c>
      <c r="E29" s="264">
        <f t="shared" si="3"/>
        <v>63.308280098074029</v>
      </c>
      <c r="F29" s="264">
        <f t="shared" si="1"/>
        <v>-4.2378111499691284E-2</v>
      </c>
      <c r="G29">
        <v>4032.1</v>
      </c>
      <c r="H29" s="263">
        <f t="shared" si="2"/>
        <v>-0.10049970998973823</v>
      </c>
      <c r="I29" s="273">
        <v>4.3390000000000004</v>
      </c>
      <c r="J29">
        <f t="shared" si="4"/>
        <v>4.3390000000000005E-2</v>
      </c>
      <c r="K29" s="263">
        <f t="shared" si="5"/>
        <v>-0.14388970998973824</v>
      </c>
      <c r="L29" s="263">
        <f t="shared" si="6"/>
        <v>-8.5768111499691296E-2</v>
      </c>
    </row>
    <row r="30" spans="1:12">
      <c r="A30" s="251">
        <v>39689</v>
      </c>
      <c r="B30">
        <v>48.61</v>
      </c>
      <c r="C30" s="264"/>
      <c r="D30" s="264">
        <f t="shared" si="0"/>
        <v>1.3600060171444475</v>
      </c>
      <c r="E30" s="264">
        <f t="shared" si="3"/>
        <v>66.109892493391584</v>
      </c>
      <c r="F30" s="264">
        <f t="shared" si="1"/>
        <v>7.8544486354559462E-2</v>
      </c>
      <c r="G30">
        <v>4482.6000000000004</v>
      </c>
      <c r="H30" s="263">
        <f t="shared" si="2"/>
        <v>2.0544764090375311E-2</v>
      </c>
      <c r="I30" s="273">
        <v>4.375</v>
      </c>
      <c r="J30">
        <f t="shared" si="4"/>
        <v>4.3749999999999997E-2</v>
      </c>
      <c r="K30" s="263">
        <f t="shared" si="5"/>
        <v>-2.3205235909624686E-2</v>
      </c>
      <c r="L30" s="263">
        <f t="shared" si="6"/>
        <v>3.4794486354559465E-2</v>
      </c>
    </row>
    <row r="31" spans="1:12">
      <c r="A31" s="251">
        <v>39660</v>
      </c>
      <c r="B31">
        <v>45.07</v>
      </c>
      <c r="C31" s="264"/>
      <c r="D31" s="264">
        <f t="shared" si="0"/>
        <v>1.3600060171444475</v>
      </c>
      <c r="E31" s="264">
        <f t="shared" si="3"/>
        <v>61.295471192700248</v>
      </c>
      <c r="F31" s="264">
        <f t="shared" si="1"/>
        <v>6.2220127268442171E-2</v>
      </c>
      <c r="G31">
        <v>4392.3599999999997</v>
      </c>
      <c r="H31" s="263">
        <f t="shared" si="2"/>
        <v>-9.580932838765821E-3</v>
      </c>
      <c r="I31" s="273">
        <v>4.532</v>
      </c>
      <c r="J31">
        <f t="shared" si="4"/>
        <v>4.5319999999999999E-2</v>
      </c>
      <c r="K31" s="263">
        <f t="shared" si="5"/>
        <v>-5.490093283876582E-2</v>
      </c>
      <c r="L31" s="263">
        <f t="shared" si="6"/>
        <v>1.6900127268442172E-2</v>
      </c>
    </row>
    <row r="32" spans="1:12">
      <c r="A32" s="251">
        <v>39629</v>
      </c>
      <c r="B32">
        <v>42.43</v>
      </c>
      <c r="C32" s="264"/>
      <c r="D32" s="264">
        <f t="shared" si="0"/>
        <v>1.3600060171444475</v>
      </c>
      <c r="E32" s="264">
        <f t="shared" si="3"/>
        <v>57.705055307438904</v>
      </c>
      <c r="F32" s="264">
        <f t="shared" si="1"/>
        <v>-0.11438113128783123</v>
      </c>
      <c r="G32">
        <v>4434.8500000000004</v>
      </c>
      <c r="H32" s="263">
        <f t="shared" si="2"/>
        <v>-0.11555597214355784</v>
      </c>
      <c r="I32" s="273">
        <v>4.8250000000000002</v>
      </c>
      <c r="J32">
        <f t="shared" si="4"/>
        <v>4.8250000000000001E-2</v>
      </c>
      <c r="K32" s="263">
        <f t="shared" si="5"/>
        <v>-0.16380597214355785</v>
      </c>
      <c r="L32" s="263">
        <f t="shared" si="6"/>
        <v>-0.16263113128783124</v>
      </c>
    </row>
    <row r="33" spans="1:12">
      <c r="A33" s="251">
        <v>39598</v>
      </c>
      <c r="B33">
        <v>47.91</v>
      </c>
      <c r="C33" s="264">
        <v>2.0699999999999998</v>
      </c>
      <c r="D33" s="264">
        <f>(D34*C33)/B33+D34</f>
        <v>1.3600060171444475</v>
      </c>
      <c r="E33" s="264">
        <f t="shared" si="3"/>
        <v>65.15788828139047</v>
      </c>
      <c r="F33" s="264">
        <f t="shared" si="1"/>
        <v>-3.3898305084747449E-3</v>
      </c>
      <c r="G33">
        <v>5014.28</v>
      </c>
      <c r="H33" s="263">
        <f t="shared" si="2"/>
        <v>3.5504569161859401E-3</v>
      </c>
      <c r="I33" s="273">
        <v>4.6059999999999999</v>
      </c>
      <c r="J33">
        <f t="shared" si="4"/>
        <v>4.6059999999999997E-2</v>
      </c>
      <c r="K33" s="263">
        <f t="shared" si="5"/>
        <v>-4.2509543083814057E-2</v>
      </c>
      <c r="L33" s="263">
        <f t="shared" si="6"/>
        <v>-4.9449830508474742E-2</v>
      </c>
    </row>
    <row r="34" spans="1:12">
      <c r="A34" s="251">
        <v>39568</v>
      </c>
      <c r="B34">
        <v>50.15</v>
      </c>
      <c r="C34" s="264"/>
      <c r="D34" s="264">
        <f t="shared" si="0"/>
        <v>1.3036792373227386</v>
      </c>
      <c r="E34" s="264">
        <f t="shared" si="3"/>
        <v>65.379513751735345</v>
      </c>
      <c r="F34" s="264">
        <f t="shared" si="1"/>
        <v>5.5345117845117864E-2</v>
      </c>
      <c r="G34">
        <v>4996.54</v>
      </c>
      <c r="H34" s="263">
        <f t="shared" si="2"/>
        <v>6.1496854731287298E-2</v>
      </c>
      <c r="I34" s="273">
        <v>4.3259999999999996</v>
      </c>
      <c r="J34">
        <f t="shared" si="4"/>
        <v>4.3259999999999993E-2</v>
      </c>
      <c r="K34" s="263">
        <f t="shared" si="5"/>
        <v>1.8236854731287305E-2</v>
      </c>
      <c r="L34" s="263">
        <f t="shared" si="6"/>
        <v>1.2085117845117871E-2</v>
      </c>
    </row>
    <row r="35" spans="1:12">
      <c r="A35" s="251">
        <v>39538</v>
      </c>
      <c r="B35">
        <v>47.52</v>
      </c>
      <c r="C35" s="264"/>
      <c r="D35" s="264">
        <f t="shared" si="0"/>
        <v>1.3036792373227386</v>
      </c>
      <c r="E35" s="264">
        <f t="shared" si="3"/>
        <v>61.950837357576546</v>
      </c>
      <c r="F35" s="264">
        <f t="shared" si="1"/>
        <v>-2.6029924164787666E-2</v>
      </c>
      <c r="G35">
        <v>4707.07</v>
      </c>
      <c r="H35" s="263">
        <f t="shared" si="2"/>
        <v>-1.7448535274889099E-2</v>
      </c>
      <c r="I35" s="273">
        <v>4.1139999999999999</v>
      </c>
      <c r="J35">
        <f t="shared" si="4"/>
        <v>4.1139999999999996E-2</v>
      </c>
      <c r="K35" s="263">
        <f t="shared" si="5"/>
        <v>-5.8588535274889095E-2</v>
      </c>
      <c r="L35" s="263">
        <f t="shared" si="6"/>
        <v>-6.7169924164787662E-2</v>
      </c>
    </row>
    <row r="36" spans="1:12">
      <c r="A36" s="251">
        <v>39507</v>
      </c>
      <c r="B36">
        <v>48.79</v>
      </c>
      <c r="C36" s="264"/>
      <c r="D36" s="264">
        <f t="shared" si="0"/>
        <v>1.3036792373227386</v>
      </c>
      <c r="E36" s="264">
        <f t="shared" si="3"/>
        <v>63.606509988976413</v>
      </c>
      <c r="F36" s="264">
        <f t="shared" si="1"/>
        <v>-0.10229990800367994</v>
      </c>
      <c r="G36">
        <v>4790.66</v>
      </c>
      <c r="H36" s="263">
        <f t="shared" si="2"/>
        <v>-1.624916064142401E-2</v>
      </c>
      <c r="I36" s="273">
        <v>4.1109999999999998</v>
      </c>
      <c r="J36">
        <f t="shared" si="4"/>
        <v>4.1110000000000001E-2</v>
      </c>
      <c r="K36" s="263">
        <f t="shared" si="5"/>
        <v>-5.735916064142401E-2</v>
      </c>
      <c r="L36" s="263">
        <f t="shared" si="6"/>
        <v>-0.14340990800367995</v>
      </c>
    </row>
    <row r="37" spans="1:12">
      <c r="A37" s="251">
        <v>39478</v>
      </c>
      <c r="B37">
        <v>54.35</v>
      </c>
      <c r="C37" s="264"/>
      <c r="D37" s="264">
        <f t="shared" si="0"/>
        <v>1.3036792373227386</v>
      </c>
      <c r="E37" s="264">
        <f t="shared" si="3"/>
        <v>70.85496654849085</v>
      </c>
      <c r="F37" s="264">
        <f t="shared" si="1"/>
        <v>-0.13702762781835487</v>
      </c>
      <c r="G37">
        <v>4869.79</v>
      </c>
      <c r="H37" s="263">
        <f t="shared" si="2"/>
        <v>-0.1325755956452348</v>
      </c>
      <c r="I37" s="273">
        <v>4.1390000000000002</v>
      </c>
      <c r="J37">
        <f t="shared" si="4"/>
        <v>4.1390000000000003E-2</v>
      </c>
      <c r="K37" s="263">
        <f t="shared" si="5"/>
        <v>-0.17396559564523481</v>
      </c>
      <c r="L37" s="263">
        <f t="shared" si="6"/>
        <v>-0.17841762781835488</v>
      </c>
    </row>
    <row r="38" spans="1:12">
      <c r="A38" s="251">
        <v>39447</v>
      </c>
      <c r="B38">
        <v>62.98</v>
      </c>
      <c r="C38" s="264"/>
      <c r="D38" s="264">
        <f t="shared" si="0"/>
        <v>1.3036792373227386</v>
      </c>
      <c r="E38" s="264">
        <f t="shared" si="3"/>
        <v>82.105718366586075</v>
      </c>
      <c r="F38" s="264">
        <f t="shared" si="1"/>
        <v>-3.1225965236117537E-2</v>
      </c>
      <c r="G38">
        <v>5614.08</v>
      </c>
      <c r="H38" s="263">
        <f t="shared" si="2"/>
        <v>-9.9619614959342018E-3</v>
      </c>
      <c r="I38" s="273">
        <v>4.423</v>
      </c>
      <c r="J38">
        <f t="shared" si="4"/>
        <v>4.4229999999999998E-2</v>
      </c>
      <c r="K38" s="263">
        <f t="shared" si="5"/>
        <v>-5.41919614959342E-2</v>
      </c>
      <c r="L38" s="263">
        <f t="shared" si="6"/>
        <v>-7.5455965236117528E-2</v>
      </c>
    </row>
    <row r="39" spans="1:12">
      <c r="A39" s="251">
        <v>39416</v>
      </c>
      <c r="B39">
        <v>65.010000000000005</v>
      </c>
      <c r="C39" s="264"/>
      <c r="D39" s="264">
        <f t="shared" si="0"/>
        <v>1.3036792373227386</v>
      </c>
      <c r="E39" s="264">
        <f t="shared" si="3"/>
        <v>84.752187218351239</v>
      </c>
      <c r="F39" s="264">
        <f t="shared" si="1"/>
        <v>7.383548067393475E-2</v>
      </c>
      <c r="G39">
        <v>5670.57</v>
      </c>
      <c r="H39" s="263">
        <f t="shared" si="2"/>
        <v>-3.0331996682598228E-2</v>
      </c>
      <c r="I39" s="273">
        <v>4.1920000000000002</v>
      </c>
      <c r="J39">
        <f t="shared" si="4"/>
        <v>4.1919999999999999E-2</v>
      </c>
      <c r="K39" s="263">
        <f t="shared" si="5"/>
        <v>-7.2251996682598227E-2</v>
      </c>
      <c r="L39" s="263">
        <f t="shared" si="6"/>
        <v>3.1915480673934751E-2</v>
      </c>
    </row>
    <row r="40" spans="1:12">
      <c r="A40" s="251">
        <v>39386</v>
      </c>
      <c r="B40">
        <v>60.54</v>
      </c>
      <c r="C40" s="264"/>
      <c r="D40" s="264">
        <f t="shared" si="0"/>
        <v>1.3036792373227386</v>
      </c>
      <c r="E40" s="264">
        <f t="shared" si="3"/>
        <v>78.924741027518593</v>
      </c>
      <c r="F40" s="264">
        <f t="shared" si="1"/>
        <v>1.953519703603912E-2</v>
      </c>
      <c r="G40">
        <v>5847.95</v>
      </c>
      <c r="H40" s="263">
        <f t="shared" si="2"/>
        <v>2.3139813390859132E-2</v>
      </c>
      <c r="I40" s="273">
        <v>4.2969999999999997</v>
      </c>
      <c r="J40">
        <f t="shared" si="4"/>
        <v>4.2969999999999994E-2</v>
      </c>
      <c r="K40" s="263">
        <f t="shared" si="5"/>
        <v>-1.9830186609140862E-2</v>
      </c>
      <c r="L40" s="263">
        <f t="shared" si="6"/>
        <v>-2.3434802963960874E-2</v>
      </c>
    </row>
    <row r="41" spans="1:12">
      <c r="A41" s="251">
        <v>39353</v>
      </c>
      <c r="B41">
        <v>59.38</v>
      </c>
      <c r="C41" s="264"/>
      <c r="D41" s="264">
        <f t="shared" si="0"/>
        <v>1.3036792373227386</v>
      </c>
      <c r="E41" s="264">
        <f t="shared" si="3"/>
        <v>77.41247311222422</v>
      </c>
      <c r="F41" s="264">
        <f t="shared" si="1"/>
        <v>-9.0120160213618128E-3</v>
      </c>
      <c r="G41">
        <v>5715.69</v>
      </c>
      <c r="H41" s="263">
        <f t="shared" si="2"/>
        <v>9.3577268794038382E-3</v>
      </c>
      <c r="I41" s="273">
        <v>4.4790000000000001</v>
      </c>
      <c r="J41">
        <f t="shared" si="4"/>
        <v>4.4790000000000003E-2</v>
      </c>
      <c r="K41" s="263">
        <f t="shared" si="5"/>
        <v>-3.5432273120596165E-2</v>
      </c>
      <c r="L41" s="263">
        <f t="shared" si="6"/>
        <v>-5.3802016021361816E-2</v>
      </c>
    </row>
    <row r="42" spans="1:12">
      <c r="A42" s="251">
        <v>39325</v>
      </c>
      <c r="B42">
        <v>59.92</v>
      </c>
      <c r="C42" s="264"/>
      <c r="D42" s="264">
        <f t="shared" si="0"/>
        <v>1.3036792373227386</v>
      </c>
      <c r="E42" s="264">
        <f t="shared" si="3"/>
        <v>78.116459900378501</v>
      </c>
      <c r="F42" s="264">
        <f t="shared" si="1"/>
        <v>-2.5691056910569054E-2</v>
      </c>
      <c r="G42">
        <v>5662.7</v>
      </c>
      <c r="H42" s="263">
        <f t="shared" si="2"/>
        <v>-1.5367548356134852E-2</v>
      </c>
      <c r="I42" s="273">
        <v>4.298</v>
      </c>
      <c r="J42">
        <f t="shared" si="4"/>
        <v>4.2979999999999997E-2</v>
      </c>
      <c r="K42" s="263">
        <f t="shared" si="5"/>
        <v>-5.834754835613485E-2</v>
      </c>
      <c r="L42" s="263">
        <f t="shared" si="6"/>
        <v>-6.8671056910569045E-2</v>
      </c>
    </row>
    <row r="43" spans="1:12">
      <c r="A43" s="251">
        <v>39294</v>
      </c>
      <c r="B43">
        <v>61.5</v>
      </c>
      <c r="C43" s="264"/>
      <c r="D43" s="264">
        <f t="shared" si="0"/>
        <v>1.3036792373227386</v>
      </c>
      <c r="E43" s="264">
        <f t="shared" si="3"/>
        <v>80.176273095348421</v>
      </c>
      <c r="F43" s="264">
        <f t="shared" si="1"/>
        <v>2.3294509151414289E-2</v>
      </c>
      <c r="G43">
        <v>5751.08</v>
      </c>
      <c r="H43" s="263">
        <f t="shared" si="2"/>
        <v>-5.0182248184537315E-2</v>
      </c>
      <c r="I43" s="273">
        <v>4.4290000000000003</v>
      </c>
      <c r="J43">
        <f t="shared" si="4"/>
        <v>4.4290000000000003E-2</v>
      </c>
      <c r="K43" s="263">
        <f t="shared" si="5"/>
        <v>-9.4472248184537311E-2</v>
      </c>
      <c r="L43" s="263">
        <f t="shared" si="6"/>
        <v>-2.0995490848585714E-2</v>
      </c>
    </row>
    <row r="44" spans="1:12">
      <c r="A44" s="251">
        <v>39262</v>
      </c>
      <c r="B44">
        <v>60.1</v>
      </c>
      <c r="C44" s="264">
        <v>1.75</v>
      </c>
      <c r="D44" s="264">
        <f>(D45*C44)/B44+D45</f>
        <v>1.3036792373227386</v>
      </c>
      <c r="E44" s="264">
        <f t="shared" si="3"/>
        <v>78.351122163096591</v>
      </c>
      <c r="F44" s="264">
        <f t="shared" si="1"/>
        <v>-0.13689645548423102</v>
      </c>
      <c r="G44">
        <v>6054.93</v>
      </c>
      <c r="H44" s="263">
        <f t="shared" si="2"/>
        <v>-8.0389908256880416E-3</v>
      </c>
      <c r="I44" s="273">
        <v>4.62</v>
      </c>
      <c r="J44">
        <f t="shared" si="4"/>
        <v>4.6199999999999998E-2</v>
      </c>
      <c r="K44" s="263">
        <f t="shared" si="5"/>
        <v>-5.423899082568804E-2</v>
      </c>
      <c r="L44" s="263">
        <f t="shared" si="6"/>
        <v>-0.18309645548423101</v>
      </c>
    </row>
    <row r="45" spans="1:12">
      <c r="A45" s="251">
        <v>39233</v>
      </c>
      <c r="B45">
        <v>71.66</v>
      </c>
      <c r="C45" s="264"/>
      <c r="D45" s="264">
        <f t="shared" si="0"/>
        <v>1.2667925976248438</v>
      </c>
      <c r="E45" s="264">
        <f t="shared" si="3"/>
        <v>90.778357545796297</v>
      </c>
      <c r="F45" s="264">
        <f t="shared" si="1"/>
        <v>6.1944279786603218E-2</v>
      </c>
      <c r="G45">
        <v>6104</v>
      </c>
      <c r="H45" s="263">
        <f t="shared" si="2"/>
        <v>2.4154200307380469E-2</v>
      </c>
      <c r="I45" s="273">
        <v>4.4390000000000001</v>
      </c>
      <c r="J45">
        <f t="shared" si="4"/>
        <v>4.4389999999999999E-2</v>
      </c>
      <c r="K45" s="263">
        <f t="shared" si="5"/>
        <v>-2.023579969261953E-2</v>
      </c>
      <c r="L45" s="263">
        <f t="shared" si="6"/>
        <v>1.7554279786603219E-2</v>
      </c>
    </row>
    <row r="46" spans="1:12">
      <c r="A46" s="251">
        <v>39202</v>
      </c>
      <c r="B46">
        <v>67.48</v>
      </c>
      <c r="C46" s="264"/>
      <c r="D46" s="264">
        <f t="shared" si="0"/>
        <v>1.2667925976248438</v>
      </c>
      <c r="E46" s="264">
        <f t="shared" si="3"/>
        <v>85.483164487724466</v>
      </c>
      <c r="F46" s="264">
        <f t="shared" si="1"/>
        <v>3.6559139784946293E-2</v>
      </c>
      <c r="G46">
        <v>5960.04</v>
      </c>
      <c r="H46" s="263">
        <f t="shared" si="2"/>
        <v>5.7840032941911534E-2</v>
      </c>
      <c r="I46" s="273">
        <v>4.2670000000000003</v>
      </c>
      <c r="J46">
        <f t="shared" si="4"/>
        <v>4.2670000000000007E-2</v>
      </c>
      <c r="K46" s="263">
        <f t="shared" si="5"/>
        <v>1.5170032941911528E-2</v>
      </c>
      <c r="L46" s="263">
        <f t="shared" si="6"/>
        <v>-6.1108602150537136E-3</v>
      </c>
    </row>
    <row r="47" spans="1:12">
      <c r="A47" s="251">
        <v>39171</v>
      </c>
      <c r="B47">
        <v>65.099999999999994</v>
      </c>
      <c r="C47" s="264"/>
      <c r="D47" s="264">
        <f t="shared" si="0"/>
        <v>1.2667925976248438</v>
      </c>
      <c r="E47" s="264">
        <f t="shared" si="3"/>
        <v>82.468198105377326</v>
      </c>
      <c r="F47" s="264">
        <f t="shared" si="1"/>
        <v>1.3071895424836555E-2</v>
      </c>
      <c r="G47">
        <v>5634.16</v>
      </c>
      <c r="H47" s="263">
        <f t="shared" si="2"/>
        <v>2.136206746526681E-2</v>
      </c>
      <c r="I47" s="273">
        <v>4.1120000000000001</v>
      </c>
      <c r="J47">
        <f t="shared" si="4"/>
        <v>4.1120000000000004E-2</v>
      </c>
      <c r="K47" s="263">
        <f t="shared" si="5"/>
        <v>-1.9757932534733194E-2</v>
      </c>
      <c r="L47" s="263">
        <f t="shared" si="6"/>
        <v>-2.8048104575163449E-2</v>
      </c>
    </row>
    <row r="48" spans="1:12">
      <c r="A48" s="251">
        <v>39141</v>
      </c>
      <c r="B48">
        <v>64.260000000000005</v>
      </c>
      <c r="C48" s="264"/>
      <c r="D48" s="264">
        <f t="shared" si="0"/>
        <v>1.2667925976248438</v>
      </c>
      <c r="E48" s="264">
        <f t="shared" si="3"/>
        <v>81.404092323372467</v>
      </c>
      <c r="F48" s="264">
        <f t="shared" si="1"/>
        <v>-4.7294292068198573E-2</v>
      </c>
      <c r="G48">
        <v>5516.32</v>
      </c>
      <c r="H48" s="263">
        <f t="shared" si="2"/>
        <v>-1.6402445656534814E-2</v>
      </c>
      <c r="I48" s="273">
        <v>3.9780000000000002</v>
      </c>
      <c r="J48">
        <f t="shared" si="4"/>
        <v>3.9780000000000003E-2</v>
      </c>
      <c r="K48" s="263">
        <f t="shared" si="5"/>
        <v>-5.6182445656534817E-2</v>
      </c>
      <c r="L48" s="263">
        <f t="shared" si="6"/>
        <v>-8.7074292068198583E-2</v>
      </c>
    </row>
    <row r="49" spans="1:12">
      <c r="A49" s="251">
        <v>39113</v>
      </c>
      <c r="B49">
        <v>67.45</v>
      </c>
      <c r="C49" s="264"/>
      <c r="D49" s="264">
        <f t="shared" si="0"/>
        <v>1.2667925976248438</v>
      </c>
      <c r="E49" s="264">
        <f t="shared" si="3"/>
        <v>85.445160709795715</v>
      </c>
      <c r="F49" s="264">
        <f t="shared" si="1"/>
        <v>-3.5739814152966454E-2</v>
      </c>
      <c r="G49">
        <v>5608.31</v>
      </c>
      <c r="H49" s="263">
        <f t="shared" si="2"/>
        <v>1.200882030257544E-2</v>
      </c>
      <c r="I49" s="273">
        <v>4.1479999999999997</v>
      </c>
      <c r="J49">
        <f t="shared" si="4"/>
        <v>4.1479999999999996E-2</v>
      </c>
      <c r="K49" s="263">
        <f t="shared" si="5"/>
        <v>-2.9471179697424556E-2</v>
      </c>
      <c r="L49" s="263">
        <f t="shared" si="6"/>
        <v>-7.7219814152966443E-2</v>
      </c>
    </row>
    <row r="50" spans="1:12">
      <c r="A50" s="251">
        <v>39080</v>
      </c>
      <c r="B50">
        <v>69.95</v>
      </c>
      <c r="C50" s="264"/>
      <c r="D50" s="264">
        <f t="shared" si="0"/>
        <v>1.2667925976248438</v>
      </c>
      <c r="E50" s="264">
        <f t="shared" si="3"/>
        <v>88.612142203857829</v>
      </c>
      <c r="F50" s="264">
        <f t="shared" si="1"/>
        <v>5.5052790346908242E-2</v>
      </c>
      <c r="G50">
        <v>5541.76</v>
      </c>
      <c r="H50" s="263">
        <f t="shared" si="2"/>
        <v>4.0190403255475182E-2</v>
      </c>
      <c r="I50" s="273">
        <v>3.9769999999999999</v>
      </c>
      <c r="J50">
        <f t="shared" si="4"/>
        <v>3.977E-2</v>
      </c>
      <c r="K50" s="263">
        <f t="shared" si="5"/>
        <v>4.2040325547518242E-4</v>
      </c>
      <c r="L50" s="263">
        <f t="shared" si="6"/>
        <v>1.5282790346908243E-2</v>
      </c>
    </row>
    <row r="51" spans="1:12">
      <c r="A51" s="251">
        <v>39051</v>
      </c>
      <c r="B51">
        <v>66.3</v>
      </c>
      <c r="C51" s="264"/>
      <c r="D51" s="264">
        <f t="shared" si="0"/>
        <v>1.2667925976248438</v>
      </c>
      <c r="E51" s="264">
        <f t="shared" si="3"/>
        <v>83.988349222527134</v>
      </c>
      <c r="F51" s="264">
        <f t="shared" si="1"/>
        <v>-4.5045045045044585E-3</v>
      </c>
      <c r="G51">
        <v>5327.64</v>
      </c>
      <c r="H51" s="263">
        <f t="shared" si="2"/>
        <v>-3.9429920747540148E-3</v>
      </c>
      <c r="I51" s="273">
        <v>3.7360000000000002</v>
      </c>
      <c r="J51">
        <f t="shared" si="4"/>
        <v>3.7360000000000004E-2</v>
      </c>
      <c r="K51" s="263">
        <f t="shared" si="5"/>
        <v>-4.1302992074754019E-2</v>
      </c>
      <c r="L51" s="263">
        <f t="shared" si="6"/>
        <v>-4.1864504504504463E-2</v>
      </c>
    </row>
    <row r="52" spans="1:12">
      <c r="A52" s="251">
        <v>39021</v>
      </c>
      <c r="B52">
        <v>66.599999999999994</v>
      </c>
      <c r="C52" s="264"/>
      <c r="D52" s="264">
        <f t="shared" si="0"/>
        <v>1.2667925976248438</v>
      </c>
      <c r="E52" s="264">
        <f t="shared" si="3"/>
        <v>84.368387001814583</v>
      </c>
      <c r="F52" s="264">
        <f t="shared" si="1"/>
        <v>-5.1282051282051433E-2</v>
      </c>
      <c r="G52">
        <v>5348.73</v>
      </c>
      <c r="H52" s="263">
        <f t="shared" si="2"/>
        <v>1.8803773707097626E-2</v>
      </c>
      <c r="I52" s="273">
        <v>3.7970000000000002</v>
      </c>
      <c r="J52">
        <f t="shared" si="4"/>
        <v>3.7970000000000004E-2</v>
      </c>
      <c r="K52" s="263">
        <f t="shared" si="5"/>
        <v>-1.9166226292902377E-2</v>
      </c>
      <c r="L52" s="263">
        <f t="shared" si="6"/>
        <v>-8.9252051282051437E-2</v>
      </c>
    </row>
    <row r="53" spans="1:12">
      <c r="A53" s="251">
        <v>38989</v>
      </c>
      <c r="B53">
        <v>70.2</v>
      </c>
      <c r="C53" s="264"/>
      <c r="D53" s="264">
        <f t="shared" si="0"/>
        <v>1.2667925976248438</v>
      </c>
      <c r="E53" s="264">
        <f t="shared" si="3"/>
        <v>88.928840353264036</v>
      </c>
      <c r="F53" s="264">
        <f t="shared" si="1"/>
        <v>2.1413276231265765E-3</v>
      </c>
      <c r="G53">
        <v>5250.01</v>
      </c>
      <c r="H53" s="263">
        <f t="shared" si="2"/>
        <v>1.6450985858773581E-2</v>
      </c>
      <c r="I53" s="273">
        <v>3.6850000000000001</v>
      </c>
      <c r="J53">
        <f t="shared" si="4"/>
        <v>3.6850000000000001E-2</v>
      </c>
      <c r="K53" s="263">
        <f t="shared" si="5"/>
        <v>-2.0399014141226419E-2</v>
      </c>
      <c r="L53" s="263">
        <f t="shared" si="6"/>
        <v>-3.4708672376873424E-2</v>
      </c>
    </row>
    <row r="54" spans="1:12">
      <c r="A54" s="251">
        <v>38960</v>
      </c>
      <c r="B54">
        <v>70.05</v>
      </c>
      <c r="C54" s="264"/>
      <c r="D54" s="264">
        <f t="shared" si="0"/>
        <v>1.2667925976248438</v>
      </c>
      <c r="E54" s="264">
        <f t="shared" si="3"/>
        <v>88.738821463620297</v>
      </c>
      <c r="F54" s="264">
        <f t="shared" si="1"/>
        <v>-5.910006715916738E-2</v>
      </c>
      <c r="G54">
        <v>5165.04</v>
      </c>
      <c r="H54" s="263">
        <f t="shared" si="2"/>
        <v>3.1065472649528303E-2</v>
      </c>
      <c r="I54" s="273">
        <v>3.7570000000000001</v>
      </c>
      <c r="J54">
        <f t="shared" si="4"/>
        <v>3.7569999999999999E-2</v>
      </c>
      <c r="K54" s="263">
        <f t="shared" si="5"/>
        <v>-6.5045273504716963E-3</v>
      </c>
      <c r="L54" s="263">
        <f t="shared" si="6"/>
        <v>-9.6670067159167372E-2</v>
      </c>
    </row>
    <row r="55" spans="1:12">
      <c r="A55" s="251">
        <v>38929</v>
      </c>
      <c r="B55">
        <v>74.45</v>
      </c>
      <c r="C55" s="264"/>
      <c r="D55" s="264">
        <f t="shared" si="0"/>
        <v>1.2667925976248438</v>
      </c>
      <c r="E55" s="264">
        <f t="shared" si="3"/>
        <v>94.312708893169628</v>
      </c>
      <c r="F55" s="264">
        <f t="shared" si="1"/>
        <v>-2.424639580602872E-2</v>
      </c>
      <c r="G55">
        <v>5009.42</v>
      </c>
      <c r="H55" s="263">
        <f t="shared" si="2"/>
        <v>8.7515807618265828E-3</v>
      </c>
      <c r="I55" s="273">
        <v>3.9319999999999999</v>
      </c>
      <c r="J55">
        <f t="shared" si="4"/>
        <v>3.9320000000000001E-2</v>
      </c>
      <c r="K55" s="263">
        <f t="shared" si="5"/>
        <v>-3.0568419238173418E-2</v>
      </c>
      <c r="L55" s="263">
        <f t="shared" si="6"/>
        <v>-6.3566395806028714E-2</v>
      </c>
    </row>
    <row r="56" spans="1:12">
      <c r="A56" s="251">
        <v>38898</v>
      </c>
      <c r="B56">
        <v>76.3</v>
      </c>
      <c r="C56" s="264">
        <v>1.52</v>
      </c>
      <c r="D56" s="264">
        <f>(D57*C56)/B56+D57</f>
        <v>1.2667925976248438</v>
      </c>
      <c r="E56" s="264">
        <f t="shared" si="3"/>
        <v>96.656275198775575</v>
      </c>
      <c r="F56" s="264">
        <f t="shared" si="1"/>
        <v>5.8055744391570352E-2</v>
      </c>
      <c r="G56">
        <v>4965.96</v>
      </c>
      <c r="H56" s="263">
        <f t="shared" si="2"/>
        <v>7.2573415169425726E-3</v>
      </c>
      <c r="I56" s="273">
        <v>4.0579999999999998</v>
      </c>
      <c r="J56">
        <f t="shared" si="4"/>
        <v>4.0579999999999998E-2</v>
      </c>
      <c r="K56" s="263">
        <f t="shared" si="5"/>
        <v>-3.3322658483057425E-2</v>
      </c>
      <c r="L56" s="263">
        <f t="shared" si="6"/>
        <v>1.7475744391570354E-2</v>
      </c>
    </row>
    <row r="57" spans="1:12">
      <c r="A57" s="251">
        <v>38868</v>
      </c>
      <c r="B57">
        <v>73.55</v>
      </c>
      <c r="C57" s="264"/>
      <c r="D57" s="264">
        <f t="shared" ref="D57:D120" si="7">(D58*C57)/B57+D58</f>
        <v>1.2420492829449445</v>
      </c>
      <c r="E57" s="264">
        <f t="shared" si="3"/>
        <v>91.352724760600665</v>
      </c>
      <c r="F57" s="264">
        <f t="shared" si="1"/>
        <v>-1.6053511705685697E-2</v>
      </c>
      <c r="G57">
        <v>4930.18</v>
      </c>
      <c r="H57" s="263">
        <f t="shared" si="2"/>
        <v>-4.976871482537959E-2</v>
      </c>
      <c r="I57" s="273">
        <v>3.9460000000000002</v>
      </c>
      <c r="J57">
        <f t="shared" si="4"/>
        <v>3.9460000000000002E-2</v>
      </c>
      <c r="K57" s="263">
        <f t="shared" si="5"/>
        <v>-8.9228714825379585E-2</v>
      </c>
      <c r="L57" s="263">
        <f t="shared" si="6"/>
        <v>-5.5513511705685699E-2</v>
      </c>
    </row>
    <row r="58" spans="1:12">
      <c r="A58" s="251">
        <v>38835</v>
      </c>
      <c r="B58">
        <v>74.75</v>
      </c>
      <c r="C58" s="264"/>
      <c r="D58" s="264">
        <f t="shared" si="7"/>
        <v>1.2420492829449445</v>
      </c>
      <c r="E58" s="264">
        <f t="shared" si="3"/>
        <v>92.843183900134605</v>
      </c>
      <c r="F58" s="264">
        <f t="shared" si="1"/>
        <v>-4.7770700636942665E-2</v>
      </c>
      <c r="G58">
        <v>5188.3999999999996</v>
      </c>
      <c r="H58" s="263">
        <f t="shared" si="2"/>
        <v>-6.2154629993201871E-3</v>
      </c>
      <c r="I58" s="273">
        <v>4.0069999999999997</v>
      </c>
      <c r="J58">
        <f t="shared" si="4"/>
        <v>4.0069999999999995E-2</v>
      </c>
      <c r="K58" s="263">
        <f t="shared" si="5"/>
        <v>-4.6285462999320182E-2</v>
      </c>
      <c r="L58" s="263">
        <f t="shared" si="6"/>
        <v>-8.7840700636942659E-2</v>
      </c>
    </row>
    <row r="59" spans="1:12">
      <c r="A59" s="251">
        <v>38807</v>
      </c>
      <c r="B59">
        <v>78.5</v>
      </c>
      <c r="C59" s="264"/>
      <c r="D59" s="264">
        <f t="shared" si="7"/>
        <v>1.2420492829449445</v>
      </c>
      <c r="E59" s="264">
        <f t="shared" si="3"/>
        <v>97.500868711178143</v>
      </c>
      <c r="F59" s="264">
        <f t="shared" si="1"/>
        <v>9.9439775910364014E-2</v>
      </c>
      <c r="G59">
        <v>5220.8500000000004</v>
      </c>
      <c r="H59" s="263">
        <f t="shared" si="2"/>
        <v>4.4076033157016026E-2</v>
      </c>
      <c r="I59" s="273">
        <v>3.8210000000000002</v>
      </c>
      <c r="J59">
        <f t="shared" si="4"/>
        <v>3.8210000000000001E-2</v>
      </c>
      <c r="K59" s="263">
        <f t="shared" si="5"/>
        <v>5.8660331570160248E-3</v>
      </c>
      <c r="L59" s="263">
        <f t="shared" si="6"/>
        <v>6.1229775910364014E-2</v>
      </c>
    </row>
    <row r="60" spans="1:12">
      <c r="A60" s="251">
        <v>38776</v>
      </c>
      <c r="B60">
        <v>71.400000000000006</v>
      </c>
      <c r="C60" s="264"/>
      <c r="D60" s="264">
        <f t="shared" si="7"/>
        <v>1.2420492829449445</v>
      </c>
      <c r="E60" s="264">
        <f t="shared" si="3"/>
        <v>88.682318802269052</v>
      </c>
      <c r="F60" s="264">
        <f t="shared" si="1"/>
        <v>-5.3677932405566509E-2</v>
      </c>
      <c r="G60">
        <v>5000.45</v>
      </c>
      <c r="H60" s="263">
        <f t="shared" si="2"/>
        <v>1.0602284968239672E-2</v>
      </c>
      <c r="I60" s="273">
        <v>3.556</v>
      </c>
      <c r="J60">
        <f t="shared" si="4"/>
        <v>3.5560000000000001E-2</v>
      </c>
      <c r="K60" s="263">
        <f t="shared" si="5"/>
        <v>-2.4957715031760329E-2</v>
      </c>
      <c r="L60" s="263">
        <f t="shared" si="6"/>
        <v>-8.9237932405566517E-2</v>
      </c>
    </row>
    <row r="61" spans="1:12">
      <c r="A61" s="251">
        <v>38748</v>
      </c>
      <c r="B61">
        <v>75.45</v>
      </c>
      <c r="C61" s="264"/>
      <c r="D61" s="264">
        <f t="shared" si="7"/>
        <v>1.2420492829449445</v>
      </c>
      <c r="E61" s="264">
        <f>B61*D61</f>
        <v>93.712618398196071</v>
      </c>
      <c r="F61" s="264">
        <f>E61/E62-1</f>
        <v>1.9594594594594561E-2</v>
      </c>
      <c r="G61">
        <v>4947.99</v>
      </c>
      <c r="H61" s="263">
        <f t="shared" si="2"/>
        <v>4.9363445685576268E-2</v>
      </c>
      <c r="I61" s="273">
        <v>3.4809999999999999</v>
      </c>
      <c r="J61">
        <f t="shared" si="4"/>
        <v>3.4810000000000001E-2</v>
      </c>
      <c r="K61" s="263">
        <f t="shared" si="5"/>
        <v>1.4553445685576268E-2</v>
      </c>
      <c r="L61" s="263">
        <f t="shared" si="6"/>
        <v>-1.521540540540544E-2</v>
      </c>
    </row>
    <row r="62" spans="1:12">
      <c r="A62" s="251">
        <v>38716</v>
      </c>
      <c r="B62">
        <v>74</v>
      </c>
      <c r="C62" s="264"/>
      <c r="D62" s="264">
        <f t="shared" si="7"/>
        <v>1.2420492829449445</v>
      </c>
      <c r="E62" s="264">
        <f>B62*D62</f>
        <v>91.911646937925894</v>
      </c>
      <c r="F62" s="264">
        <f t="shared" ref="F62:F125" si="8">E62/E63-1</f>
        <v>7.871720116618075E-2</v>
      </c>
      <c r="G62">
        <v>4715.2299999999996</v>
      </c>
      <c r="H62" s="263">
        <f t="shared" si="2"/>
        <v>3.2364075044718943E-2</v>
      </c>
      <c r="I62" s="273">
        <v>3.3220000000000001</v>
      </c>
      <c r="J62">
        <f t="shared" si="4"/>
        <v>3.322E-2</v>
      </c>
      <c r="K62" s="263">
        <f t="shared" si="5"/>
        <v>-8.5592495528105661E-4</v>
      </c>
      <c r="L62" s="263">
        <f t="shared" si="6"/>
        <v>4.5497201166180751E-2</v>
      </c>
    </row>
    <row r="63" spans="1:12">
      <c r="A63" s="253">
        <v>38686</v>
      </c>
      <c r="B63">
        <v>68.599999999999994</v>
      </c>
      <c r="C63" s="264"/>
      <c r="D63" s="264">
        <f t="shared" si="7"/>
        <v>1.2420492829449445</v>
      </c>
      <c r="E63" s="264">
        <f t="shared" ref="E63:E126" si="9">B63*D63</f>
        <v>85.204580810023188</v>
      </c>
      <c r="F63" s="264">
        <f t="shared" si="8"/>
        <v>2.6946107784431073E-2</v>
      </c>
      <c r="G63">
        <v>4567.41</v>
      </c>
      <c r="H63" s="263">
        <f t="shared" si="2"/>
        <v>2.9519097476585987E-2</v>
      </c>
      <c r="I63">
        <v>3.476</v>
      </c>
      <c r="J63">
        <f t="shared" si="4"/>
        <v>3.4759999999999999E-2</v>
      </c>
      <c r="K63" s="263">
        <f t="shared" si="5"/>
        <v>-5.2409025234140122E-3</v>
      </c>
      <c r="L63" s="263">
        <f t="shared" si="6"/>
        <v>-7.8138922155689267E-3</v>
      </c>
    </row>
    <row r="64" spans="1:12">
      <c r="A64" s="253">
        <v>38656</v>
      </c>
      <c r="B64">
        <v>66.8</v>
      </c>
      <c r="C64" s="264"/>
      <c r="D64" s="264">
        <f t="shared" si="7"/>
        <v>1.2420492829449445</v>
      </c>
      <c r="E64" s="264">
        <f t="shared" si="9"/>
        <v>82.968892100722286</v>
      </c>
      <c r="F64" s="264">
        <f t="shared" si="8"/>
        <v>-2.836363636363648E-2</v>
      </c>
      <c r="G64">
        <v>4436.45</v>
      </c>
      <c r="H64" s="263">
        <f t="shared" si="2"/>
        <v>-3.5558541049821701E-2</v>
      </c>
      <c r="I64">
        <v>3.4409999999999998</v>
      </c>
      <c r="J64">
        <f t="shared" si="4"/>
        <v>3.4409999999999996E-2</v>
      </c>
      <c r="K64" s="263">
        <f t="shared" si="5"/>
        <v>-6.9968541049821698E-2</v>
      </c>
      <c r="L64" s="263">
        <f t="shared" si="6"/>
        <v>-6.2773636363636476E-2</v>
      </c>
    </row>
    <row r="65" spans="1:12">
      <c r="A65" s="253">
        <v>38625</v>
      </c>
      <c r="B65">
        <v>68.75</v>
      </c>
      <c r="C65" s="264"/>
      <c r="D65" s="264">
        <f t="shared" si="7"/>
        <v>1.2420492829449445</v>
      </c>
      <c r="E65" s="264">
        <f t="shared" si="9"/>
        <v>85.390888202464936</v>
      </c>
      <c r="F65" s="264">
        <f t="shared" si="8"/>
        <v>-6.5028901734104361E-3</v>
      </c>
      <c r="G65">
        <v>4600.0200000000004</v>
      </c>
      <c r="H65" s="263">
        <f t="shared" si="2"/>
        <v>4.5611179807972135E-2</v>
      </c>
      <c r="I65">
        <v>3.1920000000000002</v>
      </c>
      <c r="J65">
        <f t="shared" si="4"/>
        <v>3.1920000000000004E-2</v>
      </c>
      <c r="K65" s="263">
        <f t="shared" si="5"/>
        <v>1.3691179807972131E-2</v>
      </c>
      <c r="L65" s="263">
        <f t="shared" si="6"/>
        <v>-3.842289017341044E-2</v>
      </c>
    </row>
    <row r="66" spans="1:12">
      <c r="A66" s="253">
        <v>38595</v>
      </c>
      <c r="B66">
        <v>69.2</v>
      </c>
      <c r="C66" s="264"/>
      <c r="D66" s="264">
        <f t="shared" si="7"/>
        <v>1.2420492829449445</v>
      </c>
      <c r="E66" s="264">
        <f t="shared" si="9"/>
        <v>85.949810379790165</v>
      </c>
      <c r="F66" s="264">
        <f t="shared" si="8"/>
        <v>-3.0133146461107208E-2</v>
      </c>
      <c r="G66">
        <v>4399.3599999999997</v>
      </c>
      <c r="H66" s="263">
        <f t="shared" ref="H66:H129" si="10">(G66/G67)-1</f>
        <v>-1.1766185805999529E-2</v>
      </c>
      <c r="I66">
        <v>3.2029999999999998</v>
      </c>
      <c r="J66">
        <f t="shared" si="4"/>
        <v>3.2029999999999996E-2</v>
      </c>
      <c r="K66" s="263">
        <f t="shared" si="5"/>
        <v>-4.3796185805999525E-2</v>
      </c>
      <c r="L66" s="263">
        <f t="shared" si="6"/>
        <v>-6.2163146461107203E-2</v>
      </c>
    </row>
    <row r="67" spans="1:12">
      <c r="A67" s="253">
        <v>38562</v>
      </c>
      <c r="B67">
        <v>71.349999999999994</v>
      </c>
      <c r="C67" s="264"/>
      <c r="D67" s="264">
        <f t="shared" si="7"/>
        <v>1.2420492829449445</v>
      </c>
      <c r="E67" s="264">
        <f t="shared" si="9"/>
        <v>88.620216338121793</v>
      </c>
      <c r="F67" s="264">
        <f t="shared" si="8"/>
        <v>5.0810014727540542E-2</v>
      </c>
      <c r="G67">
        <v>4451.74</v>
      </c>
      <c r="H67" s="263">
        <f t="shared" si="10"/>
        <v>5.2582548145696073E-2</v>
      </c>
      <c r="I67">
        <v>3.2839999999999998</v>
      </c>
      <c r="J67">
        <f t="shared" ref="J67:J130" si="11">I67/100</f>
        <v>3.2840000000000001E-2</v>
      </c>
      <c r="K67" s="263">
        <f t="shared" si="5"/>
        <v>1.9742548145696072E-2</v>
      </c>
      <c r="L67" s="263">
        <f t="shared" ref="L67:L130" si="12">F67-J67</f>
        <v>1.7970014727540541E-2</v>
      </c>
    </row>
    <row r="68" spans="1:12">
      <c r="A68" s="253">
        <v>38533</v>
      </c>
      <c r="B68">
        <v>67.900000000000006</v>
      </c>
      <c r="C68" s="264">
        <v>1.2</v>
      </c>
      <c r="D68" s="264">
        <f t="shared" si="7"/>
        <v>1.2420492829449445</v>
      </c>
      <c r="E68" s="264">
        <f t="shared" si="9"/>
        <v>84.335146311961736</v>
      </c>
      <c r="F68" s="264">
        <f t="shared" si="8"/>
        <v>-5.7298772169167789E-2</v>
      </c>
      <c r="G68">
        <v>4229.3500000000004</v>
      </c>
      <c r="H68" s="263">
        <f t="shared" si="10"/>
        <v>2.6359407192415141E-2</v>
      </c>
      <c r="I68">
        <v>3.1840000000000002</v>
      </c>
      <c r="J68">
        <f t="shared" si="11"/>
        <v>3.184E-2</v>
      </c>
      <c r="K68" s="263">
        <f t="shared" ref="K68:K131" si="13">H68-J68</f>
        <v>-5.4805928075848595E-3</v>
      </c>
      <c r="L68" s="263">
        <f t="shared" si="12"/>
        <v>-8.9138772169167796E-2</v>
      </c>
    </row>
    <row r="69" spans="1:12">
      <c r="A69" s="253">
        <v>38503</v>
      </c>
      <c r="B69">
        <v>73.3</v>
      </c>
      <c r="C69" s="264"/>
      <c r="D69" s="264">
        <f t="shared" si="7"/>
        <v>1.220479686135481</v>
      </c>
      <c r="E69" s="264">
        <f t="shared" si="9"/>
        <v>89.461160993730758</v>
      </c>
      <c r="F69" s="264">
        <f t="shared" si="8"/>
        <v>7.1637426900584833E-2</v>
      </c>
      <c r="G69">
        <v>4120.7299999999996</v>
      </c>
      <c r="H69" s="263">
        <f t="shared" si="10"/>
        <v>5.3434431489041812E-2</v>
      </c>
      <c r="I69">
        <v>3.351</v>
      </c>
      <c r="J69">
        <f t="shared" si="11"/>
        <v>3.3509999999999998E-2</v>
      </c>
      <c r="K69" s="263">
        <f t="shared" si="13"/>
        <v>1.9924431489041813E-2</v>
      </c>
      <c r="L69" s="263">
        <f t="shared" si="12"/>
        <v>3.8127426900584835E-2</v>
      </c>
    </row>
    <row r="70" spans="1:12">
      <c r="A70" s="253">
        <v>38471</v>
      </c>
      <c r="B70">
        <v>68.400000000000006</v>
      </c>
      <c r="C70" s="264"/>
      <c r="D70" s="264">
        <f t="shared" si="7"/>
        <v>1.220479686135481</v>
      </c>
      <c r="E70" s="264">
        <f t="shared" si="9"/>
        <v>83.480810531666904</v>
      </c>
      <c r="F70" s="264">
        <f t="shared" si="8"/>
        <v>5.1498847040738038E-2</v>
      </c>
      <c r="G70">
        <v>3911.71</v>
      </c>
      <c r="H70" s="263">
        <f t="shared" si="10"/>
        <v>-3.8367365000073761E-2</v>
      </c>
      <c r="I70">
        <v>3.4460000000000002</v>
      </c>
      <c r="J70">
        <f t="shared" si="11"/>
        <v>3.4460000000000005E-2</v>
      </c>
      <c r="K70" s="263">
        <f t="shared" si="13"/>
        <v>-7.2827365000073765E-2</v>
      </c>
      <c r="L70" s="263">
        <f t="shared" si="12"/>
        <v>1.7038847040738034E-2</v>
      </c>
    </row>
    <row r="71" spans="1:12">
      <c r="A71" s="253">
        <v>38442</v>
      </c>
      <c r="B71">
        <v>65.05</v>
      </c>
      <c r="C71" s="264"/>
      <c r="D71" s="264">
        <f t="shared" si="7"/>
        <v>1.220479686135481</v>
      </c>
      <c r="E71" s="264">
        <f t="shared" si="9"/>
        <v>79.39220358311303</v>
      </c>
      <c r="F71" s="264">
        <f t="shared" si="8"/>
        <v>7.698675496688745E-2</v>
      </c>
      <c r="G71">
        <v>4067.78</v>
      </c>
      <c r="H71" s="263">
        <f t="shared" si="10"/>
        <v>1.0086512579584817E-2</v>
      </c>
      <c r="I71">
        <v>3.7050000000000001</v>
      </c>
      <c r="J71">
        <f t="shared" si="11"/>
        <v>3.705E-2</v>
      </c>
      <c r="K71" s="263">
        <f t="shared" si="13"/>
        <v>-2.6963487420415183E-2</v>
      </c>
      <c r="L71" s="263">
        <f t="shared" si="12"/>
        <v>3.993675496688745E-2</v>
      </c>
    </row>
    <row r="72" spans="1:12">
      <c r="A72" s="253">
        <v>38411</v>
      </c>
      <c r="B72">
        <v>60.4</v>
      </c>
      <c r="C72" s="264"/>
      <c r="D72" s="264">
        <f t="shared" si="7"/>
        <v>1.220479686135481</v>
      </c>
      <c r="E72" s="264">
        <f t="shared" si="9"/>
        <v>73.716973042583049</v>
      </c>
      <c r="F72" s="264">
        <f t="shared" si="8"/>
        <v>5.5021834061135255E-2</v>
      </c>
      <c r="G72">
        <v>4027.16</v>
      </c>
      <c r="H72" s="263">
        <f t="shared" si="10"/>
        <v>2.8993098584711552E-2</v>
      </c>
      <c r="I72">
        <v>3.7360000000000002</v>
      </c>
      <c r="J72">
        <f t="shared" si="11"/>
        <v>3.7360000000000004E-2</v>
      </c>
      <c r="K72" s="263">
        <f t="shared" si="13"/>
        <v>-8.3669014152884524E-3</v>
      </c>
      <c r="L72" s="263">
        <f t="shared" si="12"/>
        <v>1.7661834061135251E-2</v>
      </c>
    </row>
    <row r="73" spans="1:12">
      <c r="A73" s="253">
        <v>38383</v>
      </c>
      <c r="B73">
        <v>57.25</v>
      </c>
      <c r="C73" s="264"/>
      <c r="D73" s="264">
        <f t="shared" si="7"/>
        <v>1.220479686135481</v>
      </c>
      <c r="E73" s="264">
        <f t="shared" si="9"/>
        <v>69.872462031256291</v>
      </c>
      <c r="F73" s="264">
        <f t="shared" si="8"/>
        <v>-2.6360544217687076E-2</v>
      </c>
      <c r="G73">
        <v>3913.69</v>
      </c>
      <c r="H73" s="263">
        <f t="shared" si="10"/>
        <v>2.4215159794408025E-2</v>
      </c>
      <c r="I73">
        <v>3.532</v>
      </c>
      <c r="J73">
        <f t="shared" si="11"/>
        <v>3.5319999999999997E-2</v>
      </c>
      <c r="K73" s="263">
        <f t="shared" si="13"/>
        <v>-1.1104840205591972E-2</v>
      </c>
      <c r="L73" s="263">
        <f t="shared" si="12"/>
        <v>-6.1680544217687074E-2</v>
      </c>
    </row>
    <row r="74" spans="1:12">
      <c r="A74" s="253">
        <v>38352</v>
      </c>
      <c r="B74">
        <v>58.8</v>
      </c>
      <c r="C74" s="264"/>
      <c r="D74" s="264">
        <f t="shared" si="7"/>
        <v>1.220479686135481</v>
      </c>
      <c r="E74" s="264">
        <f t="shared" si="9"/>
        <v>71.764205544766284</v>
      </c>
      <c r="F74" s="264">
        <f t="shared" si="8"/>
        <v>3.7952338923212592E-2</v>
      </c>
      <c r="G74">
        <v>3821.16</v>
      </c>
      <c r="H74" s="263">
        <f t="shared" si="10"/>
        <v>1.7958041958041848E-2</v>
      </c>
      <c r="I74">
        <v>3.69</v>
      </c>
      <c r="J74">
        <f t="shared" si="11"/>
        <v>3.6900000000000002E-2</v>
      </c>
      <c r="K74" s="263">
        <f t="shared" si="13"/>
        <v>-1.8941958041958154E-2</v>
      </c>
      <c r="L74" s="263">
        <f t="shared" si="12"/>
        <v>1.0523389232125896E-3</v>
      </c>
    </row>
    <row r="75" spans="1:12">
      <c r="A75" s="253">
        <v>38321</v>
      </c>
      <c r="B75">
        <v>56.65</v>
      </c>
      <c r="C75" s="264"/>
      <c r="D75" s="264">
        <f t="shared" si="7"/>
        <v>1.220479686135481</v>
      </c>
      <c r="E75" s="264">
        <f t="shared" si="9"/>
        <v>69.140174219575002</v>
      </c>
      <c r="F75" s="264">
        <f t="shared" si="8"/>
        <v>-1.1343804537521818E-2</v>
      </c>
      <c r="G75">
        <v>3753.75</v>
      </c>
      <c r="H75" s="263">
        <f t="shared" si="10"/>
        <v>1.2660447499473815E-2</v>
      </c>
      <c r="I75">
        <v>3.8170000000000002</v>
      </c>
      <c r="J75">
        <f t="shared" si="11"/>
        <v>3.8170000000000003E-2</v>
      </c>
      <c r="K75" s="263">
        <f t="shared" si="13"/>
        <v>-2.5509552500526188E-2</v>
      </c>
      <c r="L75" s="263">
        <f t="shared" si="12"/>
        <v>-4.951380453752182E-2</v>
      </c>
    </row>
    <row r="76" spans="1:12">
      <c r="A76" s="253">
        <v>38289</v>
      </c>
      <c r="B76">
        <v>57.3</v>
      </c>
      <c r="C76" s="264"/>
      <c r="D76" s="264">
        <f t="shared" si="7"/>
        <v>1.220479686135481</v>
      </c>
      <c r="E76" s="264">
        <f t="shared" si="9"/>
        <v>69.933486015563062</v>
      </c>
      <c r="F76" s="264">
        <f t="shared" si="8"/>
        <v>-1.8835616438356073E-2</v>
      </c>
      <c r="G76">
        <v>3706.82</v>
      </c>
      <c r="H76" s="263">
        <f t="shared" si="10"/>
        <v>1.8186512699794877E-2</v>
      </c>
      <c r="I76">
        <v>3.9260000000000002</v>
      </c>
      <c r="J76">
        <f t="shared" si="11"/>
        <v>3.9260000000000003E-2</v>
      </c>
      <c r="K76" s="263">
        <f t="shared" si="13"/>
        <v>-2.1073487300205127E-2</v>
      </c>
      <c r="L76" s="263">
        <f t="shared" si="12"/>
        <v>-5.8095616438356076E-2</v>
      </c>
    </row>
    <row r="77" spans="1:12">
      <c r="A77" s="253">
        <v>38260</v>
      </c>
      <c r="B77">
        <v>58.4</v>
      </c>
      <c r="C77" s="264"/>
      <c r="D77" s="264">
        <f t="shared" si="7"/>
        <v>1.220479686135481</v>
      </c>
      <c r="E77" s="264">
        <f t="shared" si="9"/>
        <v>71.276013670312082</v>
      </c>
      <c r="F77" s="264">
        <f t="shared" si="8"/>
        <v>0</v>
      </c>
      <c r="G77">
        <v>3640.61</v>
      </c>
      <c r="H77" s="263">
        <f t="shared" si="10"/>
        <v>1.2889925103219513E-2</v>
      </c>
      <c r="I77">
        <v>4.0519999999999996</v>
      </c>
      <c r="J77">
        <f t="shared" si="11"/>
        <v>4.0519999999999994E-2</v>
      </c>
      <c r="K77" s="263">
        <f t="shared" si="13"/>
        <v>-2.7630074896780481E-2</v>
      </c>
      <c r="L77" s="263">
        <f t="shared" si="12"/>
        <v>-4.0519999999999994E-2</v>
      </c>
    </row>
    <row r="78" spans="1:12">
      <c r="A78" s="253">
        <v>38230</v>
      </c>
      <c r="B78">
        <v>58.4</v>
      </c>
      <c r="C78" s="264"/>
      <c r="D78" s="264">
        <f t="shared" si="7"/>
        <v>1.220479686135481</v>
      </c>
      <c r="E78" s="264">
        <f t="shared" si="9"/>
        <v>71.276013670312082</v>
      </c>
      <c r="F78" s="264">
        <f t="shared" si="8"/>
        <v>5.9891107078039685E-2</v>
      </c>
      <c r="G78">
        <v>3594.28</v>
      </c>
      <c r="H78" s="263">
        <f t="shared" si="10"/>
        <v>-1.4482739711003223E-2</v>
      </c>
      <c r="I78">
        <v>4.0880000000000001</v>
      </c>
      <c r="J78">
        <f t="shared" si="11"/>
        <v>4.088E-2</v>
      </c>
      <c r="K78" s="263">
        <f t="shared" si="13"/>
        <v>-5.5362739711003223E-2</v>
      </c>
      <c r="L78" s="263">
        <f t="shared" si="12"/>
        <v>1.9011107078039685E-2</v>
      </c>
    </row>
    <row r="79" spans="1:12">
      <c r="A79" s="253">
        <v>38198</v>
      </c>
      <c r="B79">
        <v>55.1</v>
      </c>
      <c r="C79" s="264"/>
      <c r="D79" s="264">
        <f t="shared" si="7"/>
        <v>1.220479686135481</v>
      </c>
      <c r="E79" s="264">
        <f t="shared" si="9"/>
        <v>67.248430706065008</v>
      </c>
      <c r="F79" s="264">
        <f t="shared" si="8"/>
        <v>5.7581573896353211E-2</v>
      </c>
      <c r="G79">
        <v>3647.1</v>
      </c>
      <c r="H79" s="263">
        <f t="shared" si="10"/>
        <v>-2.3008365947939868E-2</v>
      </c>
      <c r="I79">
        <v>4.29</v>
      </c>
      <c r="J79">
        <f t="shared" si="11"/>
        <v>4.2900000000000001E-2</v>
      </c>
      <c r="K79" s="263">
        <f t="shared" si="13"/>
        <v>-6.5908365947939862E-2</v>
      </c>
      <c r="L79" s="263">
        <f t="shared" si="12"/>
        <v>1.468157389635321E-2</v>
      </c>
    </row>
    <row r="80" spans="1:12">
      <c r="A80" s="253">
        <v>38168</v>
      </c>
      <c r="B80">
        <v>52.1</v>
      </c>
      <c r="C80" s="264"/>
      <c r="D80" s="264">
        <f t="shared" si="7"/>
        <v>1.220479686135481</v>
      </c>
      <c r="E80" s="264">
        <f t="shared" si="9"/>
        <v>63.586991647658557</v>
      </c>
      <c r="F80" s="264">
        <f t="shared" si="8"/>
        <v>-3.785780240073866E-2</v>
      </c>
      <c r="G80">
        <v>3732.99</v>
      </c>
      <c r="H80" s="263">
        <f t="shared" si="10"/>
        <v>1.7266045895635074E-2</v>
      </c>
      <c r="I80">
        <v>4.3780000000000001</v>
      </c>
      <c r="J80">
        <f t="shared" si="11"/>
        <v>4.3779999999999999E-2</v>
      </c>
      <c r="K80" s="263">
        <f t="shared" si="13"/>
        <v>-2.6513954104364926E-2</v>
      </c>
      <c r="L80" s="263">
        <f t="shared" si="12"/>
        <v>-8.163780240073866E-2</v>
      </c>
    </row>
    <row r="81" spans="1:12">
      <c r="A81" s="253">
        <v>38138</v>
      </c>
      <c r="B81">
        <v>54.15</v>
      </c>
      <c r="C81" s="264">
        <v>1.02</v>
      </c>
      <c r="D81" s="264">
        <f t="shared" si="7"/>
        <v>1.220479686135481</v>
      </c>
      <c r="E81" s="264">
        <f t="shared" si="9"/>
        <v>66.088975004236289</v>
      </c>
      <c r="F81" s="264">
        <f t="shared" si="8"/>
        <v>4.0943396226414963E-2</v>
      </c>
      <c r="G81">
        <v>3669.63</v>
      </c>
      <c r="H81" s="263">
        <f t="shared" si="10"/>
        <v>-1.2655540677357635E-3</v>
      </c>
      <c r="I81">
        <v>4.3460000000000001</v>
      </c>
      <c r="J81">
        <f t="shared" si="11"/>
        <v>4.3459999999999999E-2</v>
      </c>
      <c r="K81" s="263">
        <f t="shared" si="13"/>
        <v>-4.4725554067735762E-2</v>
      </c>
      <c r="L81" s="263">
        <f t="shared" si="12"/>
        <v>-2.5166037735850355E-3</v>
      </c>
    </row>
    <row r="82" spans="1:12">
      <c r="A82" s="253">
        <v>38107</v>
      </c>
      <c r="B82">
        <v>53</v>
      </c>
      <c r="C82" s="264"/>
      <c r="D82" s="264">
        <f t="shared" si="7"/>
        <v>1.1979150807365651</v>
      </c>
      <c r="E82" s="264">
        <f t="shared" si="9"/>
        <v>63.48949927903795</v>
      </c>
      <c r="F82" s="264">
        <f t="shared" si="8"/>
        <v>-2.822201317027262E-3</v>
      </c>
      <c r="G82">
        <v>3674.28</v>
      </c>
      <c r="H82" s="263">
        <f t="shared" si="10"/>
        <v>1.3530176016418372E-2</v>
      </c>
      <c r="I82">
        <v>4.2830000000000004</v>
      </c>
      <c r="J82">
        <f t="shared" si="11"/>
        <v>4.2830000000000007E-2</v>
      </c>
      <c r="K82" s="263">
        <f t="shared" si="13"/>
        <v>-2.9299823983581635E-2</v>
      </c>
      <c r="L82" s="263">
        <f t="shared" si="12"/>
        <v>-4.5652201317027269E-2</v>
      </c>
    </row>
    <row r="83" spans="1:12">
      <c r="A83" s="253">
        <v>38077</v>
      </c>
      <c r="B83">
        <v>53.15</v>
      </c>
      <c r="C83" s="264"/>
      <c r="D83" s="264">
        <f t="shared" si="7"/>
        <v>1.1979150807365651</v>
      </c>
      <c r="E83" s="264">
        <f t="shared" si="9"/>
        <v>63.669186541148434</v>
      </c>
      <c r="F83" s="264">
        <f t="shared" si="8"/>
        <v>-3.3636363636363464E-2</v>
      </c>
      <c r="G83">
        <v>3625.23</v>
      </c>
      <c r="H83" s="263">
        <f t="shared" si="10"/>
        <v>-2.6898836110633928E-2</v>
      </c>
      <c r="I83">
        <v>4.0149999999999997</v>
      </c>
      <c r="J83">
        <f t="shared" si="11"/>
        <v>4.0149999999999998E-2</v>
      </c>
      <c r="K83" s="263">
        <f t="shared" si="13"/>
        <v>-6.7048836110633919E-2</v>
      </c>
      <c r="L83" s="263">
        <f t="shared" si="12"/>
        <v>-7.3786363636363456E-2</v>
      </c>
    </row>
    <row r="84" spans="1:12">
      <c r="A84" s="253">
        <v>38044</v>
      </c>
      <c r="B84">
        <v>55</v>
      </c>
      <c r="C84" s="264"/>
      <c r="D84" s="264">
        <f t="shared" si="7"/>
        <v>1.1979150807365651</v>
      </c>
      <c r="E84" s="264">
        <f t="shared" si="9"/>
        <v>65.885329440511072</v>
      </c>
      <c r="F84" s="264">
        <f t="shared" si="8"/>
        <v>-3.8461538461538547E-2</v>
      </c>
      <c r="G84">
        <v>3725.44</v>
      </c>
      <c r="H84" s="263">
        <f t="shared" si="10"/>
        <v>2.391134662107941E-2</v>
      </c>
      <c r="I84">
        <v>4.0999999999999996</v>
      </c>
      <c r="J84">
        <f t="shared" si="11"/>
        <v>4.0999999999999995E-2</v>
      </c>
      <c r="K84" s="263">
        <f t="shared" si="13"/>
        <v>-1.7088653378920585E-2</v>
      </c>
      <c r="L84" s="263">
        <f t="shared" si="12"/>
        <v>-7.9461538461538542E-2</v>
      </c>
    </row>
    <row r="85" spans="1:12">
      <c r="A85" s="253">
        <v>38016</v>
      </c>
      <c r="B85">
        <v>57.2</v>
      </c>
      <c r="C85" s="264"/>
      <c r="D85" s="264">
        <f t="shared" si="7"/>
        <v>1.1979150807365651</v>
      </c>
      <c r="E85" s="264">
        <f t="shared" si="9"/>
        <v>68.520742618131521</v>
      </c>
      <c r="F85" s="264">
        <f t="shared" si="8"/>
        <v>-4.1876046901172637E-2</v>
      </c>
      <c r="G85">
        <v>3638.44</v>
      </c>
      <c r="H85" s="263">
        <f t="shared" si="10"/>
        <v>2.2636948761910025E-2</v>
      </c>
      <c r="I85">
        <v>4.2560000000000002</v>
      </c>
      <c r="J85">
        <f t="shared" si="11"/>
        <v>4.2560000000000001E-2</v>
      </c>
      <c r="K85" s="263">
        <f t="shared" si="13"/>
        <v>-1.9923051238089975E-2</v>
      </c>
      <c r="L85" s="263">
        <f t="shared" si="12"/>
        <v>-8.4436046901172637E-2</v>
      </c>
    </row>
    <row r="86" spans="1:12">
      <c r="A86" s="253">
        <v>37986</v>
      </c>
      <c r="B86">
        <v>59.7</v>
      </c>
      <c r="C86" s="264"/>
      <c r="D86" s="264">
        <f t="shared" si="7"/>
        <v>1.1979150807365651</v>
      </c>
      <c r="E86" s="264">
        <f t="shared" si="9"/>
        <v>71.515530319972939</v>
      </c>
      <c r="F86" s="264">
        <f t="shared" si="8"/>
        <v>5.663716814159292E-2</v>
      </c>
      <c r="G86">
        <v>3557.9</v>
      </c>
      <c r="H86" s="263">
        <f t="shared" si="10"/>
        <v>3.8866616639268381E-2</v>
      </c>
      <c r="I86">
        <v>4.3</v>
      </c>
      <c r="J86">
        <f t="shared" si="11"/>
        <v>4.2999999999999997E-2</v>
      </c>
      <c r="K86" s="263">
        <f t="shared" si="13"/>
        <v>-4.1333833607316156E-3</v>
      </c>
      <c r="L86" s="263">
        <f t="shared" si="12"/>
        <v>1.3637168141592923E-2</v>
      </c>
    </row>
    <row r="87" spans="1:12">
      <c r="A87" s="253">
        <v>37953</v>
      </c>
      <c r="B87">
        <v>56.5</v>
      </c>
      <c r="C87" s="264"/>
      <c r="D87" s="264">
        <f t="shared" si="7"/>
        <v>1.1979150807365651</v>
      </c>
      <c r="E87" s="264">
        <f t="shared" si="9"/>
        <v>67.682202061615925</v>
      </c>
      <c r="F87" s="264">
        <f t="shared" si="8"/>
        <v>6.1032863849765251E-2</v>
      </c>
      <c r="G87">
        <v>3424.79</v>
      </c>
      <c r="H87" s="263">
        <f t="shared" si="10"/>
        <v>1.529408277007005E-2</v>
      </c>
      <c r="I87">
        <v>4.4729999999999999</v>
      </c>
      <c r="J87">
        <f t="shared" si="11"/>
        <v>4.4729999999999999E-2</v>
      </c>
      <c r="K87" s="263">
        <f t="shared" si="13"/>
        <v>-2.9435917229929949E-2</v>
      </c>
      <c r="L87" s="263">
        <f t="shared" si="12"/>
        <v>1.6302863849765252E-2</v>
      </c>
    </row>
    <row r="88" spans="1:12">
      <c r="A88" s="253">
        <v>37925</v>
      </c>
      <c r="B88">
        <v>53.25</v>
      </c>
      <c r="C88" s="264"/>
      <c r="D88" s="264">
        <f t="shared" si="7"/>
        <v>1.1979150807365651</v>
      </c>
      <c r="E88" s="264">
        <f t="shared" si="9"/>
        <v>63.788978049222088</v>
      </c>
      <c r="F88" s="264">
        <f t="shared" si="8"/>
        <v>2.0114942528735469E-2</v>
      </c>
      <c r="G88">
        <v>3373.2</v>
      </c>
      <c r="H88" s="263">
        <f t="shared" si="10"/>
        <v>7.5984293410824355E-2</v>
      </c>
      <c r="I88">
        <v>4.3339999999999996</v>
      </c>
      <c r="J88">
        <f t="shared" si="11"/>
        <v>4.3339999999999997E-2</v>
      </c>
      <c r="K88" s="263">
        <f t="shared" si="13"/>
        <v>3.2644293410824358E-2</v>
      </c>
      <c r="L88" s="263">
        <f t="shared" si="12"/>
        <v>-2.3225057471264528E-2</v>
      </c>
    </row>
    <row r="89" spans="1:12">
      <c r="A89" s="253">
        <v>37894</v>
      </c>
      <c r="B89">
        <v>52.2</v>
      </c>
      <c r="C89" s="264"/>
      <c r="D89" s="264">
        <f t="shared" si="7"/>
        <v>1.1979150807365651</v>
      </c>
      <c r="E89" s="264">
        <f t="shared" si="9"/>
        <v>62.531167214448701</v>
      </c>
      <c r="F89" s="264">
        <f t="shared" si="8"/>
        <v>1.953125E-2</v>
      </c>
      <c r="G89">
        <v>3134.99</v>
      </c>
      <c r="H89" s="263">
        <f t="shared" si="10"/>
        <v>-5.3279257841047145E-2</v>
      </c>
      <c r="I89">
        <v>4.0659999999999998</v>
      </c>
      <c r="J89">
        <f t="shared" si="11"/>
        <v>4.0660000000000002E-2</v>
      </c>
      <c r="K89" s="263">
        <f t="shared" si="13"/>
        <v>-9.3939257841047147E-2</v>
      </c>
      <c r="L89" s="263">
        <f t="shared" si="12"/>
        <v>-2.1128750000000002E-2</v>
      </c>
    </row>
    <row r="90" spans="1:12">
      <c r="A90" s="253">
        <v>37862</v>
      </c>
      <c r="B90">
        <v>51.2</v>
      </c>
      <c r="C90" s="264"/>
      <c r="D90" s="264">
        <f t="shared" si="7"/>
        <v>1.1979150807365651</v>
      </c>
      <c r="E90" s="264">
        <f t="shared" si="9"/>
        <v>61.333252133712136</v>
      </c>
      <c r="F90" s="264">
        <f t="shared" si="8"/>
        <v>2.1956087824351433E-2</v>
      </c>
      <c r="G90">
        <v>3311.42</v>
      </c>
      <c r="H90" s="263">
        <f t="shared" si="10"/>
        <v>3.1508253199886704E-2</v>
      </c>
      <c r="I90">
        <v>4.17</v>
      </c>
      <c r="J90">
        <f t="shared" si="11"/>
        <v>4.1700000000000001E-2</v>
      </c>
      <c r="K90" s="263">
        <f t="shared" si="13"/>
        <v>-1.0191746800113297E-2</v>
      </c>
      <c r="L90" s="263">
        <f t="shared" si="12"/>
        <v>-1.9743912175648567E-2</v>
      </c>
    </row>
    <row r="91" spans="1:12">
      <c r="A91" s="253">
        <v>37833</v>
      </c>
      <c r="B91">
        <v>50.1</v>
      </c>
      <c r="C91" s="264"/>
      <c r="D91" s="264">
        <f t="shared" si="7"/>
        <v>1.1979150807365651</v>
      </c>
      <c r="E91" s="264">
        <f t="shared" si="9"/>
        <v>60.015545544901912</v>
      </c>
      <c r="F91" s="264">
        <f t="shared" si="8"/>
        <v>-1.7647058823529349E-2</v>
      </c>
      <c r="G91">
        <v>3210.27</v>
      </c>
      <c r="H91" s="263">
        <f t="shared" si="10"/>
        <v>4.0909827826594469E-2</v>
      </c>
      <c r="I91">
        <v>4.2110000000000003</v>
      </c>
      <c r="J91">
        <f t="shared" si="11"/>
        <v>4.2110000000000002E-2</v>
      </c>
      <c r="K91" s="263">
        <f t="shared" si="13"/>
        <v>-1.2001721734055323E-3</v>
      </c>
      <c r="L91" s="263">
        <f t="shared" si="12"/>
        <v>-5.9757058823529351E-2</v>
      </c>
    </row>
    <row r="92" spans="1:12">
      <c r="A92" s="253">
        <v>37802</v>
      </c>
      <c r="B92">
        <v>51</v>
      </c>
      <c r="C92" s="264">
        <v>0.84</v>
      </c>
      <c r="D92" s="264">
        <f t="shared" si="7"/>
        <v>1.1979150807365651</v>
      </c>
      <c r="E92" s="264">
        <f t="shared" si="9"/>
        <v>61.093669117564815</v>
      </c>
      <c r="F92" s="264">
        <f t="shared" si="8"/>
        <v>-4.6182152713891478E-2</v>
      </c>
      <c r="G92">
        <v>3084.1</v>
      </c>
      <c r="H92" s="263">
        <f t="shared" si="10"/>
        <v>3.0868220940920787E-2</v>
      </c>
      <c r="I92">
        <v>3.8439999999999999</v>
      </c>
      <c r="J92">
        <f t="shared" si="11"/>
        <v>3.8440000000000002E-2</v>
      </c>
      <c r="K92" s="263">
        <f t="shared" si="13"/>
        <v>-7.5717790590792144E-3</v>
      </c>
      <c r="L92" s="263">
        <f t="shared" si="12"/>
        <v>-8.462215271389148E-2</v>
      </c>
    </row>
    <row r="93" spans="1:12">
      <c r="A93" s="253">
        <v>37771</v>
      </c>
      <c r="B93">
        <v>54.35</v>
      </c>
      <c r="C93" s="264"/>
      <c r="D93" s="264">
        <f t="shared" si="7"/>
        <v>1.1785044197061114</v>
      </c>
      <c r="E93" s="264">
        <f t="shared" si="9"/>
        <v>64.051715211027158</v>
      </c>
      <c r="F93" s="264">
        <f t="shared" si="8"/>
        <v>1.6838166510757757E-2</v>
      </c>
      <c r="G93">
        <v>2991.75</v>
      </c>
      <c r="H93" s="263">
        <f t="shared" si="10"/>
        <v>1.2892435512430245E-2</v>
      </c>
      <c r="I93">
        <v>3.758</v>
      </c>
      <c r="J93">
        <f t="shared" si="11"/>
        <v>3.7580000000000002E-2</v>
      </c>
      <c r="K93" s="263">
        <f t="shared" si="13"/>
        <v>-2.4687564487569758E-2</v>
      </c>
      <c r="L93" s="263">
        <f t="shared" si="12"/>
        <v>-2.0741833489242245E-2</v>
      </c>
    </row>
    <row r="94" spans="1:12">
      <c r="A94" s="253">
        <v>37741</v>
      </c>
      <c r="B94">
        <v>53.45</v>
      </c>
      <c r="C94" s="264"/>
      <c r="D94" s="264">
        <f t="shared" si="7"/>
        <v>1.1785044197061114</v>
      </c>
      <c r="E94" s="264">
        <f t="shared" si="9"/>
        <v>62.99106123329166</v>
      </c>
      <c r="F94" s="264">
        <f t="shared" si="8"/>
        <v>0.15918455866406434</v>
      </c>
      <c r="G94">
        <v>2953.67</v>
      </c>
      <c r="H94" s="263">
        <f t="shared" si="10"/>
        <v>0.12801799531022051</v>
      </c>
      <c r="I94">
        <v>4.1280000000000001</v>
      </c>
      <c r="J94">
        <f t="shared" si="11"/>
        <v>4.1280000000000004E-2</v>
      </c>
      <c r="K94" s="263">
        <f t="shared" si="13"/>
        <v>8.67379953102205E-2</v>
      </c>
      <c r="L94" s="263">
        <f t="shared" si="12"/>
        <v>0.11790455866406432</v>
      </c>
    </row>
    <row r="95" spans="1:12">
      <c r="A95" s="253">
        <v>37711</v>
      </c>
      <c r="B95">
        <v>46.11</v>
      </c>
      <c r="C95" s="264"/>
      <c r="D95" s="264">
        <f t="shared" si="7"/>
        <v>1.1785044197061114</v>
      </c>
      <c r="E95" s="264">
        <f t="shared" si="9"/>
        <v>54.340838792648796</v>
      </c>
      <c r="F95" s="264">
        <f t="shared" si="8"/>
        <v>-7.0737605804111259E-2</v>
      </c>
      <c r="G95">
        <v>2618.46</v>
      </c>
      <c r="H95" s="263">
        <f t="shared" si="10"/>
        <v>-4.9239852291336095E-2</v>
      </c>
      <c r="I95">
        <v>4.1139999999999999</v>
      </c>
      <c r="J95">
        <f t="shared" si="11"/>
        <v>4.1139999999999996E-2</v>
      </c>
      <c r="K95" s="263">
        <f t="shared" si="13"/>
        <v>-9.0379852291336091E-2</v>
      </c>
      <c r="L95" s="263">
        <f t="shared" si="12"/>
        <v>-0.11187760580411125</v>
      </c>
    </row>
    <row r="96" spans="1:12">
      <c r="A96" s="253">
        <v>37680</v>
      </c>
      <c r="B96">
        <v>49.62</v>
      </c>
      <c r="C96" s="264"/>
      <c r="D96" s="264">
        <f t="shared" si="7"/>
        <v>1.1785044197061114</v>
      </c>
      <c r="E96" s="264">
        <f t="shared" si="9"/>
        <v>58.477389305817248</v>
      </c>
      <c r="F96" s="264">
        <f t="shared" si="8"/>
        <v>1.9938335046248756E-2</v>
      </c>
      <c r="G96">
        <v>2754.07</v>
      </c>
      <c r="H96" s="263">
        <f t="shared" si="10"/>
        <v>-6.2565523438670056E-2</v>
      </c>
      <c r="I96">
        <v>3.9550000000000001</v>
      </c>
      <c r="J96">
        <f t="shared" si="11"/>
        <v>3.9550000000000002E-2</v>
      </c>
      <c r="K96" s="263">
        <f t="shared" si="13"/>
        <v>-0.10211552343867006</v>
      </c>
      <c r="L96" s="263">
        <f t="shared" si="12"/>
        <v>-1.9611664953751246E-2</v>
      </c>
    </row>
    <row r="97" spans="1:12">
      <c r="A97" s="253">
        <v>37652</v>
      </c>
      <c r="B97">
        <v>48.65</v>
      </c>
      <c r="C97" s="264"/>
      <c r="D97" s="264">
        <f t="shared" si="7"/>
        <v>1.1785044197061114</v>
      </c>
      <c r="E97" s="264">
        <f t="shared" si="9"/>
        <v>57.334240018702317</v>
      </c>
      <c r="F97" s="264">
        <f t="shared" si="8"/>
        <v>-0.16480686695278968</v>
      </c>
      <c r="G97">
        <v>2937.88</v>
      </c>
      <c r="H97" s="263">
        <f t="shared" si="10"/>
        <v>-4.1133714763162077E-2</v>
      </c>
      <c r="I97">
        <v>4.1159999999999997</v>
      </c>
      <c r="J97">
        <f t="shared" si="11"/>
        <v>4.1159999999999995E-2</v>
      </c>
      <c r="K97" s="263">
        <f t="shared" si="13"/>
        <v>-8.2293714763162079E-2</v>
      </c>
      <c r="L97" s="263">
        <f t="shared" si="12"/>
        <v>-0.20596686695278968</v>
      </c>
    </row>
    <row r="98" spans="1:12">
      <c r="A98" s="253">
        <v>37621</v>
      </c>
      <c r="B98">
        <v>58.25</v>
      </c>
      <c r="C98" s="264"/>
      <c r="D98" s="264">
        <f t="shared" si="7"/>
        <v>1.1785044197061114</v>
      </c>
      <c r="E98" s="264">
        <f t="shared" si="9"/>
        <v>68.647882447880988</v>
      </c>
      <c r="F98" s="264">
        <f t="shared" si="8"/>
        <v>-1.9360269360269466E-2</v>
      </c>
      <c r="G98">
        <v>3063.91</v>
      </c>
      <c r="H98" s="263">
        <f t="shared" si="10"/>
        <v>-7.8980355613004094E-2</v>
      </c>
      <c r="I98">
        <v>4.2510000000000003</v>
      </c>
      <c r="J98">
        <f t="shared" si="11"/>
        <v>4.2510000000000006E-2</v>
      </c>
      <c r="K98" s="263">
        <f t="shared" si="13"/>
        <v>-0.1214903556130041</v>
      </c>
      <c r="L98" s="263">
        <f t="shared" si="12"/>
        <v>-6.1870269360269473E-2</v>
      </c>
    </row>
    <row r="99" spans="1:12">
      <c r="A99" s="253">
        <v>37589</v>
      </c>
      <c r="B99">
        <v>59.4</v>
      </c>
      <c r="C99" s="264"/>
      <c r="D99" s="264">
        <f t="shared" si="7"/>
        <v>1.1785044197061114</v>
      </c>
      <c r="E99" s="264">
        <f t="shared" si="9"/>
        <v>70.003162530543023</v>
      </c>
      <c r="F99" s="264">
        <f t="shared" si="8"/>
        <v>-3.805668016194319E-2</v>
      </c>
      <c r="G99">
        <v>3326.65</v>
      </c>
      <c r="H99" s="263">
        <f t="shared" si="10"/>
        <v>5.6065954718035327E-2</v>
      </c>
      <c r="I99">
        <v>4.5579999999999998</v>
      </c>
      <c r="J99">
        <f t="shared" si="11"/>
        <v>4.5579999999999996E-2</v>
      </c>
      <c r="K99" s="263">
        <f t="shared" si="13"/>
        <v>1.0485954718035331E-2</v>
      </c>
      <c r="L99" s="263">
        <f t="shared" si="12"/>
        <v>-8.3636680161943186E-2</v>
      </c>
    </row>
    <row r="100" spans="1:12">
      <c r="A100" s="253">
        <v>37560</v>
      </c>
      <c r="B100">
        <v>61.75</v>
      </c>
      <c r="C100" s="264"/>
      <c r="D100" s="264">
        <f t="shared" si="7"/>
        <v>1.1785044197061114</v>
      </c>
      <c r="E100" s="264">
        <f t="shared" si="9"/>
        <v>72.772647916852378</v>
      </c>
      <c r="F100" s="264">
        <f t="shared" si="8"/>
        <v>8.238387379491674E-2</v>
      </c>
      <c r="G100">
        <v>3150.04</v>
      </c>
      <c r="H100" s="263">
        <f t="shared" si="10"/>
        <v>0.13414822949108007</v>
      </c>
      <c r="I100">
        <v>4.5670000000000002</v>
      </c>
      <c r="J100">
        <f t="shared" si="11"/>
        <v>4.5670000000000002E-2</v>
      </c>
      <c r="K100" s="263">
        <f t="shared" si="13"/>
        <v>8.8478229491080071E-2</v>
      </c>
      <c r="L100" s="263">
        <f t="shared" si="12"/>
        <v>3.6713873794916738E-2</v>
      </c>
    </row>
    <row r="101" spans="1:12">
      <c r="A101" s="253">
        <v>37529</v>
      </c>
      <c r="B101">
        <v>57.05</v>
      </c>
      <c r="C101" s="264"/>
      <c r="D101" s="264">
        <f t="shared" si="7"/>
        <v>1.1785044197061114</v>
      </c>
      <c r="E101" s="264">
        <f t="shared" si="9"/>
        <v>67.233677144233653</v>
      </c>
      <c r="F101" s="264">
        <f t="shared" si="8"/>
        <v>-6.7048242027800575E-2</v>
      </c>
      <c r="G101">
        <v>2777.45</v>
      </c>
      <c r="H101" s="263">
        <f t="shared" si="10"/>
        <v>-0.17490293237795629</v>
      </c>
      <c r="I101">
        <v>4.3879999999999999</v>
      </c>
      <c r="J101">
        <f t="shared" si="11"/>
        <v>4.3880000000000002E-2</v>
      </c>
      <c r="K101" s="263">
        <f t="shared" si="13"/>
        <v>-0.21878293237795629</v>
      </c>
      <c r="L101" s="263">
        <f t="shared" si="12"/>
        <v>-0.11092824202780058</v>
      </c>
    </row>
    <row r="102" spans="1:12">
      <c r="A102" s="253">
        <v>37498</v>
      </c>
      <c r="B102">
        <v>61.15</v>
      </c>
      <c r="C102" s="264"/>
      <c r="D102" s="264">
        <f t="shared" si="7"/>
        <v>1.1785044197061114</v>
      </c>
      <c r="E102" s="264">
        <f t="shared" si="9"/>
        <v>72.065545265028717</v>
      </c>
      <c r="F102" s="264">
        <f t="shared" si="8"/>
        <v>1.5780730897009931E-2</v>
      </c>
      <c r="G102">
        <v>3366.21</v>
      </c>
      <c r="H102" s="263">
        <f t="shared" si="10"/>
        <v>-1.4396641076542038E-2</v>
      </c>
      <c r="I102">
        <v>4.6390000000000002</v>
      </c>
      <c r="J102">
        <f t="shared" si="11"/>
        <v>4.6390000000000001E-2</v>
      </c>
      <c r="K102" s="263">
        <f t="shared" si="13"/>
        <v>-6.0786641076542039E-2</v>
      </c>
      <c r="L102" s="263">
        <f t="shared" si="12"/>
        <v>-3.0609269102990069E-2</v>
      </c>
    </row>
    <row r="103" spans="1:12">
      <c r="A103" s="253">
        <v>37468</v>
      </c>
      <c r="B103">
        <v>60.2</v>
      </c>
      <c r="C103" s="264"/>
      <c r="D103" s="264">
        <f t="shared" si="7"/>
        <v>1.1785044197061114</v>
      </c>
      <c r="E103" s="264">
        <f t="shared" si="9"/>
        <v>70.945966066307918</v>
      </c>
      <c r="F103" s="264">
        <f t="shared" si="8"/>
        <v>-2.2727272727272485E-2</v>
      </c>
      <c r="G103">
        <v>3415.38</v>
      </c>
      <c r="H103" s="263">
        <f t="shared" si="10"/>
        <v>-0.12380996359662277</v>
      </c>
      <c r="I103">
        <v>4.8310000000000004</v>
      </c>
      <c r="J103">
        <f t="shared" si="11"/>
        <v>4.8310000000000006E-2</v>
      </c>
      <c r="K103" s="263">
        <f t="shared" si="13"/>
        <v>-0.17211996359662279</v>
      </c>
      <c r="L103" s="263">
        <f t="shared" si="12"/>
        <v>-7.1037272727272491E-2</v>
      </c>
    </row>
    <row r="104" spans="1:12">
      <c r="A104" s="253">
        <v>37435</v>
      </c>
      <c r="B104">
        <v>61.6</v>
      </c>
      <c r="C104" s="264">
        <v>0.66</v>
      </c>
      <c r="D104" s="264">
        <f t="shared" si="7"/>
        <v>1.1785044197061114</v>
      </c>
      <c r="E104" s="264">
        <f t="shared" si="9"/>
        <v>72.595872253896459</v>
      </c>
      <c r="F104" s="264">
        <f t="shared" si="8"/>
        <v>-4.1416474210931642E-2</v>
      </c>
      <c r="G104">
        <v>3897.99</v>
      </c>
      <c r="H104" s="263">
        <f t="shared" si="10"/>
        <v>-8.8112683173319994E-2</v>
      </c>
      <c r="I104">
        <v>5.04</v>
      </c>
      <c r="J104">
        <f t="shared" si="11"/>
        <v>5.04E-2</v>
      </c>
      <c r="K104" s="263">
        <f t="shared" si="13"/>
        <v>-0.13851268317331999</v>
      </c>
      <c r="L104" s="263">
        <f t="shared" si="12"/>
        <v>-9.1816474210931642E-2</v>
      </c>
    </row>
    <row r="105" spans="1:12">
      <c r="A105" s="253">
        <v>37407</v>
      </c>
      <c r="B105">
        <v>64.95</v>
      </c>
      <c r="C105" s="264"/>
      <c r="D105" s="264">
        <f t="shared" si="7"/>
        <v>1.1660114399919124</v>
      </c>
      <c r="E105" s="264">
        <f t="shared" si="9"/>
        <v>75.732443027474716</v>
      </c>
      <c r="F105" s="264">
        <f t="shared" si="8"/>
        <v>-8.5855031667839365E-2</v>
      </c>
      <c r="G105">
        <v>4274.6400000000003</v>
      </c>
      <c r="H105" s="263">
        <f t="shared" si="10"/>
        <v>-4.2148993667567303E-2</v>
      </c>
      <c r="I105">
        <v>5.2750000000000004</v>
      </c>
      <c r="J105">
        <f t="shared" si="11"/>
        <v>5.2750000000000005E-2</v>
      </c>
      <c r="K105" s="263">
        <f t="shared" si="13"/>
        <v>-9.4898993667567308E-2</v>
      </c>
      <c r="L105" s="263">
        <f t="shared" si="12"/>
        <v>-0.13860503166783938</v>
      </c>
    </row>
    <row r="106" spans="1:12">
      <c r="A106" s="253">
        <v>37376</v>
      </c>
      <c r="B106">
        <v>71.05</v>
      </c>
      <c r="C106" s="264"/>
      <c r="D106" s="264">
        <f t="shared" si="7"/>
        <v>1.1660114399919124</v>
      </c>
      <c r="E106" s="264">
        <f t="shared" si="9"/>
        <v>82.845112811425366</v>
      </c>
      <c r="F106" s="264">
        <f t="shared" si="8"/>
        <v>-3.4646739130434701E-2</v>
      </c>
      <c r="G106">
        <v>4462.74</v>
      </c>
      <c r="H106" s="263">
        <f t="shared" si="10"/>
        <v>-4.8054402498282967E-2</v>
      </c>
      <c r="I106">
        <v>5.22</v>
      </c>
      <c r="J106">
        <f t="shared" si="11"/>
        <v>5.2199999999999996E-2</v>
      </c>
      <c r="K106" s="263">
        <f t="shared" si="13"/>
        <v>-0.10025440249828296</v>
      </c>
      <c r="L106" s="263">
        <f t="shared" si="12"/>
        <v>-8.6846739130434697E-2</v>
      </c>
    </row>
    <row r="107" spans="1:12">
      <c r="A107" s="253">
        <v>37344</v>
      </c>
      <c r="B107">
        <v>73.599999999999994</v>
      </c>
      <c r="C107" s="264"/>
      <c r="D107" s="264">
        <f t="shared" si="7"/>
        <v>1.1660114399919124</v>
      </c>
      <c r="E107" s="264">
        <f t="shared" si="9"/>
        <v>85.818441983404739</v>
      </c>
      <c r="F107" s="264">
        <f t="shared" si="8"/>
        <v>-3.0303030303030387E-2</v>
      </c>
      <c r="G107">
        <v>4688.0200000000004</v>
      </c>
      <c r="H107" s="263">
        <f t="shared" si="10"/>
        <v>5.0421354293870513E-2</v>
      </c>
      <c r="I107">
        <v>5.3310000000000004</v>
      </c>
      <c r="J107">
        <f t="shared" si="11"/>
        <v>5.3310000000000003E-2</v>
      </c>
      <c r="K107" s="263">
        <f t="shared" si="13"/>
        <v>-2.8886457061294904E-3</v>
      </c>
      <c r="L107" s="263">
        <f t="shared" si="12"/>
        <v>-8.3613030303030383E-2</v>
      </c>
    </row>
    <row r="108" spans="1:12">
      <c r="A108" s="253">
        <v>37315</v>
      </c>
      <c r="B108">
        <v>75.900000000000006</v>
      </c>
      <c r="C108" s="264"/>
      <c r="D108" s="264">
        <f t="shared" si="7"/>
        <v>1.1660114399919124</v>
      </c>
      <c r="E108" s="264">
        <f t="shared" si="9"/>
        <v>88.500268295386149</v>
      </c>
      <c r="F108" s="264">
        <f t="shared" si="8"/>
        <v>-2.4421593830334154E-2</v>
      </c>
      <c r="G108">
        <v>4462.99</v>
      </c>
      <c r="H108" s="263">
        <f t="shared" si="10"/>
        <v>2.5101582968578562E-4</v>
      </c>
      <c r="I108">
        <v>5.024</v>
      </c>
      <c r="J108">
        <f t="shared" si="11"/>
        <v>5.024E-2</v>
      </c>
      <c r="K108" s="263">
        <f t="shared" si="13"/>
        <v>-4.9988984170314214E-2</v>
      </c>
      <c r="L108" s="263">
        <f t="shared" si="12"/>
        <v>-7.4661593830334161E-2</v>
      </c>
    </row>
    <row r="109" spans="1:12">
      <c r="A109" s="253">
        <v>37287</v>
      </c>
      <c r="B109">
        <v>77.8</v>
      </c>
      <c r="C109" s="264"/>
      <c r="D109" s="264">
        <f t="shared" si="7"/>
        <v>1.1660114399919124</v>
      </c>
      <c r="E109" s="264">
        <f t="shared" si="9"/>
        <v>90.715690031370784</v>
      </c>
      <c r="F109" s="264">
        <f t="shared" si="8"/>
        <v>-7.1599045346062096E-2</v>
      </c>
      <c r="G109">
        <v>4461.87</v>
      </c>
      <c r="H109" s="263">
        <f t="shared" si="10"/>
        <v>-3.5183735604098154E-2</v>
      </c>
      <c r="I109">
        <v>4.97</v>
      </c>
      <c r="J109">
        <f t="shared" si="11"/>
        <v>4.9699999999999994E-2</v>
      </c>
      <c r="K109" s="263">
        <f t="shared" si="13"/>
        <v>-8.4883735604098148E-2</v>
      </c>
      <c r="L109" s="263">
        <f t="shared" si="12"/>
        <v>-0.12129904534606209</v>
      </c>
    </row>
    <row r="110" spans="1:12">
      <c r="A110" s="253">
        <v>37256</v>
      </c>
      <c r="B110">
        <v>83.8</v>
      </c>
      <c r="C110" s="264"/>
      <c r="D110" s="264">
        <f t="shared" si="7"/>
        <v>1.1660114399919124</v>
      </c>
      <c r="E110" s="264">
        <f t="shared" si="9"/>
        <v>97.711758671322258</v>
      </c>
      <c r="F110" s="264">
        <f t="shared" si="8"/>
        <v>8.2687338501292063E-2</v>
      </c>
      <c r="G110">
        <v>4624.58</v>
      </c>
      <c r="H110" s="263">
        <f t="shared" si="10"/>
        <v>3.3180967189894606E-2</v>
      </c>
      <c r="I110">
        <v>5.0709999999999997</v>
      </c>
      <c r="J110">
        <f t="shared" si="11"/>
        <v>5.0709999999999998E-2</v>
      </c>
      <c r="K110" s="263">
        <f t="shared" si="13"/>
        <v>-1.7529032810105392E-2</v>
      </c>
      <c r="L110" s="263">
        <f t="shared" si="12"/>
        <v>3.1977338501292064E-2</v>
      </c>
    </row>
    <row r="111" spans="1:12">
      <c r="A111" s="253">
        <v>37225</v>
      </c>
      <c r="B111">
        <v>77.400000000000006</v>
      </c>
      <c r="C111" s="264"/>
      <c r="D111" s="264">
        <f t="shared" si="7"/>
        <v>1.1660114399919124</v>
      </c>
      <c r="E111" s="264">
        <f t="shared" si="9"/>
        <v>90.249285455374022</v>
      </c>
      <c r="F111" s="264">
        <f t="shared" si="8"/>
        <v>5.6655290102389122E-2</v>
      </c>
      <c r="G111">
        <v>4476.0600000000004</v>
      </c>
      <c r="H111" s="263">
        <f t="shared" si="10"/>
        <v>3.1043768096579605E-2</v>
      </c>
      <c r="I111">
        <v>4.6740000000000004</v>
      </c>
      <c r="J111">
        <f t="shared" si="11"/>
        <v>4.6740000000000004E-2</v>
      </c>
      <c r="K111" s="263">
        <f t="shared" si="13"/>
        <v>-1.5696231903420399E-2</v>
      </c>
      <c r="L111" s="263">
        <f t="shared" si="12"/>
        <v>9.9152901023891182E-3</v>
      </c>
    </row>
    <row r="112" spans="1:12">
      <c r="A112" s="253">
        <v>37195</v>
      </c>
      <c r="B112">
        <v>73.25</v>
      </c>
      <c r="C112" s="264"/>
      <c r="D112" s="264">
        <f t="shared" si="7"/>
        <v>1.1660114399919124</v>
      </c>
      <c r="E112" s="264">
        <f t="shared" si="9"/>
        <v>85.410337979407586</v>
      </c>
      <c r="F112" s="264">
        <f t="shared" si="8"/>
        <v>2.447552447552459E-2</v>
      </c>
      <c r="G112">
        <v>4341.29</v>
      </c>
      <c r="H112" s="263">
        <f t="shared" si="10"/>
        <v>6.4297306706022628E-2</v>
      </c>
      <c r="I112">
        <v>4.5289999999999999</v>
      </c>
      <c r="J112">
        <f t="shared" si="11"/>
        <v>4.5289999999999997E-2</v>
      </c>
      <c r="K112" s="263">
        <f t="shared" si="13"/>
        <v>1.9007306706022631E-2</v>
      </c>
      <c r="L112" s="263">
        <f t="shared" si="12"/>
        <v>-2.0814475524475406E-2</v>
      </c>
    </row>
    <row r="113" spans="1:12">
      <c r="A113" s="253">
        <v>37162</v>
      </c>
      <c r="B113">
        <v>71.5</v>
      </c>
      <c r="C113" s="264"/>
      <c r="D113" s="264">
        <f t="shared" si="7"/>
        <v>1.1660114399919124</v>
      </c>
      <c r="E113" s="264">
        <f t="shared" si="9"/>
        <v>83.369817959421738</v>
      </c>
      <c r="F113" s="264">
        <f t="shared" si="8"/>
        <v>-7.6335877862594437E-3</v>
      </c>
      <c r="G113">
        <v>4079.02</v>
      </c>
      <c r="H113" s="263">
        <f t="shared" si="10"/>
        <v>-0.13015051158585222</v>
      </c>
      <c r="I113">
        <v>4.8719999999999999</v>
      </c>
      <c r="J113">
        <f t="shared" si="11"/>
        <v>4.8719999999999999E-2</v>
      </c>
      <c r="K113" s="263">
        <f t="shared" si="13"/>
        <v>-0.17887051158585221</v>
      </c>
      <c r="L113" s="263">
        <f t="shared" si="12"/>
        <v>-5.6353587786259443E-2</v>
      </c>
    </row>
    <row r="114" spans="1:12">
      <c r="A114" s="253">
        <v>37134</v>
      </c>
      <c r="B114">
        <v>72.05</v>
      </c>
      <c r="C114" s="264"/>
      <c r="D114" s="264">
        <f t="shared" si="7"/>
        <v>1.1660114399919124</v>
      </c>
      <c r="E114" s="264">
        <f t="shared" si="9"/>
        <v>84.011124251417286</v>
      </c>
      <c r="F114" s="264">
        <f t="shared" si="8"/>
        <v>3.4818941504177747E-3</v>
      </c>
      <c r="G114">
        <v>4689.34</v>
      </c>
      <c r="H114" s="263">
        <f t="shared" si="10"/>
        <v>-7.7901724704110276E-2</v>
      </c>
      <c r="I114">
        <v>4.87</v>
      </c>
      <c r="J114">
        <f t="shared" si="11"/>
        <v>4.87E-2</v>
      </c>
      <c r="K114" s="263">
        <f t="shared" si="13"/>
        <v>-0.12660172470411027</v>
      </c>
      <c r="L114" s="263">
        <f t="shared" si="12"/>
        <v>-4.5218105849582226E-2</v>
      </c>
    </row>
    <row r="115" spans="1:12">
      <c r="A115" s="253">
        <v>37103</v>
      </c>
      <c r="B115">
        <v>71.8</v>
      </c>
      <c r="C115" s="264"/>
      <c r="D115" s="264">
        <f t="shared" si="7"/>
        <v>1.1660114399919124</v>
      </c>
      <c r="E115" s="264">
        <f t="shared" si="9"/>
        <v>83.719621391419309</v>
      </c>
      <c r="F115" s="264">
        <f t="shared" si="8"/>
        <v>-7.3548387096774248E-2</v>
      </c>
      <c r="G115">
        <v>5085.51</v>
      </c>
      <c r="H115" s="263">
        <f t="shared" si="10"/>
        <v>-2.6758118626000638E-2</v>
      </c>
      <c r="I115">
        <v>4.9790000000000001</v>
      </c>
      <c r="J115">
        <f t="shared" si="11"/>
        <v>4.9790000000000001E-2</v>
      </c>
      <c r="K115" s="263">
        <f t="shared" si="13"/>
        <v>-7.6548118626000639E-2</v>
      </c>
      <c r="L115" s="263">
        <f t="shared" si="12"/>
        <v>-0.12333838709677425</v>
      </c>
    </row>
    <row r="116" spans="1:12">
      <c r="A116" s="253">
        <v>37071</v>
      </c>
      <c r="B116">
        <v>77.5</v>
      </c>
      <c r="C116" s="264">
        <v>0.44</v>
      </c>
      <c r="D116" s="264">
        <f t="shared" si="7"/>
        <v>1.1660114399919124</v>
      </c>
      <c r="E116" s="264">
        <f t="shared" si="9"/>
        <v>90.365886599373212</v>
      </c>
      <c r="F116" s="264">
        <f t="shared" si="8"/>
        <v>7.503448275862068E-2</v>
      </c>
      <c r="G116">
        <v>5225.33</v>
      </c>
      <c r="H116" s="263">
        <f t="shared" si="10"/>
        <v>-4.1960401086137411E-2</v>
      </c>
      <c r="I116">
        <v>5.2270000000000003</v>
      </c>
      <c r="J116">
        <f t="shared" si="11"/>
        <v>5.2270000000000004E-2</v>
      </c>
      <c r="K116" s="263">
        <f t="shared" si="13"/>
        <v>-9.4230401086137422E-2</v>
      </c>
      <c r="L116" s="263">
        <f t="shared" si="12"/>
        <v>2.2764482758620676E-2</v>
      </c>
    </row>
    <row r="117" spans="1:12">
      <c r="A117" s="253">
        <v>37042</v>
      </c>
      <c r="B117">
        <v>72.5</v>
      </c>
      <c r="C117" s="272"/>
      <c r="D117" s="264">
        <f t="shared" si="7"/>
        <v>1.1594288760504645</v>
      </c>
      <c r="E117" s="264">
        <f t="shared" si="9"/>
        <v>84.058593513658678</v>
      </c>
      <c r="F117" s="264">
        <f t="shared" si="8"/>
        <v>7.248520710059192E-2</v>
      </c>
      <c r="G117">
        <v>5454.19</v>
      </c>
      <c r="H117" s="263">
        <f t="shared" si="10"/>
        <v>-3.2950179343017694E-2</v>
      </c>
      <c r="I117">
        <v>5.2930000000000001</v>
      </c>
      <c r="J117">
        <f t="shared" si="11"/>
        <v>5.2930000000000005E-2</v>
      </c>
      <c r="K117" s="263">
        <f t="shared" si="13"/>
        <v>-8.5880179343017699E-2</v>
      </c>
      <c r="L117" s="263">
        <f t="shared" si="12"/>
        <v>1.9555207100591915E-2</v>
      </c>
    </row>
    <row r="118" spans="1:12">
      <c r="A118" s="253">
        <v>37011</v>
      </c>
      <c r="B118">
        <v>67.599999999999994</v>
      </c>
      <c r="C118" s="272"/>
      <c r="D118" s="264">
        <f t="shared" si="7"/>
        <v>1.1594288760504645</v>
      </c>
      <c r="E118" s="264">
        <f t="shared" si="9"/>
        <v>78.377392021011389</v>
      </c>
      <c r="F118" s="264">
        <f t="shared" si="8"/>
        <v>6.9620253164556667E-2</v>
      </c>
      <c r="G118">
        <v>5640.03</v>
      </c>
      <c r="H118" s="263">
        <f t="shared" si="10"/>
        <v>8.8714300881197472E-2</v>
      </c>
      <c r="I118">
        <v>5.1879999999999997</v>
      </c>
      <c r="J118">
        <f t="shared" si="11"/>
        <v>5.1879999999999996E-2</v>
      </c>
      <c r="K118" s="263">
        <f t="shared" si="13"/>
        <v>3.6834300881197476E-2</v>
      </c>
      <c r="L118" s="263">
        <f t="shared" si="12"/>
        <v>1.7740253164556671E-2</v>
      </c>
    </row>
    <row r="119" spans="1:12">
      <c r="A119" s="253">
        <v>36980</v>
      </c>
      <c r="B119">
        <v>63.2</v>
      </c>
      <c r="C119" s="272"/>
      <c r="D119" s="264">
        <f t="shared" si="7"/>
        <v>1.1594288760504645</v>
      </c>
      <c r="E119" s="264">
        <f t="shared" si="9"/>
        <v>73.275904966389362</v>
      </c>
      <c r="F119" s="264">
        <f t="shared" si="8"/>
        <v>7.118644067796609E-2</v>
      </c>
      <c r="G119">
        <v>5180.45</v>
      </c>
      <c r="H119" s="263">
        <f t="shared" si="10"/>
        <v>-3.4845029697362584E-2</v>
      </c>
      <c r="I119">
        <v>4.8419999999999996</v>
      </c>
      <c r="J119">
        <f t="shared" si="11"/>
        <v>4.8419999999999998E-2</v>
      </c>
      <c r="K119" s="263">
        <f t="shared" si="13"/>
        <v>-8.3265029697362575E-2</v>
      </c>
      <c r="L119" s="263">
        <f t="shared" si="12"/>
        <v>2.2766440677966092E-2</v>
      </c>
    </row>
    <row r="120" spans="1:12">
      <c r="A120" s="253">
        <v>36950</v>
      </c>
      <c r="B120">
        <v>59</v>
      </c>
      <c r="C120" s="272"/>
      <c r="D120" s="264">
        <f t="shared" si="7"/>
        <v>1.1594288760504645</v>
      </c>
      <c r="E120" s="264">
        <f t="shared" si="9"/>
        <v>68.406303686977409</v>
      </c>
      <c r="F120" s="264">
        <f t="shared" si="8"/>
        <v>-4.6849757673667058E-2</v>
      </c>
      <c r="G120">
        <v>5367.48</v>
      </c>
      <c r="H120" s="263">
        <f t="shared" si="10"/>
        <v>-0.10519480735985232</v>
      </c>
      <c r="I120">
        <v>4.8760000000000003</v>
      </c>
      <c r="J120">
        <f t="shared" si="11"/>
        <v>4.8760000000000005E-2</v>
      </c>
      <c r="K120" s="263">
        <f t="shared" si="13"/>
        <v>-0.15395480735985231</v>
      </c>
      <c r="L120" s="263">
        <f t="shared" si="12"/>
        <v>-9.5609757673667056E-2</v>
      </c>
    </row>
    <row r="121" spans="1:12">
      <c r="A121" s="253">
        <v>36922</v>
      </c>
      <c r="B121">
        <v>61.9</v>
      </c>
      <c r="C121" s="272"/>
      <c r="D121" s="264">
        <f t="shared" ref="D121:D184" si="14">(D122*C121)/B121+D122</f>
        <v>1.1594288760504645</v>
      </c>
      <c r="E121" s="264">
        <f t="shared" si="9"/>
        <v>71.768647427523746</v>
      </c>
      <c r="F121" s="264">
        <f t="shared" si="8"/>
        <v>-0.12816901408450709</v>
      </c>
      <c r="G121">
        <v>5998.49</v>
      </c>
      <c r="H121" s="263">
        <f t="shared" si="10"/>
        <v>1.2160798593417121E-2</v>
      </c>
      <c r="I121">
        <v>4.9320000000000004</v>
      </c>
      <c r="J121">
        <f t="shared" si="11"/>
        <v>4.9320000000000003E-2</v>
      </c>
      <c r="K121" s="263">
        <f t="shared" si="13"/>
        <v>-3.7159201406582881E-2</v>
      </c>
      <c r="L121" s="263">
        <f t="shared" si="12"/>
        <v>-0.1774890140845071</v>
      </c>
    </row>
    <row r="122" spans="1:12">
      <c r="A122" s="253">
        <v>36889</v>
      </c>
      <c r="B122">
        <v>71</v>
      </c>
      <c r="C122" s="272"/>
      <c r="D122" s="264">
        <f t="shared" si="14"/>
        <v>1.1594288760504645</v>
      </c>
      <c r="E122" s="264">
        <f t="shared" si="9"/>
        <v>82.319450199582974</v>
      </c>
      <c r="F122" s="264">
        <f t="shared" si="8"/>
        <v>1.4285714285714235E-2</v>
      </c>
      <c r="G122">
        <v>5926.42</v>
      </c>
      <c r="H122" s="263">
        <f t="shared" si="10"/>
        <v>-2.8002321156261889E-4</v>
      </c>
      <c r="I122">
        <v>4.99</v>
      </c>
      <c r="J122">
        <f t="shared" si="11"/>
        <v>4.99E-2</v>
      </c>
      <c r="K122" s="263">
        <f t="shared" si="13"/>
        <v>-5.0180023211562619E-2</v>
      </c>
      <c r="L122" s="263">
        <f t="shared" si="12"/>
        <v>-3.5614285714285765E-2</v>
      </c>
    </row>
    <row r="123" spans="1:12">
      <c r="A123" s="253">
        <v>36860</v>
      </c>
      <c r="B123">
        <v>70</v>
      </c>
      <c r="C123" s="272"/>
      <c r="D123" s="264">
        <f t="shared" si="14"/>
        <v>1.1594288760504645</v>
      </c>
      <c r="E123" s="264">
        <f t="shared" si="9"/>
        <v>81.160021323532519</v>
      </c>
      <c r="F123" s="264">
        <f t="shared" si="8"/>
        <v>0.12903225806451601</v>
      </c>
      <c r="G123">
        <v>5928.08</v>
      </c>
      <c r="H123" s="263">
        <f t="shared" si="10"/>
        <v>-7.3398711403857009E-2</v>
      </c>
      <c r="I123">
        <v>5.117</v>
      </c>
      <c r="J123">
        <f t="shared" si="11"/>
        <v>5.117E-2</v>
      </c>
      <c r="K123" s="263">
        <f t="shared" si="13"/>
        <v>-0.124568711403857</v>
      </c>
      <c r="L123" s="263">
        <f t="shared" si="12"/>
        <v>7.7862258064516021E-2</v>
      </c>
    </row>
    <row r="124" spans="1:12">
      <c r="A124" s="253">
        <v>36830</v>
      </c>
      <c r="B124">
        <v>62</v>
      </c>
      <c r="C124" s="272"/>
      <c r="D124" s="264">
        <f t="shared" si="14"/>
        <v>1.1594288760504645</v>
      </c>
      <c r="E124" s="264">
        <f t="shared" si="9"/>
        <v>71.884590315128804</v>
      </c>
      <c r="F124" s="264">
        <f t="shared" si="8"/>
        <v>1.8062397372742289E-2</v>
      </c>
      <c r="G124">
        <v>6397.66</v>
      </c>
      <c r="H124" s="263">
        <f t="shared" si="10"/>
        <v>2.0909164894049814E-2</v>
      </c>
      <c r="I124">
        <v>5.343</v>
      </c>
      <c r="J124">
        <f t="shared" si="11"/>
        <v>5.3429999999999998E-2</v>
      </c>
      <c r="K124" s="263">
        <f t="shared" si="13"/>
        <v>-3.2520835105950184E-2</v>
      </c>
      <c r="L124" s="263">
        <f t="shared" si="12"/>
        <v>-3.5367602627257709E-2</v>
      </c>
    </row>
    <row r="125" spans="1:12">
      <c r="A125" s="253">
        <v>36798</v>
      </c>
      <c r="B125">
        <v>60.9</v>
      </c>
      <c r="C125" s="272"/>
      <c r="D125" s="264">
        <f t="shared" si="14"/>
        <v>1.1594288760504645</v>
      </c>
      <c r="E125" s="264">
        <f t="shared" si="9"/>
        <v>70.60921855147329</v>
      </c>
      <c r="F125" s="264">
        <f t="shared" si="8"/>
        <v>0.10928961748633892</v>
      </c>
      <c r="G125">
        <v>6266.63</v>
      </c>
      <c r="H125" s="263">
        <f t="shared" si="10"/>
        <v>-5.4153548001485197E-2</v>
      </c>
      <c r="I125">
        <v>5.3739999999999997</v>
      </c>
      <c r="J125">
        <f t="shared" si="11"/>
        <v>5.3739999999999996E-2</v>
      </c>
      <c r="K125" s="263">
        <f t="shared" si="13"/>
        <v>-0.10789354800148519</v>
      </c>
      <c r="L125" s="263">
        <f t="shared" si="12"/>
        <v>5.5549617486338923E-2</v>
      </c>
    </row>
    <row r="126" spans="1:12">
      <c r="A126" s="253">
        <v>36769</v>
      </c>
      <c r="B126">
        <v>54.9</v>
      </c>
      <c r="C126" s="272"/>
      <c r="D126" s="264">
        <f t="shared" si="14"/>
        <v>1.1594288760504645</v>
      </c>
      <c r="E126" s="264">
        <f t="shared" si="9"/>
        <v>63.652645295170501</v>
      </c>
      <c r="F126" s="264">
        <f t="shared" ref="F126:F189" si="15">E126/E127-1</f>
        <v>-4.6046915725456161E-2</v>
      </c>
      <c r="G126">
        <v>6625.42</v>
      </c>
      <c r="H126" s="263">
        <f t="shared" si="10"/>
        <v>1.2675602102563355E-2</v>
      </c>
      <c r="I126">
        <v>5.4560000000000004</v>
      </c>
      <c r="J126">
        <f t="shared" si="11"/>
        <v>5.4560000000000004E-2</v>
      </c>
      <c r="K126" s="263">
        <f t="shared" si="13"/>
        <v>-4.188439789743665E-2</v>
      </c>
      <c r="L126" s="263">
        <f t="shared" si="12"/>
        <v>-0.10060691572545616</v>
      </c>
    </row>
    <row r="127" spans="1:12">
      <c r="A127" s="253">
        <v>36738</v>
      </c>
      <c r="B127">
        <v>57.55</v>
      </c>
      <c r="C127" s="272"/>
      <c r="D127" s="264">
        <f t="shared" si="14"/>
        <v>1.1594288760504645</v>
      </c>
      <c r="E127" s="264">
        <f t="shared" ref="E127:E190" si="16">B127*D127</f>
        <v>66.725131816704234</v>
      </c>
      <c r="F127" s="264">
        <f t="shared" si="15"/>
        <v>0.15330661322645289</v>
      </c>
      <c r="G127">
        <v>6542.49</v>
      </c>
      <c r="H127" s="263">
        <f t="shared" si="10"/>
        <v>1.4883953252442295E-2</v>
      </c>
      <c r="I127">
        <v>5.3460000000000001</v>
      </c>
      <c r="J127">
        <f t="shared" si="11"/>
        <v>5.3460000000000001E-2</v>
      </c>
      <c r="K127" s="263">
        <f t="shared" si="13"/>
        <v>-3.8576046747557706E-2</v>
      </c>
      <c r="L127" s="263">
        <f t="shared" si="12"/>
        <v>9.9846613226452885E-2</v>
      </c>
    </row>
    <row r="128" spans="1:12">
      <c r="A128" s="253">
        <v>36707</v>
      </c>
      <c r="B128">
        <v>49.9</v>
      </c>
      <c r="C128" s="272">
        <v>0.32</v>
      </c>
      <c r="D128" s="264">
        <f t="shared" si="14"/>
        <v>1.1594288760504645</v>
      </c>
      <c r="E128" s="264">
        <f t="shared" si="16"/>
        <v>57.855500914918181</v>
      </c>
      <c r="F128" s="264">
        <f t="shared" si="15"/>
        <v>7.4224598930481278E-2</v>
      </c>
      <c r="G128">
        <v>6446.54</v>
      </c>
      <c r="H128" s="263">
        <f t="shared" si="10"/>
        <v>3.1558013525752049E-3</v>
      </c>
      <c r="I128">
        <v>5.3630000000000004</v>
      </c>
      <c r="J128">
        <f t="shared" si="11"/>
        <v>5.3630000000000004E-2</v>
      </c>
      <c r="K128" s="263">
        <f t="shared" si="13"/>
        <v>-5.0474198647424799E-2</v>
      </c>
      <c r="L128" s="263">
        <f t="shared" si="12"/>
        <v>2.0594598930481274E-2</v>
      </c>
    </row>
    <row r="129" spans="1:12">
      <c r="A129" s="253">
        <v>36677</v>
      </c>
      <c r="B129">
        <v>46.75</v>
      </c>
      <c r="C129" s="272"/>
      <c r="D129" s="264">
        <f t="shared" si="14"/>
        <v>1.1520410377323413</v>
      </c>
      <c r="E129" s="264">
        <f t="shared" si="16"/>
        <v>53.857918513986959</v>
      </c>
      <c r="F129" s="264">
        <f t="shared" si="15"/>
        <v>0.13885505481120597</v>
      </c>
      <c r="G129">
        <v>6426.26</v>
      </c>
      <c r="H129" s="263">
        <f t="shared" si="10"/>
        <v>1.0187360196394213E-3</v>
      </c>
      <c r="I129">
        <v>5.3449999999999998</v>
      </c>
      <c r="J129">
        <f t="shared" si="11"/>
        <v>5.3449999999999998E-2</v>
      </c>
      <c r="K129" s="263">
        <f t="shared" si="13"/>
        <v>-5.2431263980360576E-2</v>
      </c>
      <c r="L129" s="263">
        <f t="shared" si="12"/>
        <v>8.5405054811205972E-2</v>
      </c>
    </row>
    <row r="130" spans="1:12">
      <c r="A130" s="253">
        <v>36644</v>
      </c>
      <c r="B130">
        <v>41.05</v>
      </c>
      <c r="C130" s="272"/>
      <c r="D130" s="264">
        <f t="shared" si="14"/>
        <v>1.1520410377323413</v>
      </c>
      <c r="E130" s="264">
        <f t="shared" si="16"/>
        <v>47.291284598912611</v>
      </c>
      <c r="F130" s="264">
        <f t="shared" si="15"/>
        <v>3.0112923462986219E-2</v>
      </c>
      <c r="G130">
        <v>6419.72</v>
      </c>
      <c r="H130" s="263">
        <f t="shared" ref="H130:H193" si="17">(G130/G131)-1</f>
        <v>2.1264546098106241E-2</v>
      </c>
      <c r="I130">
        <v>5.4</v>
      </c>
      <c r="J130">
        <f t="shared" si="11"/>
        <v>5.4000000000000006E-2</v>
      </c>
      <c r="K130" s="263">
        <f t="shared" si="13"/>
        <v>-3.2735453901893766E-2</v>
      </c>
      <c r="L130" s="263">
        <f t="shared" si="12"/>
        <v>-2.3887076537013788E-2</v>
      </c>
    </row>
    <row r="131" spans="1:12">
      <c r="A131" s="253">
        <v>36616</v>
      </c>
      <c r="B131">
        <v>39.85</v>
      </c>
      <c r="C131" s="272"/>
      <c r="D131" s="264">
        <f t="shared" si="14"/>
        <v>1.1520410377323413</v>
      </c>
      <c r="E131" s="264">
        <f t="shared" si="16"/>
        <v>45.908835353633805</v>
      </c>
      <c r="F131" s="264">
        <f t="shared" si="15"/>
        <v>-3.500875218804711E-3</v>
      </c>
      <c r="G131">
        <v>6286.05</v>
      </c>
      <c r="H131" s="263">
        <f t="shared" si="17"/>
        <v>1.5359491904324951E-2</v>
      </c>
      <c r="I131">
        <v>5.3330000000000002</v>
      </c>
      <c r="J131">
        <f t="shared" ref="J131:J194" si="18">I131/100</f>
        <v>5.3330000000000002E-2</v>
      </c>
      <c r="K131" s="263">
        <f t="shared" si="13"/>
        <v>-3.7970508095675051E-2</v>
      </c>
      <c r="L131" s="263">
        <f t="shared" ref="L131:L194" si="19">F131-J131</f>
        <v>-5.6830875218804713E-2</v>
      </c>
    </row>
    <row r="132" spans="1:12">
      <c r="A132" s="253">
        <v>36585</v>
      </c>
      <c r="B132">
        <v>39.99</v>
      </c>
      <c r="C132" s="272"/>
      <c r="D132" s="264">
        <f t="shared" si="14"/>
        <v>1.1520410377323413</v>
      </c>
      <c r="E132" s="264">
        <f t="shared" si="16"/>
        <v>46.070121098916331</v>
      </c>
      <c r="F132" s="264">
        <f t="shared" si="15"/>
        <v>3.8701298701298681E-2</v>
      </c>
      <c r="G132">
        <v>6190.96</v>
      </c>
      <c r="H132" s="263">
        <f t="shared" si="17"/>
        <v>9.384590648802682E-2</v>
      </c>
      <c r="I132">
        <v>5.6150000000000002</v>
      </c>
      <c r="J132">
        <f t="shared" si="18"/>
        <v>5.6150000000000005E-2</v>
      </c>
      <c r="K132" s="263">
        <f t="shared" ref="K132:K195" si="20">H132-J132</f>
        <v>3.7695906488026815E-2</v>
      </c>
      <c r="L132" s="263">
        <f t="shared" si="19"/>
        <v>-1.7448701298701325E-2</v>
      </c>
    </row>
    <row r="133" spans="1:12">
      <c r="A133" s="253">
        <v>36556</v>
      </c>
      <c r="B133">
        <v>38.5</v>
      </c>
      <c r="C133" s="272"/>
      <c r="D133" s="264">
        <f t="shared" si="14"/>
        <v>1.1520410377323413</v>
      </c>
      <c r="E133" s="264">
        <f t="shared" si="16"/>
        <v>44.353579952695142</v>
      </c>
      <c r="F133" s="264">
        <f t="shared" si="15"/>
        <v>-6.8698597000483863E-2</v>
      </c>
      <c r="G133">
        <v>5659.81</v>
      </c>
      <c r="H133" s="263">
        <f t="shared" si="17"/>
        <v>-5.0099692530780393E-2</v>
      </c>
      <c r="I133">
        <v>5.6820000000000004</v>
      </c>
      <c r="J133">
        <f t="shared" si="18"/>
        <v>5.6820000000000002E-2</v>
      </c>
      <c r="K133" s="263">
        <f t="shared" si="20"/>
        <v>-0.1069196925307804</v>
      </c>
      <c r="L133" s="263">
        <f t="shared" si="19"/>
        <v>-0.12551859700048387</v>
      </c>
    </row>
    <row r="134" spans="1:12">
      <c r="A134" s="253">
        <v>36525</v>
      </c>
      <c r="B134">
        <v>41.34</v>
      </c>
      <c r="C134" s="272"/>
      <c r="D134" s="264">
        <f t="shared" si="14"/>
        <v>1.1520410377323413</v>
      </c>
      <c r="E134" s="264">
        <f t="shared" si="16"/>
        <v>47.625376499854994</v>
      </c>
      <c r="F134" s="264">
        <f t="shared" si="15"/>
        <v>1.0757946210268932E-2</v>
      </c>
      <c r="G134">
        <v>5958.32</v>
      </c>
      <c r="H134" s="263">
        <f t="shared" si="17"/>
        <v>0.11545186666217355</v>
      </c>
      <c r="I134">
        <v>5.4729999999999999</v>
      </c>
      <c r="J134">
        <f t="shared" si="18"/>
        <v>5.4730000000000001E-2</v>
      </c>
      <c r="K134" s="263">
        <f t="shared" si="20"/>
        <v>6.0721866662173551E-2</v>
      </c>
      <c r="L134" s="263">
        <f t="shared" si="19"/>
        <v>-4.3972053789731069E-2</v>
      </c>
    </row>
    <row r="135" spans="1:12">
      <c r="A135" s="253">
        <v>36494</v>
      </c>
      <c r="B135">
        <v>40.9</v>
      </c>
      <c r="C135" s="272"/>
      <c r="D135" s="264">
        <f t="shared" si="14"/>
        <v>1.1520410377323413</v>
      </c>
      <c r="E135" s="264">
        <f t="shared" si="16"/>
        <v>47.118478443252762</v>
      </c>
      <c r="F135" s="264">
        <f t="shared" si="15"/>
        <v>-2.5029797377830731E-2</v>
      </c>
      <c r="G135">
        <v>5341.62</v>
      </c>
      <c r="H135" s="263">
        <f t="shared" si="17"/>
        <v>9.2664187439400081E-2</v>
      </c>
      <c r="I135">
        <v>5.3120000000000003</v>
      </c>
      <c r="J135">
        <f t="shared" si="18"/>
        <v>5.3120000000000001E-2</v>
      </c>
      <c r="K135" s="263">
        <f t="shared" si="20"/>
        <v>3.954418743940008E-2</v>
      </c>
      <c r="L135" s="263">
        <f t="shared" si="19"/>
        <v>-7.8149797377830732E-2</v>
      </c>
    </row>
    <row r="136" spans="1:12">
      <c r="A136" s="253">
        <v>36462</v>
      </c>
      <c r="B136">
        <v>41.95</v>
      </c>
      <c r="C136" s="272"/>
      <c r="D136" s="264">
        <f t="shared" si="14"/>
        <v>1.1520410377323413</v>
      </c>
      <c r="E136" s="264">
        <f t="shared" si="16"/>
        <v>48.32812153287172</v>
      </c>
      <c r="F136" s="264">
        <f t="shared" si="15"/>
        <v>4.8750000000000071E-2</v>
      </c>
      <c r="G136">
        <v>4888.62</v>
      </c>
      <c r="H136" s="263">
        <f t="shared" si="17"/>
        <v>6.4729430110946007E-2</v>
      </c>
      <c r="I136">
        <v>5.2910000000000004</v>
      </c>
      <c r="J136">
        <f t="shared" si="18"/>
        <v>5.2910000000000006E-2</v>
      </c>
      <c r="K136" s="263">
        <f t="shared" si="20"/>
        <v>1.1819430110946001E-2</v>
      </c>
      <c r="L136" s="263">
        <f t="shared" si="19"/>
        <v>-4.1599999999999346E-3</v>
      </c>
    </row>
    <row r="137" spans="1:12">
      <c r="A137" s="253">
        <v>36433</v>
      </c>
      <c r="B137">
        <v>40</v>
      </c>
      <c r="C137" s="272"/>
      <c r="D137" s="264">
        <f t="shared" si="14"/>
        <v>1.1520410377323413</v>
      </c>
      <c r="E137" s="264">
        <f t="shared" si="16"/>
        <v>46.081641509293654</v>
      </c>
      <c r="F137" s="264">
        <f t="shared" si="15"/>
        <v>1.5228426395939021E-2</v>
      </c>
      <c r="G137">
        <v>4591.42</v>
      </c>
      <c r="H137" s="263">
        <f t="shared" si="17"/>
        <v>4.7938429624205803E-4</v>
      </c>
      <c r="I137" s="274">
        <v>5.258</v>
      </c>
      <c r="J137">
        <f t="shared" si="18"/>
        <v>5.2580000000000002E-2</v>
      </c>
      <c r="K137" s="263">
        <f t="shared" si="20"/>
        <v>-5.2100615703757944E-2</v>
      </c>
      <c r="L137" s="263">
        <f t="shared" si="19"/>
        <v>-3.7351573604060981E-2</v>
      </c>
    </row>
    <row r="138" spans="1:12">
      <c r="A138" s="253">
        <v>36403</v>
      </c>
      <c r="B138">
        <v>39.4</v>
      </c>
      <c r="C138" s="272"/>
      <c r="D138" s="264">
        <f t="shared" si="14"/>
        <v>1.1520410377323413</v>
      </c>
      <c r="E138" s="264">
        <f t="shared" si="16"/>
        <v>45.390416886654251</v>
      </c>
      <c r="F138" s="264">
        <f t="shared" si="15"/>
        <v>1.4157014157013981E-2</v>
      </c>
      <c r="G138">
        <v>4589.22</v>
      </c>
      <c r="H138" s="263">
        <f t="shared" si="17"/>
        <v>4.7274569494712537E-2</v>
      </c>
      <c r="I138" s="274">
        <v>5.0339999999999998</v>
      </c>
      <c r="J138">
        <f t="shared" si="18"/>
        <v>5.0339999999999996E-2</v>
      </c>
      <c r="K138" s="263">
        <f t="shared" si="20"/>
        <v>-3.0654305052874586E-3</v>
      </c>
      <c r="L138" s="263">
        <f t="shared" si="19"/>
        <v>-3.6182985842986015E-2</v>
      </c>
    </row>
    <row r="139" spans="1:12">
      <c r="A139" s="253">
        <v>36371</v>
      </c>
      <c r="B139">
        <v>38.85</v>
      </c>
      <c r="C139" s="272"/>
      <c r="D139" s="264">
        <f t="shared" si="14"/>
        <v>1.1520410377323413</v>
      </c>
      <c r="E139" s="264">
        <f t="shared" si="16"/>
        <v>44.756794315901466</v>
      </c>
      <c r="F139" s="264">
        <f t="shared" si="15"/>
        <v>-5.5893074119076402E-2</v>
      </c>
      <c r="G139">
        <v>4382.0600000000004</v>
      </c>
      <c r="H139" s="263">
        <f t="shared" si="17"/>
        <v>-3.4067288129241757E-2</v>
      </c>
      <c r="I139" s="274">
        <v>4.9459999999999997</v>
      </c>
      <c r="J139">
        <f t="shared" si="18"/>
        <v>4.9459999999999997E-2</v>
      </c>
      <c r="K139" s="263">
        <f t="shared" si="20"/>
        <v>-8.3527288129241761E-2</v>
      </c>
      <c r="L139" s="263">
        <f t="shared" si="19"/>
        <v>-0.10535307411907641</v>
      </c>
    </row>
    <row r="140" spans="1:12">
      <c r="A140" s="253">
        <v>36341</v>
      </c>
      <c r="B140">
        <v>41.15</v>
      </c>
      <c r="C140" s="272"/>
      <c r="D140" s="264">
        <f t="shared" si="14"/>
        <v>1.1520410377323413</v>
      </c>
      <c r="E140" s="264">
        <f t="shared" si="16"/>
        <v>47.406488702685841</v>
      </c>
      <c r="F140" s="264">
        <f t="shared" si="15"/>
        <v>2.6952832543049476E-2</v>
      </c>
      <c r="G140">
        <v>4536.6099999999997</v>
      </c>
      <c r="H140" s="263">
        <f t="shared" si="17"/>
        <v>4.2589668810858239E-2</v>
      </c>
      <c r="I140" s="274">
        <v>4.6760000000000002</v>
      </c>
      <c r="J140">
        <f t="shared" si="18"/>
        <v>4.6760000000000003E-2</v>
      </c>
      <c r="K140" s="263">
        <f t="shared" si="20"/>
        <v>-4.1703311891417641E-3</v>
      </c>
      <c r="L140" s="263">
        <f t="shared" si="19"/>
        <v>-1.9807167456950527E-2</v>
      </c>
    </row>
    <row r="141" spans="1:12">
      <c r="A141" s="253">
        <v>36311</v>
      </c>
      <c r="B141">
        <v>40.07</v>
      </c>
      <c r="C141" s="272">
        <v>0.28000000000000003</v>
      </c>
      <c r="D141" s="264">
        <f t="shared" si="14"/>
        <v>1.1520410377323413</v>
      </c>
      <c r="E141" s="264">
        <f t="shared" si="16"/>
        <v>46.162284381934917</v>
      </c>
      <c r="F141" s="264">
        <f t="shared" si="15"/>
        <v>8.8334457181389103E-2</v>
      </c>
      <c r="G141">
        <v>4351.29</v>
      </c>
      <c r="H141" s="263">
        <f t="shared" si="17"/>
        <v>-1.2271442677653344E-2</v>
      </c>
      <c r="I141" s="274">
        <v>4.2329999999999997</v>
      </c>
      <c r="J141">
        <f t="shared" si="18"/>
        <v>4.233E-2</v>
      </c>
      <c r="K141" s="263">
        <f t="shared" si="20"/>
        <v>-5.4601442677653343E-2</v>
      </c>
      <c r="L141" s="263">
        <f t="shared" si="19"/>
        <v>4.6004457181389104E-2</v>
      </c>
    </row>
    <row r="142" spans="1:12">
      <c r="A142" s="253">
        <v>36280</v>
      </c>
      <c r="B142">
        <v>37.075000000000003</v>
      </c>
      <c r="C142" s="272"/>
      <c r="D142" s="264">
        <f t="shared" si="14"/>
        <v>1.1440467009153634</v>
      </c>
      <c r="E142" s="264">
        <f t="shared" si="16"/>
        <v>42.415531436437099</v>
      </c>
      <c r="F142" s="264">
        <f t="shared" si="15"/>
        <v>-4.9358974358974406E-2</v>
      </c>
      <c r="G142">
        <v>4405.3500000000004</v>
      </c>
      <c r="H142" s="263">
        <f t="shared" si="17"/>
        <v>4.942256567600789E-2</v>
      </c>
      <c r="I142">
        <v>3.9009999999999998</v>
      </c>
      <c r="J142">
        <f t="shared" si="18"/>
        <v>3.9009999999999996E-2</v>
      </c>
      <c r="K142" s="263">
        <f t="shared" si="20"/>
        <v>1.0412565676007894E-2</v>
      </c>
      <c r="L142" s="263">
        <f t="shared" si="19"/>
        <v>-8.8368974358974395E-2</v>
      </c>
    </row>
    <row r="143" spans="1:12">
      <c r="A143" s="253">
        <v>36250</v>
      </c>
      <c r="B143">
        <v>39</v>
      </c>
      <c r="C143" s="272"/>
      <c r="D143" s="264">
        <f t="shared" si="14"/>
        <v>1.1440467009153634</v>
      </c>
      <c r="E143" s="264">
        <f t="shared" si="16"/>
        <v>44.617821335699176</v>
      </c>
      <c r="F143" s="264">
        <f t="shared" si="15"/>
        <v>-2.6824703680598971E-2</v>
      </c>
      <c r="G143">
        <v>4197.88</v>
      </c>
      <c r="H143" s="263">
        <f t="shared" si="17"/>
        <v>2.5639271526091356E-2</v>
      </c>
      <c r="I143">
        <v>4.1020000000000003</v>
      </c>
      <c r="J143">
        <f t="shared" si="18"/>
        <v>4.1020000000000001E-2</v>
      </c>
      <c r="K143" s="263">
        <f t="shared" si="20"/>
        <v>-1.5380728473908645E-2</v>
      </c>
      <c r="L143" s="263">
        <f t="shared" si="19"/>
        <v>-6.7844703680598972E-2</v>
      </c>
    </row>
    <row r="144" spans="1:12">
      <c r="A144" s="253">
        <v>36217</v>
      </c>
      <c r="B144">
        <v>40.075000000000003</v>
      </c>
      <c r="C144" s="272"/>
      <c r="D144" s="264">
        <f t="shared" si="14"/>
        <v>1.1440467009153634</v>
      </c>
      <c r="E144" s="264">
        <f t="shared" si="16"/>
        <v>45.847671539183196</v>
      </c>
      <c r="F144" s="264">
        <f t="shared" si="15"/>
        <v>-7.3410404624277281E-2</v>
      </c>
      <c r="G144">
        <v>4092.94</v>
      </c>
      <c r="H144" s="263">
        <f t="shared" si="17"/>
        <v>-3.7362999200338698E-2</v>
      </c>
      <c r="I144">
        <v>4.0759999999999996</v>
      </c>
      <c r="J144">
        <f t="shared" si="18"/>
        <v>4.0759999999999998E-2</v>
      </c>
      <c r="K144" s="263">
        <f t="shared" si="20"/>
        <v>-7.8122999200338689E-2</v>
      </c>
      <c r="L144" s="263">
        <f t="shared" si="19"/>
        <v>-0.11417040462427727</v>
      </c>
    </row>
    <row r="145" spans="1:12">
      <c r="A145" s="253">
        <v>36189</v>
      </c>
      <c r="B145">
        <v>43.25</v>
      </c>
      <c r="C145" s="272"/>
      <c r="D145" s="264">
        <f t="shared" si="14"/>
        <v>1.1440467009153634</v>
      </c>
      <c r="E145" s="264">
        <f t="shared" si="16"/>
        <v>49.480019814589468</v>
      </c>
      <c r="F145" s="264">
        <f t="shared" si="15"/>
        <v>0.23348344280201805</v>
      </c>
      <c r="G145">
        <v>4251.8</v>
      </c>
      <c r="H145" s="263">
        <f t="shared" si="17"/>
        <v>7.8408992913413966E-2</v>
      </c>
      <c r="I145">
        <v>3.7120000000000002</v>
      </c>
      <c r="J145">
        <f t="shared" si="18"/>
        <v>3.712E-2</v>
      </c>
      <c r="K145" s="263">
        <f t="shared" si="20"/>
        <v>4.1288992913413966E-2</v>
      </c>
      <c r="L145" s="263">
        <f t="shared" si="19"/>
        <v>0.19636344280201806</v>
      </c>
    </row>
    <row r="146" spans="1:12">
      <c r="A146" s="253">
        <v>36160</v>
      </c>
      <c r="B146">
        <v>35.063299999999998</v>
      </c>
      <c r="C146" s="272"/>
      <c r="D146" s="264">
        <f t="shared" si="14"/>
        <v>1.1440467009153634</v>
      </c>
      <c r="E146" s="264">
        <f t="shared" si="16"/>
        <v>40.114052688205661</v>
      </c>
      <c r="F146" s="264">
        <f t="shared" si="15"/>
        <v>-9.3594492799329965E-2</v>
      </c>
      <c r="G146">
        <v>3942.66</v>
      </c>
      <c r="H146" s="263">
        <f t="shared" si="17"/>
        <v>2.5831429627046987E-2</v>
      </c>
      <c r="I146">
        <v>3.8879999999999999</v>
      </c>
      <c r="J146">
        <f t="shared" si="18"/>
        <v>3.8879999999999998E-2</v>
      </c>
      <c r="K146" s="263">
        <f t="shared" si="20"/>
        <v>-1.3048570372953011E-2</v>
      </c>
      <c r="L146" s="263">
        <f t="shared" si="19"/>
        <v>-0.13247449279932996</v>
      </c>
    </row>
    <row r="147" spans="1:12">
      <c r="A147" s="253">
        <v>36129</v>
      </c>
      <c r="B147">
        <v>38.683900000000001</v>
      </c>
      <c r="C147" s="272"/>
      <c r="D147" s="264">
        <f t="shared" si="14"/>
        <v>1.1440467009153634</v>
      </c>
      <c r="E147" s="264">
        <f t="shared" si="16"/>
        <v>44.256188173539826</v>
      </c>
      <c r="F147" s="264">
        <f t="shared" si="15"/>
        <v>0.16666415342439311</v>
      </c>
      <c r="G147">
        <v>3843.38</v>
      </c>
      <c r="H147" s="263">
        <f t="shared" si="17"/>
        <v>9.0961216941579881E-2</v>
      </c>
      <c r="I147">
        <v>4.0490000000000004</v>
      </c>
      <c r="J147">
        <f t="shared" si="18"/>
        <v>4.0490000000000005E-2</v>
      </c>
      <c r="K147" s="263">
        <f t="shared" si="20"/>
        <v>5.0471216941579876E-2</v>
      </c>
      <c r="L147" s="263">
        <f t="shared" si="19"/>
        <v>0.12617415342439312</v>
      </c>
    </row>
    <row r="148" spans="1:12">
      <c r="A148" s="253">
        <v>36098</v>
      </c>
      <c r="B148">
        <v>33.157699999999998</v>
      </c>
      <c r="C148" s="272"/>
      <c r="D148" s="264">
        <f t="shared" si="14"/>
        <v>1.1440467009153634</v>
      </c>
      <c r="E148" s="264">
        <f t="shared" si="16"/>
        <v>37.933957294941344</v>
      </c>
      <c r="F148" s="264">
        <f t="shared" si="15"/>
        <v>5.5826394306548455E-2</v>
      </c>
      <c r="G148">
        <v>3522.93</v>
      </c>
      <c r="H148" s="263">
        <f t="shared" si="17"/>
        <v>0.10162135117809856</v>
      </c>
      <c r="I148">
        <v>4.2670000000000003</v>
      </c>
      <c r="J148">
        <f t="shared" si="18"/>
        <v>4.2670000000000007E-2</v>
      </c>
      <c r="K148" s="263">
        <f t="shared" si="20"/>
        <v>5.8951351178098556E-2</v>
      </c>
      <c r="L148" s="263">
        <f t="shared" si="19"/>
        <v>1.3156394306548448E-2</v>
      </c>
    </row>
    <row r="149" spans="1:12">
      <c r="A149" s="253">
        <v>36068</v>
      </c>
      <c r="B149">
        <v>31.404499999999999</v>
      </c>
      <c r="C149" s="272"/>
      <c r="D149" s="264">
        <f t="shared" si="14"/>
        <v>1.1440467009153634</v>
      </c>
      <c r="E149" s="264">
        <f t="shared" si="16"/>
        <v>35.928214618896526</v>
      </c>
      <c r="F149" s="264">
        <f t="shared" si="15"/>
        <v>0.24096575978503543</v>
      </c>
      <c r="G149">
        <v>3197.95</v>
      </c>
      <c r="H149" s="263">
        <f t="shared" si="17"/>
        <v>-0.12429316647726496</v>
      </c>
      <c r="I149">
        <v>4.0060000000000002</v>
      </c>
      <c r="J149">
        <f t="shared" si="18"/>
        <v>4.0060000000000005E-2</v>
      </c>
      <c r="K149" s="263">
        <f t="shared" si="20"/>
        <v>-0.16435316647726497</v>
      </c>
      <c r="L149" s="263">
        <f t="shared" si="19"/>
        <v>0.20090575978503541</v>
      </c>
    </row>
    <row r="150" spans="1:12">
      <c r="A150" s="253">
        <v>36038</v>
      </c>
      <c r="B150">
        <v>25.3065</v>
      </c>
      <c r="C150" s="272"/>
      <c r="D150" s="264">
        <f t="shared" si="14"/>
        <v>1.1440467009153634</v>
      </c>
      <c r="E150" s="264">
        <f t="shared" si="16"/>
        <v>28.951817836714643</v>
      </c>
      <c r="F150" s="264">
        <f t="shared" si="15"/>
        <v>-7.3920919254203854E-2</v>
      </c>
      <c r="G150">
        <v>3651.85</v>
      </c>
      <c r="H150" s="263">
        <f t="shared" si="17"/>
        <v>-0.12578908436290348</v>
      </c>
      <c r="I150">
        <v>4.3230000000000004</v>
      </c>
      <c r="J150">
        <f t="shared" si="18"/>
        <v>4.3230000000000005E-2</v>
      </c>
      <c r="K150" s="263">
        <f t="shared" si="20"/>
        <v>-0.16901908436290347</v>
      </c>
      <c r="L150" s="263">
        <f t="shared" si="19"/>
        <v>-0.11715091925420386</v>
      </c>
    </row>
    <row r="151" spans="1:12">
      <c r="A151" s="253">
        <v>36007</v>
      </c>
      <c r="B151">
        <v>27.326499999999999</v>
      </c>
      <c r="C151" s="272"/>
      <c r="D151" s="264">
        <f t="shared" si="14"/>
        <v>1.1440467009153634</v>
      </c>
      <c r="E151" s="264">
        <f t="shared" si="16"/>
        <v>31.262792172563678</v>
      </c>
      <c r="F151" s="264">
        <f t="shared" si="15"/>
        <v>8.4397995409222215E-3</v>
      </c>
      <c r="G151">
        <v>4177.3100000000004</v>
      </c>
      <c r="H151" s="263">
        <f t="shared" si="17"/>
        <v>-6.2187013048803363E-3</v>
      </c>
      <c r="I151">
        <v>4.7480000000000002</v>
      </c>
      <c r="J151">
        <f t="shared" si="18"/>
        <v>4.7480000000000001E-2</v>
      </c>
      <c r="K151" s="263">
        <f t="shared" si="20"/>
        <v>-5.3698701304880338E-2</v>
      </c>
      <c r="L151" s="263">
        <f t="shared" si="19"/>
        <v>-3.904020045907778E-2</v>
      </c>
    </row>
    <row r="152" spans="1:12">
      <c r="A152" s="253">
        <v>35976</v>
      </c>
      <c r="B152">
        <v>27.097799999999999</v>
      </c>
      <c r="C152" s="272">
        <v>0.27</v>
      </c>
      <c r="D152" s="264">
        <f t="shared" si="14"/>
        <v>1.1440467009153634</v>
      </c>
      <c r="E152" s="264">
        <f t="shared" si="16"/>
        <v>31.001148692064334</v>
      </c>
      <c r="F152" s="264">
        <f t="shared" si="15"/>
        <v>2.4370524802838744E-2</v>
      </c>
      <c r="G152">
        <v>4203.45</v>
      </c>
      <c r="H152" s="263">
        <f t="shared" si="17"/>
        <v>4.0159261202229013E-2</v>
      </c>
      <c r="I152">
        <v>4.8410000000000002</v>
      </c>
      <c r="J152">
        <f t="shared" si="18"/>
        <v>4.8410000000000002E-2</v>
      </c>
      <c r="K152" s="263">
        <f t="shared" si="20"/>
        <v>-8.2507387977709887E-3</v>
      </c>
      <c r="L152" s="263">
        <f t="shared" si="19"/>
        <v>-2.4039475197161257E-2</v>
      </c>
    </row>
    <row r="153" spans="1:12">
      <c r="A153" s="253">
        <v>35944</v>
      </c>
      <c r="B153">
        <v>26.716699999999999</v>
      </c>
      <c r="C153" s="272"/>
      <c r="D153" s="264">
        <f t="shared" si="14"/>
        <v>1.1327599840712199</v>
      </c>
      <c r="E153" s="264">
        <f t="shared" si="16"/>
        <v>30.263608666435559</v>
      </c>
      <c r="F153" s="264">
        <f t="shared" si="15"/>
        <v>-3.8407273303147971E-2</v>
      </c>
      <c r="G153">
        <v>4041.16</v>
      </c>
      <c r="H153" s="263">
        <f t="shared" si="17"/>
        <v>4.1289178854498454E-2</v>
      </c>
      <c r="I153">
        <v>4.9189999999999996</v>
      </c>
      <c r="J153">
        <f t="shared" si="18"/>
        <v>4.9189999999999998E-2</v>
      </c>
      <c r="K153" s="263">
        <f t="shared" si="20"/>
        <v>-7.9008211455015437E-3</v>
      </c>
      <c r="L153" s="263">
        <f t="shared" si="19"/>
        <v>-8.7597273303147968E-2</v>
      </c>
    </row>
    <row r="154" spans="1:12">
      <c r="A154" s="253">
        <v>35915</v>
      </c>
      <c r="B154">
        <v>27.783799999999999</v>
      </c>
      <c r="C154" s="272"/>
      <c r="D154" s="264">
        <f t="shared" si="14"/>
        <v>1.1327599840712199</v>
      </c>
      <c r="E154" s="264">
        <f t="shared" si="16"/>
        <v>31.47237684543796</v>
      </c>
      <c r="F154" s="264">
        <f t="shared" si="15"/>
        <v>2.5315708286281602E-2</v>
      </c>
      <c r="G154">
        <v>3880.92</v>
      </c>
      <c r="H154" s="263">
        <f t="shared" si="17"/>
        <v>1.3184340821661422E-3</v>
      </c>
      <c r="I154">
        <v>5.12</v>
      </c>
      <c r="J154">
        <f t="shared" si="18"/>
        <v>5.1200000000000002E-2</v>
      </c>
      <c r="K154" s="263">
        <f t="shared" si="20"/>
        <v>-4.988156591783386E-2</v>
      </c>
      <c r="L154" s="263">
        <f t="shared" si="19"/>
        <v>-2.5884291713718401E-2</v>
      </c>
    </row>
    <row r="155" spans="1:12">
      <c r="A155" s="253">
        <v>35885</v>
      </c>
      <c r="B155">
        <v>27.097799999999999</v>
      </c>
      <c r="C155" s="272"/>
      <c r="D155" s="264">
        <f t="shared" si="14"/>
        <v>1.1327599840712199</v>
      </c>
      <c r="E155" s="264">
        <f t="shared" si="16"/>
        <v>30.695303496365103</v>
      </c>
      <c r="F155" s="264">
        <f t="shared" si="15"/>
        <v>3.0432550622682797E-2</v>
      </c>
      <c r="G155">
        <v>3875.81</v>
      </c>
      <c r="H155" s="263">
        <f t="shared" si="17"/>
        <v>0.13264190863608727</v>
      </c>
      <c r="I155">
        <v>4.97</v>
      </c>
      <c r="J155">
        <f t="shared" si="18"/>
        <v>4.9699999999999994E-2</v>
      </c>
      <c r="K155" s="263">
        <f t="shared" si="20"/>
        <v>8.2941908636087275E-2</v>
      </c>
      <c r="L155" s="263">
        <f t="shared" si="19"/>
        <v>-1.9267449377317197E-2</v>
      </c>
    </row>
    <row r="156" spans="1:12">
      <c r="A156" s="253">
        <v>35853</v>
      </c>
      <c r="B156">
        <v>26.297499999999999</v>
      </c>
      <c r="C156" s="272"/>
      <c r="D156" s="264">
        <f t="shared" si="14"/>
        <v>1.1327599840712199</v>
      </c>
      <c r="E156" s="264">
        <f t="shared" si="16"/>
        <v>29.788755681112907</v>
      </c>
      <c r="F156" s="264">
        <f t="shared" si="15"/>
        <v>2.2222826889737313E-2</v>
      </c>
      <c r="G156">
        <v>3421.92</v>
      </c>
      <c r="H156" s="263">
        <f t="shared" si="17"/>
        <v>7.8741795759329714E-2</v>
      </c>
      <c r="I156">
        <v>4.984</v>
      </c>
      <c r="J156">
        <f t="shared" si="18"/>
        <v>4.9840000000000002E-2</v>
      </c>
      <c r="K156" s="263">
        <f t="shared" si="20"/>
        <v>2.8901795759329711E-2</v>
      </c>
      <c r="L156" s="263">
        <f t="shared" si="19"/>
        <v>-2.761717311026269E-2</v>
      </c>
    </row>
    <row r="157" spans="1:12">
      <c r="A157" s="253">
        <v>35825</v>
      </c>
      <c r="B157">
        <v>25.7258</v>
      </c>
      <c r="C157" s="272"/>
      <c r="D157" s="264">
        <f t="shared" si="14"/>
        <v>1.1327599840712199</v>
      </c>
      <c r="E157" s="264">
        <f t="shared" si="16"/>
        <v>29.141156798219388</v>
      </c>
      <c r="F157" s="264">
        <f t="shared" si="15"/>
        <v>7.4642062721264058E-3</v>
      </c>
      <c r="G157">
        <v>3172.14</v>
      </c>
      <c r="H157" s="263">
        <f t="shared" si="17"/>
        <v>5.7764321036643418E-2</v>
      </c>
      <c r="I157">
        <v>5.1050000000000004</v>
      </c>
      <c r="J157">
        <f t="shared" si="18"/>
        <v>5.1050000000000005E-2</v>
      </c>
      <c r="K157" s="263">
        <f t="shared" si="20"/>
        <v>6.7143210366434128E-3</v>
      </c>
      <c r="L157" s="263">
        <f t="shared" si="19"/>
        <v>-4.3585793727873599E-2</v>
      </c>
    </row>
    <row r="158" spans="1:12">
      <c r="A158" s="253">
        <v>35795</v>
      </c>
      <c r="B158">
        <v>25.5352</v>
      </c>
      <c r="C158" s="272"/>
      <c r="D158" s="264">
        <f t="shared" si="14"/>
        <v>1.1327599840712199</v>
      </c>
      <c r="E158" s="264">
        <f t="shared" si="16"/>
        <v>28.925252745255413</v>
      </c>
      <c r="F158" s="264">
        <f t="shared" si="15"/>
        <v>0.1336734104944437</v>
      </c>
      <c r="G158">
        <v>2998.91</v>
      </c>
      <c r="H158" s="263">
        <f t="shared" si="17"/>
        <v>4.8866986803954848E-2</v>
      </c>
      <c r="I158">
        <v>5.327</v>
      </c>
      <c r="J158">
        <f t="shared" si="18"/>
        <v>5.3269999999999998E-2</v>
      </c>
      <c r="K158" s="263">
        <f t="shared" si="20"/>
        <v>-4.4030131960451496E-3</v>
      </c>
      <c r="L158" s="263">
        <f t="shared" si="19"/>
        <v>8.0403410494443703E-2</v>
      </c>
    </row>
    <row r="159" spans="1:12">
      <c r="A159" s="253">
        <v>35762</v>
      </c>
      <c r="B159">
        <v>22.5243</v>
      </c>
      <c r="C159" s="272"/>
      <c r="D159" s="264">
        <f t="shared" si="14"/>
        <v>1.1327599840712199</v>
      </c>
      <c r="E159" s="264">
        <f t="shared" si="16"/>
        <v>25.51462570921538</v>
      </c>
      <c r="F159" s="264">
        <f t="shared" si="15"/>
        <v>7.8465921332982358E-2</v>
      </c>
      <c r="G159">
        <v>2859.19</v>
      </c>
      <c r="H159" s="263">
        <f t="shared" si="17"/>
        <v>4.3766655714963631E-2</v>
      </c>
      <c r="I159">
        <v>5.4509999999999996</v>
      </c>
      <c r="J159">
        <f t="shared" si="18"/>
        <v>5.4509999999999996E-2</v>
      </c>
      <c r="K159" s="263">
        <f t="shared" si="20"/>
        <v>-1.0743344285036364E-2</v>
      </c>
      <c r="L159" s="263">
        <f t="shared" si="19"/>
        <v>2.3955921332982362E-2</v>
      </c>
    </row>
    <row r="160" spans="1:12">
      <c r="A160" s="253">
        <v>35734</v>
      </c>
      <c r="B160">
        <v>20.8855</v>
      </c>
      <c r="C160" s="272"/>
      <c r="D160" s="264">
        <f t="shared" si="14"/>
        <v>1.1327599840712199</v>
      </c>
      <c r="E160" s="264">
        <f t="shared" si="16"/>
        <v>23.658258647319464</v>
      </c>
      <c r="F160" s="264">
        <f t="shared" si="15"/>
        <v>-5.4476449887856937E-3</v>
      </c>
      <c r="G160">
        <v>2739.3</v>
      </c>
      <c r="H160" s="263">
        <f t="shared" si="17"/>
        <v>-8.9407165604036942E-2</v>
      </c>
      <c r="I160">
        <v>5.5940000000000003</v>
      </c>
      <c r="J160">
        <f t="shared" si="18"/>
        <v>5.5940000000000004E-2</v>
      </c>
      <c r="K160" s="263">
        <f t="shared" si="20"/>
        <v>-0.14534716560403693</v>
      </c>
      <c r="L160" s="263">
        <f t="shared" si="19"/>
        <v>-6.1387644988785697E-2</v>
      </c>
    </row>
    <row r="161" spans="1:12">
      <c r="A161" s="253">
        <v>35703</v>
      </c>
      <c r="B161">
        <v>20.9999</v>
      </c>
      <c r="C161" s="272"/>
      <c r="D161" s="264">
        <f t="shared" si="14"/>
        <v>1.1327599840712199</v>
      </c>
      <c r="E161" s="264">
        <f t="shared" si="16"/>
        <v>23.787846389497211</v>
      </c>
      <c r="F161" s="264">
        <f t="shared" si="15"/>
        <v>-5.4884470327731583E-2</v>
      </c>
      <c r="G161">
        <v>3008.26</v>
      </c>
      <c r="H161" s="263">
        <f t="shared" si="17"/>
        <v>8.5822363553017755E-2</v>
      </c>
      <c r="I161">
        <v>5.4820000000000002</v>
      </c>
      <c r="J161">
        <f t="shared" si="18"/>
        <v>5.4820000000000001E-2</v>
      </c>
      <c r="K161" s="263">
        <f t="shared" si="20"/>
        <v>3.1002363553017755E-2</v>
      </c>
      <c r="L161" s="263">
        <f t="shared" si="19"/>
        <v>-0.10970447032773159</v>
      </c>
    </row>
    <row r="162" spans="1:12">
      <c r="A162" s="253">
        <v>35671</v>
      </c>
      <c r="B162">
        <v>22.2194</v>
      </c>
      <c r="C162" s="272"/>
      <c r="D162" s="264">
        <f t="shared" si="14"/>
        <v>1.1327599840712199</v>
      </c>
      <c r="E162" s="264">
        <f t="shared" si="16"/>
        <v>25.169247190072063</v>
      </c>
      <c r="F162" s="264">
        <f t="shared" si="15"/>
        <v>-0.10445727920164771</v>
      </c>
      <c r="G162">
        <v>2770.49</v>
      </c>
      <c r="H162" s="263">
        <f t="shared" si="17"/>
        <v>-9.9223908936914684E-2</v>
      </c>
      <c r="I162">
        <v>5.6040000000000001</v>
      </c>
      <c r="J162">
        <f t="shared" si="18"/>
        <v>5.604E-2</v>
      </c>
      <c r="K162" s="263">
        <f t="shared" si="20"/>
        <v>-0.15526390893691469</v>
      </c>
      <c r="L162" s="263">
        <f t="shared" si="19"/>
        <v>-0.16049727920164772</v>
      </c>
    </row>
    <row r="163" spans="1:12">
      <c r="A163" s="253">
        <v>35642</v>
      </c>
      <c r="B163">
        <v>24.8111</v>
      </c>
      <c r="C163" s="272"/>
      <c r="D163" s="264">
        <f t="shared" si="14"/>
        <v>1.1327599840712199</v>
      </c>
      <c r="E163" s="264">
        <f t="shared" si="16"/>
        <v>28.105021240789444</v>
      </c>
      <c r="F163" s="264">
        <f t="shared" si="15"/>
        <v>0.13020721824650261</v>
      </c>
      <c r="G163">
        <v>3075.67</v>
      </c>
      <c r="H163" s="263">
        <f t="shared" si="17"/>
        <v>7.6063759070203574E-2</v>
      </c>
      <c r="I163">
        <v>5.4489999999999998</v>
      </c>
      <c r="J163">
        <f t="shared" si="18"/>
        <v>5.4489999999999997E-2</v>
      </c>
      <c r="K163" s="263">
        <f t="shared" si="20"/>
        <v>2.1573759070203577E-2</v>
      </c>
      <c r="L163" s="263">
        <f t="shared" si="19"/>
        <v>7.5717218246502613E-2</v>
      </c>
    </row>
    <row r="164" spans="1:12">
      <c r="A164" s="253">
        <v>35611</v>
      </c>
      <c r="B164">
        <v>21.9527</v>
      </c>
      <c r="C164" s="272">
        <v>0.25</v>
      </c>
      <c r="D164" s="264">
        <f t="shared" si="14"/>
        <v>1.1327599840712199</v>
      </c>
      <c r="E164" s="264">
        <f t="shared" si="16"/>
        <v>24.867140102320271</v>
      </c>
      <c r="F164" s="264">
        <f t="shared" si="15"/>
        <v>0.16279812717998143</v>
      </c>
      <c r="G164">
        <v>2858.26</v>
      </c>
      <c r="H164" s="263">
        <f t="shared" si="17"/>
        <v>0.10616345580779751</v>
      </c>
      <c r="I164">
        <v>5.5869999999999997</v>
      </c>
      <c r="J164">
        <f t="shared" si="18"/>
        <v>5.5869999999999996E-2</v>
      </c>
      <c r="K164" s="263">
        <f t="shared" si="20"/>
        <v>5.0293455807797517E-2</v>
      </c>
      <c r="L164" s="263">
        <f t="shared" si="19"/>
        <v>0.10692812717998143</v>
      </c>
    </row>
    <row r="165" spans="1:12">
      <c r="A165" s="253">
        <v>35580</v>
      </c>
      <c r="B165">
        <v>19.094200000000001</v>
      </c>
      <c r="C165" s="272"/>
      <c r="D165" s="264">
        <f t="shared" si="14"/>
        <v>1.1200052291982627</v>
      </c>
      <c r="E165" s="264">
        <f t="shared" si="16"/>
        <v>21.385603847357469</v>
      </c>
      <c r="F165" s="264">
        <f t="shared" si="15"/>
        <v>-8.0736789400708608E-2</v>
      </c>
      <c r="G165">
        <v>2583.94</v>
      </c>
      <c r="H165" s="263">
        <f t="shared" si="17"/>
        <v>-2.103460556325909E-2</v>
      </c>
      <c r="I165">
        <v>5.7990000000000004</v>
      </c>
      <c r="J165">
        <f t="shared" si="18"/>
        <v>5.7990000000000007E-2</v>
      </c>
      <c r="K165" s="263">
        <f t="shared" si="20"/>
        <v>-7.9024605563259104E-2</v>
      </c>
      <c r="L165" s="263">
        <f t="shared" si="19"/>
        <v>-0.13872678940070862</v>
      </c>
    </row>
    <row r="166" spans="1:12">
      <c r="A166" s="253">
        <v>35550</v>
      </c>
      <c r="B166">
        <v>20.7712</v>
      </c>
      <c r="C166" s="272"/>
      <c r="D166" s="264">
        <f t="shared" si="14"/>
        <v>1.1200052291982627</v>
      </c>
      <c r="E166" s="264">
        <f t="shared" si="16"/>
        <v>23.263852616722954</v>
      </c>
      <c r="F166" s="264">
        <f t="shared" si="15"/>
        <v>-9.0880033585063469E-3</v>
      </c>
      <c r="G166">
        <v>2639.46</v>
      </c>
      <c r="H166" s="263">
        <f t="shared" si="17"/>
        <v>-6.4817742445457682E-3</v>
      </c>
      <c r="I166">
        <v>5.7430000000000003</v>
      </c>
      <c r="J166">
        <f t="shared" si="18"/>
        <v>5.7430000000000002E-2</v>
      </c>
      <c r="K166" s="263">
        <f t="shared" si="20"/>
        <v>-6.3911774244545777E-2</v>
      </c>
      <c r="L166" s="263">
        <f t="shared" si="19"/>
        <v>-6.6518003358506356E-2</v>
      </c>
    </row>
    <row r="167" spans="1:12">
      <c r="A167" s="253">
        <v>35520</v>
      </c>
      <c r="B167">
        <v>20.9617</v>
      </c>
      <c r="C167" s="272"/>
      <c r="D167" s="264">
        <f t="shared" si="14"/>
        <v>1.1200052291982627</v>
      </c>
      <c r="E167" s="264">
        <f t="shared" si="16"/>
        <v>23.477213612885226</v>
      </c>
      <c r="F167" s="264">
        <f t="shared" si="15"/>
        <v>-2.4824031299865434E-2</v>
      </c>
      <c r="G167">
        <v>2656.68</v>
      </c>
      <c r="H167" s="263">
        <f t="shared" si="17"/>
        <v>1.8841441199593412E-2</v>
      </c>
      <c r="I167">
        <v>5.8220000000000001</v>
      </c>
      <c r="J167">
        <f t="shared" si="18"/>
        <v>5.8220000000000001E-2</v>
      </c>
      <c r="K167" s="263">
        <f t="shared" si="20"/>
        <v>-3.9378558800406589E-2</v>
      </c>
      <c r="L167" s="263">
        <f t="shared" si="19"/>
        <v>-8.3044031299865428E-2</v>
      </c>
    </row>
    <row r="168" spans="1:12">
      <c r="A168" s="253">
        <v>35489</v>
      </c>
      <c r="B168">
        <v>21.4953</v>
      </c>
      <c r="C168" s="272"/>
      <c r="D168" s="264">
        <f t="shared" si="14"/>
        <v>1.1200052291982627</v>
      </c>
      <c r="E168" s="264">
        <f t="shared" si="16"/>
        <v>24.074848403185417</v>
      </c>
      <c r="F168" s="264">
        <f t="shared" si="15"/>
        <v>1.6215730677042295E-2</v>
      </c>
      <c r="G168">
        <v>2607.5500000000002</v>
      </c>
      <c r="H168" s="263">
        <f t="shared" si="17"/>
        <v>3.6156499348316773E-2</v>
      </c>
      <c r="I168">
        <v>5.4269999999999996</v>
      </c>
      <c r="J168">
        <f t="shared" si="18"/>
        <v>5.4269999999999999E-2</v>
      </c>
      <c r="K168" s="263">
        <f t="shared" si="20"/>
        <v>-1.8113500651683226E-2</v>
      </c>
      <c r="L168" s="263">
        <f t="shared" si="19"/>
        <v>-3.8054269322957704E-2</v>
      </c>
    </row>
    <row r="169" spans="1:12">
      <c r="A169" s="253">
        <v>35461</v>
      </c>
      <c r="B169">
        <v>21.1523</v>
      </c>
      <c r="C169" s="272"/>
      <c r="D169" s="264">
        <f t="shared" si="14"/>
        <v>1.1200052291982627</v>
      </c>
      <c r="E169" s="264">
        <f t="shared" si="16"/>
        <v>23.690686609570413</v>
      </c>
      <c r="F169" s="264">
        <f t="shared" si="15"/>
        <v>7.5582607457578721E-2</v>
      </c>
      <c r="G169">
        <v>2516.56</v>
      </c>
      <c r="H169" s="263">
        <f t="shared" si="17"/>
        <v>8.6724272691548698E-2</v>
      </c>
      <c r="I169">
        <v>5.58</v>
      </c>
      <c r="J169">
        <f t="shared" si="18"/>
        <v>5.5800000000000002E-2</v>
      </c>
      <c r="K169" s="263">
        <f t="shared" si="20"/>
        <v>3.0924272691548696E-2</v>
      </c>
      <c r="L169" s="263">
        <f t="shared" si="19"/>
        <v>1.9782607457578719E-2</v>
      </c>
    </row>
    <row r="170" spans="1:12">
      <c r="A170" s="253">
        <v>35430</v>
      </c>
      <c r="B170">
        <v>19.665900000000001</v>
      </c>
      <c r="C170" s="272"/>
      <c r="D170" s="264">
        <f t="shared" si="14"/>
        <v>1.1200052291982627</v>
      </c>
      <c r="E170" s="264">
        <f t="shared" si="16"/>
        <v>22.025910836890116</v>
      </c>
      <c r="F170" s="264">
        <f t="shared" si="15"/>
        <v>0.10256496509965518</v>
      </c>
      <c r="G170">
        <v>2315.73</v>
      </c>
      <c r="H170" s="263">
        <f t="shared" si="17"/>
        <v>3.0228962801137627E-5</v>
      </c>
      <c r="I170">
        <v>5.8159999999999998</v>
      </c>
      <c r="J170">
        <f t="shared" si="18"/>
        <v>5.8159999999999996E-2</v>
      </c>
      <c r="K170" s="263">
        <f t="shared" si="20"/>
        <v>-5.8129771037198859E-2</v>
      </c>
      <c r="L170" s="263">
        <f t="shared" si="19"/>
        <v>4.4404965099655185E-2</v>
      </c>
    </row>
    <row r="171" spans="1:12">
      <c r="A171" s="253">
        <v>35398</v>
      </c>
      <c r="B171">
        <v>17.836500000000001</v>
      </c>
      <c r="C171" s="272"/>
      <c r="D171" s="264">
        <f t="shared" si="14"/>
        <v>1.1200052291982627</v>
      </c>
      <c r="E171" s="264">
        <f t="shared" si="16"/>
        <v>19.976973270594815</v>
      </c>
      <c r="F171" s="264">
        <f t="shared" si="15"/>
        <v>1.0578023547009208E-2</v>
      </c>
      <c r="G171">
        <v>2315.66</v>
      </c>
      <c r="H171" s="263">
        <f t="shared" si="17"/>
        <v>8.1826293733736177E-2</v>
      </c>
      <c r="I171">
        <v>5.6020000000000003</v>
      </c>
      <c r="J171">
        <f t="shared" si="18"/>
        <v>5.602E-2</v>
      </c>
      <c r="K171" s="263">
        <f t="shared" si="20"/>
        <v>2.5806293733736177E-2</v>
      </c>
      <c r="L171" s="263">
        <f t="shared" si="19"/>
        <v>-4.5441976452990793E-2</v>
      </c>
    </row>
    <row r="172" spans="1:12">
      <c r="A172" s="253">
        <v>35369</v>
      </c>
      <c r="B172">
        <v>17.649799999999999</v>
      </c>
      <c r="C172" s="272"/>
      <c r="D172" s="264">
        <f t="shared" si="14"/>
        <v>1.1200052291982627</v>
      </c>
      <c r="E172" s="264">
        <f t="shared" si="16"/>
        <v>19.767868294303497</v>
      </c>
      <c r="F172" s="264">
        <f t="shared" si="15"/>
        <v>9.4283004011382898E-2</v>
      </c>
      <c r="G172">
        <v>2140.5100000000002</v>
      </c>
      <c r="H172" s="263">
        <f t="shared" si="17"/>
        <v>3.6102606420638228E-3</v>
      </c>
      <c r="I172">
        <v>5.9729999999999999</v>
      </c>
      <c r="J172">
        <f t="shared" si="18"/>
        <v>5.9729999999999998E-2</v>
      </c>
      <c r="K172" s="263">
        <f t="shared" si="20"/>
        <v>-5.6119739357936176E-2</v>
      </c>
      <c r="L172" s="263">
        <f t="shared" si="19"/>
        <v>3.45530040113829E-2</v>
      </c>
    </row>
    <row r="173" spans="1:12">
      <c r="A173" s="253">
        <v>35338</v>
      </c>
      <c r="B173">
        <v>16.129100000000001</v>
      </c>
      <c r="C173" s="272"/>
      <c r="D173" s="264">
        <f t="shared" si="14"/>
        <v>1.1200052291982627</v>
      </c>
      <c r="E173" s="264">
        <f t="shared" si="16"/>
        <v>18.064676342261702</v>
      </c>
      <c r="F173" s="264">
        <f t="shared" si="15"/>
        <v>5.7472545484346993E-2</v>
      </c>
      <c r="G173">
        <v>2132.81</v>
      </c>
      <c r="H173" s="263">
        <f t="shared" si="17"/>
        <v>8.2309538670766846E-2</v>
      </c>
      <c r="I173">
        <v>6.11</v>
      </c>
      <c r="J173">
        <f t="shared" si="18"/>
        <v>6.1100000000000002E-2</v>
      </c>
      <c r="K173" s="263">
        <f t="shared" si="20"/>
        <v>2.1209538670766845E-2</v>
      </c>
      <c r="L173" s="263">
        <f t="shared" si="19"/>
        <v>-3.6274545156530086E-3</v>
      </c>
    </row>
    <row r="174" spans="1:12">
      <c r="A174" s="253">
        <v>35307</v>
      </c>
      <c r="B174">
        <v>15.2525</v>
      </c>
      <c r="C174" s="272"/>
      <c r="D174" s="264">
        <f t="shared" si="14"/>
        <v>1.1200052291982627</v>
      </c>
      <c r="E174" s="264">
        <f t="shared" si="16"/>
        <v>17.0828797583465</v>
      </c>
      <c r="F174" s="264">
        <f t="shared" si="15"/>
        <v>3.011494873907572E-2</v>
      </c>
      <c r="G174">
        <v>1970.61</v>
      </c>
      <c r="H174" s="263">
        <f t="shared" si="17"/>
        <v>-1.2666028688955944E-2</v>
      </c>
      <c r="I174">
        <v>6.49</v>
      </c>
      <c r="J174">
        <f t="shared" si="18"/>
        <v>6.4899999999999999E-2</v>
      </c>
      <c r="K174" s="263">
        <f t="shared" si="20"/>
        <v>-7.7566028688955943E-2</v>
      </c>
      <c r="L174" s="263">
        <f t="shared" si="19"/>
        <v>-3.478505126092428E-2</v>
      </c>
    </row>
    <row r="175" spans="1:12">
      <c r="A175" s="253">
        <v>35277</v>
      </c>
      <c r="B175">
        <v>14.8066</v>
      </c>
      <c r="C175" s="272"/>
      <c r="D175" s="264">
        <f t="shared" si="14"/>
        <v>1.1200052291982627</v>
      </c>
      <c r="E175" s="264">
        <f t="shared" si="16"/>
        <v>16.583469426646996</v>
      </c>
      <c r="F175" s="264">
        <f t="shared" si="15"/>
        <v>6.9982385385991552E-3</v>
      </c>
      <c r="G175">
        <v>1995.89</v>
      </c>
      <c r="H175" s="263">
        <f t="shared" si="17"/>
        <v>-6.01827000047086E-2</v>
      </c>
      <c r="I175">
        <v>6.4109999999999996</v>
      </c>
      <c r="J175">
        <f t="shared" si="18"/>
        <v>6.411E-2</v>
      </c>
      <c r="K175" s="263">
        <f t="shared" si="20"/>
        <v>-0.1242927000047086</v>
      </c>
      <c r="L175" s="263">
        <f t="shared" si="19"/>
        <v>-5.7111761461400845E-2</v>
      </c>
    </row>
    <row r="176" spans="1:12">
      <c r="A176" s="253">
        <v>35244</v>
      </c>
      <c r="B176">
        <v>14.7037</v>
      </c>
      <c r="C176" s="272">
        <v>0.24</v>
      </c>
      <c r="D176" s="264">
        <f t="shared" si="14"/>
        <v>1.1200052291982627</v>
      </c>
      <c r="E176" s="264">
        <f t="shared" si="16"/>
        <v>16.468220888562495</v>
      </c>
      <c r="F176" s="264">
        <f t="shared" si="15"/>
        <v>-1.4339328940512375E-2</v>
      </c>
      <c r="G176">
        <v>2123.6999999999998</v>
      </c>
      <c r="H176" s="263">
        <f t="shared" si="17"/>
        <v>6.4642711581661683E-3</v>
      </c>
      <c r="I176">
        <v>6.4889999999999999</v>
      </c>
      <c r="J176">
        <f t="shared" si="18"/>
        <v>6.4890000000000003E-2</v>
      </c>
      <c r="K176" s="263">
        <f t="shared" si="20"/>
        <v>-5.8425728841833835E-2</v>
      </c>
      <c r="L176" s="263">
        <f t="shared" si="19"/>
        <v>-7.9229328940512378E-2</v>
      </c>
    </row>
    <row r="177" spans="1:12">
      <c r="A177" s="253">
        <v>35216</v>
      </c>
      <c r="B177">
        <v>15.161099999999999</v>
      </c>
      <c r="C177" s="272"/>
      <c r="D177" s="264">
        <f t="shared" si="14"/>
        <v>1.1020176320832522</v>
      </c>
      <c r="E177" s="264">
        <f t="shared" si="16"/>
        <v>16.707799521777396</v>
      </c>
      <c r="F177" s="264">
        <f t="shared" si="15"/>
        <v>-4.6039716097855621E-2</v>
      </c>
      <c r="G177">
        <v>2110.06</v>
      </c>
      <c r="H177" s="263">
        <f t="shared" si="17"/>
        <v>-1.7109265461456413E-2</v>
      </c>
      <c r="I177">
        <v>6.5190000000000001</v>
      </c>
      <c r="J177">
        <f t="shared" si="18"/>
        <v>6.5189999999999998E-2</v>
      </c>
      <c r="K177" s="263">
        <f t="shared" si="20"/>
        <v>-8.2299265461456411E-2</v>
      </c>
      <c r="L177" s="263">
        <f t="shared" si="19"/>
        <v>-0.11122971609785562</v>
      </c>
    </row>
    <row r="178" spans="1:12">
      <c r="A178" s="253">
        <v>35185</v>
      </c>
      <c r="B178">
        <v>15.892799999999999</v>
      </c>
      <c r="C178" s="272"/>
      <c r="D178" s="264">
        <f t="shared" si="14"/>
        <v>1.1020176320832522</v>
      </c>
      <c r="E178" s="264">
        <f t="shared" si="16"/>
        <v>17.514145823172711</v>
      </c>
      <c r="F178" s="264">
        <f t="shared" si="15"/>
        <v>0.13934232316063411</v>
      </c>
      <c r="G178">
        <v>2146.79</v>
      </c>
      <c r="H178" s="263">
        <f t="shared" si="17"/>
        <v>4.9893142015972503E-2</v>
      </c>
      <c r="I178">
        <v>6.4039999999999999</v>
      </c>
      <c r="J178">
        <f t="shared" si="18"/>
        <v>6.404E-2</v>
      </c>
      <c r="K178" s="263">
        <f t="shared" si="20"/>
        <v>-1.4146857984027497E-2</v>
      </c>
      <c r="L178" s="263">
        <f t="shared" si="19"/>
        <v>7.5302323160634108E-2</v>
      </c>
    </row>
    <row r="179" spans="1:12">
      <c r="A179" s="253">
        <v>35153</v>
      </c>
      <c r="B179">
        <v>13.9491</v>
      </c>
      <c r="C179" s="272"/>
      <c r="D179" s="264">
        <f t="shared" si="14"/>
        <v>1.1020176320832522</v>
      </c>
      <c r="E179" s="264">
        <f t="shared" si="16"/>
        <v>15.372154151692493</v>
      </c>
      <c r="F179" s="264">
        <f t="shared" si="15"/>
        <v>4.5714542742122832E-2</v>
      </c>
      <c r="G179">
        <v>2044.77</v>
      </c>
      <c r="H179" s="263">
        <f t="shared" si="17"/>
        <v>2.71251827182446E-2</v>
      </c>
      <c r="I179">
        <v>6.5979999999999999</v>
      </c>
      <c r="J179">
        <f t="shared" si="18"/>
        <v>6.5979999999999997E-2</v>
      </c>
      <c r="K179" s="263">
        <f t="shared" si="20"/>
        <v>-3.8854817281755397E-2</v>
      </c>
      <c r="L179" s="263">
        <f t="shared" si="19"/>
        <v>-2.0265457257877165E-2</v>
      </c>
    </row>
    <row r="180" spans="1:12">
      <c r="A180" s="253">
        <v>35124</v>
      </c>
      <c r="B180">
        <v>13.3393</v>
      </c>
      <c r="C180" s="272"/>
      <c r="D180" s="264">
        <f t="shared" si="14"/>
        <v>1.1020176320832522</v>
      </c>
      <c r="E180" s="264">
        <f t="shared" si="16"/>
        <v>14.700143799648126</v>
      </c>
      <c r="F180" s="264">
        <f t="shared" si="15"/>
        <v>3.2445569306739142E-2</v>
      </c>
      <c r="G180">
        <v>1990.77</v>
      </c>
      <c r="H180" s="263">
        <f t="shared" si="17"/>
        <v>-1.4972563494851654E-2</v>
      </c>
      <c r="I180">
        <v>6.7130000000000001</v>
      </c>
      <c r="J180">
        <f t="shared" si="18"/>
        <v>6.7129999999999995E-2</v>
      </c>
      <c r="K180" s="263">
        <f t="shared" si="20"/>
        <v>-8.2102563494851649E-2</v>
      </c>
      <c r="L180" s="263">
        <f t="shared" si="19"/>
        <v>-3.4684430693260854E-2</v>
      </c>
    </row>
    <row r="181" spans="1:12">
      <c r="A181" s="253">
        <v>35095</v>
      </c>
      <c r="B181">
        <v>12.9201</v>
      </c>
      <c r="C181" s="272"/>
      <c r="D181" s="264">
        <f t="shared" si="14"/>
        <v>1.1020176320832522</v>
      </c>
      <c r="E181" s="264">
        <f t="shared" si="16"/>
        <v>14.238178008278826</v>
      </c>
      <c r="F181" s="264">
        <f t="shared" si="15"/>
        <v>8.307416318079297E-2</v>
      </c>
      <c r="G181">
        <v>2021.03</v>
      </c>
      <c r="H181" s="263">
        <f t="shared" si="17"/>
        <v>7.9627344455306392E-2</v>
      </c>
      <c r="I181">
        <v>6.3849999999999998</v>
      </c>
      <c r="J181">
        <f t="shared" si="18"/>
        <v>6.3850000000000004E-2</v>
      </c>
      <c r="K181" s="263">
        <f t="shared" si="20"/>
        <v>1.5777344455306389E-2</v>
      </c>
      <c r="L181" s="263">
        <f t="shared" si="19"/>
        <v>1.9224163180792966E-2</v>
      </c>
    </row>
    <row r="182" spans="1:12">
      <c r="A182" s="253">
        <v>35062</v>
      </c>
      <c r="B182">
        <v>11.9291</v>
      </c>
      <c r="C182" s="272"/>
      <c r="D182" s="264">
        <f t="shared" si="14"/>
        <v>1.1020176320832522</v>
      </c>
      <c r="E182" s="264">
        <f t="shared" si="16"/>
        <v>13.146078534884325</v>
      </c>
      <c r="F182" s="264">
        <f t="shared" si="15"/>
        <v>8.3419613826676065E-2</v>
      </c>
      <c r="G182">
        <v>1871.97</v>
      </c>
      <c r="H182" s="263">
        <f t="shared" si="17"/>
        <v>2.3896777298882066E-2</v>
      </c>
      <c r="I182">
        <v>6.6920000000000002</v>
      </c>
      <c r="J182">
        <f t="shared" si="18"/>
        <v>6.6920000000000007E-2</v>
      </c>
      <c r="K182" s="263">
        <f t="shared" si="20"/>
        <v>-4.3023222701117941E-2</v>
      </c>
      <c r="L182" s="263">
        <f t="shared" si="19"/>
        <v>1.6499613826676057E-2</v>
      </c>
    </row>
    <row r="183" spans="1:12">
      <c r="A183" s="253">
        <v>35033</v>
      </c>
      <c r="B183">
        <v>11.0106</v>
      </c>
      <c r="C183" s="272"/>
      <c r="D183" s="264">
        <f t="shared" si="14"/>
        <v>1.1020176320832522</v>
      </c>
      <c r="E183" s="264">
        <f t="shared" si="16"/>
        <v>12.133875339815857</v>
      </c>
      <c r="F183" s="264">
        <f t="shared" si="15"/>
        <v>-7.3743185947910295E-2</v>
      </c>
      <c r="G183">
        <v>1828.28</v>
      </c>
      <c r="H183" s="263">
        <f t="shared" si="17"/>
        <v>7.8665497985126454E-3</v>
      </c>
      <c r="I183">
        <v>6.915</v>
      </c>
      <c r="J183">
        <f t="shared" si="18"/>
        <v>6.9150000000000003E-2</v>
      </c>
      <c r="K183" s="263">
        <f t="shared" si="20"/>
        <v>-6.1283450201487358E-2</v>
      </c>
      <c r="L183" s="263">
        <f t="shared" si="19"/>
        <v>-0.14289318594791028</v>
      </c>
    </row>
    <row r="184" spans="1:12">
      <c r="A184" s="253">
        <v>35003</v>
      </c>
      <c r="B184">
        <v>11.8872</v>
      </c>
      <c r="C184" s="272"/>
      <c r="D184" s="264">
        <f t="shared" si="14"/>
        <v>1.1020176320832522</v>
      </c>
      <c r="E184" s="264">
        <f t="shared" si="16"/>
        <v>13.099903996100036</v>
      </c>
      <c r="F184" s="264">
        <f t="shared" si="15"/>
        <v>8.9169873556899537E-2</v>
      </c>
      <c r="G184">
        <v>1814.01</v>
      </c>
      <c r="H184" s="263">
        <f t="shared" si="17"/>
        <v>1.4348421729527328E-2</v>
      </c>
      <c r="I184">
        <v>7.2830000000000004</v>
      </c>
      <c r="J184">
        <f t="shared" si="18"/>
        <v>7.2830000000000006E-2</v>
      </c>
      <c r="K184" s="263">
        <f t="shared" si="20"/>
        <v>-5.8481578270472678E-2</v>
      </c>
      <c r="L184" s="263">
        <f t="shared" si="19"/>
        <v>1.6339873556899531E-2</v>
      </c>
    </row>
    <row r="185" spans="1:12">
      <c r="A185" s="253">
        <v>34971</v>
      </c>
      <c r="B185">
        <v>10.914</v>
      </c>
      <c r="C185" s="272"/>
      <c r="D185" s="264">
        <f t="shared" ref="D185:D241" si="21">(D186*C185)/B185+D186</f>
        <v>1.1020176320832522</v>
      </c>
      <c r="E185" s="264">
        <f t="shared" si="16"/>
        <v>12.027420436556614</v>
      </c>
      <c r="F185" s="264">
        <f t="shared" si="15"/>
        <v>9.9383709955027655E-3</v>
      </c>
      <c r="G185">
        <v>1788.35</v>
      </c>
      <c r="H185" s="263">
        <f t="shared" si="17"/>
        <v>-5.0462198482523646E-2</v>
      </c>
      <c r="I185">
        <v>7.4880000000000004</v>
      </c>
      <c r="J185">
        <f t="shared" si="18"/>
        <v>7.4880000000000002E-2</v>
      </c>
      <c r="K185" s="263">
        <f t="shared" si="20"/>
        <v>-0.12534219848252365</v>
      </c>
      <c r="L185" s="263">
        <f t="shared" si="19"/>
        <v>-6.4941629004497237E-2</v>
      </c>
    </row>
    <row r="186" spans="1:12">
      <c r="A186" s="253">
        <v>34942</v>
      </c>
      <c r="B186">
        <v>10.8066</v>
      </c>
      <c r="C186" s="272"/>
      <c r="D186" s="264">
        <f t="shared" si="21"/>
        <v>1.1020176320832522</v>
      </c>
      <c r="E186" s="264">
        <f t="shared" si="16"/>
        <v>11.909063742870872</v>
      </c>
      <c r="F186" s="264">
        <f t="shared" si="15"/>
        <v>2.0617096228856324E-2</v>
      </c>
      <c r="G186">
        <v>1883.39</v>
      </c>
      <c r="H186" s="263">
        <f t="shared" si="17"/>
        <v>-1.9088143996999984E-2</v>
      </c>
      <c r="I186">
        <v>7.3739999999999997</v>
      </c>
      <c r="J186">
        <f t="shared" si="18"/>
        <v>7.374E-2</v>
      </c>
      <c r="K186" s="263">
        <f t="shared" si="20"/>
        <v>-9.2828143996999984E-2</v>
      </c>
      <c r="L186" s="263">
        <f t="shared" si="19"/>
        <v>-5.3122903771143676E-2</v>
      </c>
    </row>
    <row r="187" spans="1:12">
      <c r="A187" s="253">
        <v>34911</v>
      </c>
      <c r="B187">
        <v>10.5883</v>
      </c>
      <c r="C187" s="272"/>
      <c r="D187" s="264">
        <f t="shared" si="21"/>
        <v>1.1020176320832522</v>
      </c>
      <c r="E187" s="264">
        <f t="shared" si="16"/>
        <v>11.668493293787099</v>
      </c>
      <c r="F187" s="264">
        <f t="shared" si="15"/>
        <v>0.13817196788098363</v>
      </c>
      <c r="G187">
        <v>1920.04</v>
      </c>
      <c r="H187" s="263">
        <f t="shared" si="17"/>
        <v>3.2934872661150694E-2</v>
      </c>
      <c r="I187">
        <v>7.43</v>
      </c>
      <c r="J187">
        <f t="shared" si="18"/>
        <v>7.4299999999999991E-2</v>
      </c>
      <c r="K187" s="263">
        <f t="shared" si="20"/>
        <v>-4.1365127338849297E-2</v>
      </c>
      <c r="L187" s="263">
        <f t="shared" si="19"/>
        <v>6.3871967880983635E-2</v>
      </c>
    </row>
    <row r="188" spans="1:12">
      <c r="A188" s="253">
        <v>34880</v>
      </c>
      <c r="B188">
        <v>9.3028999999999993</v>
      </c>
      <c r="C188" s="272">
        <v>0.21</v>
      </c>
      <c r="D188" s="264">
        <f t="shared" si="21"/>
        <v>1.1020176320832522</v>
      </c>
      <c r="E188" s="264">
        <f t="shared" si="16"/>
        <v>10.251959829507285</v>
      </c>
      <c r="F188" s="264">
        <f t="shared" si="15"/>
        <v>-3.4928783021547893E-2</v>
      </c>
      <c r="G188">
        <v>1858.82</v>
      </c>
      <c r="H188" s="263">
        <f t="shared" si="17"/>
        <v>-4.5755794553248297E-2</v>
      </c>
      <c r="I188">
        <v>7.6230000000000002</v>
      </c>
      <c r="J188">
        <f t="shared" si="18"/>
        <v>7.6230000000000006E-2</v>
      </c>
      <c r="K188" s="263">
        <f t="shared" si="20"/>
        <v>-0.1219857945532483</v>
      </c>
      <c r="L188" s="263">
        <f t="shared" si="19"/>
        <v>-0.1111587830215479</v>
      </c>
    </row>
    <row r="189" spans="1:12">
      <c r="A189" s="253">
        <v>34850</v>
      </c>
      <c r="B189">
        <v>9.8572000000000006</v>
      </c>
      <c r="C189" s="272"/>
      <c r="D189" s="264">
        <f t="shared" si="21"/>
        <v>1.077690276309778</v>
      </c>
      <c r="E189" s="264">
        <f t="shared" si="16"/>
        <v>10.623008591640744</v>
      </c>
      <c r="F189" s="264">
        <f t="shared" si="15"/>
        <v>4.9810959050002657E-2</v>
      </c>
      <c r="G189">
        <v>1947.95</v>
      </c>
      <c r="H189" s="263">
        <f t="shared" si="17"/>
        <v>1.537170438789448E-2</v>
      </c>
      <c r="I189">
        <v>7.44</v>
      </c>
      <c r="J189">
        <f t="shared" si="18"/>
        <v>7.4400000000000008E-2</v>
      </c>
      <c r="K189" s="263">
        <f t="shared" si="20"/>
        <v>-5.9028295612105527E-2</v>
      </c>
      <c r="L189" s="263">
        <f t="shared" si="19"/>
        <v>-2.4589040949997351E-2</v>
      </c>
    </row>
    <row r="190" spans="1:12">
      <c r="A190" s="253">
        <v>34817</v>
      </c>
      <c r="B190">
        <v>9.3895</v>
      </c>
      <c r="C190" s="272"/>
      <c r="D190" s="264">
        <f t="shared" si="21"/>
        <v>1.077690276309778</v>
      </c>
      <c r="E190" s="264">
        <f t="shared" si="16"/>
        <v>10.11897284941066</v>
      </c>
      <c r="F190" s="264">
        <f t="shared" ref="F190:F241" si="22">E190/E191-1</f>
        <v>-2.2364982351655072E-2</v>
      </c>
      <c r="G190">
        <v>1918.46</v>
      </c>
      <c r="H190" s="263">
        <f t="shared" si="17"/>
        <v>3.1718544969561391E-2</v>
      </c>
      <c r="I190">
        <v>7.8049999999999997</v>
      </c>
      <c r="J190">
        <f t="shared" si="18"/>
        <v>7.8049999999999994E-2</v>
      </c>
      <c r="K190" s="263">
        <f t="shared" si="20"/>
        <v>-4.6331455030438604E-2</v>
      </c>
      <c r="L190" s="263">
        <f t="shared" si="19"/>
        <v>-0.10041498235165507</v>
      </c>
    </row>
    <row r="191" spans="1:12">
      <c r="A191" s="253">
        <v>34789</v>
      </c>
      <c r="B191">
        <v>9.6043000000000003</v>
      </c>
      <c r="C191" s="272"/>
      <c r="D191" s="264">
        <f t="shared" si="21"/>
        <v>1.077690276309778</v>
      </c>
      <c r="E191" s="264">
        <f t="shared" ref="E191:E219" si="23">B191*D191</f>
        <v>10.350460720762001</v>
      </c>
      <c r="F191" s="264">
        <f t="shared" si="22"/>
        <v>3.0869299215387391E-2</v>
      </c>
      <c r="G191">
        <v>1859.48</v>
      </c>
      <c r="H191" s="263">
        <f t="shared" si="17"/>
        <v>4.6503644089259222E-2</v>
      </c>
      <c r="I191">
        <v>7.9029999999999996</v>
      </c>
      <c r="J191">
        <f t="shared" si="18"/>
        <v>7.9029999999999989E-2</v>
      </c>
      <c r="K191" s="263">
        <f t="shared" si="20"/>
        <v>-3.2526355910740767E-2</v>
      </c>
      <c r="L191" s="263">
        <f t="shared" si="19"/>
        <v>-4.8160700784612598E-2</v>
      </c>
    </row>
    <row r="192" spans="1:12">
      <c r="A192" s="253">
        <v>34758</v>
      </c>
      <c r="B192">
        <v>9.3167000000000009</v>
      </c>
      <c r="C192" s="272"/>
      <c r="D192" s="264">
        <f t="shared" si="21"/>
        <v>1.077690276309778</v>
      </c>
      <c r="E192" s="264">
        <f t="shared" si="23"/>
        <v>10.04051699729531</v>
      </c>
      <c r="F192" s="264">
        <f t="shared" si="22"/>
        <v>5.0384450607680265E-2</v>
      </c>
      <c r="G192">
        <v>1776.85</v>
      </c>
      <c r="H192" s="263">
        <f t="shared" si="17"/>
        <v>-1.1708103898993349E-2</v>
      </c>
      <c r="I192">
        <v>8.0060000000000002</v>
      </c>
      <c r="J192">
        <f t="shared" si="18"/>
        <v>8.0060000000000006E-2</v>
      </c>
      <c r="K192" s="263">
        <f t="shared" si="20"/>
        <v>-9.1768103898993356E-2</v>
      </c>
      <c r="L192" s="263">
        <f t="shared" si="19"/>
        <v>-2.9675549392319742E-2</v>
      </c>
    </row>
    <row r="193" spans="1:12">
      <c r="A193" s="253">
        <v>34730</v>
      </c>
      <c r="B193">
        <v>8.8697999999999997</v>
      </c>
      <c r="C193" s="272"/>
      <c r="D193" s="264">
        <f t="shared" si="21"/>
        <v>1.077690276309778</v>
      </c>
      <c r="E193" s="264">
        <f t="shared" si="23"/>
        <v>9.5588972128124681</v>
      </c>
      <c r="F193" s="264">
        <f t="shared" si="22"/>
        <v>3.9385026424645808E-2</v>
      </c>
      <c r="G193">
        <v>1797.9</v>
      </c>
      <c r="H193" s="263">
        <f t="shared" si="17"/>
        <v>-4.4254844111314862E-2</v>
      </c>
      <c r="I193">
        <v>8.1159999999999997</v>
      </c>
      <c r="J193">
        <f t="shared" si="18"/>
        <v>8.1159999999999996E-2</v>
      </c>
      <c r="K193" s="263">
        <f t="shared" si="20"/>
        <v>-0.12541484411131487</v>
      </c>
      <c r="L193" s="263">
        <f t="shared" si="19"/>
        <v>-4.1774973575354188E-2</v>
      </c>
    </row>
    <row r="194" spans="1:12">
      <c r="A194" s="253">
        <v>34698</v>
      </c>
      <c r="B194">
        <v>8.5336999999999996</v>
      </c>
      <c r="C194" s="272"/>
      <c r="D194" s="264">
        <f t="shared" si="21"/>
        <v>1.077690276309778</v>
      </c>
      <c r="E194" s="264">
        <f t="shared" si="23"/>
        <v>9.1966855109447518</v>
      </c>
      <c r="F194" s="264">
        <f t="shared" si="22"/>
        <v>-7.717845015896363E-2</v>
      </c>
      <c r="G194">
        <v>1881.15</v>
      </c>
      <c r="H194" s="263">
        <f t="shared" ref="H194:H241" si="24">(G194/G195)-1</f>
        <v>-4.7972104416125982E-2</v>
      </c>
      <c r="I194">
        <v>8.2810000000000006</v>
      </c>
      <c r="J194">
        <f t="shared" si="18"/>
        <v>8.2810000000000009E-2</v>
      </c>
      <c r="K194" s="263">
        <f t="shared" si="20"/>
        <v>-0.13078210441612598</v>
      </c>
      <c r="L194" s="263">
        <f t="shared" si="19"/>
        <v>-0.15998845015896362</v>
      </c>
    </row>
    <row r="195" spans="1:12">
      <c r="A195" s="253">
        <v>34668</v>
      </c>
      <c r="B195">
        <v>9.2474000000000007</v>
      </c>
      <c r="C195" s="272"/>
      <c r="D195" s="264">
        <f t="shared" si="21"/>
        <v>1.077690276309778</v>
      </c>
      <c r="E195" s="264">
        <f t="shared" si="23"/>
        <v>9.9658330611470411</v>
      </c>
      <c r="F195" s="264">
        <f t="shared" si="22"/>
        <v>2.6929782673877689E-2</v>
      </c>
      <c r="G195">
        <v>1975.94</v>
      </c>
      <c r="H195" s="263">
        <f t="shared" si="24"/>
        <v>3.6863288362745328E-2</v>
      </c>
      <c r="I195">
        <v>7.891</v>
      </c>
      <c r="J195">
        <f t="shared" ref="J195:J258" si="25">I195/100</f>
        <v>7.8909999999999994E-2</v>
      </c>
      <c r="K195" s="263">
        <f t="shared" si="20"/>
        <v>-4.2046711637254666E-2</v>
      </c>
      <c r="L195" s="263">
        <f t="shared" ref="L195:L203" si="26">F195-J195</f>
        <v>-5.1980217326122305E-2</v>
      </c>
    </row>
    <row r="196" spans="1:12">
      <c r="A196" s="253">
        <v>34638</v>
      </c>
      <c r="B196">
        <v>9.0048999999999992</v>
      </c>
      <c r="C196" s="272"/>
      <c r="D196" s="264">
        <f t="shared" si="21"/>
        <v>1.077690276309778</v>
      </c>
      <c r="E196" s="264">
        <f t="shared" si="23"/>
        <v>9.7044931691419194</v>
      </c>
      <c r="F196" s="264">
        <f t="shared" si="22"/>
        <v>8.8363267180739058E-2</v>
      </c>
      <c r="G196">
        <v>1905.69</v>
      </c>
      <c r="H196" s="263">
        <f t="shared" si="24"/>
        <v>1.4069442596780668E-2</v>
      </c>
      <c r="I196">
        <v>8.2690000000000001</v>
      </c>
      <c r="J196">
        <f t="shared" si="25"/>
        <v>8.269E-2</v>
      </c>
      <c r="K196" s="263">
        <f t="shared" ref="K196:K259" si="27">H196-J196</f>
        <v>-6.8620557403219332E-2</v>
      </c>
      <c r="L196" s="263">
        <f t="shared" si="26"/>
        <v>5.6732671807390583E-3</v>
      </c>
    </row>
    <row r="197" spans="1:12">
      <c r="A197" s="253">
        <v>34607</v>
      </c>
      <c r="B197">
        <v>8.2737999999999996</v>
      </c>
      <c r="C197" s="272"/>
      <c r="D197" s="264">
        <f t="shared" si="21"/>
        <v>1.077690276309778</v>
      </c>
      <c r="E197" s="264">
        <f t="shared" si="23"/>
        <v>8.9165938081318412</v>
      </c>
      <c r="F197" s="264">
        <f t="shared" si="22"/>
        <v>-3.9606582638110899E-3</v>
      </c>
      <c r="G197">
        <v>1879.25</v>
      </c>
      <c r="H197" s="263">
        <f t="shared" si="24"/>
        <v>-9.1746090049683926E-2</v>
      </c>
      <c r="I197">
        <v>8.1180000000000003</v>
      </c>
      <c r="J197">
        <f t="shared" si="25"/>
        <v>8.1180000000000002E-2</v>
      </c>
      <c r="K197" s="263">
        <f t="shared" si="27"/>
        <v>-0.17292609004968393</v>
      </c>
      <c r="L197" s="263">
        <f t="shared" si="26"/>
        <v>-8.5140658263811092E-2</v>
      </c>
    </row>
    <row r="198" spans="1:12">
      <c r="A198" s="253">
        <v>34577</v>
      </c>
      <c r="B198">
        <v>8.3066999999999993</v>
      </c>
      <c r="C198" s="272"/>
      <c r="D198" s="264">
        <f t="shared" si="21"/>
        <v>1.077690276309778</v>
      </c>
      <c r="E198" s="264">
        <f t="shared" si="23"/>
        <v>8.9520498182224326</v>
      </c>
      <c r="F198" s="264">
        <f t="shared" si="22"/>
        <v>-5.1856287425148251E-3</v>
      </c>
      <c r="G198">
        <v>2069.08</v>
      </c>
      <c r="H198" s="263">
        <f t="shared" si="24"/>
        <v>-2.8482064973806009E-3</v>
      </c>
      <c r="I198">
        <v>7.8879999999999999</v>
      </c>
      <c r="J198">
        <f t="shared" si="25"/>
        <v>7.8880000000000006E-2</v>
      </c>
      <c r="K198" s="263">
        <f t="shared" si="27"/>
        <v>-8.1728206497380607E-2</v>
      </c>
      <c r="L198" s="263">
        <f t="shared" si="26"/>
        <v>-8.4065628742514831E-2</v>
      </c>
    </row>
    <row r="199" spans="1:12">
      <c r="A199" s="253">
        <v>34544</v>
      </c>
      <c r="B199">
        <v>8.35</v>
      </c>
      <c r="C199" s="272"/>
      <c r="D199" s="264">
        <f t="shared" si="21"/>
        <v>1.077690276309778</v>
      </c>
      <c r="E199" s="264">
        <f t="shared" si="23"/>
        <v>8.998713807186645</v>
      </c>
      <c r="F199" s="264">
        <f t="shared" si="22"/>
        <v>0.11961812306413311</v>
      </c>
      <c r="G199">
        <v>2074.9899999999998</v>
      </c>
      <c r="H199" s="263">
        <f t="shared" si="24"/>
        <v>9.671775898520063E-2</v>
      </c>
      <c r="I199">
        <v>7.25</v>
      </c>
      <c r="J199">
        <f t="shared" si="25"/>
        <v>7.2499999999999995E-2</v>
      </c>
      <c r="K199" s="263">
        <f t="shared" si="27"/>
        <v>2.4217758985200635E-2</v>
      </c>
      <c r="L199" s="263">
        <f t="shared" si="26"/>
        <v>4.7118123064133113E-2</v>
      </c>
    </row>
    <row r="200" spans="1:12">
      <c r="A200" s="253">
        <v>34515</v>
      </c>
      <c r="B200">
        <v>7.4579000000000004</v>
      </c>
      <c r="C200" s="272">
        <v>0.21</v>
      </c>
      <c r="D200" s="264">
        <f t="shared" si="21"/>
        <v>1.077690276309778</v>
      </c>
      <c r="E200" s="264">
        <f t="shared" si="23"/>
        <v>8.0373063116906938</v>
      </c>
      <c r="F200" s="264">
        <f t="shared" si="22"/>
        <v>-5.3443333203616605E-3</v>
      </c>
      <c r="G200">
        <v>1892</v>
      </c>
      <c r="H200" s="263">
        <f t="shared" si="24"/>
        <v>-6.7934381003990407E-2</v>
      </c>
      <c r="I200">
        <v>7.5759999999999996</v>
      </c>
      <c r="J200">
        <f t="shared" si="25"/>
        <v>7.5759999999999994E-2</v>
      </c>
      <c r="K200" s="263">
        <f t="shared" si="27"/>
        <v>-0.1436943810039904</v>
      </c>
      <c r="L200" s="263">
        <f t="shared" si="26"/>
        <v>-8.1104333320361655E-2</v>
      </c>
    </row>
    <row r="201" spans="1:12">
      <c r="A201" s="253">
        <v>34485</v>
      </c>
      <c r="B201">
        <v>7.7091000000000003</v>
      </c>
      <c r="C201" s="272"/>
      <c r="D201" s="264">
        <f t="shared" si="21"/>
        <v>1.048175681958645</v>
      </c>
      <c r="E201" s="264">
        <f t="shared" si="23"/>
        <v>8.0804911497873899</v>
      </c>
      <c r="F201" s="264">
        <f t="shared" si="22"/>
        <v>-0.11266243856397984</v>
      </c>
      <c r="G201">
        <v>2029.9</v>
      </c>
      <c r="H201" s="263">
        <f t="shared" si="24"/>
        <v>-6.2817411217196972E-2</v>
      </c>
      <c r="I201">
        <v>7.34</v>
      </c>
      <c r="J201">
        <f t="shared" si="25"/>
        <v>7.3399999999999993E-2</v>
      </c>
      <c r="K201" s="263">
        <f t="shared" si="27"/>
        <v>-0.13621741121719697</v>
      </c>
      <c r="L201" s="263">
        <f t="shared" si="26"/>
        <v>-0.18606243856397983</v>
      </c>
    </row>
    <row r="202" spans="1:12">
      <c r="A202" s="253">
        <v>34453</v>
      </c>
      <c r="B202">
        <v>8.6879000000000008</v>
      </c>
      <c r="C202" s="272"/>
      <c r="D202" s="264">
        <f t="shared" si="21"/>
        <v>1.048175681958645</v>
      </c>
      <c r="E202" s="264">
        <f t="shared" si="23"/>
        <v>9.1064455072885124</v>
      </c>
      <c r="F202" s="264">
        <f t="shared" si="22"/>
        <v>2.1384904773101399E-2</v>
      </c>
      <c r="G202">
        <v>2165.96</v>
      </c>
      <c r="H202" s="263">
        <f t="shared" si="24"/>
        <v>4.0356590487718114E-2</v>
      </c>
      <c r="I202">
        <v>6.7830000000000004</v>
      </c>
      <c r="J202">
        <f t="shared" si="25"/>
        <v>6.7830000000000001E-2</v>
      </c>
      <c r="K202" s="263">
        <f t="shared" si="27"/>
        <v>-2.7473409512281888E-2</v>
      </c>
      <c r="L202" s="263">
        <f t="shared" si="26"/>
        <v>-4.6445095226898603E-2</v>
      </c>
    </row>
    <row r="203" spans="1:12">
      <c r="A203" s="253">
        <v>34424</v>
      </c>
      <c r="B203">
        <v>8.5060000000000002</v>
      </c>
      <c r="C203" s="272"/>
      <c r="D203" s="264">
        <f t="shared" si="21"/>
        <v>1.048175681958645</v>
      </c>
      <c r="E203" s="264">
        <f t="shared" si="23"/>
        <v>8.9157823507402352</v>
      </c>
      <c r="F203" s="264">
        <f t="shared" si="22"/>
        <v>-7.4458940404556917E-2</v>
      </c>
      <c r="G203">
        <v>2081.94</v>
      </c>
      <c r="H203" s="263">
        <f t="shared" si="24"/>
        <v>-6.9756842980080891E-2</v>
      </c>
      <c r="I203">
        <v>6.4660000000000002</v>
      </c>
      <c r="J203">
        <f t="shared" si="25"/>
        <v>6.4659999999999995E-2</v>
      </c>
      <c r="K203" s="263">
        <f t="shared" si="27"/>
        <v>-0.13441684298008089</v>
      </c>
      <c r="L203" s="263">
        <f t="shared" si="26"/>
        <v>-0.13911894040455691</v>
      </c>
    </row>
    <row r="204" spans="1:12">
      <c r="A204" s="253">
        <v>34393</v>
      </c>
      <c r="B204">
        <v>9.1903000000000006</v>
      </c>
      <c r="C204" s="272"/>
      <c r="D204" s="264">
        <f t="shared" si="21"/>
        <v>1.048175681958645</v>
      </c>
      <c r="E204" s="264">
        <f t="shared" si="23"/>
        <v>9.6330489699045359</v>
      </c>
      <c r="F204" s="264">
        <f t="shared" si="22"/>
        <v>-5.4359681435597662E-2</v>
      </c>
      <c r="G204">
        <v>2238.06</v>
      </c>
      <c r="H204" s="263">
        <f t="shared" si="24"/>
        <v>-4.1253277129491672E-2</v>
      </c>
      <c r="J204">
        <f t="shared" si="25"/>
        <v>0</v>
      </c>
      <c r="K204" s="263">
        <f t="shared" si="27"/>
        <v>-4.1253277129491672E-2</v>
      </c>
    </row>
    <row r="205" spans="1:12">
      <c r="A205" s="253">
        <v>34365</v>
      </c>
      <c r="B205">
        <v>9.7186000000000003</v>
      </c>
      <c r="C205" s="272"/>
      <c r="D205" s="264">
        <f t="shared" si="21"/>
        <v>1.048175681958645</v>
      </c>
      <c r="E205" s="264">
        <f t="shared" si="23"/>
        <v>10.186800182683287</v>
      </c>
      <c r="F205" s="264">
        <f t="shared" si="22"/>
        <v>0.10107063955135098</v>
      </c>
      <c r="G205">
        <v>2334.36</v>
      </c>
      <c r="H205" s="263">
        <f t="shared" si="24"/>
        <v>2.9159428979552482E-2</v>
      </c>
      <c r="J205">
        <f t="shared" si="25"/>
        <v>0</v>
      </c>
      <c r="K205" s="263">
        <f t="shared" si="27"/>
        <v>2.9159428979552482E-2</v>
      </c>
    </row>
    <row r="206" spans="1:12">
      <c r="A206" s="253">
        <v>34334</v>
      </c>
      <c r="B206">
        <v>8.8264999999999993</v>
      </c>
      <c r="C206" s="272"/>
      <c r="D206" s="264">
        <f t="shared" si="21"/>
        <v>1.048175681958645</v>
      </c>
      <c r="E206" s="264">
        <f t="shared" si="23"/>
        <v>9.2517226568079796</v>
      </c>
      <c r="F206" s="264">
        <f t="shared" si="22"/>
        <v>8.8683317915510207E-2</v>
      </c>
      <c r="G206">
        <v>2268.2199999999998</v>
      </c>
      <c r="H206" s="263">
        <f t="shared" si="24"/>
        <v>7.4939931472117083E-2</v>
      </c>
      <c r="J206">
        <f t="shared" si="25"/>
        <v>0</v>
      </c>
      <c r="K206" s="263">
        <f t="shared" si="27"/>
        <v>7.4939931472117083E-2</v>
      </c>
    </row>
    <row r="207" spans="1:12">
      <c r="A207" s="253">
        <v>34303</v>
      </c>
      <c r="B207">
        <v>8.1074999999999999</v>
      </c>
      <c r="C207" s="272"/>
      <c r="D207" s="264">
        <f t="shared" si="21"/>
        <v>1.048175681958645</v>
      </c>
      <c r="E207" s="264">
        <f t="shared" si="23"/>
        <v>8.4980843414797143</v>
      </c>
      <c r="F207" s="264">
        <f t="shared" si="22"/>
        <v>-4.9742730224217269E-2</v>
      </c>
      <c r="G207">
        <v>2110.09</v>
      </c>
      <c r="H207" s="263">
        <f t="shared" si="24"/>
        <v>-3.2933843580283506E-2</v>
      </c>
      <c r="J207">
        <f t="shared" si="25"/>
        <v>0</v>
      </c>
      <c r="K207" s="263">
        <f t="shared" si="27"/>
        <v>-3.2933843580283506E-2</v>
      </c>
    </row>
    <row r="208" spans="1:12">
      <c r="A208" s="253">
        <v>34271</v>
      </c>
      <c r="B208">
        <v>8.5319000000000003</v>
      </c>
      <c r="C208" s="272"/>
      <c r="D208" s="264">
        <f t="shared" si="21"/>
        <v>1.048175681958645</v>
      </c>
      <c r="E208" s="264">
        <f t="shared" si="23"/>
        <v>8.9429301009029629</v>
      </c>
      <c r="F208" s="264">
        <f t="shared" si="22"/>
        <v>7.1535655684487054E-3</v>
      </c>
      <c r="G208">
        <v>2181.9499999999998</v>
      </c>
      <c r="H208" s="263">
        <f t="shared" si="24"/>
        <v>3.1835356539914539E-2</v>
      </c>
      <c r="J208">
        <f t="shared" si="25"/>
        <v>0</v>
      </c>
      <c r="K208" s="263">
        <f t="shared" si="27"/>
        <v>3.1835356539914539E-2</v>
      </c>
    </row>
    <row r="209" spans="1:11">
      <c r="A209" s="253">
        <v>34242</v>
      </c>
      <c r="B209">
        <v>8.4712999999999994</v>
      </c>
      <c r="C209" s="272"/>
      <c r="D209" s="264">
        <f t="shared" si="21"/>
        <v>1.048175681958645</v>
      </c>
      <c r="E209" s="264">
        <f t="shared" si="23"/>
        <v>8.8794106545762688</v>
      </c>
      <c r="F209" s="264">
        <f t="shared" si="22"/>
        <v>-3.0721526808393906E-2</v>
      </c>
      <c r="G209">
        <v>2114.63</v>
      </c>
      <c r="H209" s="263">
        <f t="shared" si="24"/>
        <v>-4.5955542321417964E-2</v>
      </c>
      <c r="J209">
        <f t="shared" si="25"/>
        <v>0</v>
      </c>
      <c r="K209" s="263">
        <f t="shared" si="27"/>
        <v>-4.5955542321417964E-2</v>
      </c>
    </row>
    <row r="210" spans="1:11">
      <c r="A210" s="253">
        <v>34212</v>
      </c>
      <c r="B210">
        <v>8.7398000000000007</v>
      </c>
      <c r="C210" s="272"/>
      <c r="D210" s="264">
        <f t="shared" si="21"/>
        <v>1.048175681958645</v>
      </c>
      <c r="E210" s="264">
        <f t="shared" si="23"/>
        <v>9.1608458251821663</v>
      </c>
      <c r="F210" s="264">
        <f t="shared" si="22"/>
        <v>1.9183002343941435E-2</v>
      </c>
      <c r="G210">
        <v>2216.4899999999998</v>
      </c>
      <c r="H210" s="263">
        <f t="shared" si="24"/>
        <v>6.2616257886359605E-2</v>
      </c>
      <c r="J210">
        <f t="shared" si="25"/>
        <v>0</v>
      </c>
      <c r="K210" s="263">
        <f t="shared" si="27"/>
        <v>6.2616257886359605E-2</v>
      </c>
    </row>
    <row r="211" spans="1:11">
      <c r="A211" s="253">
        <v>34180</v>
      </c>
      <c r="B211">
        <v>8.5753000000000004</v>
      </c>
      <c r="C211" s="272"/>
      <c r="D211" s="264">
        <f t="shared" si="21"/>
        <v>1.048175681958645</v>
      </c>
      <c r="E211" s="264">
        <f t="shared" si="23"/>
        <v>8.9884209254999679</v>
      </c>
      <c r="F211" s="264">
        <f t="shared" si="22"/>
        <v>4.5411322962890743E-2</v>
      </c>
      <c r="G211">
        <v>2085.88</v>
      </c>
      <c r="H211" s="263">
        <f t="shared" si="24"/>
        <v>5.7818213168211008E-2</v>
      </c>
      <c r="J211">
        <f t="shared" si="25"/>
        <v>0</v>
      </c>
      <c r="K211" s="263">
        <f t="shared" si="27"/>
        <v>5.7818213168211008E-2</v>
      </c>
    </row>
    <row r="212" spans="1:11">
      <c r="A212" s="253">
        <v>34150</v>
      </c>
      <c r="B212">
        <v>8.2027999999999999</v>
      </c>
      <c r="C212" s="272">
        <v>0.21</v>
      </c>
      <c r="D212" s="264">
        <f t="shared" si="21"/>
        <v>1.048175681958645</v>
      </c>
      <c r="E212" s="264">
        <f t="shared" si="23"/>
        <v>8.597975483970373</v>
      </c>
      <c r="F212" s="264">
        <f t="shared" si="22"/>
        <v>7.3198112004082105E-2</v>
      </c>
      <c r="G212">
        <v>1971.87</v>
      </c>
      <c r="H212" s="263">
        <f t="shared" si="24"/>
        <v>4.4035580028590982E-2</v>
      </c>
      <c r="J212">
        <f t="shared" si="25"/>
        <v>0</v>
      </c>
      <c r="K212" s="263">
        <f t="shared" si="27"/>
        <v>4.4035580028590982E-2</v>
      </c>
    </row>
    <row r="213" spans="1:11">
      <c r="A213" s="253">
        <v>34120</v>
      </c>
      <c r="B213">
        <v>7.8390000000000004</v>
      </c>
      <c r="C213" s="272"/>
      <c r="D213" s="264">
        <f t="shared" si="21"/>
        <v>1.0220111596579466</v>
      </c>
      <c r="E213" s="264">
        <f t="shared" si="23"/>
        <v>8.0115454805586435</v>
      </c>
      <c r="F213" s="264">
        <f t="shared" si="22"/>
        <v>-6.6051897919794045E-2</v>
      </c>
      <c r="G213">
        <v>1888.7</v>
      </c>
      <c r="H213" s="263">
        <f t="shared" si="24"/>
        <v>-2.5956277107625936E-2</v>
      </c>
      <c r="J213">
        <f t="shared" si="25"/>
        <v>0</v>
      </c>
      <c r="K213" s="263">
        <f t="shared" si="27"/>
        <v>-2.5956277107625936E-2</v>
      </c>
    </row>
    <row r="214" spans="1:11">
      <c r="A214" s="253">
        <v>34089</v>
      </c>
      <c r="B214">
        <v>8.3933999999999997</v>
      </c>
      <c r="C214" s="272"/>
      <c r="D214" s="264">
        <f t="shared" si="21"/>
        <v>1.0220111596579466</v>
      </c>
      <c r="E214" s="264">
        <f t="shared" si="23"/>
        <v>8.5781484674730084</v>
      </c>
      <c r="F214" s="264">
        <f t="shared" si="22"/>
        <v>-3.9634774251127269E-2</v>
      </c>
      <c r="G214">
        <v>1939.03</v>
      </c>
      <c r="H214" s="263">
        <f t="shared" si="24"/>
        <v>-4.5461705835441957E-2</v>
      </c>
      <c r="J214">
        <f t="shared" si="25"/>
        <v>0</v>
      </c>
      <c r="K214" s="263">
        <f t="shared" si="27"/>
        <v>-4.5461705835441957E-2</v>
      </c>
    </row>
    <row r="215" spans="1:11">
      <c r="A215" s="253">
        <v>34059</v>
      </c>
      <c r="B215">
        <v>8.7398000000000007</v>
      </c>
      <c r="C215" s="272"/>
      <c r="D215" s="264">
        <f t="shared" si="21"/>
        <v>1.0220111596579466</v>
      </c>
      <c r="E215" s="264">
        <f t="shared" si="23"/>
        <v>8.932173133178523</v>
      </c>
      <c r="F215" s="264">
        <f t="shared" si="22"/>
        <v>-3.9054425508521118E-2</v>
      </c>
      <c r="G215">
        <v>2031.38</v>
      </c>
      <c r="H215" s="263">
        <f t="shared" si="24"/>
        <v>2.4030730298279623E-2</v>
      </c>
      <c r="J215">
        <f t="shared" si="25"/>
        <v>0</v>
      </c>
      <c r="K215" s="263">
        <f t="shared" si="27"/>
        <v>2.4030730298279623E-2</v>
      </c>
    </row>
    <row r="216" spans="1:11">
      <c r="A216" s="253">
        <v>34026</v>
      </c>
      <c r="B216">
        <v>9.0950000000000006</v>
      </c>
      <c r="C216" s="272"/>
      <c r="D216" s="264">
        <f t="shared" si="21"/>
        <v>1.0220111596579466</v>
      </c>
      <c r="E216" s="264">
        <f t="shared" si="23"/>
        <v>9.295191497089025</v>
      </c>
      <c r="F216" s="264">
        <f t="shared" si="22"/>
        <v>8.3589486977863725E-2</v>
      </c>
      <c r="G216">
        <v>1983.71</v>
      </c>
      <c r="H216" s="263">
        <f t="shared" si="24"/>
        <v>0.119342515841802</v>
      </c>
      <c r="J216">
        <f t="shared" si="25"/>
        <v>0</v>
      </c>
      <c r="K216" s="263">
        <f t="shared" si="27"/>
        <v>0.119342515841802</v>
      </c>
    </row>
    <row r="217" spans="1:11">
      <c r="A217" s="253">
        <v>33998</v>
      </c>
      <c r="B217">
        <v>8.3933999999999997</v>
      </c>
      <c r="C217" s="272"/>
      <c r="D217" s="264">
        <f t="shared" si="21"/>
        <v>1.0220111596579466</v>
      </c>
      <c r="E217" s="264">
        <f t="shared" si="23"/>
        <v>8.5781484674730084</v>
      </c>
      <c r="F217" s="264">
        <f t="shared" si="22"/>
        <v>-0.1386614124746014</v>
      </c>
      <c r="G217">
        <v>1772.21</v>
      </c>
      <c r="H217" s="263">
        <f t="shared" si="24"/>
        <v>-4.6060351602450256E-2</v>
      </c>
      <c r="J217">
        <f t="shared" si="25"/>
        <v>0</v>
      </c>
      <c r="K217" s="263">
        <f t="shared" si="27"/>
        <v>-4.6060351602450256E-2</v>
      </c>
    </row>
    <row r="218" spans="1:11">
      <c r="A218" s="253">
        <v>33969</v>
      </c>
      <c r="B218">
        <v>9.7446000000000002</v>
      </c>
      <c r="C218" s="272"/>
      <c r="D218" s="264">
        <f t="shared" si="21"/>
        <v>1.0220111596579466</v>
      </c>
      <c r="E218" s="264">
        <f t="shared" si="23"/>
        <v>9.9590899464028269</v>
      </c>
      <c r="F218" s="264">
        <f t="shared" si="22"/>
        <v>7.1423859263331391E-2</v>
      </c>
      <c r="G218">
        <v>1857.78</v>
      </c>
      <c r="H218" s="263">
        <f t="shared" si="24"/>
        <v>4.8781451644772211E-2</v>
      </c>
      <c r="J218">
        <f t="shared" si="25"/>
        <v>0</v>
      </c>
      <c r="K218" s="263">
        <f t="shared" si="27"/>
        <v>4.8781451644772211E-2</v>
      </c>
    </row>
    <row r="219" spans="1:11">
      <c r="A219" s="253">
        <v>33938</v>
      </c>
      <c r="B219">
        <v>9.0950000000000006</v>
      </c>
      <c r="C219" s="272"/>
      <c r="D219" s="264">
        <f t="shared" si="21"/>
        <v>1.0220111596579466</v>
      </c>
      <c r="E219" s="264">
        <f t="shared" si="23"/>
        <v>9.295191497089025</v>
      </c>
      <c r="F219" s="264">
        <f t="shared" si="22"/>
        <v>2.0408163265306145E-2</v>
      </c>
      <c r="G219">
        <v>1771.37</v>
      </c>
      <c r="H219" s="263">
        <f t="shared" si="24"/>
        <v>1.6626492194673936E-2</v>
      </c>
      <c r="J219">
        <f t="shared" si="25"/>
        <v>0</v>
      </c>
      <c r="K219" s="263">
        <f t="shared" si="27"/>
        <v>1.6626492194673936E-2</v>
      </c>
    </row>
    <row r="220" spans="1:11">
      <c r="A220" s="253">
        <v>33907</v>
      </c>
      <c r="B220">
        <v>8.9131</v>
      </c>
      <c r="C220" s="272"/>
      <c r="D220" s="264">
        <f t="shared" si="21"/>
        <v>1.0220111596579466</v>
      </c>
      <c r="E220" s="264">
        <f>B220*D220</f>
        <v>9.1092876671472442</v>
      </c>
      <c r="F220" s="264">
        <f t="shared" si="22"/>
        <v>-5.3358823217035667E-2</v>
      </c>
      <c r="G220">
        <v>1742.4</v>
      </c>
      <c r="H220" s="263">
        <f t="shared" si="24"/>
        <v>3.2647561797169988E-3</v>
      </c>
      <c r="J220">
        <f t="shared" si="25"/>
        <v>0</v>
      </c>
      <c r="K220" s="263">
        <f t="shared" si="27"/>
        <v>3.2647561797169988E-3</v>
      </c>
    </row>
    <row r="221" spans="1:11">
      <c r="A221" s="253">
        <v>33877</v>
      </c>
      <c r="B221">
        <v>9.4154999999999998</v>
      </c>
      <c r="C221" s="272"/>
      <c r="D221" s="264">
        <f t="shared" si="21"/>
        <v>1.0220111596579466</v>
      </c>
      <c r="E221" s="264">
        <f t="shared" ref="E221:E235" si="28">B221*D221</f>
        <v>9.6227460737593962</v>
      </c>
      <c r="F221" s="264">
        <f t="shared" si="22"/>
        <v>0.10356427056107065</v>
      </c>
      <c r="G221">
        <v>1736.73</v>
      </c>
      <c r="H221" s="263">
        <f t="shared" si="24"/>
        <v>3.0773704952281378E-2</v>
      </c>
      <c r="J221">
        <f t="shared" si="25"/>
        <v>0</v>
      </c>
      <c r="K221" s="263">
        <f t="shared" si="27"/>
        <v>3.0773704952281378E-2</v>
      </c>
    </row>
    <row r="222" spans="1:11">
      <c r="A222" s="253">
        <v>33847</v>
      </c>
      <c r="B222">
        <v>8.5319000000000003</v>
      </c>
      <c r="C222" s="272"/>
      <c r="D222" s="264">
        <f t="shared" si="21"/>
        <v>1.0220111596579466</v>
      </c>
      <c r="E222" s="264">
        <f t="shared" si="28"/>
        <v>8.7196970130856357</v>
      </c>
      <c r="F222" s="264">
        <f t="shared" si="22"/>
        <v>9.214572983203384E-3</v>
      </c>
      <c r="G222">
        <v>1684.88</v>
      </c>
      <c r="H222" s="263">
        <f t="shared" si="24"/>
        <v>-3.977386061196686E-2</v>
      </c>
      <c r="J222">
        <f t="shared" si="25"/>
        <v>0</v>
      </c>
      <c r="K222" s="263">
        <f t="shared" si="27"/>
        <v>-3.977386061196686E-2</v>
      </c>
    </row>
    <row r="223" spans="1:11">
      <c r="A223" s="253">
        <v>33816</v>
      </c>
      <c r="B223">
        <v>8.4540000000000006</v>
      </c>
      <c r="C223" s="272"/>
      <c r="D223" s="264">
        <f t="shared" si="21"/>
        <v>1.0220111596579466</v>
      </c>
      <c r="E223" s="264">
        <f t="shared" si="28"/>
        <v>8.640082343748281</v>
      </c>
      <c r="F223" s="264">
        <f t="shared" si="22"/>
        <v>-6.9588281258598061E-2</v>
      </c>
      <c r="G223">
        <v>1754.67</v>
      </c>
      <c r="H223" s="263">
        <f t="shared" si="24"/>
        <v>-7.6795588831071848E-2</v>
      </c>
      <c r="J223">
        <f t="shared" si="25"/>
        <v>0</v>
      </c>
      <c r="K223" s="263">
        <f t="shared" si="27"/>
        <v>-7.6795588831071848E-2</v>
      </c>
    </row>
    <row r="224" spans="1:11">
      <c r="A224" s="253">
        <v>33785</v>
      </c>
      <c r="B224">
        <v>9.0862999999999996</v>
      </c>
      <c r="C224" s="272">
        <v>0.2</v>
      </c>
      <c r="D224" s="264">
        <f t="shared" si="21"/>
        <v>1.0220111596579466</v>
      </c>
      <c r="E224" s="264">
        <f t="shared" si="28"/>
        <v>9.2863000000000007</v>
      </c>
      <c r="F224" s="264">
        <f t="shared" si="22"/>
        <v>-3.2415029070373191E-2</v>
      </c>
      <c r="G224">
        <v>1900.63</v>
      </c>
      <c r="H224" s="263">
        <f t="shared" si="24"/>
        <v>-6.5244013397006806E-2</v>
      </c>
      <c r="J224">
        <f t="shared" si="25"/>
        <v>0</v>
      </c>
      <c r="K224" s="263">
        <f t="shared" si="27"/>
        <v>-6.5244013397006806E-2</v>
      </c>
    </row>
    <row r="225" spans="1:11">
      <c r="A225" s="253">
        <v>33753</v>
      </c>
      <c r="B225">
        <v>9.5974000000000004</v>
      </c>
      <c r="C225" s="272"/>
      <c r="D225" s="264">
        <f t="shared" si="21"/>
        <v>1</v>
      </c>
      <c r="E225" s="264">
        <f t="shared" si="28"/>
        <v>9.5974000000000004</v>
      </c>
      <c r="F225" s="264">
        <f t="shared" si="22"/>
        <v>-1.2470932027246695E-2</v>
      </c>
      <c r="G225">
        <v>2033.29</v>
      </c>
      <c r="H225" s="263">
        <f t="shared" si="24"/>
        <v>1.0585188613290164E-3</v>
      </c>
      <c r="J225">
        <f t="shared" si="25"/>
        <v>0</v>
      </c>
      <c r="K225" s="263">
        <f t="shared" si="27"/>
        <v>1.0585188613290164E-3</v>
      </c>
    </row>
    <row r="226" spans="1:11">
      <c r="A226" s="253">
        <v>33724</v>
      </c>
      <c r="B226">
        <v>9.7186000000000003</v>
      </c>
      <c r="C226" s="272"/>
      <c r="D226" s="264">
        <f t="shared" si="21"/>
        <v>1</v>
      </c>
      <c r="E226" s="264">
        <f t="shared" si="28"/>
        <v>9.7186000000000003</v>
      </c>
      <c r="F226" s="264">
        <f t="shared" si="22"/>
        <v>-3.2763390991062735E-2</v>
      </c>
      <c r="G226">
        <v>2031.14</v>
      </c>
      <c r="H226" s="263">
        <f t="shared" si="24"/>
        <v>4.5669599419284168E-2</v>
      </c>
      <c r="J226">
        <f t="shared" si="25"/>
        <v>0</v>
      </c>
      <c r="K226" s="263">
        <f t="shared" si="27"/>
        <v>4.5669599419284168E-2</v>
      </c>
    </row>
    <row r="227" spans="1:11">
      <c r="A227" s="253">
        <v>33694</v>
      </c>
      <c r="B227">
        <v>10.047800000000001</v>
      </c>
      <c r="C227" s="272"/>
      <c r="D227" s="264">
        <f t="shared" si="21"/>
        <v>1</v>
      </c>
      <c r="E227" s="264">
        <f t="shared" si="28"/>
        <v>10.047800000000001</v>
      </c>
      <c r="F227" s="264">
        <f t="shared" si="22"/>
        <v>-2.5204703325701461E-2</v>
      </c>
      <c r="G227">
        <v>1942.43</v>
      </c>
      <c r="H227" s="263">
        <f t="shared" si="24"/>
        <v>-2.0646573021811276E-2</v>
      </c>
      <c r="J227">
        <f t="shared" si="25"/>
        <v>0</v>
      </c>
      <c r="K227" s="263">
        <f t="shared" si="27"/>
        <v>-2.0646573021811276E-2</v>
      </c>
    </row>
    <row r="228" spans="1:11">
      <c r="A228" s="253">
        <v>33662</v>
      </c>
      <c r="B228">
        <v>10.307600000000001</v>
      </c>
      <c r="C228" s="272"/>
      <c r="D228" s="264">
        <f t="shared" si="21"/>
        <v>1</v>
      </c>
      <c r="E228" s="264">
        <f t="shared" si="28"/>
        <v>10.307600000000001</v>
      </c>
      <c r="F228" s="264">
        <f t="shared" si="22"/>
        <v>4.3860448630310467E-2</v>
      </c>
      <c r="G228">
        <v>1983.38</v>
      </c>
      <c r="H228" s="263">
        <f t="shared" si="24"/>
        <v>5.7661645113984861E-2</v>
      </c>
      <c r="J228">
        <f t="shared" si="25"/>
        <v>0</v>
      </c>
      <c r="K228" s="263">
        <f t="shared" si="27"/>
        <v>5.7661645113984861E-2</v>
      </c>
    </row>
    <row r="229" spans="1:11">
      <c r="A229" s="253">
        <v>33634</v>
      </c>
      <c r="B229">
        <v>9.8744999999999994</v>
      </c>
      <c r="C229" s="272"/>
      <c r="D229" s="264">
        <f t="shared" si="21"/>
        <v>1</v>
      </c>
      <c r="E229" s="264">
        <f t="shared" si="28"/>
        <v>9.8744999999999994</v>
      </c>
      <c r="F229" s="264">
        <f t="shared" si="22"/>
        <v>0.10250770398820941</v>
      </c>
      <c r="G229">
        <v>1875.25</v>
      </c>
      <c r="H229" s="263">
        <f t="shared" si="24"/>
        <v>6.206744220291549E-2</v>
      </c>
      <c r="J229">
        <f t="shared" si="25"/>
        <v>0</v>
      </c>
      <c r="K229" s="263">
        <f t="shared" si="27"/>
        <v>6.206744220291549E-2</v>
      </c>
    </row>
    <row r="230" spans="1:11">
      <c r="A230" s="253">
        <v>33603</v>
      </c>
      <c r="B230">
        <v>8.9564000000000004</v>
      </c>
      <c r="C230" s="272"/>
      <c r="D230" s="264">
        <f t="shared" si="21"/>
        <v>1</v>
      </c>
      <c r="E230" s="264">
        <f t="shared" si="28"/>
        <v>8.9564000000000004</v>
      </c>
      <c r="F230" s="264">
        <f t="shared" si="22"/>
        <v>6.818371557718228E-2</v>
      </c>
      <c r="G230">
        <v>1765.66</v>
      </c>
      <c r="H230" s="263">
        <f t="shared" si="24"/>
        <v>1.4922113007989957E-2</v>
      </c>
      <c r="J230">
        <f t="shared" si="25"/>
        <v>0</v>
      </c>
      <c r="K230" s="263">
        <f t="shared" si="27"/>
        <v>1.4922113007989957E-2</v>
      </c>
    </row>
    <row r="231" spans="1:11">
      <c r="A231" s="253">
        <v>33571</v>
      </c>
      <c r="B231">
        <v>8.3847000000000005</v>
      </c>
      <c r="C231" s="272"/>
      <c r="D231" s="264">
        <f t="shared" si="21"/>
        <v>1</v>
      </c>
      <c r="E231" s="264">
        <f t="shared" si="28"/>
        <v>8.3847000000000005</v>
      </c>
      <c r="F231" s="264">
        <f t="shared" si="22"/>
        <v>-5.4691199350605291E-2</v>
      </c>
      <c r="G231">
        <v>1739.7</v>
      </c>
      <c r="H231" s="263">
        <f t="shared" si="24"/>
        <v>-6.299988689427849E-2</v>
      </c>
      <c r="J231">
        <f t="shared" si="25"/>
        <v>0</v>
      </c>
      <c r="K231" s="263">
        <f t="shared" si="27"/>
        <v>-6.299988689427849E-2</v>
      </c>
    </row>
    <row r="232" spans="1:11">
      <c r="A232" s="253">
        <v>33542</v>
      </c>
      <c r="B232">
        <v>8.8697999999999997</v>
      </c>
      <c r="C232" s="272"/>
      <c r="D232" s="264">
        <f t="shared" si="21"/>
        <v>1</v>
      </c>
      <c r="E232" s="264">
        <f t="shared" si="28"/>
        <v>8.8697999999999997</v>
      </c>
      <c r="F232" s="264">
        <f t="shared" si="22"/>
        <v>4.4907287420776099E-2</v>
      </c>
      <c r="G232">
        <v>1856.67</v>
      </c>
      <c r="H232" s="263">
        <f t="shared" si="24"/>
        <v>-1.2719412524792695E-2</v>
      </c>
      <c r="J232">
        <f t="shared" si="25"/>
        <v>0</v>
      </c>
      <c r="K232" s="263">
        <f t="shared" si="27"/>
        <v>-1.2719412524792695E-2</v>
      </c>
    </row>
    <row r="233" spans="1:11">
      <c r="A233" s="253">
        <v>33511</v>
      </c>
      <c r="B233">
        <v>8.4885999999999999</v>
      </c>
      <c r="C233" s="272"/>
      <c r="D233" s="264">
        <f t="shared" si="21"/>
        <v>1</v>
      </c>
      <c r="E233" s="264">
        <f t="shared" si="28"/>
        <v>8.4885999999999999</v>
      </c>
      <c r="F233" s="264">
        <f t="shared" si="22"/>
        <v>3.2663836206372032E-2</v>
      </c>
      <c r="G233">
        <v>1880.59</v>
      </c>
      <c r="H233" s="263">
        <f t="shared" si="24"/>
        <v>8.7595077939772725E-3</v>
      </c>
      <c r="J233">
        <f t="shared" si="25"/>
        <v>0</v>
      </c>
      <c r="K233" s="263">
        <f t="shared" si="27"/>
        <v>8.7595077939772725E-3</v>
      </c>
    </row>
    <row r="234" spans="1:11">
      <c r="A234" s="253">
        <v>33480</v>
      </c>
      <c r="B234">
        <v>8.2201000000000004</v>
      </c>
      <c r="C234" s="272"/>
      <c r="D234" s="264">
        <f t="shared" si="21"/>
        <v>1</v>
      </c>
      <c r="E234" s="264">
        <f t="shared" si="28"/>
        <v>8.2201000000000004</v>
      </c>
      <c r="F234" s="264">
        <f t="shared" si="22"/>
        <v>0.10476305674273578</v>
      </c>
      <c r="G234">
        <v>1864.26</v>
      </c>
      <c r="H234" s="263">
        <f t="shared" si="24"/>
        <v>6.2419859465558725E-2</v>
      </c>
      <c r="J234">
        <f t="shared" si="25"/>
        <v>0</v>
      </c>
      <c r="K234" s="263">
        <f t="shared" si="27"/>
        <v>6.2419859465558725E-2</v>
      </c>
    </row>
    <row r="235" spans="1:11">
      <c r="A235" s="253">
        <v>33450</v>
      </c>
      <c r="B235">
        <v>7.4405999999999999</v>
      </c>
      <c r="C235" s="272"/>
      <c r="D235" s="264">
        <f t="shared" si="21"/>
        <v>1</v>
      </c>
      <c r="E235" s="264">
        <f t="shared" si="28"/>
        <v>7.4405999999999999</v>
      </c>
      <c r="F235" s="264">
        <f t="shared" si="22"/>
        <v>0</v>
      </c>
      <c r="G235">
        <v>1754.73</v>
      </c>
      <c r="H235" s="263">
        <f t="shared" si="24"/>
        <v>4.0683901534659395E-3</v>
      </c>
      <c r="J235">
        <f t="shared" si="25"/>
        <v>0</v>
      </c>
      <c r="K235" s="263">
        <f t="shared" si="27"/>
        <v>4.0683901534659395E-3</v>
      </c>
    </row>
    <row r="236" spans="1:11">
      <c r="A236" s="253">
        <v>33417</v>
      </c>
      <c r="B236">
        <v>7.4405999999999999</v>
      </c>
      <c r="C236" s="272"/>
      <c r="D236" s="264">
        <f t="shared" si="21"/>
        <v>1</v>
      </c>
      <c r="E236" s="264">
        <f>B236*D236</f>
        <v>7.4405999999999999</v>
      </c>
      <c r="F236" s="264">
        <f t="shared" si="22"/>
        <v>-2.8274411983649106E-2</v>
      </c>
      <c r="G236">
        <v>1747.62</v>
      </c>
      <c r="H236" s="263">
        <f t="shared" si="24"/>
        <v>-6.1317663741150996E-2</v>
      </c>
      <c r="J236">
        <f t="shared" si="25"/>
        <v>0</v>
      </c>
      <c r="K236" s="263">
        <f t="shared" si="27"/>
        <v>-6.1317663741150996E-2</v>
      </c>
    </row>
    <row r="237" spans="1:11">
      <c r="A237" s="253">
        <v>33389</v>
      </c>
      <c r="B237">
        <v>7.6570999999999998</v>
      </c>
      <c r="C237" s="272"/>
      <c r="D237" s="264">
        <f t="shared" si="21"/>
        <v>1</v>
      </c>
      <c r="E237" s="264">
        <f t="shared" ref="E237:E242" si="29">B237*D237</f>
        <v>7.6570999999999998</v>
      </c>
      <c r="F237" s="264">
        <f t="shared" si="22"/>
        <v>3.3918902496657966E-2</v>
      </c>
      <c r="G237">
        <v>1861.78</v>
      </c>
      <c r="H237" s="263">
        <f t="shared" si="24"/>
        <v>4.6425881585899109E-2</v>
      </c>
      <c r="J237">
        <f t="shared" si="25"/>
        <v>0</v>
      </c>
      <c r="K237" s="263">
        <f t="shared" si="27"/>
        <v>4.6425881585899109E-2</v>
      </c>
    </row>
    <row r="238" spans="1:11">
      <c r="A238" s="253">
        <v>33358</v>
      </c>
      <c r="B238">
        <v>7.4058999999999999</v>
      </c>
      <c r="C238" s="272"/>
      <c r="D238" s="264">
        <f t="shared" si="21"/>
        <v>1</v>
      </c>
      <c r="E238" s="264">
        <f t="shared" si="29"/>
        <v>7.4058999999999999</v>
      </c>
      <c r="F238" s="264">
        <f t="shared" si="22"/>
        <v>-3.824476650563613E-2</v>
      </c>
      <c r="G238">
        <v>1779.18</v>
      </c>
      <c r="H238" s="263">
        <f t="shared" si="24"/>
        <v>-2.0469510449470318E-2</v>
      </c>
      <c r="J238">
        <f t="shared" si="25"/>
        <v>0</v>
      </c>
      <c r="K238" s="263">
        <f t="shared" si="27"/>
        <v>-2.0469510449470318E-2</v>
      </c>
    </row>
    <row r="239" spans="1:11">
      <c r="A239" s="253">
        <v>33326</v>
      </c>
      <c r="B239">
        <v>7.7004000000000001</v>
      </c>
      <c r="C239" s="272"/>
      <c r="D239" s="264">
        <f t="shared" si="21"/>
        <v>1</v>
      </c>
      <c r="E239" s="264">
        <f t="shared" si="29"/>
        <v>7.7004000000000001</v>
      </c>
      <c r="F239" s="264">
        <f t="shared" si="22"/>
        <v>9.3480637877905837E-2</v>
      </c>
      <c r="G239">
        <v>1816.36</v>
      </c>
      <c r="H239" s="263">
        <f t="shared" si="24"/>
        <v>3.214588104262428E-2</v>
      </c>
      <c r="J239">
        <f t="shared" si="25"/>
        <v>0</v>
      </c>
      <c r="K239" s="263">
        <f t="shared" si="27"/>
        <v>3.214588104262428E-2</v>
      </c>
    </row>
    <row r="240" spans="1:11">
      <c r="A240" s="253">
        <v>33297</v>
      </c>
      <c r="B240">
        <v>7.0420999999999996</v>
      </c>
      <c r="C240" s="272"/>
      <c r="D240" s="264">
        <f t="shared" si="21"/>
        <v>1</v>
      </c>
      <c r="E240" s="264">
        <f t="shared" si="29"/>
        <v>7.0420999999999996</v>
      </c>
      <c r="F240" s="264">
        <f t="shared" si="22"/>
        <v>-8.5319667168822777E-3</v>
      </c>
      <c r="G240">
        <v>1759.79</v>
      </c>
      <c r="H240" s="263">
        <f t="shared" si="24"/>
        <v>0.11331903559882828</v>
      </c>
      <c r="J240">
        <f t="shared" si="25"/>
        <v>0</v>
      </c>
      <c r="K240" s="263">
        <f t="shared" si="27"/>
        <v>0.11331903559882828</v>
      </c>
    </row>
    <row r="241" spans="1:11">
      <c r="A241" s="253">
        <v>33269</v>
      </c>
      <c r="B241">
        <v>7.1026999999999996</v>
      </c>
      <c r="C241" s="272"/>
      <c r="D241" s="264">
        <f t="shared" si="21"/>
        <v>1</v>
      </c>
      <c r="E241" s="264">
        <f t="shared" si="29"/>
        <v>7.1026999999999996</v>
      </c>
      <c r="F241" s="264">
        <f t="shared" si="22"/>
        <v>9.0424796966393828E-2</v>
      </c>
      <c r="G241">
        <v>1580.67</v>
      </c>
      <c r="H241" s="263">
        <f t="shared" si="24"/>
        <v>5.0209288419374332E-2</v>
      </c>
      <c r="J241">
        <f t="shared" si="25"/>
        <v>0</v>
      </c>
      <c r="K241" s="263">
        <f t="shared" si="27"/>
        <v>5.0209288419374332E-2</v>
      </c>
    </row>
    <row r="242" spans="1:11">
      <c r="A242" s="253">
        <v>33238</v>
      </c>
      <c r="B242">
        <v>6.5137</v>
      </c>
      <c r="C242" s="272"/>
      <c r="D242" s="264">
        <v>1</v>
      </c>
      <c r="E242" s="264">
        <f t="shared" si="29"/>
        <v>6.5137</v>
      </c>
      <c r="F242" s="264"/>
      <c r="G242">
        <v>1505.1</v>
      </c>
      <c r="J242">
        <f t="shared" si="25"/>
        <v>0</v>
      </c>
      <c r="K242" s="263">
        <f t="shared" si="27"/>
        <v>0</v>
      </c>
    </row>
    <row r="243" spans="1:11">
      <c r="A243" s="253">
        <v>33207</v>
      </c>
      <c r="B243">
        <v>7.4752000000000001</v>
      </c>
      <c r="C243" s="272"/>
      <c r="D243" s="264"/>
      <c r="E243" s="272"/>
      <c r="F243" s="272"/>
      <c r="G243">
        <v>1605.12</v>
      </c>
      <c r="J243">
        <f t="shared" si="25"/>
        <v>0</v>
      </c>
      <c r="K243" s="263">
        <f t="shared" si="27"/>
        <v>0</v>
      </c>
    </row>
    <row r="244" spans="1:11">
      <c r="A244" s="253">
        <v>33177</v>
      </c>
      <c r="B244">
        <v>6.8601999999999999</v>
      </c>
      <c r="C244" s="272"/>
      <c r="D244" s="264"/>
      <c r="E244" s="272"/>
      <c r="F244" s="272"/>
      <c r="G244">
        <v>1645.57</v>
      </c>
      <c r="J244">
        <f t="shared" si="25"/>
        <v>0</v>
      </c>
      <c r="K244" s="263">
        <f t="shared" si="27"/>
        <v>0</v>
      </c>
    </row>
    <row r="245" spans="1:11">
      <c r="A245" s="253">
        <v>33144</v>
      </c>
      <c r="B245">
        <v>6.2798999999999996</v>
      </c>
      <c r="C245" s="272"/>
      <c r="D245" s="264"/>
      <c r="E245" s="272"/>
      <c r="F245" s="272"/>
      <c r="G245">
        <v>1491.76</v>
      </c>
      <c r="J245">
        <f t="shared" si="25"/>
        <v>0</v>
      </c>
      <c r="K245" s="263">
        <f t="shared" si="27"/>
        <v>0</v>
      </c>
    </row>
    <row r="246" spans="1:11">
      <c r="A246" s="253">
        <v>33116</v>
      </c>
      <c r="B246">
        <v>7.1894</v>
      </c>
      <c r="C246" s="272"/>
      <c r="D246" s="264"/>
      <c r="E246" s="272"/>
      <c r="F246" s="272"/>
      <c r="G246">
        <v>1690.17</v>
      </c>
      <c r="J246">
        <f t="shared" si="25"/>
        <v>0</v>
      </c>
      <c r="K246" s="263">
        <f t="shared" si="27"/>
        <v>0</v>
      </c>
    </row>
    <row r="247" spans="1:11">
      <c r="A247" s="253">
        <v>33085</v>
      </c>
      <c r="B247">
        <v>8.4626999999999999</v>
      </c>
      <c r="C247" s="272"/>
      <c r="D247" s="264"/>
      <c r="E247" s="272"/>
      <c r="F247" s="272"/>
      <c r="G247">
        <v>1965.57</v>
      </c>
      <c r="J247">
        <f t="shared" si="25"/>
        <v>0</v>
      </c>
      <c r="K247" s="263">
        <f t="shared" si="27"/>
        <v>0</v>
      </c>
    </row>
    <row r="248" spans="1:11">
      <c r="A248" s="253">
        <v>33053</v>
      </c>
      <c r="B248">
        <v>8.3847000000000005</v>
      </c>
      <c r="C248" s="272"/>
      <c r="D248" s="264"/>
      <c r="E248" s="272"/>
      <c r="F248" s="272"/>
      <c r="G248">
        <v>2035.03</v>
      </c>
      <c r="J248">
        <f t="shared" si="25"/>
        <v>0</v>
      </c>
      <c r="K248" s="263">
        <f t="shared" si="27"/>
        <v>0</v>
      </c>
    </row>
    <row r="249" spans="1:11">
      <c r="A249" s="253">
        <v>33024</v>
      </c>
      <c r="B249">
        <v>8.9824000000000002</v>
      </c>
      <c r="C249" s="272"/>
      <c r="D249" s="264"/>
      <c r="E249" s="272"/>
      <c r="F249" s="272"/>
      <c r="G249">
        <v>2107.5100000000002</v>
      </c>
      <c r="J249">
        <f t="shared" si="25"/>
        <v>0</v>
      </c>
      <c r="K249" s="263">
        <f t="shared" si="27"/>
        <v>0</v>
      </c>
    </row>
    <row r="250" spans="1:11">
      <c r="A250" s="253">
        <v>32993</v>
      </c>
      <c r="B250">
        <v>9.0084</v>
      </c>
      <c r="C250" s="272"/>
      <c r="D250" s="264"/>
      <c r="E250" s="272"/>
      <c r="F250" s="272"/>
      <c r="G250">
        <v>2046.46</v>
      </c>
      <c r="J250">
        <f t="shared" si="25"/>
        <v>0</v>
      </c>
      <c r="K250" s="263">
        <f t="shared" si="27"/>
        <v>0</v>
      </c>
    </row>
    <row r="251" spans="1:11">
      <c r="A251" s="253">
        <v>32962</v>
      </c>
      <c r="B251">
        <v>9.2682000000000002</v>
      </c>
      <c r="C251" s="272"/>
      <c r="D251" s="264"/>
      <c r="E251" s="272"/>
      <c r="F251" s="272"/>
      <c r="G251">
        <v>1971.79</v>
      </c>
      <c r="J251">
        <f t="shared" si="25"/>
        <v>0</v>
      </c>
      <c r="K251" s="263">
        <f t="shared" si="27"/>
        <v>0</v>
      </c>
    </row>
    <row r="252" spans="1:11">
      <c r="A252" s="253">
        <v>32932</v>
      </c>
      <c r="B252">
        <v>8.6098999999999997</v>
      </c>
      <c r="C252" s="272"/>
      <c r="D252" s="264"/>
      <c r="E252" s="272"/>
      <c r="F252" s="272"/>
      <c r="G252">
        <v>1849.68</v>
      </c>
      <c r="J252">
        <f t="shared" si="25"/>
        <v>0</v>
      </c>
      <c r="K252" s="263">
        <f t="shared" si="27"/>
        <v>0</v>
      </c>
    </row>
    <row r="253" spans="1:11">
      <c r="A253" s="253">
        <v>32904</v>
      </c>
      <c r="B253">
        <v>8.9997000000000007</v>
      </c>
      <c r="C253" s="272"/>
      <c r="D253" s="264"/>
      <c r="E253" s="272"/>
      <c r="F253" s="272"/>
      <c r="G253">
        <v>1882.88</v>
      </c>
      <c r="J253">
        <f t="shared" si="25"/>
        <v>0</v>
      </c>
      <c r="K253" s="263">
        <f t="shared" si="27"/>
        <v>0</v>
      </c>
    </row>
    <row r="254" spans="1:11">
      <c r="A254" s="253">
        <v>32871</v>
      </c>
      <c r="B254">
        <v>9.9177999999999997</v>
      </c>
      <c r="C254" s="272"/>
      <c r="D254" s="264"/>
      <c r="E254" s="272"/>
      <c r="F254" s="272"/>
      <c r="G254">
        <v>2001.08</v>
      </c>
      <c r="J254">
        <f t="shared" si="25"/>
        <v>0</v>
      </c>
      <c r="K254" s="263">
        <f t="shared" si="27"/>
        <v>0</v>
      </c>
    </row>
    <row r="255" spans="1:11">
      <c r="A255" s="253">
        <v>32842</v>
      </c>
      <c r="G255">
        <v>1890.43</v>
      </c>
      <c r="J255">
        <f t="shared" si="25"/>
        <v>0</v>
      </c>
      <c r="K255" s="263">
        <f t="shared" si="27"/>
        <v>0</v>
      </c>
    </row>
    <row r="256" spans="1:11">
      <c r="A256" s="253">
        <v>32812</v>
      </c>
      <c r="G256">
        <v>1819.51</v>
      </c>
      <c r="J256">
        <f t="shared" si="25"/>
        <v>0</v>
      </c>
      <c r="K256" s="263">
        <f t="shared" si="27"/>
        <v>0</v>
      </c>
    </row>
    <row r="257" spans="1:11">
      <c r="A257" s="253">
        <v>32780</v>
      </c>
      <c r="G257">
        <v>1906.12</v>
      </c>
      <c r="J257">
        <f t="shared" si="25"/>
        <v>0</v>
      </c>
      <c r="K257" s="263">
        <f t="shared" si="27"/>
        <v>0</v>
      </c>
    </row>
    <row r="258" spans="1:11">
      <c r="A258" s="253">
        <v>32751</v>
      </c>
      <c r="G258">
        <v>1875.92</v>
      </c>
      <c r="J258">
        <f t="shared" si="25"/>
        <v>0</v>
      </c>
      <c r="K258" s="263">
        <f t="shared" si="27"/>
        <v>0</v>
      </c>
    </row>
    <row r="259" spans="1:11">
      <c r="A259" s="253">
        <v>32720</v>
      </c>
      <c r="G259">
        <v>1814.19</v>
      </c>
      <c r="J259">
        <f t="shared" ref="J259:J283" si="30">I259/100</f>
        <v>0</v>
      </c>
      <c r="K259" s="263">
        <f t="shared" si="27"/>
        <v>0</v>
      </c>
    </row>
    <row r="260" spans="1:11">
      <c r="A260" s="253">
        <v>32689</v>
      </c>
      <c r="G260">
        <v>1727.85</v>
      </c>
      <c r="J260">
        <f t="shared" si="30"/>
        <v>0</v>
      </c>
      <c r="K260" s="263">
        <f t="shared" ref="K260:K283" si="31">H260-J260</f>
        <v>0</v>
      </c>
    </row>
    <row r="261" spans="1:11">
      <c r="A261" s="253">
        <v>32659</v>
      </c>
      <c r="G261">
        <v>1729.65</v>
      </c>
      <c r="J261">
        <f t="shared" si="30"/>
        <v>0</v>
      </c>
      <c r="K261" s="263">
        <f t="shared" si="31"/>
        <v>0</v>
      </c>
    </row>
    <row r="262" spans="1:11">
      <c r="A262" s="253">
        <v>32626</v>
      </c>
      <c r="G262">
        <v>1680.53</v>
      </c>
      <c r="J262">
        <f t="shared" si="30"/>
        <v>0</v>
      </c>
      <c r="K262" s="263">
        <f t="shared" si="31"/>
        <v>0</v>
      </c>
    </row>
    <row r="263" spans="1:11">
      <c r="A263" s="253">
        <v>32598</v>
      </c>
      <c r="G263">
        <v>1644.81</v>
      </c>
      <c r="J263">
        <f t="shared" si="30"/>
        <v>0</v>
      </c>
      <c r="K263" s="263">
        <f t="shared" si="31"/>
        <v>0</v>
      </c>
    </row>
    <row r="264" spans="1:11">
      <c r="A264" s="253">
        <v>32567</v>
      </c>
      <c r="G264">
        <v>1580.07</v>
      </c>
      <c r="J264">
        <f t="shared" si="30"/>
        <v>0</v>
      </c>
      <c r="K264" s="263">
        <f t="shared" si="31"/>
        <v>0</v>
      </c>
    </row>
    <row r="265" spans="1:11">
      <c r="A265" s="253">
        <v>32539</v>
      </c>
      <c r="G265">
        <v>1654.99</v>
      </c>
      <c r="J265">
        <f t="shared" si="30"/>
        <v>0</v>
      </c>
      <c r="K265" s="263">
        <f t="shared" si="31"/>
        <v>0</v>
      </c>
    </row>
    <row r="266" spans="1:11">
      <c r="A266" s="253">
        <v>32507</v>
      </c>
      <c r="G266">
        <v>1573.94</v>
      </c>
      <c r="J266">
        <f t="shared" si="30"/>
        <v>0</v>
      </c>
      <c r="K266" s="263">
        <f t="shared" si="31"/>
        <v>0</v>
      </c>
    </row>
    <row r="267" spans="1:11">
      <c r="A267" s="253">
        <v>32477</v>
      </c>
      <c r="G267">
        <v>1478.2</v>
      </c>
      <c r="J267">
        <f t="shared" si="30"/>
        <v>0</v>
      </c>
      <c r="K267" s="263">
        <f t="shared" si="31"/>
        <v>0</v>
      </c>
    </row>
    <row r="268" spans="1:11">
      <c r="A268" s="253">
        <v>32447</v>
      </c>
      <c r="G268">
        <v>1496.83</v>
      </c>
      <c r="J268">
        <f t="shared" si="30"/>
        <v>0</v>
      </c>
      <c r="K268" s="263">
        <f t="shared" si="31"/>
        <v>0</v>
      </c>
    </row>
    <row r="269" spans="1:11">
      <c r="A269" s="253">
        <v>32416</v>
      </c>
      <c r="G269">
        <v>1418.13</v>
      </c>
      <c r="J269">
        <f t="shared" si="30"/>
        <v>0</v>
      </c>
      <c r="K269" s="263">
        <f t="shared" si="31"/>
        <v>0</v>
      </c>
    </row>
    <row r="270" spans="1:11">
      <c r="A270" s="253">
        <v>32386</v>
      </c>
      <c r="G270">
        <v>1292.81</v>
      </c>
      <c r="J270">
        <f t="shared" si="30"/>
        <v>0</v>
      </c>
      <c r="K270" s="263">
        <f t="shared" si="31"/>
        <v>0</v>
      </c>
    </row>
    <row r="271" spans="1:11">
      <c r="A271" s="253">
        <v>32353</v>
      </c>
      <c r="G271">
        <v>1320.55</v>
      </c>
      <c r="J271">
        <f t="shared" si="30"/>
        <v>0</v>
      </c>
      <c r="K271" s="263">
        <f t="shared" si="31"/>
        <v>0</v>
      </c>
    </row>
    <row r="272" spans="1:11">
      <c r="A272" s="253">
        <v>32324</v>
      </c>
      <c r="G272">
        <v>1320.17</v>
      </c>
      <c r="J272">
        <f t="shared" si="30"/>
        <v>0</v>
      </c>
      <c r="K272" s="263">
        <f t="shared" si="31"/>
        <v>0</v>
      </c>
    </row>
    <row r="273" spans="1:11">
      <c r="A273" s="253">
        <v>32294</v>
      </c>
      <c r="G273">
        <v>1235.78</v>
      </c>
      <c r="J273">
        <f t="shared" si="30"/>
        <v>0</v>
      </c>
      <c r="K273" s="263">
        <f t="shared" si="31"/>
        <v>0</v>
      </c>
    </row>
    <row r="274" spans="1:11">
      <c r="A274" s="253">
        <v>32262</v>
      </c>
      <c r="G274">
        <v>1127.54</v>
      </c>
      <c r="J274">
        <f t="shared" si="30"/>
        <v>0</v>
      </c>
      <c r="K274" s="263">
        <f t="shared" si="31"/>
        <v>0</v>
      </c>
    </row>
    <row r="275" spans="1:11">
      <c r="A275" s="253">
        <v>32233</v>
      </c>
      <c r="G275">
        <v>1016.71</v>
      </c>
      <c r="J275">
        <f t="shared" si="30"/>
        <v>0</v>
      </c>
      <c r="K275" s="263">
        <f t="shared" si="31"/>
        <v>0</v>
      </c>
    </row>
    <row r="276" spans="1:11">
      <c r="A276" s="253">
        <v>32202</v>
      </c>
      <c r="G276">
        <v>1112.58</v>
      </c>
      <c r="J276">
        <f t="shared" si="30"/>
        <v>0</v>
      </c>
      <c r="K276" s="263">
        <f t="shared" si="31"/>
        <v>0</v>
      </c>
    </row>
    <row r="277" spans="1:11">
      <c r="A277" s="253">
        <v>32171</v>
      </c>
      <c r="G277">
        <v>893.82</v>
      </c>
      <c r="J277">
        <f t="shared" si="30"/>
        <v>0</v>
      </c>
      <c r="K277" s="263">
        <f t="shared" si="31"/>
        <v>0</v>
      </c>
    </row>
    <row r="278" spans="1:11">
      <c r="A278" s="253">
        <v>32142</v>
      </c>
      <c r="G278">
        <v>1000</v>
      </c>
      <c r="J278">
        <f t="shared" si="30"/>
        <v>0</v>
      </c>
      <c r="K278" s="263">
        <f t="shared" si="31"/>
        <v>0</v>
      </c>
    </row>
    <row r="279" spans="1:11">
      <c r="A279" s="253">
        <v>32111</v>
      </c>
      <c r="G279">
        <v>1037.43</v>
      </c>
      <c r="J279">
        <f t="shared" si="30"/>
        <v>0</v>
      </c>
      <c r="K279" s="263">
        <f t="shared" si="31"/>
        <v>0</v>
      </c>
    </row>
    <row r="280" spans="1:11">
      <c r="A280" s="253">
        <v>32080</v>
      </c>
      <c r="G280">
        <v>1116.47</v>
      </c>
      <c r="J280">
        <f t="shared" si="30"/>
        <v>0</v>
      </c>
      <c r="K280" s="263">
        <f t="shared" si="31"/>
        <v>0</v>
      </c>
    </row>
    <row r="281" spans="1:11">
      <c r="A281" s="253">
        <v>32050</v>
      </c>
      <c r="G281">
        <v>1447.87</v>
      </c>
      <c r="J281">
        <f t="shared" si="30"/>
        <v>0</v>
      </c>
      <c r="K281" s="263">
        <f t="shared" si="31"/>
        <v>0</v>
      </c>
    </row>
    <row r="282" spans="1:11">
      <c r="A282" s="253">
        <v>32020</v>
      </c>
      <c r="G282">
        <v>1533.59</v>
      </c>
      <c r="J282">
        <f t="shared" si="30"/>
        <v>0</v>
      </c>
      <c r="K282" s="263">
        <f t="shared" si="31"/>
        <v>0</v>
      </c>
    </row>
    <row r="283" spans="1:11">
      <c r="A283" s="253">
        <v>31989</v>
      </c>
      <c r="G283">
        <v>1488.31</v>
      </c>
      <c r="J283">
        <f t="shared" si="30"/>
        <v>0</v>
      </c>
      <c r="K283" s="263">
        <f t="shared" si="31"/>
        <v>0</v>
      </c>
    </row>
  </sheetData>
  <phoneticPr fontId="3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theme="6"/>
  </sheetPr>
  <dimension ref="A1:G375"/>
  <sheetViews>
    <sheetView topLeftCell="A261" workbookViewId="0">
      <selection activeCell="G266" sqref="G266"/>
    </sheetView>
  </sheetViews>
  <sheetFormatPr baseColWidth="10" defaultColWidth="9.140625" defaultRowHeight="15"/>
  <sheetData>
    <row r="1" spans="1:6" ht="15.75" thickBot="1">
      <c r="A1" t="s">
        <v>410</v>
      </c>
      <c r="B1" t="s">
        <v>411</v>
      </c>
      <c r="C1" t="s">
        <v>412</v>
      </c>
      <c r="D1" t="s">
        <v>413</v>
      </c>
      <c r="E1" t="s">
        <v>414</v>
      </c>
      <c r="F1" t="s">
        <v>415</v>
      </c>
    </row>
    <row r="2" spans="1:6" ht="15.75" thickBot="1">
      <c r="A2" s="275">
        <v>42842</v>
      </c>
      <c r="B2" s="276">
        <v>0.89900000000000002</v>
      </c>
      <c r="C2" s="277">
        <v>0.96399999999999997</v>
      </c>
      <c r="D2" s="277">
        <v>0.98699999999999999</v>
      </c>
      <c r="E2" s="277">
        <v>0.86499999999999999</v>
      </c>
      <c r="F2" s="278">
        <v>-6.8400000000000002E-2</v>
      </c>
    </row>
    <row r="3" spans="1:6" ht="15.75" thickBot="1">
      <c r="A3" s="279">
        <v>42811</v>
      </c>
      <c r="B3" s="280">
        <v>0.96499999999999997</v>
      </c>
      <c r="C3" s="281">
        <v>0.91500000000000004</v>
      </c>
      <c r="D3" s="281">
        <v>1.1479999999999999</v>
      </c>
      <c r="E3" s="281">
        <v>0.89200000000000002</v>
      </c>
      <c r="F3" s="282">
        <v>9.4100000000000003E-2</v>
      </c>
    </row>
    <row r="4" spans="1:6" ht="15.75" thickBot="1">
      <c r="A4" s="279">
        <v>42783</v>
      </c>
      <c r="B4" s="283">
        <v>0.88200000000000001</v>
      </c>
      <c r="C4" s="281">
        <v>1.0640000000000001</v>
      </c>
      <c r="D4" s="281">
        <v>1.1539999999999999</v>
      </c>
      <c r="E4" s="281">
        <v>0.86599999999999999</v>
      </c>
      <c r="F4" s="284">
        <v>-0.14199999999999999</v>
      </c>
    </row>
    <row r="5" spans="1:6" ht="15.75" thickBot="1">
      <c r="A5" s="279">
        <v>42752</v>
      </c>
      <c r="B5" s="280">
        <v>1.028</v>
      </c>
      <c r="C5" s="281">
        <v>0.69499999999999995</v>
      </c>
      <c r="D5" s="281">
        <v>1.115</v>
      </c>
      <c r="E5" s="281">
        <v>0.63100000000000001</v>
      </c>
      <c r="F5" s="282">
        <v>0.50509999999999999</v>
      </c>
    </row>
    <row r="6" spans="1:6" ht="15.75" thickBot="1">
      <c r="A6" s="279">
        <v>43085</v>
      </c>
      <c r="B6" s="283">
        <v>0.68300000000000005</v>
      </c>
      <c r="C6" s="281">
        <v>0.78500000000000003</v>
      </c>
      <c r="D6" s="281">
        <v>0.92200000000000004</v>
      </c>
      <c r="E6" s="281">
        <v>0.63200000000000001</v>
      </c>
      <c r="F6" s="284">
        <v>-7.1999999999999995E-2</v>
      </c>
    </row>
    <row r="7" spans="1:6" ht="15.75" thickBot="1">
      <c r="A7" s="279">
        <v>43055</v>
      </c>
      <c r="B7" s="280">
        <v>0.73599999999999999</v>
      </c>
      <c r="C7" s="281">
        <v>0.48399999999999999</v>
      </c>
      <c r="D7" s="281">
        <v>0.88500000000000001</v>
      </c>
      <c r="E7" s="281">
        <v>0.42299999999999999</v>
      </c>
      <c r="F7" s="282">
        <v>0.53649999999999998</v>
      </c>
    </row>
    <row r="8" spans="1:6" ht="15.75" thickBot="1">
      <c r="A8" s="279">
        <v>43024</v>
      </c>
      <c r="B8" s="280">
        <v>0.47899999999999998</v>
      </c>
      <c r="C8" s="281">
        <v>0.13200000000000001</v>
      </c>
      <c r="D8" s="281">
        <v>0.505</v>
      </c>
      <c r="E8" s="281">
        <v>0.11899999999999999</v>
      </c>
      <c r="F8" s="282">
        <v>3.0251999999999999</v>
      </c>
    </row>
    <row r="9" spans="1:6" ht="15.75" thickBot="1">
      <c r="A9" s="279">
        <v>42994</v>
      </c>
      <c r="B9" s="283">
        <v>0.11899999999999999</v>
      </c>
      <c r="C9" s="281">
        <v>0.189</v>
      </c>
      <c r="D9" s="281">
        <v>0.317</v>
      </c>
      <c r="E9" s="281">
        <v>8.4000000000000005E-2</v>
      </c>
      <c r="F9" s="284">
        <v>-0.26540000000000002</v>
      </c>
    </row>
    <row r="10" spans="1:6" ht="15.75" thickBot="1">
      <c r="A10" s="279">
        <v>42963</v>
      </c>
      <c r="B10" s="280">
        <v>0.16200000000000001</v>
      </c>
      <c r="C10" s="281">
        <v>0.104</v>
      </c>
      <c r="D10" s="281">
        <v>0.218</v>
      </c>
      <c r="E10" s="281">
        <v>9.5000000000000001E-2</v>
      </c>
      <c r="F10" s="282">
        <v>0.44640000000000002</v>
      </c>
    </row>
    <row r="11" spans="1:6" ht="15.75" thickBot="1">
      <c r="A11" s="279">
        <v>42932</v>
      </c>
      <c r="B11" s="283">
        <v>0.112</v>
      </c>
      <c r="C11" s="281">
        <v>0.19500000000000001</v>
      </c>
      <c r="D11" s="281">
        <v>0.26900000000000002</v>
      </c>
      <c r="E11" s="281">
        <v>9.4E-2</v>
      </c>
      <c r="F11" s="284">
        <v>-0.44280000000000003</v>
      </c>
    </row>
    <row r="12" spans="1:6" ht="15.75" thickBot="1">
      <c r="A12" s="279">
        <v>42902</v>
      </c>
      <c r="B12" s="283">
        <v>0.20100000000000001</v>
      </c>
      <c r="C12" s="281">
        <v>0.49</v>
      </c>
      <c r="D12" s="281">
        <v>0.51100000000000001</v>
      </c>
      <c r="E12" s="281">
        <v>0.19800000000000001</v>
      </c>
      <c r="F12" s="284">
        <v>-0.58640000000000003</v>
      </c>
    </row>
    <row r="13" spans="1:6" ht="15.75" thickBot="1">
      <c r="A13" s="279">
        <v>42871</v>
      </c>
      <c r="B13" s="283">
        <v>0.48599999999999999</v>
      </c>
      <c r="C13" s="281">
        <v>0.64100000000000001</v>
      </c>
      <c r="D13" s="281">
        <v>0.64300000000000002</v>
      </c>
      <c r="E13" s="281">
        <v>0.45300000000000001</v>
      </c>
      <c r="F13" s="284">
        <v>-0.2535</v>
      </c>
    </row>
    <row r="14" spans="1:6" ht="15.75" thickBot="1">
      <c r="A14" s="279">
        <v>42841</v>
      </c>
      <c r="B14" s="280">
        <v>0.65100000000000002</v>
      </c>
      <c r="C14" s="281">
        <v>0.40500000000000003</v>
      </c>
      <c r="D14" s="281">
        <v>0.67100000000000004</v>
      </c>
      <c r="E14" s="281">
        <v>0.34200000000000003</v>
      </c>
      <c r="F14" s="282">
        <v>0.58389999999999997</v>
      </c>
    </row>
    <row r="15" spans="1:6" ht="15.75" thickBot="1">
      <c r="A15" s="279">
        <v>42810</v>
      </c>
      <c r="B15" s="283">
        <v>0.41099999999999998</v>
      </c>
      <c r="C15" s="281">
        <v>0.47599999999999998</v>
      </c>
      <c r="D15" s="281">
        <v>0.63200000000000001</v>
      </c>
      <c r="E15" s="281">
        <v>0.38300000000000001</v>
      </c>
      <c r="F15" s="284">
        <v>-0.1142</v>
      </c>
    </row>
    <row r="16" spans="1:6" ht="15.75" thickBot="1">
      <c r="A16" s="279">
        <v>42782</v>
      </c>
      <c r="B16" s="283">
        <v>0.46400000000000002</v>
      </c>
      <c r="C16" s="281">
        <v>0.64200000000000002</v>
      </c>
      <c r="D16" s="281">
        <v>0.69299999999999995</v>
      </c>
      <c r="E16" s="281">
        <v>0.45400000000000001</v>
      </c>
      <c r="F16" s="284">
        <v>-0.28510000000000002</v>
      </c>
    </row>
    <row r="17" spans="1:6" ht="15.75" thickBot="1">
      <c r="A17" s="279">
        <v>42751</v>
      </c>
      <c r="B17" s="283">
        <v>0.64900000000000002</v>
      </c>
      <c r="C17" s="281">
        <v>0.64900000000000002</v>
      </c>
      <c r="D17" s="281">
        <v>0.64900000000000002</v>
      </c>
      <c r="E17" s="281">
        <v>0.64900000000000002</v>
      </c>
      <c r="F17" s="284">
        <v>-0.34639999999999999</v>
      </c>
    </row>
    <row r="18" spans="1:6" ht="15.75" thickBot="1">
      <c r="A18" s="279">
        <v>43084</v>
      </c>
      <c r="B18" s="280">
        <v>0.99299999999999999</v>
      </c>
      <c r="C18" s="281">
        <v>0.99299999999999999</v>
      </c>
      <c r="D18" s="281">
        <v>0.99299999999999999</v>
      </c>
      <c r="E18" s="281">
        <v>0.99299999999999999</v>
      </c>
      <c r="F18" s="282">
        <v>0.25059999999999999</v>
      </c>
    </row>
    <row r="19" spans="1:6" ht="15.75" thickBot="1">
      <c r="A19" s="279">
        <v>43054</v>
      </c>
      <c r="B19" s="283">
        <v>0.79400000000000004</v>
      </c>
      <c r="C19" s="281">
        <v>0.79400000000000004</v>
      </c>
      <c r="D19" s="281">
        <v>0.79400000000000004</v>
      </c>
      <c r="E19" s="281">
        <v>0.79400000000000004</v>
      </c>
      <c r="F19" s="284">
        <v>-8.7400000000000005E-2</v>
      </c>
    </row>
    <row r="20" spans="1:6" ht="15.75" thickBot="1">
      <c r="A20" s="279">
        <v>43023</v>
      </c>
      <c r="B20" s="283">
        <v>0.87</v>
      </c>
      <c r="C20" s="281">
        <v>0.87</v>
      </c>
      <c r="D20" s="281">
        <v>0.87</v>
      </c>
      <c r="E20" s="281">
        <v>0.87</v>
      </c>
      <c r="F20" s="284">
        <v>-3.5499999999999997E-2</v>
      </c>
    </row>
    <row r="21" spans="1:6" ht="15.75" thickBot="1">
      <c r="A21" s="279">
        <v>42993</v>
      </c>
      <c r="B21" s="283">
        <v>0.90200000000000002</v>
      </c>
      <c r="C21" s="281">
        <v>0.90200000000000002</v>
      </c>
      <c r="D21" s="281">
        <v>0.90200000000000002</v>
      </c>
      <c r="E21" s="281">
        <v>0.90200000000000002</v>
      </c>
      <c r="F21" s="284">
        <v>-0.21629999999999999</v>
      </c>
    </row>
    <row r="22" spans="1:6" ht="15.75" thickBot="1">
      <c r="A22" s="279">
        <v>42962</v>
      </c>
      <c r="B22" s="280">
        <v>1.151</v>
      </c>
      <c r="C22" s="281">
        <v>1.151</v>
      </c>
      <c r="D22" s="281">
        <v>1.151</v>
      </c>
      <c r="E22" s="281">
        <v>1.151</v>
      </c>
      <c r="F22" s="282">
        <v>0.22189999999999999</v>
      </c>
    </row>
    <row r="23" spans="1:6" ht="15.75" thickBot="1">
      <c r="A23" s="279">
        <v>42931</v>
      </c>
      <c r="B23" s="283">
        <v>0.94199999999999995</v>
      </c>
      <c r="C23" s="281">
        <v>0.94199999999999995</v>
      </c>
      <c r="D23" s="281">
        <v>0.94199999999999995</v>
      </c>
      <c r="E23" s="281">
        <v>0.94199999999999995</v>
      </c>
      <c r="F23" s="284">
        <v>-0.21240000000000001</v>
      </c>
    </row>
    <row r="24" spans="1:6" ht="15.75" thickBot="1">
      <c r="A24" s="279">
        <v>42901</v>
      </c>
      <c r="B24" s="280">
        <v>1.196</v>
      </c>
      <c r="C24" s="281">
        <v>1.196</v>
      </c>
      <c r="D24" s="281">
        <v>1.196</v>
      </c>
      <c r="E24" s="281">
        <v>1.196</v>
      </c>
      <c r="F24" s="282">
        <v>0.49869999999999998</v>
      </c>
    </row>
    <row r="25" spans="1:6" ht="15.75" thickBot="1">
      <c r="A25" s="279">
        <v>42870</v>
      </c>
      <c r="B25" s="280">
        <v>0.79800000000000004</v>
      </c>
      <c r="C25" s="281">
        <v>0.79800000000000004</v>
      </c>
      <c r="D25" s="281">
        <v>0.79800000000000004</v>
      </c>
      <c r="E25" s="281">
        <v>0.79800000000000004</v>
      </c>
      <c r="F25" s="282">
        <v>0.26069999999999999</v>
      </c>
    </row>
    <row r="26" spans="1:6" ht="15.75" thickBot="1">
      <c r="A26" s="279">
        <v>42840</v>
      </c>
      <c r="B26" s="280">
        <v>0.63300000000000001</v>
      </c>
      <c r="C26" s="281">
        <v>0.63300000000000001</v>
      </c>
      <c r="D26" s="281">
        <v>0.63300000000000001</v>
      </c>
      <c r="E26" s="281">
        <v>0.63300000000000001</v>
      </c>
      <c r="F26" s="282">
        <v>0.32429999999999998</v>
      </c>
    </row>
    <row r="27" spans="1:6" ht="15.75" thickBot="1">
      <c r="A27" s="279">
        <v>42809</v>
      </c>
      <c r="B27" s="283">
        <v>0.47799999999999998</v>
      </c>
      <c r="C27" s="281">
        <v>0.47799999999999998</v>
      </c>
      <c r="D27" s="281">
        <v>0.47799999999999998</v>
      </c>
      <c r="E27" s="281">
        <v>0.47799999999999998</v>
      </c>
      <c r="F27" s="284">
        <v>-0.1065</v>
      </c>
    </row>
    <row r="28" spans="1:6" ht="15.75" thickBot="1">
      <c r="A28" s="279">
        <v>42781</v>
      </c>
      <c r="B28" s="283">
        <v>0.53500000000000003</v>
      </c>
      <c r="C28" s="281">
        <v>0.53500000000000003</v>
      </c>
      <c r="D28" s="281">
        <v>0.53500000000000003</v>
      </c>
      <c r="E28" s="281">
        <v>0.53500000000000003</v>
      </c>
      <c r="F28" s="284">
        <v>-2.1899999999999999E-2</v>
      </c>
    </row>
    <row r="29" spans="1:6" ht="15.75" thickBot="1">
      <c r="A29" s="279">
        <v>42750</v>
      </c>
      <c r="B29" s="283">
        <v>0.54700000000000004</v>
      </c>
      <c r="C29" s="281">
        <v>0.54700000000000004</v>
      </c>
      <c r="D29" s="281">
        <v>0.54700000000000004</v>
      </c>
      <c r="E29" s="281">
        <v>0.54700000000000004</v>
      </c>
      <c r="F29" s="284">
        <v>-0.34649999999999997</v>
      </c>
    </row>
    <row r="30" spans="1:6" ht="15.75" thickBot="1">
      <c r="A30" s="279">
        <v>43083</v>
      </c>
      <c r="B30" s="283">
        <v>0.83699999999999997</v>
      </c>
      <c r="C30" s="281">
        <v>0.83699999999999997</v>
      </c>
      <c r="D30" s="281">
        <v>0.83699999999999997</v>
      </c>
      <c r="E30" s="281">
        <v>0.83699999999999997</v>
      </c>
      <c r="F30" s="284">
        <v>-0.13619999999999999</v>
      </c>
    </row>
    <row r="31" spans="1:6" ht="15.75" thickBot="1">
      <c r="A31" s="279">
        <v>43053</v>
      </c>
      <c r="B31" s="283">
        <v>0.96899999999999997</v>
      </c>
      <c r="C31" s="281">
        <v>0.96899999999999997</v>
      </c>
      <c r="D31" s="281">
        <v>0.96899999999999997</v>
      </c>
      <c r="E31" s="281">
        <v>0.96899999999999997</v>
      </c>
      <c r="F31" s="284">
        <v>-0.1802</v>
      </c>
    </row>
    <row r="32" spans="1:6" ht="15.75" thickBot="1">
      <c r="A32" s="279">
        <v>43022</v>
      </c>
      <c r="B32" s="283">
        <v>1.1819999999999999</v>
      </c>
      <c r="C32" s="281">
        <v>1.1819999999999999</v>
      </c>
      <c r="D32" s="281">
        <v>1.1819999999999999</v>
      </c>
      <c r="E32" s="281">
        <v>1.1819999999999999</v>
      </c>
      <c r="F32" s="284">
        <v>-8.09E-2</v>
      </c>
    </row>
    <row r="33" spans="1:6" ht="15.75" thickBot="1">
      <c r="A33" s="279">
        <v>42992</v>
      </c>
      <c r="B33" s="280">
        <v>1.286</v>
      </c>
      <c r="C33" s="281">
        <v>1.286</v>
      </c>
      <c r="D33" s="281">
        <v>1.286</v>
      </c>
      <c r="E33" s="281">
        <v>1.286</v>
      </c>
      <c r="F33" s="282">
        <v>2.47E-2</v>
      </c>
    </row>
    <row r="34" spans="1:6" ht="15.75" thickBot="1">
      <c r="A34" s="279">
        <v>42961</v>
      </c>
      <c r="B34" s="283">
        <v>1.2549999999999999</v>
      </c>
      <c r="C34" s="281">
        <v>1.2549999999999999</v>
      </c>
      <c r="D34" s="281">
        <v>1.2549999999999999</v>
      </c>
      <c r="E34" s="281">
        <v>1.2549999999999999</v>
      </c>
      <c r="F34" s="284">
        <v>-0.18509999999999999</v>
      </c>
    </row>
    <row r="35" spans="1:6" ht="15.75" thickBot="1">
      <c r="A35" s="279">
        <v>42930</v>
      </c>
      <c r="B35" s="283">
        <v>1.54</v>
      </c>
      <c r="C35" s="281">
        <v>1.54</v>
      </c>
      <c r="D35" s="281">
        <v>1.54</v>
      </c>
      <c r="E35" s="281">
        <v>1.54</v>
      </c>
      <c r="F35" s="284">
        <v>-3.6900000000000002E-2</v>
      </c>
    </row>
    <row r="36" spans="1:6" ht="15.75" thickBot="1">
      <c r="A36" s="279">
        <v>42900</v>
      </c>
      <c r="B36" s="283">
        <v>1.599</v>
      </c>
      <c r="C36" s="281">
        <v>1.599</v>
      </c>
      <c r="D36" s="281">
        <v>1.599</v>
      </c>
      <c r="E36" s="281">
        <v>1.599</v>
      </c>
      <c r="F36" s="284">
        <v>-9.4100000000000003E-2</v>
      </c>
    </row>
    <row r="37" spans="1:6" ht="15.75" thickBot="1">
      <c r="A37" s="279">
        <v>42869</v>
      </c>
      <c r="B37" s="283">
        <v>1.7649999999999999</v>
      </c>
      <c r="C37" s="281">
        <v>1.7649999999999999</v>
      </c>
      <c r="D37" s="281">
        <v>1.7649999999999999</v>
      </c>
      <c r="E37" s="281">
        <v>1.7649999999999999</v>
      </c>
      <c r="F37" s="284">
        <v>-9.4899999999999998E-2</v>
      </c>
    </row>
    <row r="38" spans="1:6" ht="15.75" thickBot="1">
      <c r="A38" s="279">
        <v>42839</v>
      </c>
      <c r="B38" s="283">
        <v>1.95</v>
      </c>
      <c r="C38" s="281">
        <v>1.95</v>
      </c>
      <c r="D38" s="281">
        <v>1.95</v>
      </c>
      <c r="E38" s="281">
        <v>1.95</v>
      </c>
      <c r="F38" s="284">
        <v>-6.5600000000000006E-2</v>
      </c>
    </row>
    <row r="39" spans="1:6" ht="15.75" thickBot="1">
      <c r="A39" s="279">
        <v>42808</v>
      </c>
      <c r="B39" s="283">
        <v>2.0870000000000002</v>
      </c>
      <c r="C39" s="281">
        <v>2.0870000000000002</v>
      </c>
      <c r="D39" s="281">
        <v>2.0870000000000002</v>
      </c>
      <c r="E39" s="281">
        <v>2.0870000000000002</v>
      </c>
      <c r="F39" s="284">
        <v>-5.1400000000000001E-2</v>
      </c>
    </row>
    <row r="40" spans="1:6" ht="15.75" thickBot="1">
      <c r="A40" s="279">
        <v>42780</v>
      </c>
      <c r="B40" s="283">
        <v>2.2000000000000002</v>
      </c>
      <c r="C40" s="281">
        <v>2.2000000000000002</v>
      </c>
      <c r="D40" s="281">
        <v>2.2000000000000002</v>
      </c>
      <c r="E40" s="281">
        <v>2.2000000000000002</v>
      </c>
      <c r="F40" s="284">
        <v>-1.21E-2</v>
      </c>
    </row>
    <row r="41" spans="1:6" ht="15.75" thickBot="1">
      <c r="A41" s="279">
        <v>42749</v>
      </c>
      <c r="B41" s="283">
        <v>2.2269999999999999</v>
      </c>
      <c r="C41" s="281">
        <v>2.2269999999999999</v>
      </c>
      <c r="D41" s="281">
        <v>2.2269999999999999</v>
      </c>
      <c r="E41" s="281">
        <v>2.2269999999999999</v>
      </c>
      <c r="F41" s="284">
        <v>-8.43E-2</v>
      </c>
    </row>
    <row r="42" spans="1:6" ht="15.75" thickBot="1">
      <c r="A42" s="279">
        <v>43082</v>
      </c>
      <c r="B42" s="280">
        <v>2.4319999999999999</v>
      </c>
      <c r="C42" s="281">
        <v>2.4319999999999999</v>
      </c>
      <c r="D42" s="281">
        <v>2.4319999999999999</v>
      </c>
      <c r="E42" s="281">
        <v>2.4319999999999999</v>
      </c>
      <c r="F42" s="282">
        <v>9.6500000000000002E-2</v>
      </c>
    </row>
    <row r="43" spans="1:6" ht="15.75" thickBot="1">
      <c r="A43" s="279">
        <v>43052</v>
      </c>
      <c r="B43" s="283">
        <v>2.218</v>
      </c>
      <c r="C43" s="281">
        <v>2.218</v>
      </c>
      <c r="D43" s="281">
        <v>2.218</v>
      </c>
      <c r="E43" s="281">
        <v>2.218</v>
      </c>
      <c r="F43" s="284">
        <v>-5.4000000000000003E-3</v>
      </c>
    </row>
    <row r="44" spans="1:6" ht="15.75" thickBot="1">
      <c r="A44" s="279">
        <v>43021</v>
      </c>
      <c r="B44" s="283">
        <v>2.23</v>
      </c>
      <c r="C44" s="281">
        <v>2.23</v>
      </c>
      <c r="D44" s="281">
        <v>2.23</v>
      </c>
      <c r="E44" s="281">
        <v>2.23</v>
      </c>
      <c r="F44" s="284">
        <v>-0.04</v>
      </c>
    </row>
    <row r="45" spans="1:6" ht="15.75" thickBot="1">
      <c r="A45" s="279">
        <v>42991</v>
      </c>
      <c r="B45" s="283">
        <v>2.323</v>
      </c>
      <c r="C45" s="281">
        <v>2.323</v>
      </c>
      <c r="D45" s="281">
        <v>2.323</v>
      </c>
      <c r="E45" s="281">
        <v>2.323</v>
      </c>
      <c r="F45" s="284">
        <v>-6.2600000000000003E-2</v>
      </c>
    </row>
    <row r="46" spans="1:6" ht="15.75" thickBot="1">
      <c r="A46" s="279">
        <v>42960</v>
      </c>
      <c r="B46" s="280">
        <v>2.4780000000000002</v>
      </c>
      <c r="C46" s="281">
        <v>2.4780000000000002</v>
      </c>
      <c r="D46" s="281">
        <v>2.4780000000000002</v>
      </c>
      <c r="E46" s="281">
        <v>2.4780000000000002</v>
      </c>
      <c r="F46" s="282">
        <v>0.1048</v>
      </c>
    </row>
    <row r="47" spans="1:6" ht="15.75" thickBot="1">
      <c r="A47" s="279">
        <v>42929</v>
      </c>
      <c r="B47" s="283">
        <v>2.2429999999999999</v>
      </c>
      <c r="C47" s="281">
        <v>2.2429999999999999</v>
      </c>
      <c r="D47" s="281">
        <v>2.2429999999999999</v>
      </c>
      <c r="E47" s="281">
        <v>2.2429999999999999</v>
      </c>
      <c r="F47" s="284">
        <v>-4.5100000000000001E-2</v>
      </c>
    </row>
    <row r="48" spans="1:6" ht="15.75" thickBot="1">
      <c r="A48" s="279">
        <v>42899</v>
      </c>
      <c r="B48" s="280">
        <v>2.3490000000000002</v>
      </c>
      <c r="C48" s="281">
        <v>2.3490000000000002</v>
      </c>
      <c r="D48" s="281">
        <v>2.3490000000000002</v>
      </c>
      <c r="E48" s="281">
        <v>2.3490000000000002</v>
      </c>
      <c r="F48" s="282">
        <v>0.13150000000000001</v>
      </c>
    </row>
    <row r="49" spans="1:6" ht="15.75" thickBot="1">
      <c r="A49" s="279">
        <v>42868</v>
      </c>
      <c r="B49" s="280">
        <v>2.0760000000000001</v>
      </c>
      <c r="C49" s="281">
        <v>2.0760000000000001</v>
      </c>
      <c r="D49" s="281">
        <v>2.0760000000000001</v>
      </c>
      <c r="E49" s="281">
        <v>2.0760000000000001</v>
      </c>
      <c r="F49" s="282">
        <v>0.21690000000000001</v>
      </c>
    </row>
    <row r="50" spans="1:6" ht="15.75" thickBot="1">
      <c r="A50" s="279">
        <v>42838</v>
      </c>
      <c r="B50" s="283">
        <v>1.706</v>
      </c>
      <c r="C50" s="281">
        <v>1.706</v>
      </c>
      <c r="D50" s="281">
        <v>1.706</v>
      </c>
      <c r="E50" s="281">
        <v>1.706</v>
      </c>
      <c r="F50" s="284">
        <v>-0.15670000000000001</v>
      </c>
    </row>
    <row r="51" spans="1:6" ht="15.75" thickBot="1">
      <c r="A51" s="279">
        <v>42807</v>
      </c>
      <c r="B51" s="283">
        <v>2.0230000000000001</v>
      </c>
      <c r="C51" s="281">
        <v>2.0230000000000001</v>
      </c>
      <c r="D51" s="281">
        <v>2.0230000000000001</v>
      </c>
      <c r="E51" s="281">
        <v>2.0230000000000001</v>
      </c>
      <c r="F51" s="284">
        <v>-6.7299999999999999E-2</v>
      </c>
    </row>
    <row r="52" spans="1:6" ht="15.75" thickBot="1">
      <c r="A52" s="279">
        <v>42779</v>
      </c>
      <c r="B52" s="283">
        <v>2.169</v>
      </c>
      <c r="C52" s="281">
        <v>2.169</v>
      </c>
      <c r="D52" s="281">
        <v>2.169</v>
      </c>
      <c r="E52" s="281">
        <v>2.169</v>
      </c>
      <c r="F52" s="284">
        <v>-3.9399999999999998E-2</v>
      </c>
    </row>
    <row r="53" spans="1:6" ht="15.75" thickBot="1">
      <c r="A53" s="279">
        <v>42748</v>
      </c>
      <c r="B53" s="280">
        <v>2.258</v>
      </c>
      <c r="C53" s="281">
        <v>2.258</v>
      </c>
      <c r="D53" s="281">
        <v>2.258</v>
      </c>
      <c r="E53" s="281">
        <v>2.258</v>
      </c>
      <c r="F53" s="282">
        <v>0.13239999999999999</v>
      </c>
    </row>
    <row r="54" spans="1:6" ht="15.75" thickBot="1">
      <c r="A54" s="279">
        <v>43081</v>
      </c>
      <c r="B54" s="283">
        <v>1.994</v>
      </c>
      <c r="C54" s="281">
        <v>1.994</v>
      </c>
      <c r="D54" s="281">
        <v>1.994</v>
      </c>
      <c r="E54" s="281">
        <v>1.994</v>
      </c>
      <c r="F54" s="284">
        <v>-2.3E-2</v>
      </c>
    </row>
    <row r="55" spans="1:6" ht="15.75" thickBot="1">
      <c r="A55" s="279">
        <v>43051</v>
      </c>
      <c r="B55" s="283">
        <v>2.0409999999999999</v>
      </c>
      <c r="C55" s="281">
        <v>2.0409999999999999</v>
      </c>
      <c r="D55" s="281">
        <v>2.0409999999999999</v>
      </c>
      <c r="E55" s="281">
        <v>2.0409999999999999</v>
      </c>
      <c r="F55" s="284">
        <v>-9.6500000000000002E-2</v>
      </c>
    </row>
    <row r="56" spans="1:6" ht="15.75" thickBot="1">
      <c r="A56" s="279">
        <v>43020</v>
      </c>
      <c r="B56" s="280">
        <v>2.2589999999999999</v>
      </c>
      <c r="C56" s="281">
        <v>2.2589999999999999</v>
      </c>
      <c r="D56" s="281">
        <v>2.2589999999999999</v>
      </c>
      <c r="E56" s="281">
        <v>2.2589999999999999</v>
      </c>
      <c r="F56" s="282">
        <v>3.7699999999999997E-2</v>
      </c>
    </row>
    <row r="57" spans="1:6" ht="15.75" thickBot="1">
      <c r="A57" s="279">
        <v>42990</v>
      </c>
      <c r="B57" s="280">
        <v>2.177</v>
      </c>
      <c r="C57" s="281">
        <v>2.177</v>
      </c>
      <c r="D57" s="281">
        <v>2.177</v>
      </c>
      <c r="E57" s="281">
        <v>2.177</v>
      </c>
      <c r="F57" s="282">
        <v>3.2000000000000002E-3</v>
      </c>
    </row>
    <row r="58" spans="1:6" ht="15.75" thickBot="1">
      <c r="A58" s="279">
        <v>42959</v>
      </c>
      <c r="B58" s="280">
        <v>2.17</v>
      </c>
      <c r="C58" s="281">
        <v>2.17</v>
      </c>
      <c r="D58" s="281">
        <v>2.17</v>
      </c>
      <c r="E58" s="281">
        <v>2.17</v>
      </c>
      <c r="F58" s="282">
        <v>2.7E-2</v>
      </c>
    </row>
    <row r="59" spans="1:6" ht="15.75" thickBot="1">
      <c r="A59" s="279">
        <v>42928</v>
      </c>
      <c r="B59" s="283">
        <v>2.113</v>
      </c>
      <c r="C59" s="281">
        <v>2.113</v>
      </c>
      <c r="D59" s="281">
        <v>2.113</v>
      </c>
      <c r="E59" s="281">
        <v>2.113</v>
      </c>
      <c r="F59" s="284">
        <v>-0.222</v>
      </c>
    </row>
    <row r="60" spans="1:6" ht="15.75" thickBot="1">
      <c r="A60" s="279">
        <v>42898</v>
      </c>
      <c r="B60" s="280">
        <v>2.7160000000000002</v>
      </c>
      <c r="C60" s="281">
        <v>2.7160000000000002</v>
      </c>
      <c r="D60" s="281">
        <v>2.7160000000000002</v>
      </c>
      <c r="E60" s="281">
        <v>2.7160000000000002</v>
      </c>
      <c r="F60" s="282">
        <v>0.16270000000000001</v>
      </c>
    </row>
    <row r="61" spans="1:6" ht="15.75" thickBot="1">
      <c r="A61" s="279">
        <v>42867</v>
      </c>
      <c r="B61" s="283">
        <v>2.3359999999999999</v>
      </c>
      <c r="C61" s="281">
        <v>2.3359999999999999</v>
      </c>
      <c r="D61" s="281">
        <v>2.3359999999999999</v>
      </c>
      <c r="E61" s="281">
        <v>2.3359999999999999</v>
      </c>
      <c r="F61" s="284">
        <v>-0.21210000000000001</v>
      </c>
    </row>
    <row r="62" spans="1:6" ht="15.75" thickBot="1">
      <c r="A62" s="279">
        <v>42837</v>
      </c>
      <c r="B62" s="280">
        <v>2.9649999999999999</v>
      </c>
      <c r="C62" s="281">
        <v>2.9649999999999999</v>
      </c>
      <c r="D62" s="281">
        <v>2.9649999999999999</v>
      </c>
      <c r="E62" s="281">
        <v>2.9649999999999999</v>
      </c>
      <c r="F62" s="282">
        <v>2.5600000000000001E-2</v>
      </c>
    </row>
    <row r="63" spans="1:6" ht="15.75" thickBot="1">
      <c r="A63" s="279">
        <v>42806</v>
      </c>
      <c r="B63" s="283">
        <v>2.891</v>
      </c>
      <c r="C63" s="281">
        <v>2.891</v>
      </c>
      <c r="D63" s="281">
        <v>2.891</v>
      </c>
      <c r="E63" s="281">
        <v>2.891</v>
      </c>
      <c r="F63" s="284">
        <v>-4.2999999999999997E-2</v>
      </c>
    </row>
    <row r="64" spans="1:6" ht="15.75" thickBot="1">
      <c r="A64" s="279">
        <v>42778</v>
      </c>
      <c r="B64" s="283">
        <v>3.0209999999999999</v>
      </c>
      <c r="C64" s="281">
        <v>3.0209999999999999</v>
      </c>
      <c r="D64" s="281">
        <v>3.0209999999999999</v>
      </c>
      <c r="E64" s="281">
        <v>3.0209999999999999</v>
      </c>
      <c r="F64" s="284">
        <v>-2.5499999999999998E-2</v>
      </c>
    </row>
    <row r="65" spans="1:6" ht="15.75" thickBot="1">
      <c r="A65" s="279">
        <v>42747</v>
      </c>
      <c r="B65" s="283">
        <v>3.1</v>
      </c>
      <c r="C65" s="281">
        <v>3.1</v>
      </c>
      <c r="D65" s="281">
        <v>3.1</v>
      </c>
      <c r="E65" s="281">
        <v>3.1</v>
      </c>
      <c r="F65" s="284">
        <v>-1.6500000000000001E-2</v>
      </c>
    </row>
    <row r="66" spans="1:6" ht="15.75" thickBot="1">
      <c r="A66" s="279">
        <v>43080</v>
      </c>
      <c r="B66" s="283">
        <v>3.1520000000000001</v>
      </c>
      <c r="C66" s="281">
        <v>3.1520000000000001</v>
      </c>
      <c r="D66" s="281">
        <v>3.1520000000000001</v>
      </c>
      <c r="E66" s="281">
        <v>3.1520000000000001</v>
      </c>
      <c r="F66" s="284">
        <v>-6.5000000000000002E-2</v>
      </c>
    </row>
    <row r="67" spans="1:6" ht="15.75" thickBot="1">
      <c r="A67" s="279">
        <v>43050</v>
      </c>
      <c r="B67" s="280">
        <v>3.371</v>
      </c>
      <c r="C67" s="281">
        <v>3.371</v>
      </c>
      <c r="D67" s="281">
        <v>3.371</v>
      </c>
      <c r="E67" s="281">
        <v>3.371</v>
      </c>
      <c r="F67" s="282">
        <v>7.8E-2</v>
      </c>
    </row>
    <row r="68" spans="1:6" ht="15.75" thickBot="1">
      <c r="A68" s="279">
        <v>43019</v>
      </c>
      <c r="B68" s="280">
        <v>3.1269999999999998</v>
      </c>
      <c r="C68" s="281">
        <v>3.1269999999999998</v>
      </c>
      <c r="D68" s="281">
        <v>3.1269999999999998</v>
      </c>
      <c r="E68" s="281">
        <v>3.1269999999999998</v>
      </c>
      <c r="F68" s="282">
        <v>0.19989999999999999</v>
      </c>
    </row>
    <row r="69" spans="1:6" ht="15.75" thickBot="1">
      <c r="A69" s="279">
        <v>42989</v>
      </c>
      <c r="B69" s="283">
        <v>2.6059999999999999</v>
      </c>
      <c r="C69" s="281">
        <v>2.6059999999999999</v>
      </c>
      <c r="D69" s="281">
        <v>2.6059999999999999</v>
      </c>
      <c r="E69" s="281">
        <v>2.6059999999999999</v>
      </c>
      <c r="F69" s="284">
        <v>-0.1051</v>
      </c>
    </row>
    <row r="70" spans="1:6" ht="15.75" thickBot="1">
      <c r="A70" s="279">
        <v>42958</v>
      </c>
      <c r="B70" s="283">
        <v>2.9119999999999999</v>
      </c>
      <c r="C70" s="281">
        <v>2.9119999999999999</v>
      </c>
      <c r="D70" s="281">
        <v>2.9119999999999999</v>
      </c>
      <c r="E70" s="281">
        <v>2.9119999999999999</v>
      </c>
      <c r="F70" s="284">
        <v>-9.4500000000000001E-2</v>
      </c>
    </row>
    <row r="71" spans="1:6" ht="15.75" thickBot="1">
      <c r="A71" s="279">
        <v>42927</v>
      </c>
      <c r="B71" s="283">
        <v>3.2160000000000002</v>
      </c>
      <c r="C71" s="281">
        <v>3.2160000000000002</v>
      </c>
      <c r="D71" s="281">
        <v>3.2160000000000002</v>
      </c>
      <c r="E71" s="281">
        <v>3.2160000000000002</v>
      </c>
      <c r="F71" s="284">
        <v>-8.3199999999999996E-2</v>
      </c>
    </row>
    <row r="72" spans="1:6" ht="15.75" thickBot="1">
      <c r="A72" s="279">
        <v>42897</v>
      </c>
      <c r="B72" s="280">
        <v>3.508</v>
      </c>
      <c r="C72" s="281">
        <v>3.508</v>
      </c>
      <c r="D72" s="281">
        <v>3.508</v>
      </c>
      <c r="E72" s="281">
        <v>3.508</v>
      </c>
      <c r="F72" s="282">
        <v>2.63E-2</v>
      </c>
    </row>
    <row r="73" spans="1:6" ht="15.75" thickBot="1">
      <c r="A73" s="279">
        <v>42866</v>
      </c>
      <c r="B73" s="283">
        <v>3.4180000000000001</v>
      </c>
      <c r="C73" s="281">
        <v>3.4180000000000001</v>
      </c>
      <c r="D73" s="281">
        <v>3.4180000000000001</v>
      </c>
      <c r="E73" s="281">
        <v>3.4180000000000001</v>
      </c>
      <c r="F73" s="284">
        <v>-4.6800000000000001E-2</v>
      </c>
    </row>
    <row r="74" spans="1:6" ht="15.75" thickBot="1">
      <c r="A74" s="279">
        <v>42836</v>
      </c>
      <c r="B74" s="283">
        <v>3.5859999999999999</v>
      </c>
      <c r="C74" s="281">
        <v>3.5859999999999999</v>
      </c>
      <c r="D74" s="281">
        <v>3.5859999999999999</v>
      </c>
      <c r="E74" s="281">
        <v>3.5859999999999999</v>
      </c>
      <c r="F74" s="284">
        <v>-3.5999999999999997E-2</v>
      </c>
    </row>
    <row r="75" spans="1:6" ht="15.75" thickBot="1">
      <c r="A75" s="279">
        <v>42805</v>
      </c>
      <c r="B75" s="280">
        <v>3.72</v>
      </c>
      <c r="C75" s="281">
        <v>3.72</v>
      </c>
      <c r="D75" s="281">
        <v>3.72</v>
      </c>
      <c r="E75" s="281">
        <v>3.72</v>
      </c>
      <c r="F75" s="282">
        <v>4.82E-2</v>
      </c>
    </row>
    <row r="76" spans="1:6" ht="15.75" thickBot="1">
      <c r="A76" s="279">
        <v>42777</v>
      </c>
      <c r="B76" s="280">
        <v>3.5489999999999999</v>
      </c>
      <c r="C76" s="281">
        <v>3.5489999999999999</v>
      </c>
      <c r="D76" s="281">
        <v>3.5489999999999999</v>
      </c>
      <c r="E76" s="281">
        <v>3.5489999999999999</v>
      </c>
      <c r="F76" s="282">
        <v>4.1999999999999997E-3</v>
      </c>
    </row>
    <row r="77" spans="1:6" ht="15.75" thickBot="1">
      <c r="A77" s="279">
        <v>42746</v>
      </c>
      <c r="B77" s="280">
        <v>3.5339999999999998</v>
      </c>
      <c r="C77" s="281">
        <v>3.5339999999999998</v>
      </c>
      <c r="D77" s="281">
        <v>3.5339999999999998</v>
      </c>
      <c r="E77" s="281">
        <v>3.5339999999999998</v>
      </c>
      <c r="F77" s="282">
        <v>5.4899999999999997E-2</v>
      </c>
    </row>
    <row r="78" spans="1:6" ht="15.75" thickBot="1">
      <c r="A78" s="279">
        <v>43079</v>
      </c>
      <c r="B78" s="280">
        <v>3.35</v>
      </c>
      <c r="C78" s="281">
        <v>3.35</v>
      </c>
      <c r="D78" s="281">
        <v>3.35</v>
      </c>
      <c r="E78" s="281">
        <v>3.35</v>
      </c>
      <c r="F78" s="282">
        <v>5.8799999999999998E-2</v>
      </c>
    </row>
    <row r="79" spans="1:6" ht="15.75" thickBot="1">
      <c r="A79" s="279">
        <v>43049</v>
      </c>
      <c r="B79" s="280">
        <v>3.1640000000000001</v>
      </c>
      <c r="C79" s="281">
        <v>3.1640000000000001</v>
      </c>
      <c r="D79" s="281">
        <v>3.1640000000000001</v>
      </c>
      <c r="E79" s="281">
        <v>3.1640000000000001</v>
      </c>
      <c r="F79" s="282">
        <v>8.7300000000000003E-2</v>
      </c>
    </row>
    <row r="80" spans="1:6" ht="15.75" thickBot="1">
      <c r="A80" s="279">
        <v>43018</v>
      </c>
      <c r="B80" s="280">
        <v>2.91</v>
      </c>
      <c r="C80" s="281">
        <v>2.91</v>
      </c>
      <c r="D80" s="281">
        <v>2.91</v>
      </c>
      <c r="E80" s="281">
        <v>2.91</v>
      </c>
      <c r="F80" s="282">
        <v>8.8700000000000001E-2</v>
      </c>
    </row>
    <row r="81" spans="1:6" ht="15.75" thickBot="1">
      <c r="A81" s="279">
        <v>42988</v>
      </c>
      <c r="B81" s="280">
        <v>2.673</v>
      </c>
      <c r="C81" s="281">
        <v>2.673</v>
      </c>
      <c r="D81" s="281">
        <v>2.673</v>
      </c>
      <c r="E81" s="281">
        <v>2.673</v>
      </c>
      <c r="F81" s="282">
        <v>0.08</v>
      </c>
    </row>
    <row r="82" spans="1:6" ht="15.75" thickBot="1">
      <c r="A82" s="279">
        <v>42957</v>
      </c>
      <c r="B82" s="283">
        <v>2.4750000000000001</v>
      </c>
      <c r="C82" s="281">
        <v>2.4750000000000001</v>
      </c>
      <c r="D82" s="281">
        <v>2.4750000000000001</v>
      </c>
      <c r="E82" s="281">
        <v>2.4750000000000001</v>
      </c>
      <c r="F82" s="284">
        <v>-0.16270000000000001</v>
      </c>
    </row>
    <row r="83" spans="1:6" ht="15.75" thickBot="1">
      <c r="A83" s="279">
        <v>42926</v>
      </c>
      <c r="B83" s="283">
        <v>2.956</v>
      </c>
      <c r="C83" s="281">
        <v>2.956</v>
      </c>
      <c r="D83" s="281">
        <v>2.956</v>
      </c>
      <c r="E83" s="281">
        <v>2.956</v>
      </c>
      <c r="F83" s="284">
        <v>-3.2399999999999998E-2</v>
      </c>
    </row>
    <row r="84" spans="1:6" ht="15.75" thickBot="1">
      <c r="A84" s="279">
        <v>42896</v>
      </c>
      <c r="B84" s="280">
        <v>3.0550000000000002</v>
      </c>
      <c r="C84" s="281">
        <v>3.0550000000000002</v>
      </c>
      <c r="D84" s="281">
        <v>3.0550000000000002</v>
      </c>
      <c r="E84" s="281">
        <v>3.0550000000000002</v>
      </c>
      <c r="F84" s="282">
        <v>4.7699999999999999E-2</v>
      </c>
    </row>
    <row r="85" spans="1:6" ht="15.75" thickBot="1">
      <c r="A85" s="279">
        <v>42865</v>
      </c>
      <c r="B85" s="283">
        <v>2.9159999999999999</v>
      </c>
      <c r="C85" s="281">
        <v>2.9159999999999999</v>
      </c>
      <c r="D85" s="281">
        <v>2.9159999999999999</v>
      </c>
      <c r="E85" s="281">
        <v>2.9159999999999999</v>
      </c>
      <c r="F85" s="284">
        <v>-0.1164</v>
      </c>
    </row>
    <row r="86" spans="1:6" ht="15.75" thickBot="1">
      <c r="A86" s="279">
        <v>42835</v>
      </c>
      <c r="B86" s="283">
        <v>3.3</v>
      </c>
      <c r="C86" s="281">
        <v>3.3</v>
      </c>
      <c r="D86" s="281">
        <v>3.3</v>
      </c>
      <c r="E86" s="281">
        <v>3.3</v>
      </c>
      <c r="F86" s="284">
        <v>-4.0399999999999998E-2</v>
      </c>
    </row>
    <row r="87" spans="1:6" ht="15.75" thickBot="1">
      <c r="A87" s="279">
        <v>42804</v>
      </c>
      <c r="B87" s="280">
        <v>3.4390000000000001</v>
      </c>
      <c r="C87" s="281">
        <v>3.4390000000000001</v>
      </c>
      <c r="D87" s="281">
        <v>3.4390000000000001</v>
      </c>
      <c r="E87" s="281">
        <v>3.4390000000000001</v>
      </c>
      <c r="F87" s="282">
        <v>4.7000000000000002E-3</v>
      </c>
    </row>
    <row r="88" spans="1:6" ht="15.75" thickBot="1">
      <c r="A88" s="279">
        <v>42776</v>
      </c>
      <c r="B88" s="283">
        <v>3.423</v>
      </c>
      <c r="C88" s="281">
        <v>3.423</v>
      </c>
      <c r="D88" s="281">
        <v>3.423</v>
      </c>
      <c r="E88" s="281">
        <v>3.423</v>
      </c>
      <c r="F88" s="284">
        <v>-1.2999999999999999E-2</v>
      </c>
    </row>
    <row r="89" spans="1:6" ht="15.75" thickBot="1">
      <c r="A89" s="279">
        <v>42745</v>
      </c>
      <c r="B89" s="283">
        <v>3.468</v>
      </c>
      <c r="C89" s="281">
        <v>3.468</v>
      </c>
      <c r="D89" s="281">
        <v>3.468</v>
      </c>
      <c r="E89" s="281">
        <v>3.468</v>
      </c>
      <c r="F89" s="284">
        <v>-4.0099999999999997E-2</v>
      </c>
    </row>
    <row r="90" spans="1:6" ht="15.75" thickBot="1">
      <c r="A90" s="279">
        <v>43078</v>
      </c>
      <c r="B90" s="280">
        <v>3.613</v>
      </c>
      <c r="C90" s="281">
        <v>3.613</v>
      </c>
      <c r="D90" s="281">
        <v>3.613</v>
      </c>
      <c r="E90" s="281">
        <v>3.613</v>
      </c>
      <c r="F90" s="282">
        <v>5.6099999999999997E-2</v>
      </c>
    </row>
    <row r="91" spans="1:6" ht="15.75" thickBot="1">
      <c r="A91" s="279">
        <v>43048</v>
      </c>
      <c r="B91" s="283">
        <v>3.4209999999999998</v>
      </c>
      <c r="C91" s="281">
        <v>3.4209999999999998</v>
      </c>
      <c r="D91" s="281">
        <v>3.4209999999999998</v>
      </c>
      <c r="E91" s="281">
        <v>3.4209999999999998</v>
      </c>
      <c r="F91" s="284">
        <v>-2.9000000000000001E-2</v>
      </c>
    </row>
    <row r="92" spans="1:6" ht="15.75" thickBot="1">
      <c r="A92" s="279">
        <v>43017</v>
      </c>
      <c r="B92" s="283">
        <v>3.5230000000000001</v>
      </c>
      <c r="C92" s="281">
        <v>3.5230000000000001</v>
      </c>
      <c r="D92" s="281">
        <v>3.5230000000000001</v>
      </c>
      <c r="E92" s="281">
        <v>3.5230000000000001</v>
      </c>
      <c r="F92" s="284">
        <v>-5.4000000000000003E-3</v>
      </c>
    </row>
    <row r="93" spans="1:6" ht="15.75" thickBot="1">
      <c r="A93" s="279">
        <v>42987</v>
      </c>
      <c r="B93" s="280">
        <v>3.5419999999999998</v>
      </c>
      <c r="C93" s="281">
        <v>3.5419999999999998</v>
      </c>
      <c r="D93" s="281">
        <v>3.5419999999999998</v>
      </c>
      <c r="E93" s="281">
        <v>3.5419999999999998</v>
      </c>
      <c r="F93" s="282">
        <v>2.3E-3</v>
      </c>
    </row>
    <row r="94" spans="1:6" ht="15.75" thickBot="1">
      <c r="A94" s="279">
        <v>42956</v>
      </c>
      <c r="B94" s="283">
        <v>3.5339999999999998</v>
      </c>
      <c r="C94" s="281">
        <v>3.5339999999999998</v>
      </c>
      <c r="D94" s="281">
        <v>3.5339999999999998</v>
      </c>
      <c r="E94" s="281">
        <v>3.5339999999999998</v>
      </c>
      <c r="F94" s="284">
        <v>-1.01E-2</v>
      </c>
    </row>
    <row r="95" spans="1:6" ht="15.75" thickBot="1">
      <c r="A95" s="279">
        <v>42925</v>
      </c>
      <c r="B95" s="283">
        <v>3.57</v>
      </c>
      <c r="C95" s="281">
        <v>3.57</v>
      </c>
      <c r="D95" s="281">
        <v>3.57</v>
      </c>
      <c r="E95" s="281">
        <v>3.57</v>
      </c>
      <c r="F95" s="284">
        <v>-4.3400000000000001E-2</v>
      </c>
    </row>
    <row r="96" spans="1:6" ht="15.75" thickBot="1">
      <c r="A96" s="279">
        <v>42895</v>
      </c>
      <c r="B96" s="283">
        <v>3.7320000000000002</v>
      </c>
      <c r="C96" s="281">
        <v>3.7320000000000002</v>
      </c>
      <c r="D96" s="281">
        <v>3.7320000000000002</v>
      </c>
      <c r="E96" s="281">
        <v>3.7320000000000002</v>
      </c>
      <c r="F96" s="284">
        <v>-5.6399999999999999E-2</v>
      </c>
    </row>
    <row r="97" spans="1:6" ht="15.75" thickBot="1">
      <c r="A97" s="279">
        <v>42864</v>
      </c>
      <c r="B97" s="280">
        <v>3.9550000000000001</v>
      </c>
      <c r="C97" s="281">
        <v>3.9550000000000001</v>
      </c>
      <c r="D97" s="281">
        <v>3.9550000000000001</v>
      </c>
      <c r="E97" s="281">
        <v>3.9550000000000001</v>
      </c>
      <c r="F97" s="282">
        <v>0.1038</v>
      </c>
    </row>
    <row r="98" spans="1:6" ht="15.75" thickBot="1">
      <c r="A98" s="279">
        <v>42834</v>
      </c>
      <c r="B98" s="283">
        <v>3.5830000000000002</v>
      </c>
      <c r="C98" s="281">
        <v>3.5830000000000002</v>
      </c>
      <c r="D98" s="281">
        <v>3.5830000000000002</v>
      </c>
      <c r="E98" s="281">
        <v>3.5830000000000002</v>
      </c>
      <c r="F98" s="284">
        <v>-1.38E-2</v>
      </c>
    </row>
    <row r="99" spans="1:6" ht="15.75" thickBot="1">
      <c r="A99" s="279">
        <v>42803</v>
      </c>
      <c r="B99" s="283">
        <v>3.633</v>
      </c>
      <c r="C99" s="281">
        <v>3.633</v>
      </c>
      <c r="D99" s="281">
        <v>3.633</v>
      </c>
      <c r="E99" s="281">
        <v>3.633</v>
      </c>
      <c r="F99" s="284">
        <v>-6.6E-3</v>
      </c>
    </row>
    <row r="100" spans="1:6" ht="15.75" thickBot="1">
      <c r="A100" s="279">
        <v>42775</v>
      </c>
      <c r="B100" s="283">
        <v>3.657</v>
      </c>
      <c r="C100" s="281">
        <v>3.657</v>
      </c>
      <c r="D100" s="281">
        <v>3.657</v>
      </c>
      <c r="E100" s="281">
        <v>3.657</v>
      </c>
      <c r="F100" s="284">
        <v>-4.24E-2</v>
      </c>
    </row>
    <row r="101" spans="1:6" ht="15.75" thickBot="1">
      <c r="A101" s="279">
        <v>42744</v>
      </c>
      <c r="B101" s="280">
        <v>3.819</v>
      </c>
      <c r="C101" s="281">
        <v>3.819</v>
      </c>
      <c r="D101" s="281">
        <v>3.819</v>
      </c>
      <c r="E101" s="281">
        <v>3.819</v>
      </c>
      <c r="F101" s="282">
        <v>0.1186</v>
      </c>
    </row>
    <row r="102" spans="1:6" ht="15.75" thickBot="1">
      <c r="A102" s="279">
        <v>43077</v>
      </c>
      <c r="B102" s="283">
        <v>3.4140000000000001</v>
      </c>
      <c r="C102" s="281">
        <v>3.4140000000000001</v>
      </c>
      <c r="D102" s="281">
        <v>3.4140000000000001</v>
      </c>
      <c r="E102" s="281">
        <v>3.4140000000000001</v>
      </c>
      <c r="F102" s="284">
        <v>-7.3499999999999996E-2</v>
      </c>
    </row>
    <row r="103" spans="1:6" ht="15.75" thickBot="1">
      <c r="A103" s="279">
        <v>43047</v>
      </c>
      <c r="B103" s="283">
        <v>3.6850000000000001</v>
      </c>
      <c r="C103" s="281">
        <v>3.6850000000000001</v>
      </c>
      <c r="D103" s="281">
        <v>3.6850000000000001</v>
      </c>
      <c r="E103" s="281">
        <v>3.6850000000000001</v>
      </c>
      <c r="F103" s="284">
        <v>-0.14380000000000001</v>
      </c>
    </row>
    <row r="104" spans="1:6" ht="15.75" thickBot="1">
      <c r="A104" s="279">
        <v>43016</v>
      </c>
      <c r="B104" s="283">
        <v>4.3040000000000003</v>
      </c>
      <c r="C104" s="281">
        <v>4.3040000000000003</v>
      </c>
      <c r="D104" s="281">
        <v>4.3040000000000003</v>
      </c>
      <c r="E104" s="281">
        <v>4.3040000000000003</v>
      </c>
      <c r="F104" s="284">
        <v>-8.0999999999999996E-3</v>
      </c>
    </row>
    <row r="105" spans="1:6" ht="15.75" thickBot="1">
      <c r="A105" s="279">
        <v>42986</v>
      </c>
      <c r="B105" s="283">
        <v>4.3390000000000004</v>
      </c>
      <c r="C105" s="281">
        <v>4.3390000000000004</v>
      </c>
      <c r="D105" s="281">
        <v>4.3390000000000004</v>
      </c>
      <c r="E105" s="281">
        <v>4.3390000000000004</v>
      </c>
      <c r="F105" s="284">
        <v>-8.2000000000000007E-3</v>
      </c>
    </row>
    <row r="106" spans="1:6" ht="15.75" thickBot="1">
      <c r="A106" s="279">
        <v>42955</v>
      </c>
      <c r="B106" s="283">
        <v>4.375</v>
      </c>
      <c r="C106" s="281">
        <v>4.375</v>
      </c>
      <c r="D106" s="281">
        <v>4.375</v>
      </c>
      <c r="E106" s="281">
        <v>4.375</v>
      </c>
      <c r="F106" s="284">
        <v>-3.4599999999999999E-2</v>
      </c>
    </row>
    <row r="107" spans="1:6" ht="15.75" thickBot="1">
      <c r="A107" s="279">
        <v>42924</v>
      </c>
      <c r="B107" s="283">
        <v>4.532</v>
      </c>
      <c r="C107" s="281">
        <v>4.532</v>
      </c>
      <c r="D107" s="281">
        <v>4.532</v>
      </c>
      <c r="E107" s="281">
        <v>4.532</v>
      </c>
      <c r="F107" s="284">
        <v>-6.0699999999999997E-2</v>
      </c>
    </row>
    <row r="108" spans="1:6" ht="15.75" thickBot="1">
      <c r="A108" s="279">
        <v>42894</v>
      </c>
      <c r="B108" s="280">
        <v>4.8250000000000002</v>
      </c>
      <c r="C108" s="281">
        <v>4.8250000000000002</v>
      </c>
      <c r="D108" s="281">
        <v>4.8250000000000002</v>
      </c>
      <c r="E108" s="281">
        <v>4.8250000000000002</v>
      </c>
      <c r="F108" s="282">
        <v>4.7500000000000001E-2</v>
      </c>
    </row>
    <row r="109" spans="1:6" ht="15.75" thickBot="1">
      <c r="A109" s="279">
        <v>42863</v>
      </c>
      <c r="B109" s="280">
        <v>4.6059999999999999</v>
      </c>
      <c r="C109" s="281">
        <v>4.6059999999999999</v>
      </c>
      <c r="D109" s="281">
        <v>4.6059999999999999</v>
      </c>
      <c r="E109" s="281">
        <v>4.6059999999999999</v>
      </c>
      <c r="F109" s="282">
        <v>6.4699999999999994E-2</v>
      </c>
    </row>
    <row r="110" spans="1:6" ht="15.75" thickBot="1">
      <c r="A110" s="279">
        <v>42833</v>
      </c>
      <c r="B110" s="280">
        <v>4.3259999999999996</v>
      </c>
      <c r="C110" s="281">
        <v>4.3259999999999996</v>
      </c>
      <c r="D110" s="281">
        <v>4.3259999999999996</v>
      </c>
      <c r="E110" s="281">
        <v>4.3259999999999996</v>
      </c>
      <c r="F110" s="282">
        <v>5.1499999999999997E-2</v>
      </c>
    </row>
    <row r="111" spans="1:6" ht="15.75" thickBot="1">
      <c r="A111" s="279">
        <v>42802</v>
      </c>
      <c r="B111" s="280">
        <v>4.1139999999999999</v>
      </c>
      <c r="C111" s="281">
        <v>4.1139999999999999</v>
      </c>
      <c r="D111" s="281">
        <v>4.1139999999999999</v>
      </c>
      <c r="E111" s="281">
        <v>4.1139999999999999</v>
      </c>
      <c r="F111" s="282">
        <v>6.9999999999999999E-4</v>
      </c>
    </row>
    <row r="112" spans="1:6" ht="15.75" thickBot="1">
      <c r="A112" s="279">
        <v>42774</v>
      </c>
      <c r="B112" s="283">
        <v>4.1109999999999998</v>
      </c>
      <c r="C112" s="281">
        <v>4.1109999999999998</v>
      </c>
      <c r="D112" s="281">
        <v>4.1109999999999998</v>
      </c>
      <c r="E112" s="281">
        <v>4.1109999999999998</v>
      </c>
      <c r="F112" s="284">
        <v>-6.7999999999999996E-3</v>
      </c>
    </row>
    <row r="113" spans="1:6" ht="15.75" thickBot="1">
      <c r="A113" s="279">
        <v>42743</v>
      </c>
      <c r="B113" s="283">
        <v>4.1390000000000002</v>
      </c>
      <c r="C113" s="281">
        <v>4.1390000000000002</v>
      </c>
      <c r="D113" s="281">
        <v>4.1390000000000002</v>
      </c>
      <c r="E113" s="281">
        <v>4.1390000000000002</v>
      </c>
      <c r="F113" s="284">
        <v>-6.4199999999999993E-2</v>
      </c>
    </row>
    <row r="114" spans="1:6" ht="15.75" thickBot="1">
      <c r="A114" s="279">
        <v>43076</v>
      </c>
      <c r="B114" s="280">
        <v>4.423</v>
      </c>
      <c r="C114" s="281">
        <v>4.423</v>
      </c>
      <c r="D114" s="281">
        <v>4.423</v>
      </c>
      <c r="E114" s="281">
        <v>4.423</v>
      </c>
      <c r="F114" s="282">
        <v>5.5100000000000003E-2</v>
      </c>
    </row>
    <row r="115" spans="1:6" ht="15.75" thickBot="1">
      <c r="A115" s="279">
        <v>43046</v>
      </c>
      <c r="B115" s="283">
        <v>4.1920000000000002</v>
      </c>
      <c r="C115" s="281">
        <v>4.1920000000000002</v>
      </c>
      <c r="D115" s="281">
        <v>4.1920000000000002</v>
      </c>
      <c r="E115" s="281">
        <v>4.1920000000000002</v>
      </c>
      <c r="F115" s="284">
        <v>-2.4400000000000002E-2</v>
      </c>
    </row>
    <row r="116" spans="1:6" ht="15.75" thickBot="1">
      <c r="A116" s="279">
        <v>43015</v>
      </c>
      <c r="B116" s="283">
        <v>4.2969999999999997</v>
      </c>
      <c r="C116" s="281">
        <v>4.2969999999999997</v>
      </c>
      <c r="D116" s="281">
        <v>4.2969999999999997</v>
      </c>
      <c r="E116" s="281">
        <v>4.2969999999999997</v>
      </c>
      <c r="F116" s="284">
        <v>-4.0599999999999997E-2</v>
      </c>
    </row>
    <row r="117" spans="1:6" ht="15.75" thickBot="1">
      <c r="A117" s="279">
        <v>42985</v>
      </c>
      <c r="B117" s="280">
        <v>4.4790000000000001</v>
      </c>
      <c r="C117" s="281">
        <v>4.4790000000000001</v>
      </c>
      <c r="D117" s="281">
        <v>4.4790000000000001</v>
      </c>
      <c r="E117" s="281">
        <v>4.4790000000000001</v>
      </c>
      <c r="F117" s="282">
        <v>4.2099999999999999E-2</v>
      </c>
    </row>
    <row r="118" spans="1:6" ht="15.75" thickBot="1">
      <c r="A118" s="279">
        <v>42954</v>
      </c>
      <c r="B118" s="283">
        <v>4.298</v>
      </c>
      <c r="C118" s="281">
        <v>4.298</v>
      </c>
      <c r="D118" s="281">
        <v>4.298</v>
      </c>
      <c r="E118" s="281">
        <v>4.298</v>
      </c>
      <c r="F118" s="284">
        <v>-2.9600000000000001E-2</v>
      </c>
    </row>
    <row r="119" spans="1:6" ht="15.75" thickBot="1">
      <c r="A119" s="279">
        <v>42923</v>
      </c>
      <c r="B119" s="283">
        <v>4.4290000000000003</v>
      </c>
      <c r="C119" s="281">
        <v>4.4290000000000003</v>
      </c>
      <c r="D119" s="281">
        <v>4.4290000000000003</v>
      </c>
      <c r="E119" s="281">
        <v>4.4290000000000003</v>
      </c>
      <c r="F119" s="284">
        <v>-4.1300000000000003E-2</v>
      </c>
    </row>
    <row r="120" spans="1:6" ht="15.75" thickBot="1">
      <c r="A120" s="279">
        <v>42893</v>
      </c>
      <c r="B120" s="280">
        <v>4.62</v>
      </c>
      <c r="C120" s="281">
        <v>4.62</v>
      </c>
      <c r="D120" s="281">
        <v>4.62</v>
      </c>
      <c r="E120" s="281">
        <v>4.62</v>
      </c>
      <c r="F120" s="282">
        <v>4.0800000000000003E-2</v>
      </c>
    </row>
    <row r="121" spans="1:6" ht="15.75" thickBot="1">
      <c r="A121" s="279">
        <v>42862</v>
      </c>
      <c r="B121" s="280">
        <v>4.4390000000000001</v>
      </c>
      <c r="C121" s="281">
        <v>4.4390000000000001</v>
      </c>
      <c r="D121" s="281">
        <v>4.4390000000000001</v>
      </c>
      <c r="E121" s="281">
        <v>4.4390000000000001</v>
      </c>
      <c r="F121" s="282">
        <v>4.0300000000000002E-2</v>
      </c>
    </row>
    <row r="122" spans="1:6" ht="15.75" thickBot="1">
      <c r="A122" s="279">
        <v>42832</v>
      </c>
      <c r="B122" s="280">
        <v>4.2670000000000003</v>
      </c>
      <c r="C122" s="281">
        <v>4.2670000000000003</v>
      </c>
      <c r="D122" s="281">
        <v>4.2670000000000003</v>
      </c>
      <c r="E122" s="281">
        <v>4.2670000000000003</v>
      </c>
      <c r="F122" s="282">
        <v>3.7699999999999997E-2</v>
      </c>
    </row>
    <row r="123" spans="1:6" ht="15.75" thickBot="1">
      <c r="A123" s="279">
        <v>42801</v>
      </c>
      <c r="B123" s="280">
        <v>4.1120000000000001</v>
      </c>
      <c r="C123" s="281">
        <v>4.1120000000000001</v>
      </c>
      <c r="D123" s="281">
        <v>4.1120000000000001</v>
      </c>
      <c r="E123" s="281">
        <v>4.1120000000000001</v>
      </c>
      <c r="F123" s="282">
        <v>3.3700000000000001E-2</v>
      </c>
    </row>
    <row r="124" spans="1:6" ht="15.75" thickBot="1">
      <c r="A124" s="279">
        <v>42773</v>
      </c>
      <c r="B124" s="283">
        <v>3.9780000000000002</v>
      </c>
      <c r="C124" s="281">
        <v>3.9780000000000002</v>
      </c>
      <c r="D124" s="281">
        <v>3.9780000000000002</v>
      </c>
      <c r="E124" s="281">
        <v>3.9780000000000002</v>
      </c>
      <c r="F124" s="284">
        <v>-4.1000000000000002E-2</v>
      </c>
    </row>
    <row r="125" spans="1:6" ht="15.75" thickBot="1">
      <c r="A125" s="279">
        <v>42742</v>
      </c>
      <c r="B125" s="280">
        <v>4.1479999999999997</v>
      </c>
      <c r="C125" s="281">
        <v>4.1479999999999997</v>
      </c>
      <c r="D125" s="281">
        <v>4.1479999999999997</v>
      </c>
      <c r="E125" s="281">
        <v>4.1479999999999997</v>
      </c>
      <c r="F125" s="282">
        <v>4.2999999999999997E-2</v>
      </c>
    </row>
    <row r="126" spans="1:6" ht="15.75" thickBot="1">
      <c r="A126" s="279">
        <v>43075</v>
      </c>
      <c r="B126" s="280">
        <v>3.9769999999999999</v>
      </c>
      <c r="C126" s="281">
        <v>3.9769999999999999</v>
      </c>
      <c r="D126" s="281">
        <v>3.9769999999999999</v>
      </c>
      <c r="E126" s="281">
        <v>3.9769999999999999</v>
      </c>
      <c r="F126" s="282">
        <v>6.4500000000000002E-2</v>
      </c>
    </row>
    <row r="127" spans="1:6" ht="15.75" thickBot="1">
      <c r="A127" s="279">
        <v>43045</v>
      </c>
      <c r="B127" s="283">
        <v>3.7360000000000002</v>
      </c>
      <c r="C127" s="281">
        <v>3.7360000000000002</v>
      </c>
      <c r="D127" s="281">
        <v>3.7360000000000002</v>
      </c>
      <c r="E127" s="281">
        <v>3.7360000000000002</v>
      </c>
      <c r="F127" s="284">
        <v>-1.61E-2</v>
      </c>
    </row>
    <row r="128" spans="1:6" ht="15.75" thickBot="1">
      <c r="A128" s="279">
        <v>43014</v>
      </c>
      <c r="B128" s="280">
        <v>3.7970000000000002</v>
      </c>
      <c r="C128" s="281">
        <v>3.7970000000000002</v>
      </c>
      <c r="D128" s="281">
        <v>3.7970000000000002</v>
      </c>
      <c r="E128" s="281">
        <v>3.7970000000000002</v>
      </c>
      <c r="F128" s="282">
        <v>3.04E-2</v>
      </c>
    </row>
    <row r="129" spans="1:6" ht="15.75" thickBot="1">
      <c r="A129" s="279">
        <v>42984</v>
      </c>
      <c r="B129" s="283">
        <v>3.6850000000000001</v>
      </c>
      <c r="C129" s="281">
        <v>3.6850000000000001</v>
      </c>
      <c r="D129" s="281">
        <v>3.6850000000000001</v>
      </c>
      <c r="E129" s="281">
        <v>3.6850000000000001</v>
      </c>
      <c r="F129" s="284">
        <v>-1.9199999999999998E-2</v>
      </c>
    </row>
    <row r="130" spans="1:6" ht="15.75" thickBot="1">
      <c r="A130" s="279">
        <v>42953</v>
      </c>
      <c r="B130" s="283">
        <v>3.7570000000000001</v>
      </c>
      <c r="C130" s="281">
        <v>3.7570000000000001</v>
      </c>
      <c r="D130" s="281">
        <v>3.7570000000000001</v>
      </c>
      <c r="E130" s="281">
        <v>3.7570000000000001</v>
      </c>
      <c r="F130" s="284">
        <v>-4.4499999999999998E-2</v>
      </c>
    </row>
    <row r="131" spans="1:6" ht="15.75" thickBot="1">
      <c r="A131" s="279">
        <v>42922</v>
      </c>
      <c r="B131" s="283">
        <v>3.9319999999999999</v>
      </c>
      <c r="C131" s="281">
        <v>3.9319999999999999</v>
      </c>
      <c r="D131" s="281">
        <v>3.9319999999999999</v>
      </c>
      <c r="E131" s="281">
        <v>3.9319999999999999</v>
      </c>
      <c r="F131" s="284">
        <v>-3.1E-2</v>
      </c>
    </row>
    <row r="132" spans="1:6" ht="15.75" thickBot="1">
      <c r="A132" s="279">
        <v>42892</v>
      </c>
      <c r="B132" s="280">
        <v>4.0579999999999998</v>
      </c>
      <c r="C132" s="281">
        <v>4.0579999999999998</v>
      </c>
      <c r="D132" s="281">
        <v>4.0579999999999998</v>
      </c>
      <c r="E132" s="281">
        <v>4.0579999999999998</v>
      </c>
      <c r="F132" s="282">
        <v>2.8400000000000002E-2</v>
      </c>
    </row>
    <row r="133" spans="1:6" ht="15.75" thickBot="1">
      <c r="A133" s="279">
        <v>42861</v>
      </c>
      <c r="B133" s="283">
        <v>3.9460000000000002</v>
      </c>
      <c r="C133" s="281">
        <v>3.9460000000000002</v>
      </c>
      <c r="D133" s="281">
        <v>3.9460000000000002</v>
      </c>
      <c r="E133" s="281">
        <v>3.9460000000000002</v>
      </c>
      <c r="F133" s="284">
        <v>-1.52E-2</v>
      </c>
    </row>
    <row r="134" spans="1:6" ht="15.75" thickBot="1">
      <c r="A134" s="279">
        <v>42831</v>
      </c>
      <c r="B134" s="280">
        <v>4.0069999999999997</v>
      </c>
      <c r="C134" s="281">
        <v>4.0069999999999997</v>
      </c>
      <c r="D134" s="281">
        <v>4.0069999999999997</v>
      </c>
      <c r="E134" s="281">
        <v>4.0069999999999997</v>
      </c>
      <c r="F134" s="282">
        <v>4.87E-2</v>
      </c>
    </row>
    <row r="135" spans="1:6" ht="15.75" thickBot="1">
      <c r="A135" s="279">
        <v>42800</v>
      </c>
      <c r="B135" s="280">
        <v>3.8210000000000002</v>
      </c>
      <c r="C135" s="281">
        <v>3.8210000000000002</v>
      </c>
      <c r="D135" s="281">
        <v>3.8210000000000002</v>
      </c>
      <c r="E135" s="281">
        <v>3.8210000000000002</v>
      </c>
      <c r="F135" s="282">
        <v>7.4499999999999997E-2</v>
      </c>
    </row>
    <row r="136" spans="1:6" ht="15.75" thickBot="1">
      <c r="A136" s="279">
        <v>42772</v>
      </c>
      <c r="B136" s="280">
        <v>3.556</v>
      </c>
      <c r="C136" s="281">
        <v>3.556</v>
      </c>
      <c r="D136" s="281">
        <v>3.556</v>
      </c>
      <c r="E136" s="281">
        <v>3.556</v>
      </c>
      <c r="F136" s="282">
        <v>2.1499999999999998E-2</v>
      </c>
    </row>
    <row r="137" spans="1:6" ht="15.75" thickBot="1">
      <c r="A137" s="279">
        <v>42741</v>
      </c>
      <c r="B137" s="280">
        <v>3.4809999999999999</v>
      </c>
      <c r="C137" s="281">
        <v>3.4809999999999999</v>
      </c>
      <c r="D137" s="281">
        <v>3.4809999999999999</v>
      </c>
      <c r="E137" s="281">
        <v>3.4809999999999999</v>
      </c>
      <c r="F137" s="282">
        <v>4.7899999999999998E-2</v>
      </c>
    </row>
    <row r="138" spans="1:6" ht="15.75" thickBot="1">
      <c r="A138" s="279">
        <v>43074</v>
      </c>
      <c r="B138" s="283">
        <v>3.3220000000000001</v>
      </c>
      <c r="C138" s="281">
        <v>3.3220000000000001</v>
      </c>
      <c r="D138" s="281">
        <v>3.3220000000000001</v>
      </c>
      <c r="E138" s="281">
        <v>3.3220000000000001</v>
      </c>
      <c r="F138" s="284">
        <v>-4.4299999999999999E-2</v>
      </c>
    </row>
    <row r="139" spans="1:6" ht="15.75" thickBot="1">
      <c r="A139" s="279">
        <v>43044</v>
      </c>
      <c r="B139" s="280">
        <v>3.476</v>
      </c>
      <c r="C139" s="281">
        <v>3.476</v>
      </c>
      <c r="D139" s="281">
        <v>3.476</v>
      </c>
      <c r="E139" s="281">
        <v>3.476</v>
      </c>
      <c r="F139" s="282">
        <v>1.0200000000000001E-2</v>
      </c>
    </row>
    <row r="140" spans="1:6" ht="15.75" thickBot="1">
      <c r="A140" s="279">
        <v>43013</v>
      </c>
      <c r="B140" s="280">
        <v>3.4409999999999998</v>
      </c>
      <c r="C140" s="281">
        <v>3.4409999999999998</v>
      </c>
      <c r="D140" s="281">
        <v>3.4409999999999998</v>
      </c>
      <c r="E140" s="281">
        <v>3.4409999999999998</v>
      </c>
      <c r="F140" s="282">
        <v>7.8E-2</v>
      </c>
    </row>
    <row r="141" spans="1:6" ht="15.75" thickBot="1">
      <c r="A141" s="279">
        <v>42983</v>
      </c>
      <c r="B141" s="283">
        <v>3.1920000000000002</v>
      </c>
      <c r="C141" s="281">
        <v>3.1920000000000002</v>
      </c>
      <c r="D141" s="281">
        <v>3.1920000000000002</v>
      </c>
      <c r="E141" s="281">
        <v>3.1920000000000002</v>
      </c>
      <c r="F141" s="284">
        <v>-3.3999999999999998E-3</v>
      </c>
    </row>
    <row r="142" spans="1:6" ht="15.75" thickBot="1">
      <c r="A142" s="279">
        <v>42952</v>
      </c>
      <c r="B142" s="283">
        <v>3.2029999999999998</v>
      </c>
      <c r="C142" s="281">
        <v>3.2029999999999998</v>
      </c>
      <c r="D142" s="281">
        <v>3.2029999999999998</v>
      </c>
      <c r="E142" s="281">
        <v>3.2029999999999998</v>
      </c>
      <c r="F142" s="284">
        <v>-2.47E-2</v>
      </c>
    </row>
    <row r="143" spans="1:6" ht="15.75" thickBot="1">
      <c r="A143" s="279">
        <v>42921</v>
      </c>
      <c r="B143" s="280">
        <v>3.2839999999999998</v>
      </c>
      <c r="C143" s="281">
        <v>3.2839999999999998</v>
      </c>
      <c r="D143" s="281">
        <v>3.2839999999999998</v>
      </c>
      <c r="E143" s="281">
        <v>3.2839999999999998</v>
      </c>
      <c r="F143" s="282">
        <v>3.1399999999999997E-2</v>
      </c>
    </row>
    <row r="144" spans="1:6" ht="15.75" thickBot="1">
      <c r="A144" s="279">
        <v>42891</v>
      </c>
      <c r="B144" s="283">
        <v>3.1840000000000002</v>
      </c>
      <c r="C144" s="281">
        <v>3.1840000000000002</v>
      </c>
      <c r="D144" s="281">
        <v>3.1840000000000002</v>
      </c>
      <c r="E144" s="281">
        <v>3.1840000000000002</v>
      </c>
      <c r="F144" s="284">
        <v>-4.9799999999999997E-2</v>
      </c>
    </row>
    <row r="145" spans="1:6" ht="15.75" thickBot="1">
      <c r="A145" s="279">
        <v>42860</v>
      </c>
      <c r="B145" s="283">
        <v>3.351</v>
      </c>
      <c r="C145" s="281">
        <v>3.351</v>
      </c>
      <c r="D145" s="281">
        <v>3.351</v>
      </c>
      <c r="E145" s="281">
        <v>3.351</v>
      </c>
      <c r="F145" s="284">
        <v>-2.76E-2</v>
      </c>
    </row>
    <row r="146" spans="1:6" ht="15.75" thickBot="1">
      <c r="A146" s="279">
        <v>42830</v>
      </c>
      <c r="B146" s="283">
        <v>3.4460000000000002</v>
      </c>
      <c r="C146" s="281">
        <v>3.4460000000000002</v>
      </c>
      <c r="D146" s="281">
        <v>3.4460000000000002</v>
      </c>
      <c r="E146" s="281">
        <v>3.4460000000000002</v>
      </c>
      <c r="F146" s="284">
        <v>-6.9900000000000004E-2</v>
      </c>
    </row>
    <row r="147" spans="1:6" ht="15.75" thickBot="1">
      <c r="A147" s="279">
        <v>42799</v>
      </c>
      <c r="B147" s="283">
        <v>3.7050000000000001</v>
      </c>
      <c r="C147" s="281">
        <v>3.7050000000000001</v>
      </c>
      <c r="D147" s="281">
        <v>3.7050000000000001</v>
      </c>
      <c r="E147" s="281">
        <v>3.7050000000000001</v>
      </c>
      <c r="F147" s="284">
        <v>-8.3000000000000001E-3</v>
      </c>
    </row>
    <row r="148" spans="1:6" ht="15.75" thickBot="1">
      <c r="A148" s="279">
        <v>42771</v>
      </c>
      <c r="B148" s="280">
        <v>3.7360000000000002</v>
      </c>
      <c r="C148" s="281">
        <v>3.7360000000000002</v>
      </c>
      <c r="D148" s="281">
        <v>3.7360000000000002</v>
      </c>
      <c r="E148" s="281">
        <v>3.7360000000000002</v>
      </c>
      <c r="F148" s="282">
        <v>5.7799999999999997E-2</v>
      </c>
    </row>
    <row r="149" spans="1:6" ht="15.75" thickBot="1">
      <c r="A149" s="279">
        <v>42740</v>
      </c>
      <c r="B149" s="283">
        <v>3.532</v>
      </c>
      <c r="C149" s="281">
        <v>3.532</v>
      </c>
      <c r="D149" s="281">
        <v>3.532</v>
      </c>
      <c r="E149" s="281">
        <v>3.532</v>
      </c>
      <c r="F149" s="284">
        <v>-4.2799999999999998E-2</v>
      </c>
    </row>
    <row r="150" spans="1:6" ht="15.75" thickBot="1">
      <c r="A150" s="279">
        <v>43073</v>
      </c>
      <c r="B150" s="283">
        <v>3.69</v>
      </c>
      <c r="C150" s="281">
        <v>3.69</v>
      </c>
      <c r="D150" s="281">
        <v>3.69</v>
      </c>
      <c r="E150" s="281">
        <v>3.69</v>
      </c>
      <c r="F150" s="284">
        <v>-3.3300000000000003E-2</v>
      </c>
    </row>
    <row r="151" spans="1:6" ht="15.75" thickBot="1">
      <c r="A151" s="279">
        <v>43043</v>
      </c>
      <c r="B151" s="283">
        <v>3.8170000000000002</v>
      </c>
      <c r="C151" s="281">
        <v>3.8170000000000002</v>
      </c>
      <c r="D151" s="281">
        <v>3.8170000000000002</v>
      </c>
      <c r="E151" s="281">
        <v>3.8170000000000002</v>
      </c>
      <c r="F151" s="284">
        <v>-2.7799999999999998E-2</v>
      </c>
    </row>
    <row r="152" spans="1:6" ht="15.75" thickBot="1">
      <c r="A152" s="279">
        <v>43012</v>
      </c>
      <c r="B152" s="283">
        <v>3.9260000000000002</v>
      </c>
      <c r="C152" s="281">
        <v>3.9260000000000002</v>
      </c>
      <c r="D152" s="281">
        <v>3.9260000000000002</v>
      </c>
      <c r="E152" s="281">
        <v>3.9260000000000002</v>
      </c>
      <c r="F152" s="284">
        <v>-3.1099999999999999E-2</v>
      </c>
    </row>
    <row r="153" spans="1:6" ht="15.75" thickBot="1">
      <c r="A153" s="279">
        <v>42982</v>
      </c>
      <c r="B153" s="283">
        <v>4.0519999999999996</v>
      </c>
      <c r="C153" s="281">
        <v>4.0519999999999996</v>
      </c>
      <c r="D153" s="281">
        <v>4.0519999999999996</v>
      </c>
      <c r="E153" s="281">
        <v>4.0519999999999996</v>
      </c>
      <c r="F153" s="284">
        <v>-8.8000000000000005E-3</v>
      </c>
    </row>
    <row r="154" spans="1:6" ht="15.75" thickBot="1">
      <c r="A154" s="279">
        <v>42951</v>
      </c>
      <c r="B154" s="283">
        <v>4.0880000000000001</v>
      </c>
      <c r="C154" s="281">
        <v>4.0880000000000001</v>
      </c>
      <c r="D154" s="281">
        <v>4.0880000000000001</v>
      </c>
      <c r="E154" s="281">
        <v>4.0880000000000001</v>
      </c>
      <c r="F154" s="284">
        <v>-4.7100000000000003E-2</v>
      </c>
    </row>
    <row r="155" spans="1:6" ht="15.75" thickBot="1">
      <c r="A155" s="279">
        <v>42920</v>
      </c>
      <c r="B155" s="283">
        <v>4.29</v>
      </c>
      <c r="C155" s="281">
        <v>4.29</v>
      </c>
      <c r="D155" s="281">
        <v>4.29</v>
      </c>
      <c r="E155" s="281">
        <v>4.29</v>
      </c>
      <c r="F155" s="284">
        <v>-2.01E-2</v>
      </c>
    </row>
    <row r="156" spans="1:6" ht="15.75" thickBot="1">
      <c r="A156" s="279">
        <v>42890</v>
      </c>
      <c r="B156" s="280">
        <v>4.3780000000000001</v>
      </c>
      <c r="C156" s="281">
        <v>4.3780000000000001</v>
      </c>
      <c r="D156" s="281">
        <v>4.3780000000000001</v>
      </c>
      <c r="E156" s="281">
        <v>4.3780000000000001</v>
      </c>
      <c r="F156" s="282">
        <v>7.4000000000000003E-3</v>
      </c>
    </row>
    <row r="157" spans="1:6" ht="15.75" thickBot="1">
      <c r="A157" s="279">
        <v>42859</v>
      </c>
      <c r="B157" s="280">
        <v>4.3460000000000001</v>
      </c>
      <c r="C157" s="281">
        <v>4.3460000000000001</v>
      </c>
      <c r="D157" s="281">
        <v>4.3460000000000001</v>
      </c>
      <c r="E157" s="281">
        <v>4.3460000000000001</v>
      </c>
      <c r="F157" s="282">
        <v>1.47E-2</v>
      </c>
    </row>
    <row r="158" spans="1:6" ht="15.75" thickBot="1">
      <c r="A158" s="279">
        <v>42829</v>
      </c>
      <c r="B158" s="280">
        <v>4.2830000000000004</v>
      </c>
      <c r="C158" s="281">
        <v>4.2830000000000004</v>
      </c>
      <c r="D158" s="281">
        <v>4.2830000000000004</v>
      </c>
      <c r="E158" s="281">
        <v>4.2830000000000004</v>
      </c>
      <c r="F158" s="282">
        <v>6.6699999999999995E-2</v>
      </c>
    </row>
    <row r="159" spans="1:6" ht="15.75" thickBot="1">
      <c r="A159" s="279">
        <v>42798</v>
      </c>
      <c r="B159" s="283">
        <v>4.0149999999999997</v>
      </c>
      <c r="C159" s="281">
        <v>4.0149999999999997</v>
      </c>
      <c r="D159" s="281">
        <v>4.0149999999999997</v>
      </c>
      <c r="E159" s="281">
        <v>4.0149999999999997</v>
      </c>
      <c r="F159" s="284">
        <v>-2.07E-2</v>
      </c>
    </row>
    <row r="160" spans="1:6" ht="15.75" thickBot="1">
      <c r="A160" s="279">
        <v>42770</v>
      </c>
      <c r="B160" s="283">
        <v>4.0999999999999996</v>
      </c>
      <c r="C160" s="281">
        <v>4.0999999999999996</v>
      </c>
      <c r="D160" s="281">
        <v>4.0999999999999996</v>
      </c>
      <c r="E160" s="281">
        <v>4.0999999999999996</v>
      </c>
      <c r="F160" s="284">
        <v>-3.6700000000000003E-2</v>
      </c>
    </row>
    <row r="161" spans="1:6" ht="15.75" thickBot="1">
      <c r="A161" s="279">
        <v>42739</v>
      </c>
      <c r="B161" s="283">
        <v>4.2560000000000002</v>
      </c>
      <c r="C161" s="281">
        <v>4.2560000000000002</v>
      </c>
      <c r="D161" s="281">
        <v>4.2560000000000002</v>
      </c>
      <c r="E161" s="281">
        <v>4.2560000000000002</v>
      </c>
      <c r="F161" s="284">
        <v>-1.0200000000000001E-2</v>
      </c>
    </row>
    <row r="162" spans="1:6" ht="15.75" thickBot="1">
      <c r="A162" s="279">
        <v>43072</v>
      </c>
      <c r="B162" s="283">
        <v>4.3</v>
      </c>
      <c r="C162" s="281">
        <v>4.3</v>
      </c>
      <c r="D162" s="281">
        <v>4.3</v>
      </c>
      <c r="E162" s="281">
        <v>4.3</v>
      </c>
      <c r="F162" s="284">
        <v>-3.8699999999999998E-2</v>
      </c>
    </row>
    <row r="163" spans="1:6" ht="15.75" thickBot="1">
      <c r="A163" s="279">
        <v>43042</v>
      </c>
      <c r="B163" s="280">
        <v>4.4729999999999999</v>
      </c>
      <c r="C163" s="281">
        <v>4.4729999999999999</v>
      </c>
      <c r="D163" s="281">
        <v>4.4729999999999999</v>
      </c>
      <c r="E163" s="281">
        <v>4.4729999999999999</v>
      </c>
      <c r="F163" s="282">
        <v>3.2099999999999997E-2</v>
      </c>
    </row>
    <row r="164" spans="1:6" ht="15.75" thickBot="1">
      <c r="A164" s="279">
        <v>43011</v>
      </c>
      <c r="B164" s="280">
        <v>4.3339999999999996</v>
      </c>
      <c r="C164" s="281">
        <v>4.3339999999999996</v>
      </c>
      <c r="D164" s="281">
        <v>4.3339999999999996</v>
      </c>
      <c r="E164" s="281">
        <v>4.3339999999999996</v>
      </c>
      <c r="F164" s="282">
        <v>6.59E-2</v>
      </c>
    </row>
    <row r="165" spans="1:6" ht="15.75" thickBot="1">
      <c r="A165" s="279">
        <v>42981</v>
      </c>
      <c r="B165" s="283">
        <v>4.0659999999999998</v>
      </c>
      <c r="C165" s="281">
        <v>4.0659999999999998</v>
      </c>
      <c r="D165" s="281">
        <v>4.0659999999999998</v>
      </c>
      <c r="E165" s="281">
        <v>4.0659999999999998</v>
      </c>
      <c r="F165" s="284">
        <v>-2.4899999999999999E-2</v>
      </c>
    </row>
    <row r="166" spans="1:6" ht="15.75" thickBot="1">
      <c r="A166" s="279">
        <v>42950</v>
      </c>
      <c r="B166" s="283">
        <v>4.17</v>
      </c>
      <c r="C166" s="281">
        <v>4.17</v>
      </c>
      <c r="D166" s="281">
        <v>4.17</v>
      </c>
      <c r="E166" s="281">
        <v>4.17</v>
      </c>
      <c r="F166" s="284">
        <v>-9.7000000000000003E-3</v>
      </c>
    </row>
    <row r="167" spans="1:6" ht="15.75" thickBot="1">
      <c r="A167" s="279">
        <v>42919</v>
      </c>
      <c r="B167" s="280">
        <v>4.2110000000000003</v>
      </c>
      <c r="C167" s="281">
        <v>4.2110000000000003</v>
      </c>
      <c r="D167" s="281">
        <v>4.2110000000000003</v>
      </c>
      <c r="E167" s="281">
        <v>4.2110000000000003</v>
      </c>
      <c r="F167" s="282">
        <v>9.5500000000000002E-2</v>
      </c>
    </row>
    <row r="168" spans="1:6" ht="15.75" thickBot="1">
      <c r="A168" s="279">
        <v>42889</v>
      </c>
      <c r="B168" s="280">
        <v>3.8439999999999999</v>
      </c>
      <c r="C168" s="281">
        <v>3.8439999999999999</v>
      </c>
      <c r="D168" s="281">
        <v>3.8439999999999999</v>
      </c>
      <c r="E168" s="281">
        <v>3.8439999999999999</v>
      </c>
      <c r="F168" s="282">
        <v>2.29E-2</v>
      </c>
    </row>
    <row r="169" spans="1:6" ht="15.75" thickBot="1">
      <c r="A169" s="279">
        <v>42858</v>
      </c>
      <c r="B169" s="283">
        <v>3.758</v>
      </c>
      <c r="C169" s="281">
        <v>3.758</v>
      </c>
      <c r="D169" s="281">
        <v>3.758</v>
      </c>
      <c r="E169" s="281">
        <v>3.758</v>
      </c>
      <c r="F169" s="284">
        <v>-8.9599999999999999E-2</v>
      </c>
    </row>
    <row r="170" spans="1:6" ht="15.75" thickBot="1">
      <c r="A170" s="279">
        <v>42828</v>
      </c>
      <c r="B170" s="280">
        <v>4.1280000000000001</v>
      </c>
      <c r="C170" s="281">
        <v>4.1280000000000001</v>
      </c>
      <c r="D170" s="281">
        <v>4.1280000000000001</v>
      </c>
      <c r="E170" s="281">
        <v>4.1280000000000001</v>
      </c>
      <c r="F170" s="282">
        <v>3.3999999999999998E-3</v>
      </c>
    </row>
    <row r="171" spans="1:6" ht="15.75" thickBot="1">
      <c r="A171" s="279">
        <v>42797</v>
      </c>
      <c r="B171" s="280">
        <v>4.1139999999999999</v>
      </c>
      <c r="C171" s="281">
        <v>4.1139999999999999</v>
      </c>
      <c r="D171" s="281">
        <v>4.1139999999999999</v>
      </c>
      <c r="E171" s="281">
        <v>4.1139999999999999</v>
      </c>
      <c r="F171" s="282">
        <v>4.02E-2</v>
      </c>
    </row>
    <row r="172" spans="1:6" ht="15.75" thickBot="1">
      <c r="A172" s="279">
        <v>42769</v>
      </c>
      <c r="B172" s="283">
        <v>3.9550000000000001</v>
      </c>
      <c r="C172" s="281">
        <v>3.9550000000000001</v>
      </c>
      <c r="D172" s="281">
        <v>3.9550000000000001</v>
      </c>
      <c r="E172" s="281">
        <v>3.9550000000000001</v>
      </c>
      <c r="F172" s="284">
        <v>-3.9100000000000003E-2</v>
      </c>
    </row>
    <row r="173" spans="1:6" ht="15.75" thickBot="1">
      <c r="A173" s="279">
        <v>42738</v>
      </c>
      <c r="B173" s="283">
        <v>4.1159999999999997</v>
      </c>
      <c r="C173" s="281">
        <v>4.1159999999999997</v>
      </c>
      <c r="D173" s="281">
        <v>4.1159999999999997</v>
      </c>
      <c r="E173" s="281">
        <v>4.1159999999999997</v>
      </c>
      <c r="F173" s="284">
        <v>-3.1800000000000002E-2</v>
      </c>
    </row>
    <row r="174" spans="1:6" ht="15.75" thickBot="1">
      <c r="A174" s="279">
        <v>43071</v>
      </c>
      <c r="B174" s="283">
        <v>4.2510000000000003</v>
      </c>
      <c r="C174" s="281">
        <v>4.2510000000000003</v>
      </c>
      <c r="D174" s="281">
        <v>4.2510000000000003</v>
      </c>
      <c r="E174" s="281">
        <v>4.2510000000000003</v>
      </c>
      <c r="F174" s="284">
        <v>-6.7400000000000002E-2</v>
      </c>
    </row>
    <row r="175" spans="1:6" ht="15.75" thickBot="1">
      <c r="A175" s="279">
        <v>43041</v>
      </c>
      <c r="B175" s="283">
        <v>4.5579999999999998</v>
      </c>
      <c r="C175" s="281">
        <v>4.5579999999999998</v>
      </c>
      <c r="D175" s="281">
        <v>4.5579999999999998</v>
      </c>
      <c r="E175" s="281">
        <v>4.5579999999999998</v>
      </c>
      <c r="F175" s="284">
        <v>-2E-3</v>
      </c>
    </row>
    <row r="176" spans="1:6" ht="15.75" thickBot="1">
      <c r="A176" s="279">
        <v>43010</v>
      </c>
      <c r="B176" s="280">
        <v>4.5670000000000002</v>
      </c>
      <c r="C176" s="281">
        <v>4.5670000000000002</v>
      </c>
      <c r="D176" s="281">
        <v>4.5670000000000002</v>
      </c>
      <c r="E176" s="281">
        <v>4.5670000000000002</v>
      </c>
      <c r="F176" s="282">
        <v>4.0800000000000003E-2</v>
      </c>
    </row>
    <row r="177" spans="1:6" ht="15.75" thickBot="1">
      <c r="A177" s="279">
        <v>42980</v>
      </c>
      <c r="B177" s="283">
        <v>4.3879999999999999</v>
      </c>
      <c r="C177" s="281">
        <v>4.3879999999999999</v>
      </c>
      <c r="D177" s="281">
        <v>4.3879999999999999</v>
      </c>
      <c r="E177" s="281">
        <v>4.3879999999999999</v>
      </c>
      <c r="F177" s="284">
        <v>-5.4100000000000002E-2</v>
      </c>
    </row>
    <row r="178" spans="1:6" ht="15.75" thickBot="1">
      <c r="A178" s="279">
        <v>42949</v>
      </c>
      <c r="B178" s="283">
        <v>4.6390000000000002</v>
      </c>
      <c r="C178" s="281">
        <v>4.6390000000000002</v>
      </c>
      <c r="D178" s="281">
        <v>4.6390000000000002</v>
      </c>
      <c r="E178" s="281">
        <v>4.6390000000000002</v>
      </c>
      <c r="F178" s="284">
        <v>-3.9699999999999999E-2</v>
      </c>
    </row>
    <row r="179" spans="1:6" ht="15.75" thickBot="1">
      <c r="A179" s="279">
        <v>42918</v>
      </c>
      <c r="B179" s="283">
        <v>4.8310000000000004</v>
      </c>
      <c r="C179" s="281">
        <v>4.8310000000000004</v>
      </c>
      <c r="D179" s="281">
        <v>4.8310000000000004</v>
      </c>
      <c r="E179" s="281">
        <v>4.8310000000000004</v>
      </c>
      <c r="F179" s="284">
        <v>-4.1500000000000002E-2</v>
      </c>
    </row>
    <row r="180" spans="1:6" ht="15.75" thickBot="1">
      <c r="A180" s="279">
        <v>42888</v>
      </c>
      <c r="B180" s="283">
        <v>5.04</v>
      </c>
      <c r="C180" s="281">
        <v>5.04</v>
      </c>
      <c r="D180" s="281">
        <v>5.04</v>
      </c>
      <c r="E180" s="281">
        <v>5.04</v>
      </c>
      <c r="F180" s="284">
        <v>-4.4499999999999998E-2</v>
      </c>
    </row>
    <row r="181" spans="1:6" ht="15.75" thickBot="1">
      <c r="A181" s="279">
        <v>42857</v>
      </c>
      <c r="B181" s="280">
        <v>5.2750000000000004</v>
      </c>
      <c r="C181" s="281">
        <v>5.2750000000000004</v>
      </c>
      <c r="D181" s="281">
        <v>5.2750000000000004</v>
      </c>
      <c r="E181" s="281">
        <v>5.2750000000000004</v>
      </c>
      <c r="F181" s="282">
        <v>1.0500000000000001E-2</v>
      </c>
    </row>
    <row r="182" spans="1:6" ht="15.75" thickBot="1">
      <c r="A182" s="279">
        <v>42827</v>
      </c>
      <c r="B182" s="283">
        <v>5.22</v>
      </c>
      <c r="C182" s="281">
        <v>5.22</v>
      </c>
      <c r="D182" s="281">
        <v>5.22</v>
      </c>
      <c r="E182" s="281">
        <v>5.22</v>
      </c>
      <c r="F182" s="284">
        <v>-2.0799999999999999E-2</v>
      </c>
    </row>
    <row r="183" spans="1:6" ht="15.75" thickBot="1">
      <c r="A183" s="279">
        <v>42796</v>
      </c>
      <c r="B183" s="280">
        <v>5.3310000000000004</v>
      </c>
      <c r="C183" s="281">
        <v>5.3310000000000004</v>
      </c>
      <c r="D183" s="281">
        <v>5.3310000000000004</v>
      </c>
      <c r="E183" s="281">
        <v>5.3310000000000004</v>
      </c>
      <c r="F183" s="282">
        <v>6.1100000000000002E-2</v>
      </c>
    </row>
    <row r="184" spans="1:6" ht="15.75" thickBot="1">
      <c r="A184" s="279">
        <v>42768</v>
      </c>
      <c r="B184" s="280">
        <v>5.024</v>
      </c>
      <c r="C184" s="281">
        <v>5.024</v>
      </c>
      <c r="D184" s="281">
        <v>5.024</v>
      </c>
      <c r="E184" s="281">
        <v>5.024</v>
      </c>
      <c r="F184" s="282">
        <v>1.09E-2</v>
      </c>
    </row>
    <row r="185" spans="1:6" ht="15.75" thickBot="1">
      <c r="A185" s="279">
        <v>42737</v>
      </c>
      <c r="B185" s="283">
        <v>4.97</v>
      </c>
      <c r="C185" s="281">
        <v>4.97</v>
      </c>
      <c r="D185" s="281">
        <v>4.97</v>
      </c>
      <c r="E185" s="281">
        <v>4.97</v>
      </c>
      <c r="F185" s="284">
        <v>-1.9900000000000001E-2</v>
      </c>
    </row>
    <row r="186" spans="1:6" ht="15.75" thickBot="1">
      <c r="A186" s="279">
        <v>43070</v>
      </c>
      <c r="B186" s="280">
        <v>5.0709999999999997</v>
      </c>
      <c r="C186" s="281">
        <v>5.0709999999999997</v>
      </c>
      <c r="D186" s="281">
        <v>5.0709999999999997</v>
      </c>
      <c r="E186" s="281">
        <v>5.0709999999999997</v>
      </c>
      <c r="F186" s="282">
        <v>8.4900000000000003E-2</v>
      </c>
    </row>
    <row r="187" spans="1:6" ht="15.75" thickBot="1">
      <c r="A187" s="279">
        <v>43040</v>
      </c>
      <c r="B187" s="280">
        <v>4.6740000000000004</v>
      </c>
      <c r="C187" s="281">
        <v>4.6740000000000004</v>
      </c>
      <c r="D187" s="281">
        <v>4.6740000000000004</v>
      </c>
      <c r="E187" s="281">
        <v>4.6740000000000004</v>
      </c>
      <c r="F187" s="282">
        <v>3.2000000000000001E-2</v>
      </c>
    </row>
    <row r="188" spans="1:6" ht="15.75" thickBot="1">
      <c r="A188" s="279">
        <v>43009</v>
      </c>
      <c r="B188" s="283">
        <v>4.5289999999999999</v>
      </c>
      <c r="C188" s="281">
        <v>4.5289999999999999</v>
      </c>
      <c r="D188" s="281">
        <v>4.5289999999999999</v>
      </c>
      <c r="E188" s="281">
        <v>4.5289999999999999</v>
      </c>
      <c r="F188" s="284">
        <v>-7.0400000000000004E-2</v>
      </c>
    </row>
    <row r="189" spans="1:6" ht="15.75" thickBot="1">
      <c r="A189" s="279">
        <v>42979</v>
      </c>
      <c r="B189" s="280">
        <v>4.8719999999999999</v>
      </c>
      <c r="C189" s="281">
        <v>4.8719999999999999</v>
      </c>
      <c r="D189" s="281">
        <v>4.8719999999999999</v>
      </c>
      <c r="E189" s="281">
        <v>4.8719999999999999</v>
      </c>
      <c r="F189" s="282">
        <v>4.0000000000000002E-4</v>
      </c>
    </row>
    <row r="190" spans="1:6" ht="15.75" thickBot="1">
      <c r="A190" s="279">
        <v>42948</v>
      </c>
      <c r="B190" s="283">
        <v>4.87</v>
      </c>
      <c r="C190" s="281">
        <v>4.87</v>
      </c>
      <c r="D190" s="281">
        <v>4.87</v>
      </c>
      <c r="E190" s="281">
        <v>4.87</v>
      </c>
      <c r="F190" s="284">
        <v>-2.1899999999999999E-2</v>
      </c>
    </row>
    <row r="191" spans="1:6" ht="15.75" thickBot="1">
      <c r="A191" s="279">
        <v>42917</v>
      </c>
      <c r="B191" s="283">
        <v>4.9790000000000001</v>
      </c>
      <c r="C191" s="281">
        <v>4.9790000000000001</v>
      </c>
      <c r="D191" s="281">
        <v>4.9790000000000001</v>
      </c>
      <c r="E191" s="281">
        <v>4.9790000000000001</v>
      </c>
      <c r="F191" s="284">
        <v>-4.7399999999999998E-2</v>
      </c>
    </row>
    <row r="192" spans="1:6" ht="15.75" thickBot="1">
      <c r="A192" s="279">
        <v>42887</v>
      </c>
      <c r="B192" s="283">
        <v>5.2270000000000003</v>
      </c>
      <c r="C192" s="281">
        <v>5.2270000000000003</v>
      </c>
      <c r="D192" s="281">
        <v>5.2270000000000003</v>
      </c>
      <c r="E192" s="281">
        <v>5.2270000000000003</v>
      </c>
      <c r="F192" s="284">
        <v>-1.2500000000000001E-2</v>
      </c>
    </row>
    <row r="193" spans="1:6" ht="15.75" thickBot="1">
      <c r="A193" s="279">
        <v>42856</v>
      </c>
      <c r="B193" s="280">
        <v>5.2930000000000001</v>
      </c>
      <c r="C193" s="281">
        <v>5.2930000000000001</v>
      </c>
      <c r="D193" s="281">
        <v>5.2930000000000001</v>
      </c>
      <c r="E193" s="281">
        <v>5.2930000000000001</v>
      </c>
      <c r="F193" s="282">
        <v>2.0199999999999999E-2</v>
      </c>
    </row>
    <row r="194" spans="1:6" ht="15.75" thickBot="1">
      <c r="A194" s="279">
        <v>42826</v>
      </c>
      <c r="B194" s="280">
        <v>5.1879999999999997</v>
      </c>
      <c r="C194" s="281">
        <v>5.1879999999999997</v>
      </c>
      <c r="D194" s="281">
        <v>5.1879999999999997</v>
      </c>
      <c r="E194" s="281">
        <v>5.1879999999999997</v>
      </c>
      <c r="F194" s="282">
        <v>7.1499999999999994E-2</v>
      </c>
    </row>
    <row r="195" spans="1:6" ht="15.75" thickBot="1">
      <c r="A195" s="279">
        <v>42795</v>
      </c>
      <c r="B195" s="283">
        <v>4.8419999999999996</v>
      </c>
      <c r="C195" s="281">
        <v>4.8419999999999996</v>
      </c>
      <c r="D195" s="281">
        <v>4.8419999999999996</v>
      </c>
      <c r="E195" s="281">
        <v>4.8419999999999996</v>
      </c>
      <c r="F195" s="284">
        <v>-7.0000000000000001E-3</v>
      </c>
    </row>
    <row r="196" spans="1:6" ht="15.75" thickBot="1">
      <c r="A196" s="279">
        <v>42767</v>
      </c>
      <c r="B196" s="283">
        <v>4.8760000000000003</v>
      </c>
      <c r="C196" s="281">
        <v>4.8760000000000003</v>
      </c>
      <c r="D196" s="281">
        <v>4.8760000000000003</v>
      </c>
      <c r="E196" s="281">
        <v>4.8760000000000003</v>
      </c>
      <c r="F196" s="284">
        <v>-1.14E-2</v>
      </c>
    </row>
    <row r="197" spans="1:6" ht="15.75" thickBot="1">
      <c r="A197" s="279">
        <v>42736</v>
      </c>
      <c r="B197" s="283">
        <v>4.9320000000000004</v>
      </c>
      <c r="C197" s="281">
        <v>4.9320000000000004</v>
      </c>
      <c r="D197" s="281">
        <v>4.9320000000000004</v>
      </c>
      <c r="E197" s="281">
        <v>4.9320000000000004</v>
      </c>
      <c r="F197" s="284">
        <v>-1.1599999999999999E-2</v>
      </c>
    </row>
    <row r="198" spans="1:6" ht="15.75" thickBot="1">
      <c r="A198" s="285">
        <v>36861</v>
      </c>
      <c r="B198" s="283">
        <v>4.99</v>
      </c>
      <c r="C198" s="281">
        <v>4.99</v>
      </c>
      <c r="D198" s="281">
        <v>4.99</v>
      </c>
      <c r="E198" s="281">
        <v>4.99</v>
      </c>
      <c r="F198" s="284">
        <v>-2.4799999999999999E-2</v>
      </c>
    </row>
    <row r="199" spans="1:6" ht="15.75" thickBot="1">
      <c r="A199" s="285">
        <v>36831</v>
      </c>
      <c r="B199" s="283">
        <v>5.117</v>
      </c>
      <c r="C199" s="281">
        <v>5.117</v>
      </c>
      <c r="D199" s="281">
        <v>5.117</v>
      </c>
      <c r="E199" s="281">
        <v>5.117</v>
      </c>
      <c r="F199" s="284">
        <v>-4.2299999999999997E-2</v>
      </c>
    </row>
    <row r="200" spans="1:6" ht="15.75" thickBot="1">
      <c r="A200" s="285">
        <v>36800</v>
      </c>
      <c r="B200" s="283">
        <v>5.343</v>
      </c>
      <c r="C200" s="281">
        <v>5.343</v>
      </c>
      <c r="D200" s="281">
        <v>5.343</v>
      </c>
      <c r="E200" s="281">
        <v>5.343</v>
      </c>
      <c r="F200" s="284">
        <v>-5.7999999999999996E-3</v>
      </c>
    </row>
    <row r="201" spans="1:6" ht="15.75" thickBot="1">
      <c r="A201" s="285">
        <v>36770</v>
      </c>
      <c r="B201" s="283">
        <v>5.3739999999999997</v>
      </c>
      <c r="C201" s="281">
        <v>5.3739999999999997</v>
      </c>
      <c r="D201" s="281">
        <v>5.3739999999999997</v>
      </c>
      <c r="E201" s="281">
        <v>5.3739999999999997</v>
      </c>
      <c r="F201" s="284">
        <v>-1.4999999999999999E-2</v>
      </c>
    </row>
    <row r="202" spans="1:6" ht="15.75" thickBot="1">
      <c r="A202" s="285">
        <v>36739</v>
      </c>
      <c r="B202" s="280">
        <v>5.4560000000000004</v>
      </c>
      <c r="C202" s="281">
        <v>5.4560000000000004</v>
      </c>
      <c r="D202" s="281">
        <v>5.4560000000000004</v>
      </c>
      <c r="E202" s="281">
        <v>5.4560000000000004</v>
      </c>
      <c r="F202" s="282">
        <v>2.06E-2</v>
      </c>
    </row>
    <row r="203" spans="1:6" ht="15.75" thickBot="1">
      <c r="A203" s="285">
        <v>36708</v>
      </c>
      <c r="B203" s="283">
        <v>5.3460000000000001</v>
      </c>
      <c r="C203" s="281">
        <v>5.3460000000000001</v>
      </c>
      <c r="D203" s="281">
        <v>5.3460000000000001</v>
      </c>
      <c r="E203" s="281">
        <v>5.3460000000000001</v>
      </c>
      <c r="F203" s="284">
        <v>-3.2000000000000002E-3</v>
      </c>
    </row>
    <row r="204" spans="1:6" ht="15.75" thickBot="1">
      <c r="A204" s="285">
        <v>36678</v>
      </c>
      <c r="B204" s="280">
        <v>5.3630000000000004</v>
      </c>
      <c r="C204" s="281">
        <v>5.3630000000000004</v>
      </c>
      <c r="D204" s="281">
        <v>5.3630000000000004</v>
      </c>
      <c r="E204" s="281">
        <v>5.3630000000000004</v>
      </c>
      <c r="F204" s="282">
        <v>3.3999999999999998E-3</v>
      </c>
    </row>
    <row r="205" spans="1:6" ht="15.75" thickBot="1">
      <c r="A205" s="285">
        <v>36647</v>
      </c>
      <c r="B205" s="283">
        <v>5.3449999999999998</v>
      </c>
      <c r="C205" s="281">
        <v>5.3449999999999998</v>
      </c>
      <c r="D205" s="281">
        <v>5.3449999999999998</v>
      </c>
      <c r="E205" s="281">
        <v>5.3449999999999998</v>
      </c>
      <c r="F205" s="284">
        <v>-1.0200000000000001E-2</v>
      </c>
    </row>
    <row r="206" spans="1:6" ht="15.75" thickBot="1">
      <c r="A206" s="285">
        <v>36617</v>
      </c>
      <c r="B206" s="280">
        <v>5.4</v>
      </c>
      <c r="C206" s="281">
        <v>5.4</v>
      </c>
      <c r="D206" s="281">
        <v>5.4</v>
      </c>
      <c r="E206" s="281">
        <v>5.4</v>
      </c>
      <c r="F206" s="282">
        <v>1.26E-2</v>
      </c>
    </row>
    <row r="207" spans="1:6" ht="15.75" thickBot="1">
      <c r="A207" s="285">
        <v>36586</v>
      </c>
      <c r="B207" s="283">
        <v>5.3330000000000002</v>
      </c>
      <c r="C207" s="281">
        <v>5.3330000000000002</v>
      </c>
      <c r="D207" s="281">
        <v>5.3330000000000002</v>
      </c>
      <c r="E207" s="281">
        <v>5.3330000000000002</v>
      </c>
      <c r="F207" s="284">
        <v>-5.0200000000000002E-2</v>
      </c>
    </row>
    <row r="208" spans="1:6" ht="15.75" thickBot="1">
      <c r="A208" s="285">
        <v>36557</v>
      </c>
      <c r="B208" s="283">
        <v>5.6150000000000002</v>
      </c>
      <c r="C208" s="281">
        <v>5.6150000000000002</v>
      </c>
      <c r="D208" s="281">
        <v>5.6150000000000002</v>
      </c>
      <c r="E208" s="281">
        <v>5.6150000000000002</v>
      </c>
      <c r="F208" s="284">
        <v>-1.18E-2</v>
      </c>
    </row>
    <row r="209" spans="1:7" ht="15.75" thickBot="1">
      <c r="A209" s="285">
        <v>36526</v>
      </c>
      <c r="B209" s="280">
        <v>5.6820000000000004</v>
      </c>
      <c r="C209" s="281">
        <v>5.6820000000000004</v>
      </c>
      <c r="D209" s="281">
        <v>5.6820000000000004</v>
      </c>
      <c r="E209" s="281">
        <v>5.6820000000000004</v>
      </c>
      <c r="F209" s="282">
        <v>3.8199999999999998E-2</v>
      </c>
    </row>
    <row r="210" spans="1:7" ht="15.75" thickBot="1">
      <c r="A210" s="285">
        <v>36495</v>
      </c>
      <c r="B210" s="280">
        <v>5.4729999999999999</v>
      </c>
      <c r="C210" s="281">
        <v>5.4729999999999999</v>
      </c>
      <c r="D210" s="281">
        <v>5.4729999999999999</v>
      </c>
      <c r="E210" s="281">
        <v>5.4729999999999999</v>
      </c>
      <c r="F210" s="282">
        <v>3.0300000000000001E-2</v>
      </c>
    </row>
    <row r="211" spans="1:7" ht="15.75" thickBot="1">
      <c r="A211" s="285">
        <v>36465</v>
      </c>
      <c r="B211" s="280">
        <v>5.3120000000000003</v>
      </c>
      <c r="C211" s="281">
        <v>5.3120000000000003</v>
      </c>
      <c r="D211" s="281">
        <v>5.3120000000000003</v>
      </c>
      <c r="E211" s="281">
        <v>5.3120000000000003</v>
      </c>
      <c r="F211" s="282">
        <v>4.0000000000000001E-3</v>
      </c>
    </row>
    <row r="212" spans="1:7" ht="15.75" thickBot="1">
      <c r="A212" s="285">
        <v>36434</v>
      </c>
      <c r="B212" s="280">
        <v>5.2910000000000004</v>
      </c>
      <c r="C212" s="281">
        <v>5.2910000000000004</v>
      </c>
      <c r="D212" s="281">
        <v>5.2910000000000004</v>
      </c>
      <c r="E212" s="281">
        <v>5.2910000000000004</v>
      </c>
      <c r="F212" s="282">
        <v>6.3E-3</v>
      </c>
    </row>
    <row r="213" spans="1:7" ht="15.75" thickBot="1">
      <c r="A213" s="285">
        <v>36404</v>
      </c>
      <c r="B213" s="280">
        <v>5.258</v>
      </c>
      <c r="C213" s="281">
        <v>5.258</v>
      </c>
      <c r="D213" s="281">
        <v>5.258</v>
      </c>
      <c r="E213" s="281">
        <v>5.258</v>
      </c>
      <c r="F213" s="282">
        <v>4.4499999999999998E-2</v>
      </c>
      <c r="G213" s="274">
        <v>5.258</v>
      </c>
    </row>
    <row r="214" spans="1:7" ht="15.75" thickBot="1">
      <c r="A214" s="285">
        <v>36373</v>
      </c>
      <c r="B214" s="280">
        <v>5.0339999999999998</v>
      </c>
      <c r="C214" s="281">
        <v>5.0339999999999998</v>
      </c>
      <c r="D214" s="281">
        <v>5.0339999999999998</v>
      </c>
      <c r="E214" s="281">
        <v>5.0339999999999998</v>
      </c>
      <c r="F214" s="282">
        <v>1.78E-2</v>
      </c>
      <c r="G214" s="274">
        <v>5.0339999999999998</v>
      </c>
    </row>
    <row r="215" spans="1:7" ht="15.75" thickBot="1">
      <c r="A215" s="285">
        <v>36342</v>
      </c>
      <c r="B215" s="280">
        <v>4.9459999999999997</v>
      </c>
      <c r="C215" s="281">
        <v>4.9459999999999997</v>
      </c>
      <c r="D215" s="281">
        <v>4.9459999999999997</v>
      </c>
      <c r="E215" s="281">
        <v>4.9459999999999997</v>
      </c>
      <c r="F215" s="282">
        <v>5.7700000000000001E-2</v>
      </c>
      <c r="G215" s="274">
        <v>4.9459999999999997</v>
      </c>
    </row>
    <row r="216" spans="1:7" ht="15.75" thickBot="1">
      <c r="A216" s="285">
        <v>36312</v>
      </c>
      <c r="B216" s="280">
        <v>4.6760000000000002</v>
      </c>
      <c r="C216" s="281">
        <v>4.6760000000000002</v>
      </c>
      <c r="D216" s="281">
        <v>4.6760000000000002</v>
      </c>
      <c r="E216" s="281">
        <v>4.6760000000000002</v>
      </c>
      <c r="F216" s="282">
        <v>0.1047</v>
      </c>
      <c r="G216" s="274">
        <v>4.6760000000000002</v>
      </c>
    </row>
    <row r="217" spans="1:7" ht="15.75" thickBot="1">
      <c r="A217" s="285">
        <v>36281</v>
      </c>
      <c r="B217" s="280">
        <v>4.2329999999999997</v>
      </c>
      <c r="C217" s="281">
        <v>4.2329999999999997</v>
      </c>
      <c r="D217" s="281">
        <v>4.2329999999999997</v>
      </c>
      <c r="E217" s="281">
        <v>4.2329999999999997</v>
      </c>
      <c r="F217" s="282">
        <v>8.5099999999999995E-2</v>
      </c>
      <c r="G217" s="274">
        <v>4.2329999999999997</v>
      </c>
    </row>
    <row r="218" spans="1:7" ht="15.75" thickBot="1">
      <c r="A218" s="285">
        <v>36251</v>
      </c>
      <c r="B218" s="283">
        <v>3.9009999999999998</v>
      </c>
      <c r="C218" s="281">
        <v>3.9009999999999998</v>
      </c>
      <c r="D218" s="281">
        <v>3.9009999999999998</v>
      </c>
      <c r="E218" s="281">
        <v>3.9009999999999998</v>
      </c>
      <c r="F218" s="284">
        <v>-4.9000000000000002E-2</v>
      </c>
    </row>
    <row r="219" spans="1:7" ht="15.75" thickBot="1">
      <c r="A219" s="285">
        <v>36220</v>
      </c>
      <c r="B219" s="280">
        <v>4.1020000000000003</v>
      </c>
      <c r="C219" s="281">
        <v>4.1020000000000003</v>
      </c>
      <c r="D219" s="281">
        <v>4.1020000000000003</v>
      </c>
      <c r="E219" s="281">
        <v>4.1020000000000003</v>
      </c>
      <c r="F219" s="282">
        <v>6.4000000000000003E-3</v>
      </c>
    </row>
    <row r="220" spans="1:7" ht="15.75" thickBot="1">
      <c r="A220" s="285">
        <v>36192</v>
      </c>
      <c r="B220" s="280">
        <v>4.0759999999999996</v>
      </c>
      <c r="C220" s="281">
        <v>4.0759999999999996</v>
      </c>
      <c r="D220" s="281">
        <v>4.0759999999999996</v>
      </c>
      <c r="E220" s="281">
        <v>4.0759999999999996</v>
      </c>
      <c r="F220" s="282">
        <v>9.8100000000000007E-2</v>
      </c>
    </row>
    <row r="221" spans="1:7" ht="15.75" thickBot="1">
      <c r="A221" s="285">
        <v>36161</v>
      </c>
      <c r="B221" s="283">
        <v>3.7120000000000002</v>
      </c>
      <c r="C221" s="281">
        <v>3.7120000000000002</v>
      </c>
      <c r="D221" s="281">
        <v>3.7120000000000002</v>
      </c>
      <c r="E221" s="281">
        <v>3.7120000000000002</v>
      </c>
      <c r="F221" s="284">
        <v>-4.53E-2</v>
      </c>
    </row>
    <row r="222" spans="1:7" ht="15.75" thickBot="1">
      <c r="A222" s="285">
        <v>36130</v>
      </c>
      <c r="B222" s="283">
        <v>3.8879999999999999</v>
      </c>
      <c r="C222" s="281">
        <v>3.8879999999999999</v>
      </c>
      <c r="D222" s="281">
        <v>3.8879999999999999</v>
      </c>
      <c r="E222" s="281">
        <v>3.8879999999999999</v>
      </c>
      <c r="F222" s="284">
        <v>-3.9800000000000002E-2</v>
      </c>
    </row>
    <row r="223" spans="1:7" ht="15.75" thickBot="1">
      <c r="A223" s="285">
        <v>36100</v>
      </c>
      <c r="B223" s="283">
        <v>4.0490000000000004</v>
      </c>
      <c r="C223" s="281">
        <v>4.0490000000000004</v>
      </c>
      <c r="D223" s="281">
        <v>4.0490000000000004</v>
      </c>
      <c r="E223" s="281">
        <v>4.0490000000000004</v>
      </c>
      <c r="F223" s="284">
        <v>-5.11E-2</v>
      </c>
    </row>
    <row r="224" spans="1:7" ht="15.75" thickBot="1">
      <c r="A224" s="285">
        <v>36069</v>
      </c>
      <c r="B224" s="280">
        <v>4.2670000000000003</v>
      </c>
      <c r="C224" s="281">
        <v>4.2670000000000003</v>
      </c>
      <c r="D224" s="281">
        <v>4.2670000000000003</v>
      </c>
      <c r="E224" s="281">
        <v>4.2670000000000003</v>
      </c>
      <c r="F224" s="282">
        <v>6.5199999999999994E-2</v>
      </c>
    </row>
    <row r="225" spans="1:6" ht="15.75" thickBot="1">
      <c r="A225" s="285">
        <v>36039</v>
      </c>
      <c r="B225" s="283">
        <v>4.0060000000000002</v>
      </c>
      <c r="C225" s="281">
        <v>4.0060000000000002</v>
      </c>
      <c r="D225" s="281">
        <v>4.0060000000000002</v>
      </c>
      <c r="E225" s="281">
        <v>4.0060000000000002</v>
      </c>
      <c r="F225" s="284">
        <v>-7.3300000000000004E-2</v>
      </c>
    </row>
    <row r="226" spans="1:6" ht="15.75" thickBot="1">
      <c r="A226" s="285">
        <v>36008</v>
      </c>
      <c r="B226" s="283">
        <v>4.3230000000000004</v>
      </c>
      <c r="C226" s="281">
        <v>4.3230000000000004</v>
      </c>
      <c r="D226" s="281">
        <v>4.3230000000000004</v>
      </c>
      <c r="E226" s="281">
        <v>4.3230000000000004</v>
      </c>
      <c r="F226" s="284">
        <v>-8.9499999999999996E-2</v>
      </c>
    </row>
    <row r="227" spans="1:6" ht="15.75" thickBot="1">
      <c r="A227" s="285">
        <v>35977</v>
      </c>
      <c r="B227" s="283">
        <v>4.7480000000000002</v>
      </c>
      <c r="C227" s="281">
        <v>4.7480000000000002</v>
      </c>
      <c r="D227" s="281">
        <v>4.7480000000000002</v>
      </c>
      <c r="E227" s="281">
        <v>4.7480000000000002</v>
      </c>
      <c r="F227" s="284">
        <v>-1.9199999999999998E-2</v>
      </c>
    </row>
    <row r="228" spans="1:6" ht="15.75" thickBot="1">
      <c r="A228" s="285">
        <v>35947</v>
      </c>
      <c r="B228" s="283">
        <v>4.8410000000000002</v>
      </c>
      <c r="C228" s="281">
        <v>4.8410000000000002</v>
      </c>
      <c r="D228" s="281">
        <v>4.8410000000000002</v>
      </c>
      <c r="E228" s="281">
        <v>4.8410000000000002</v>
      </c>
      <c r="F228" s="284">
        <v>-1.5900000000000001E-2</v>
      </c>
    </row>
    <row r="229" spans="1:6" ht="15.75" thickBot="1">
      <c r="A229" s="285">
        <v>35916</v>
      </c>
      <c r="B229" s="283">
        <v>4.9189999999999996</v>
      </c>
      <c r="C229" s="281">
        <v>4.9189999999999996</v>
      </c>
      <c r="D229" s="281">
        <v>4.9189999999999996</v>
      </c>
      <c r="E229" s="281">
        <v>4.9189999999999996</v>
      </c>
      <c r="F229" s="284">
        <v>-3.9300000000000002E-2</v>
      </c>
    </row>
    <row r="230" spans="1:6" ht="15.75" thickBot="1">
      <c r="A230" s="285">
        <v>35886</v>
      </c>
      <c r="B230" s="280">
        <v>5.12</v>
      </c>
      <c r="C230" s="281">
        <v>5.12</v>
      </c>
      <c r="D230" s="281">
        <v>5.12</v>
      </c>
      <c r="E230" s="281">
        <v>5.12</v>
      </c>
      <c r="F230" s="282">
        <v>3.0200000000000001E-2</v>
      </c>
    </row>
    <row r="231" spans="1:6" ht="15.75" thickBot="1">
      <c r="A231" s="285">
        <v>35855</v>
      </c>
      <c r="B231" s="283">
        <v>4.97</v>
      </c>
      <c r="C231" s="281">
        <v>4.97</v>
      </c>
      <c r="D231" s="281">
        <v>4.97</v>
      </c>
      <c r="E231" s="281">
        <v>4.97</v>
      </c>
      <c r="F231" s="284">
        <v>-2.8E-3</v>
      </c>
    </row>
    <row r="232" spans="1:6" ht="15.75" thickBot="1">
      <c r="A232" s="285">
        <v>35827</v>
      </c>
      <c r="B232" s="283">
        <v>4.984</v>
      </c>
      <c r="C232" s="281">
        <v>4.984</v>
      </c>
      <c r="D232" s="281">
        <v>4.984</v>
      </c>
      <c r="E232" s="281">
        <v>4.984</v>
      </c>
      <c r="F232" s="284">
        <v>-2.3699999999999999E-2</v>
      </c>
    </row>
    <row r="233" spans="1:6" ht="15.75" thickBot="1">
      <c r="A233" s="285">
        <v>35796</v>
      </c>
      <c r="B233" s="283">
        <v>5.1050000000000004</v>
      </c>
      <c r="C233" s="281">
        <v>5.1050000000000004</v>
      </c>
      <c r="D233" s="281">
        <v>5.1050000000000004</v>
      </c>
      <c r="E233" s="281">
        <v>5.1050000000000004</v>
      </c>
      <c r="F233" s="284">
        <v>-4.1700000000000001E-2</v>
      </c>
    </row>
    <row r="234" spans="1:6" ht="15.75" thickBot="1">
      <c r="A234" s="285">
        <v>35765</v>
      </c>
      <c r="B234" s="283">
        <v>5.327</v>
      </c>
      <c r="C234" s="281">
        <v>5.327</v>
      </c>
      <c r="D234" s="281">
        <v>5.327</v>
      </c>
      <c r="E234" s="281">
        <v>5.327</v>
      </c>
      <c r="F234" s="284">
        <v>-2.2700000000000001E-2</v>
      </c>
    </row>
    <row r="235" spans="1:6" ht="15.75" thickBot="1">
      <c r="A235" s="285">
        <v>35735</v>
      </c>
      <c r="B235" s="283">
        <v>5.4509999999999996</v>
      </c>
      <c r="C235" s="281">
        <v>5.4509999999999996</v>
      </c>
      <c r="D235" s="281">
        <v>5.4509999999999996</v>
      </c>
      <c r="E235" s="281">
        <v>5.4509999999999996</v>
      </c>
      <c r="F235" s="284">
        <v>-2.5600000000000001E-2</v>
      </c>
    </row>
    <row r="236" spans="1:6" ht="15.75" thickBot="1">
      <c r="A236" s="285">
        <v>35704</v>
      </c>
      <c r="B236" s="280">
        <v>5.5940000000000003</v>
      </c>
      <c r="C236" s="281">
        <v>5.5940000000000003</v>
      </c>
      <c r="D236" s="281">
        <v>5.5940000000000003</v>
      </c>
      <c r="E236" s="281">
        <v>5.5940000000000003</v>
      </c>
      <c r="F236" s="282">
        <v>2.0400000000000001E-2</v>
      </c>
    </row>
    <row r="237" spans="1:6" ht="15.75" thickBot="1">
      <c r="A237" s="285">
        <v>35674</v>
      </c>
      <c r="B237" s="283">
        <v>5.4820000000000002</v>
      </c>
      <c r="C237" s="281">
        <v>5.4820000000000002</v>
      </c>
      <c r="D237" s="281">
        <v>5.4820000000000002</v>
      </c>
      <c r="E237" s="281">
        <v>5.4820000000000002</v>
      </c>
      <c r="F237" s="284">
        <v>-2.18E-2</v>
      </c>
    </row>
    <row r="238" spans="1:6" ht="15.75" thickBot="1">
      <c r="A238" s="285">
        <v>35643</v>
      </c>
      <c r="B238" s="280">
        <v>5.6040000000000001</v>
      </c>
      <c r="C238" s="281">
        <v>5.6040000000000001</v>
      </c>
      <c r="D238" s="281">
        <v>5.6040000000000001</v>
      </c>
      <c r="E238" s="281">
        <v>5.6040000000000001</v>
      </c>
      <c r="F238" s="282">
        <v>2.8400000000000002E-2</v>
      </c>
    </row>
    <row r="239" spans="1:6" ht="15.75" thickBot="1">
      <c r="A239" s="285">
        <v>35612</v>
      </c>
      <c r="B239" s="283">
        <v>5.4489999999999998</v>
      </c>
      <c r="C239" s="281">
        <v>5.4489999999999998</v>
      </c>
      <c r="D239" s="281">
        <v>5.4489999999999998</v>
      </c>
      <c r="E239" s="281">
        <v>5.4489999999999998</v>
      </c>
      <c r="F239" s="284">
        <v>-2.47E-2</v>
      </c>
    </row>
    <row r="240" spans="1:6" ht="15.75" thickBot="1">
      <c r="A240" s="285">
        <v>35582</v>
      </c>
      <c r="B240" s="283">
        <v>5.5869999999999997</v>
      </c>
      <c r="C240" s="281">
        <v>5.5869999999999997</v>
      </c>
      <c r="D240" s="281">
        <v>5.5869999999999997</v>
      </c>
      <c r="E240" s="281">
        <v>5.5869999999999997</v>
      </c>
      <c r="F240" s="284">
        <v>-3.6600000000000001E-2</v>
      </c>
    </row>
    <row r="241" spans="1:6" ht="15.75" thickBot="1">
      <c r="A241" s="285">
        <v>35551</v>
      </c>
      <c r="B241" s="280">
        <v>5.7990000000000004</v>
      </c>
      <c r="C241" s="281">
        <v>5.7990000000000004</v>
      </c>
      <c r="D241" s="281">
        <v>5.7990000000000004</v>
      </c>
      <c r="E241" s="281">
        <v>5.7990000000000004</v>
      </c>
      <c r="F241" s="282">
        <v>9.7999999999999997E-3</v>
      </c>
    </row>
    <row r="242" spans="1:6" ht="15.75" thickBot="1">
      <c r="A242" s="285">
        <v>35521</v>
      </c>
      <c r="B242" s="283">
        <v>5.7430000000000003</v>
      </c>
      <c r="C242" s="281">
        <v>5.7430000000000003</v>
      </c>
      <c r="D242" s="281">
        <v>5.7430000000000003</v>
      </c>
      <c r="E242" s="281">
        <v>5.7430000000000003</v>
      </c>
      <c r="F242" s="284">
        <v>-1.3599999999999999E-2</v>
      </c>
    </row>
    <row r="243" spans="1:6" ht="15.75" thickBot="1">
      <c r="A243" s="285">
        <v>35490</v>
      </c>
      <c r="B243" s="280">
        <v>5.8220000000000001</v>
      </c>
      <c r="C243" s="281">
        <v>5.8220000000000001</v>
      </c>
      <c r="D243" s="281">
        <v>5.8220000000000001</v>
      </c>
      <c r="E243" s="281">
        <v>5.8220000000000001</v>
      </c>
      <c r="F243" s="282">
        <v>7.2800000000000004E-2</v>
      </c>
    </row>
    <row r="244" spans="1:6" ht="15.75" thickBot="1">
      <c r="A244" s="285">
        <v>35462</v>
      </c>
      <c r="B244" s="283">
        <v>5.4269999999999996</v>
      </c>
      <c r="C244" s="281">
        <v>5.4269999999999996</v>
      </c>
      <c r="D244" s="281">
        <v>5.4269999999999996</v>
      </c>
      <c r="E244" s="281">
        <v>5.4269999999999996</v>
      </c>
      <c r="F244" s="284">
        <v>-2.7400000000000001E-2</v>
      </c>
    </row>
    <row r="245" spans="1:6" ht="15.75" thickBot="1">
      <c r="A245" s="285">
        <v>35431</v>
      </c>
      <c r="B245" s="283">
        <v>5.58</v>
      </c>
      <c r="C245" s="281">
        <v>5.58</v>
      </c>
      <c r="D245" s="281">
        <v>5.58</v>
      </c>
      <c r="E245" s="281">
        <v>5.58</v>
      </c>
      <c r="F245" s="284">
        <v>-4.0599999999999997E-2</v>
      </c>
    </row>
    <row r="246" spans="1:6" ht="15.75" thickBot="1">
      <c r="A246" s="285">
        <v>35400</v>
      </c>
      <c r="B246" s="280">
        <v>5.8159999999999998</v>
      </c>
      <c r="C246" s="281">
        <v>5.8159999999999998</v>
      </c>
      <c r="D246" s="281">
        <v>5.8159999999999998</v>
      </c>
      <c r="E246" s="281">
        <v>5.8159999999999998</v>
      </c>
      <c r="F246" s="282">
        <v>3.8199999999999998E-2</v>
      </c>
    </row>
    <row r="247" spans="1:6" ht="15.75" thickBot="1">
      <c r="A247" s="285">
        <v>35370</v>
      </c>
      <c r="B247" s="283">
        <v>5.6020000000000003</v>
      </c>
      <c r="C247" s="281">
        <v>5.6020000000000003</v>
      </c>
      <c r="D247" s="281">
        <v>5.6020000000000003</v>
      </c>
      <c r="E247" s="281">
        <v>5.6020000000000003</v>
      </c>
      <c r="F247" s="284">
        <v>-6.2100000000000002E-2</v>
      </c>
    </row>
    <row r="248" spans="1:6" ht="15.75" thickBot="1">
      <c r="A248" s="285">
        <v>35339</v>
      </c>
      <c r="B248" s="283">
        <v>5.9729999999999999</v>
      </c>
      <c r="C248" s="281">
        <v>5.9729999999999999</v>
      </c>
      <c r="D248" s="281">
        <v>5.9729999999999999</v>
      </c>
      <c r="E248" s="281">
        <v>5.9729999999999999</v>
      </c>
      <c r="F248" s="284">
        <v>-2.24E-2</v>
      </c>
    </row>
    <row r="249" spans="1:6" ht="15.75" thickBot="1">
      <c r="A249" s="285">
        <v>35309</v>
      </c>
      <c r="B249" s="283">
        <v>6.11</v>
      </c>
      <c r="C249" s="281">
        <v>6.11</v>
      </c>
      <c r="D249" s="281">
        <v>6.11</v>
      </c>
      <c r="E249" s="281">
        <v>6.11</v>
      </c>
      <c r="F249" s="284">
        <v>-5.8599999999999999E-2</v>
      </c>
    </row>
    <row r="250" spans="1:6" ht="15.75" thickBot="1">
      <c r="A250" s="285">
        <v>35278</v>
      </c>
      <c r="B250" s="280">
        <v>6.49</v>
      </c>
      <c r="C250" s="281">
        <v>6.49</v>
      </c>
      <c r="D250" s="281">
        <v>6.49</v>
      </c>
      <c r="E250" s="281">
        <v>6.49</v>
      </c>
      <c r="F250" s="282">
        <v>1.23E-2</v>
      </c>
    </row>
    <row r="251" spans="1:6" ht="15.75" thickBot="1">
      <c r="A251" s="285">
        <v>35247</v>
      </c>
      <c r="B251" s="283">
        <v>6.4109999999999996</v>
      </c>
      <c r="C251" s="281">
        <v>6.4109999999999996</v>
      </c>
      <c r="D251" s="281">
        <v>6.4109999999999996</v>
      </c>
      <c r="E251" s="281">
        <v>6.4109999999999996</v>
      </c>
      <c r="F251" s="284">
        <v>-1.2E-2</v>
      </c>
    </row>
    <row r="252" spans="1:6" ht="15.75" thickBot="1">
      <c r="A252" s="285">
        <v>35217</v>
      </c>
      <c r="B252" s="283">
        <v>6.4889999999999999</v>
      </c>
      <c r="C252" s="281">
        <v>6.4889999999999999</v>
      </c>
      <c r="D252" s="281">
        <v>6.4889999999999999</v>
      </c>
      <c r="E252" s="281">
        <v>6.4889999999999999</v>
      </c>
      <c r="F252" s="284">
        <v>-4.5999999999999999E-3</v>
      </c>
    </row>
    <row r="253" spans="1:6" ht="15.75" thickBot="1">
      <c r="A253" s="285">
        <v>35186</v>
      </c>
      <c r="B253" s="280">
        <v>6.5190000000000001</v>
      </c>
      <c r="C253" s="281">
        <v>6.5190000000000001</v>
      </c>
      <c r="D253" s="281">
        <v>6.5190000000000001</v>
      </c>
      <c r="E253" s="281">
        <v>6.5190000000000001</v>
      </c>
      <c r="F253" s="282">
        <v>1.7999999999999999E-2</v>
      </c>
    </row>
    <row r="254" spans="1:6" ht="15.75" thickBot="1">
      <c r="A254" s="285">
        <v>35156</v>
      </c>
      <c r="B254" s="283">
        <v>6.4039999999999999</v>
      </c>
      <c r="C254" s="281">
        <v>6.4039999999999999</v>
      </c>
      <c r="D254" s="281">
        <v>6.4039999999999999</v>
      </c>
      <c r="E254" s="281">
        <v>6.4039999999999999</v>
      </c>
      <c r="F254" s="284">
        <v>-2.9399999999999999E-2</v>
      </c>
    </row>
    <row r="255" spans="1:6" ht="15.75" thickBot="1">
      <c r="A255" s="285">
        <v>35125</v>
      </c>
      <c r="B255" s="283">
        <v>6.5979999999999999</v>
      </c>
      <c r="C255" s="281">
        <v>6.5979999999999999</v>
      </c>
      <c r="D255" s="281">
        <v>6.5979999999999999</v>
      </c>
      <c r="E255" s="281">
        <v>6.5979999999999999</v>
      </c>
      <c r="F255" s="284">
        <v>-1.7100000000000001E-2</v>
      </c>
    </row>
    <row r="256" spans="1:6" ht="15.75" thickBot="1">
      <c r="A256" s="285">
        <v>35096</v>
      </c>
      <c r="B256" s="280">
        <v>6.7130000000000001</v>
      </c>
      <c r="C256" s="281">
        <v>6.7130000000000001</v>
      </c>
      <c r="D256" s="281">
        <v>6.7130000000000001</v>
      </c>
      <c r="E256" s="281">
        <v>6.7130000000000001</v>
      </c>
      <c r="F256" s="282">
        <v>5.1400000000000001E-2</v>
      </c>
    </row>
    <row r="257" spans="1:6" ht="15.75" thickBot="1">
      <c r="A257" s="285">
        <v>35065</v>
      </c>
      <c r="B257" s="283">
        <v>6.3849999999999998</v>
      </c>
      <c r="C257" s="281">
        <v>6.3849999999999998</v>
      </c>
      <c r="D257" s="281">
        <v>6.3849999999999998</v>
      </c>
      <c r="E257" s="281">
        <v>6.3849999999999998</v>
      </c>
      <c r="F257" s="284">
        <v>-4.5900000000000003E-2</v>
      </c>
    </row>
    <row r="258" spans="1:6" ht="15.75" thickBot="1">
      <c r="A258" s="285">
        <v>35034</v>
      </c>
      <c r="B258" s="283">
        <v>6.6920000000000002</v>
      </c>
      <c r="C258" s="281">
        <v>6.6920000000000002</v>
      </c>
      <c r="D258" s="281">
        <v>6.6920000000000002</v>
      </c>
      <c r="E258" s="281">
        <v>6.6920000000000002</v>
      </c>
      <c r="F258" s="284">
        <v>-3.2199999999999999E-2</v>
      </c>
    </row>
    <row r="259" spans="1:6" ht="15.75" thickBot="1">
      <c r="A259" s="285">
        <v>35004</v>
      </c>
      <c r="B259" s="283">
        <v>6.915</v>
      </c>
      <c r="C259" s="281">
        <v>6.915</v>
      </c>
      <c r="D259" s="281">
        <v>6.915</v>
      </c>
      <c r="E259" s="281">
        <v>6.915</v>
      </c>
      <c r="F259" s="284">
        <v>-5.0500000000000003E-2</v>
      </c>
    </row>
    <row r="260" spans="1:6" ht="15.75" thickBot="1">
      <c r="A260" s="285">
        <v>34973</v>
      </c>
      <c r="B260" s="283">
        <v>7.2830000000000004</v>
      </c>
      <c r="C260" s="281">
        <v>7.2830000000000004</v>
      </c>
      <c r="D260" s="281">
        <v>7.2830000000000004</v>
      </c>
      <c r="E260" s="281">
        <v>7.2830000000000004</v>
      </c>
      <c r="F260" s="284">
        <v>-2.7400000000000001E-2</v>
      </c>
    </row>
    <row r="261" spans="1:6" ht="15.75" thickBot="1">
      <c r="A261" s="285">
        <v>34943</v>
      </c>
      <c r="B261" s="280">
        <v>7.4880000000000004</v>
      </c>
      <c r="C261" s="281">
        <v>7.4880000000000004</v>
      </c>
      <c r="D261" s="281">
        <v>7.4880000000000004</v>
      </c>
      <c r="E261" s="281">
        <v>7.4880000000000004</v>
      </c>
      <c r="F261" s="282">
        <v>1.55E-2</v>
      </c>
    </row>
    <row r="262" spans="1:6" ht="15.75" thickBot="1">
      <c r="A262" s="285">
        <v>34912</v>
      </c>
      <c r="B262" s="283">
        <v>7.3739999999999997</v>
      </c>
      <c r="C262" s="281">
        <v>7.3739999999999997</v>
      </c>
      <c r="D262" s="281">
        <v>7.3739999999999997</v>
      </c>
      <c r="E262" s="281">
        <v>7.3739999999999997</v>
      </c>
      <c r="F262" s="284">
        <v>-7.4999999999999997E-3</v>
      </c>
    </row>
    <row r="263" spans="1:6" ht="15.75" thickBot="1">
      <c r="A263" s="285">
        <v>34881</v>
      </c>
      <c r="B263" s="283">
        <v>7.43</v>
      </c>
      <c r="C263" s="281">
        <v>7.43</v>
      </c>
      <c r="D263" s="281">
        <v>7.43</v>
      </c>
      <c r="E263" s="281">
        <v>7.43</v>
      </c>
      <c r="F263" s="284">
        <v>-2.53E-2</v>
      </c>
    </row>
    <row r="264" spans="1:6" ht="15.75" thickBot="1">
      <c r="A264" s="285">
        <v>34851</v>
      </c>
      <c r="B264" s="280">
        <v>7.6230000000000002</v>
      </c>
      <c r="C264" s="281">
        <v>7.6230000000000002</v>
      </c>
      <c r="D264" s="281">
        <v>7.6230000000000002</v>
      </c>
      <c r="E264" s="281">
        <v>7.6230000000000002</v>
      </c>
      <c r="F264" s="282">
        <v>2.46E-2</v>
      </c>
    </row>
    <row r="265" spans="1:6" ht="15.75" thickBot="1">
      <c r="A265" s="285">
        <v>34820</v>
      </c>
      <c r="B265" s="283">
        <v>7.44</v>
      </c>
      <c r="C265" s="281">
        <v>7.44</v>
      </c>
      <c r="D265" s="281">
        <v>7.44</v>
      </c>
      <c r="E265" s="281">
        <v>7.44</v>
      </c>
      <c r="F265" s="284">
        <v>-4.6800000000000001E-2</v>
      </c>
    </row>
    <row r="266" spans="1:6" ht="15.75" thickBot="1">
      <c r="A266" s="285">
        <v>34790</v>
      </c>
      <c r="B266" s="283">
        <v>7.8049999999999997</v>
      </c>
      <c r="C266" s="281">
        <v>7.8049999999999997</v>
      </c>
      <c r="D266" s="281">
        <v>7.8049999999999997</v>
      </c>
      <c r="E266" s="281">
        <v>7.8049999999999997</v>
      </c>
      <c r="F266" s="284">
        <v>-1.24E-2</v>
      </c>
    </row>
    <row r="267" spans="1:6" ht="15.75" thickBot="1">
      <c r="A267" s="285">
        <v>34759</v>
      </c>
      <c r="B267" s="283">
        <v>7.9029999999999996</v>
      </c>
      <c r="C267" s="281">
        <v>7.9029999999999996</v>
      </c>
      <c r="D267" s="281">
        <v>7.9029999999999996</v>
      </c>
      <c r="E267" s="281">
        <v>7.9029999999999996</v>
      </c>
      <c r="F267" s="284">
        <v>-1.29E-2</v>
      </c>
    </row>
    <row r="268" spans="1:6" ht="15.75" thickBot="1">
      <c r="A268" s="285">
        <v>34731</v>
      </c>
      <c r="B268" s="283">
        <v>8.0060000000000002</v>
      </c>
      <c r="C268" s="281">
        <v>8.0060000000000002</v>
      </c>
      <c r="D268" s="281">
        <v>8.0060000000000002</v>
      </c>
      <c r="E268" s="281">
        <v>8.0060000000000002</v>
      </c>
      <c r="F268" s="284">
        <v>-1.3599999999999999E-2</v>
      </c>
    </row>
    <row r="269" spans="1:6" ht="15.75" thickBot="1">
      <c r="A269" s="285">
        <v>34700</v>
      </c>
      <c r="B269" s="283">
        <v>8.1159999999999997</v>
      </c>
      <c r="C269" s="281">
        <v>8.1159999999999997</v>
      </c>
      <c r="D269" s="281">
        <v>8.1159999999999997</v>
      </c>
      <c r="E269" s="281">
        <v>8.1159999999999997</v>
      </c>
      <c r="F269" s="284">
        <v>-1.9900000000000001E-2</v>
      </c>
    </row>
    <row r="270" spans="1:6" ht="15.75" thickBot="1">
      <c r="A270" s="285">
        <v>34669</v>
      </c>
      <c r="B270" s="280">
        <v>8.2810000000000006</v>
      </c>
      <c r="C270" s="281">
        <v>8.2810000000000006</v>
      </c>
      <c r="D270" s="281">
        <v>8.2810000000000006</v>
      </c>
      <c r="E270" s="281">
        <v>8.2810000000000006</v>
      </c>
      <c r="F270" s="282">
        <v>4.9399999999999999E-2</v>
      </c>
    </row>
    <row r="271" spans="1:6" ht="15.75" thickBot="1">
      <c r="A271" s="285">
        <v>34639</v>
      </c>
      <c r="B271" s="283">
        <v>7.891</v>
      </c>
      <c r="C271" s="281">
        <v>7.891</v>
      </c>
      <c r="D271" s="281">
        <v>7.891</v>
      </c>
      <c r="E271" s="281">
        <v>7.891</v>
      </c>
      <c r="F271" s="284">
        <v>-4.5699999999999998E-2</v>
      </c>
    </row>
    <row r="272" spans="1:6" ht="15.75" thickBot="1">
      <c r="A272" s="285">
        <v>34608</v>
      </c>
      <c r="B272" s="280">
        <v>8.2690000000000001</v>
      </c>
      <c r="C272" s="281">
        <v>8.2690000000000001</v>
      </c>
      <c r="D272" s="281">
        <v>8.2690000000000001</v>
      </c>
      <c r="E272" s="281">
        <v>8.2690000000000001</v>
      </c>
      <c r="F272" s="282">
        <v>1.8599999999999998E-2</v>
      </c>
    </row>
    <row r="273" spans="1:6" ht="15.75" thickBot="1">
      <c r="A273" s="285">
        <v>34578</v>
      </c>
      <c r="B273" s="280">
        <v>8.1180000000000003</v>
      </c>
      <c r="C273" s="281">
        <v>8.1180000000000003</v>
      </c>
      <c r="D273" s="281">
        <v>8.1180000000000003</v>
      </c>
      <c r="E273" s="281">
        <v>8.1180000000000003</v>
      </c>
      <c r="F273" s="282">
        <v>2.92E-2</v>
      </c>
    </row>
    <row r="274" spans="1:6" ht="15.75" thickBot="1">
      <c r="A274" s="286">
        <v>34547</v>
      </c>
      <c r="B274" s="287">
        <v>7.8879999999999999</v>
      </c>
      <c r="C274" s="288">
        <v>7.8879999999999999</v>
      </c>
      <c r="D274" s="288">
        <v>7.8879999999999999</v>
      </c>
      <c r="E274" s="288">
        <v>7.8879999999999999</v>
      </c>
      <c r="F274" s="289">
        <v>8.7999999999999995E-2</v>
      </c>
    </row>
    <row r="275" spans="1:6" ht="15.75" thickBot="1">
      <c r="A275" s="285">
        <v>34516</v>
      </c>
      <c r="B275" s="283">
        <v>7.25</v>
      </c>
      <c r="C275" s="281">
        <v>7.25</v>
      </c>
      <c r="D275" s="281">
        <v>7.25</v>
      </c>
      <c r="E275" s="281">
        <v>7.25</v>
      </c>
      <c r="F275" s="284">
        <v>-4.2999999999999997E-2</v>
      </c>
    </row>
    <row r="276" spans="1:6" ht="15.75" thickBot="1">
      <c r="A276" s="285">
        <v>34486</v>
      </c>
      <c r="B276" s="280">
        <v>7.5759999999999996</v>
      </c>
      <c r="C276" s="281">
        <v>7.5759999999999996</v>
      </c>
      <c r="D276" s="281">
        <v>7.5759999999999996</v>
      </c>
      <c r="E276" s="281">
        <v>7.5759999999999996</v>
      </c>
      <c r="F276" s="282">
        <v>3.2199999999999999E-2</v>
      </c>
    </row>
    <row r="277" spans="1:6" ht="15.75" thickBot="1">
      <c r="A277" s="285">
        <v>34455</v>
      </c>
      <c r="B277" s="280">
        <v>7.34</v>
      </c>
      <c r="C277" s="281">
        <v>7.34</v>
      </c>
      <c r="D277" s="281">
        <v>7.34</v>
      </c>
      <c r="E277" s="281">
        <v>7.34</v>
      </c>
      <c r="F277" s="282">
        <v>8.2100000000000006E-2</v>
      </c>
    </row>
    <row r="278" spans="1:6" ht="15.75" thickBot="1">
      <c r="A278" s="285">
        <v>34425</v>
      </c>
      <c r="B278" s="280">
        <v>6.7830000000000004</v>
      </c>
      <c r="C278" s="281">
        <v>6.7830000000000004</v>
      </c>
      <c r="D278" s="281">
        <v>6.7830000000000004</v>
      </c>
      <c r="E278" s="281">
        <v>6.7830000000000004</v>
      </c>
      <c r="F278" s="282">
        <v>4.9000000000000002E-2</v>
      </c>
    </row>
    <row r="279" spans="1:6" ht="15.75" thickBot="1">
      <c r="A279" s="285">
        <v>34394</v>
      </c>
      <c r="B279" s="280">
        <v>6.4660000000000002</v>
      </c>
      <c r="C279" s="281">
        <v>6.4660000000000002</v>
      </c>
      <c r="D279" s="281">
        <v>6.4660000000000002</v>
      </c>
      <c r="E279" s="281">
        <v>6.4660000000000002</v>
      </c>
      <c r="F279" s="282">
        <v>4.58E-2</v>
      </c>
    </row>
    <row r="280" spans="1:6" ht="15.75" thickBot="1">
      <c r="A280" s="290" t="s">
        <v>416</v>
      </c>
      <c r="B280" s="291" t="s">
        <v>417</v>
      </c>
      <c r="C280" s="291" t="s">
        <v>418</v>
      </c>
      <c r="D280" s="291" t="s">
        <v>419</v>
      </c>
      <c r="E280" s="292" t="s">
        <v>420</v>
      </c>
    </row>
    <row r="281" spans="1:6">
      <c r="A281" s="293" t="s">
        <v>421</v>
      </c>
    </row>
    <row r="282" spans="1:6">
      <c r="A282" s="294" t="s">
        <v>422</v>
      </c>
    </row>
    <row r="283" spans="1:6" ht="15.75" thickBot="1">
      <c r="A283" s="295"/>
    </row>
    <row r="284" spans="1:6">
      <c r="A284" s="296" t="s">
        <v>423</v>
      </c>
    </row>
    <row r="286" spans="1:6">
      <c r="A286" s="295"/>
    </row>
    <row r="287" spans="1:6" ht="15.75" thickBot="1">
      <c r="A287" s="297" t="s">
        <v>424</v>
      </c>
    </row>
    <row r="288" spans="1:6">
      <c r="A288" s="298"/>
    </row>
    <row r="289" spans="1:1">
      <c r="A289" s="299" t="s">
        <v>425</v>
      </c>
    </row>
    <row r="290" spans="1:1">
      <c r="A290" s="300" t="s">
        <v>426</v>
      </c>
    </row>
    <row r="291" spans="1:1" ht="15.75" thickBot="1">
      <c r="A291" s="299" t="s">
        <v>427</v>
      </c>
    </row>
    <row r="292" spans="1:1" ht="15.75" thickBot="1">
      <c r="A292" s="301" t="s">
        <v>428</v>
      </c>
    </row>
    <row r="293" spans="1:1" ht="15.75" thickBot="1">
      <c r="A293" s="302"/>
    </row>
    <row r="294" spans="1:1" ht="15.75" thickBot="1">
      <c r="A294" s="303" t="s">
        <v>429</v>
      </c>
    </row>
    <row r="295" spans="1:1">
      <c r="A295" s="294" t="s">
        <v>430</v>
      </c>
    </row>
    <row r="296" spans="1:1">
      <c r="A296" s="304" t="s">
        <v>431</v>
      </c>
    </row>
    <row r="297" spans="1:1">
      <c r="A297" s="304" t="s">
        <v>432</v>
      </c>
    </row>
    <row r="298" spans="1:1">
      <c r="A298" s="304" t="s">
        <v>433</v>
      </c>
    </row>
    <row r="299" spans="1:1">
      <c r="A299" s="304" t="s">
        <v>434</v>
      </c>
    </row>
    <row r="300" spans="1:1">
      <c r="A300" s="305"/>
    </row>
    <row r="301" spans="1:1">
      <c r="A301" s="306"/>
    </row>
    <row r="302" spans="1:1">
      <c r="A302" s="306"/>
    </row>
    <row r="303" spans="1:1">
      <c r="A303" s="306"/>
    </row>
    <row r="304" spans="1:1">
      <c r="A304" s="307"/>
    </row>
    <row r="305" spans="1:7">
      <c r="A305" s="304" t="s">
        <v>435</v>
      </c>
    </row>
    <row r="306" spans="1:7">
      <c r="A306" s="304" t="s">
        <v>436</v>
      </c>
    </row>
    <row r="307" spans="1:7">
      <c r="A307" s="304" t="s">
        <v>431</v>
      </c>
    </row>
    <row r="308" spans="1:7" ht="15.75" thickBot="1">
      <c r="A308" s="308" t="s">
        <v>437</v>
      </c>
    </row>
    <row r="309" spans="1:7">
      <c r="A309" s="309" t="s">
        <v>438</v>
      </c>
    </row>
    <row r="310" spans="1:7" ht="15.75" thickBot="1">
      <c r="A310" s="310" t="s">
        <v>439</v>
      </c>
    </row>
    <row r="311" spans="1:7" ht="15.75" thickBot="1">
      <c r="A311" s="311"/>
      <c r="B311" s="312" t="s">
        <v>440</v>
      </c>
      <c r="C311" s="313">
        <v>2352.75</v>
      </c>
      <c r="D311" s="314">
        <v>-1</v>
      </c>
      <c r="E311" s="315">
        <v>-4.0000000000000002E-4</v>
      </c>
      <c r="F311" s="316"/>
      <c r="G311" s="317"/>
    </row>
    <row r="312" spans="1:7" ht="15.75" thickBot="1">
      <c r="A312" s="318"/>
      <c r="B312" s="319" t="s">
        <v>441</v>
      </c>
      <c r="C312" s="320">
        <v>5420.62</v>
      </c>
      <c r="D312" s="321">
        <v>-2.13</v>
      </c>
      <c r="E312" s="322">
        <v>-4.0000000000000002E-4</v>
      </c>
      <c r="F312" s="323"/>
      <c r="G312" s="324"/>
    </row>
    <row r="313" spans="1:7" ht="15.75" thickBot="1">
      <c r="A313" s="318"/>
      <c r="B313" s="319" t="s">
        <v>442</v>
      </c>
      <c r="C313" s="320">
        <v>20656.099999999999</v>
      </c>
      <c r="D313" s="321">
        <v>-6.85</v>
      </c>
      <c r="E313" s="322">
        <v>-2.9999999999999997E-4</v>
      </c>
      <c r="F313" s="323"/>
      <c r="G313" s="324"/>
    </row>
    <row r="314" spans="1:7" ht="15.75" thickBot="1">
      <c r="A314" s="318"/>
      <c r="B314" s="319" t="s">
        <v>443</v>
      </c>
      <c r="C314" s="325">
        <v>12.87</v>
      </c>
      <c r="D314" s="326">
        <v>0.48</v>
      </c>
      <c r="E314" s="327">
        <v>3.8699999999999998E-2</v>
      </c>
      <c r="F314" s="323"/>
      <c r="G314" s="324"/>
    </row>
    <row r="315" spans="1:7" ht="15.75" thickBot="1">
      <c r="A315" s="318"/>
      <c r="B315" s="319" t="s">
        <v>444</v>
      </c>
      <c r="C315" s="320">
        <v>12225.06</v>
      </c>
      <c r="D315" s="321">
        <v>-5.83</v>
      </c>
      <c r="E315" s="322">
        <v>-5.0000000000000001E-4</v>
      </c>
      <c r="F315" s="323"/>
      <c r="G315" s="324"/>
    </row>
    <row r="316" spans="1:7" ht="15.75" thickBot="1">
      <c r="A316" s="318"/>
      <c r="B316" s="319" t="s">
        <v>445</v>
      </c>
      <c r="C316" s="320">
        <v>18664.63</v>
      </c>
      <c r="D316" s="326">
        <v>67.569999999999993</v>
      </c>
      <c r="E316" s="327">
        <v>3.5999999999999999E-3</v>
      </c>
      <c r="F316" s="323"/>
      <c r="G316" s="324"/>
    </row>
    <row r="317" spans="1:7" ht="15.75" thickBot="1">
      <c r="A317" s="318"/>
      <c r="B317" s="319" t="s">
        <v>446</v>
      </c>
      <c r="C317" s="325">
        <v>101.08</v>
      </c>
      <c r="D317" s="326">
        <v>0.47</v>
      </c>
      <c r="E317" s="327">
        <v>4.7000000000000002E-3</v>
      </c>
      <c r="F317" s="323"/>
      <c r="G317" s="324"/>
    </row>
    <row r="318" spans="1:7">
      <c r="A318" s="318"/>
      <c r="B318" s="319" t="s">
        <v>447</v>
      </c>
      <c r="C318" s="325">
        <v>86.47</v>
      </c>
      <c r="D318" s="321">
        <v>-0.26</v>
      </c>
      <c r="E318" s="322">
        <v>-3.0000000000000001E-3</v>
      </c>
      <c r="F318" s="323"/>
      <c r="G318" s="324"/>
    </row>
    <row r="319" spans="1:7">
      <c r="A319" s="294" t="s">
        <v>448</v>
      </c>
    </row>
    <row r="320" spans="1:7">
      <c r="A320" s="294" t="s">
        <v>449</v>
      </c>
    </row>
    <row r="321" spans="1:1">
      <c r="A321" s="294" t="s">
        <v>450</v>
      </c>
    </row>
    <row r="322" spans="1:1">
      <c r="A322" s="295" t="s">
        <v>451</v>
      </c>
    </row>
    <row r="323" spans="1:1">
      <c r="A323" s="295" t="s">
        <v>452</v>
      </c>
    </row>
    <row r="324" spans="1:1">
      <c r="A324" s="295" t="s">
        <v>453</v>
      </c>
    </row>
    <row r="325" spans="1:1">
      <c r="A325" s="295" t="s">
        <v>454</v>
      </c>
    </row>
    <row r="326" spans="1:1">
      <c r="A326" s="295" t="s">
        <v>455</v>
      </c>
    </row>
    <row r="327" spans="1:1">
      <c r="A327" s="295" t="s">
        <v>456</v>
      </c>
    </row>
    <row r="328" spans="1:1">
      <c r="A328" s="304" t="s">
        <v>431</v>
      </c>
    </row>
    <row r="329" spans="1:1">
      <c r="A329" s="304" t="s">
        <v>436</v>
      </c>
    </row>
    <row r="330" spans="1:1">
      <c r="A330" s="304" t="s">
        <v>435</v>
      </c>
    </row>
    <row r="331" spans="1:1">
      <c r="A331" s="304" t="s">
        <v>434</v>
      </c>
    </row>
    <row r="332" spans="1:1">
      <c r="A332" s="295" t="s">
        <v>457</v>
      </c>
    </row>
    <row r="333" spans="1:1">
      <c r="A333" s="295"/>
    </row>
    <row r="334" spans="1:1">
      <c r="A334" s="294" t="s">
        <v>458</v>
      </c>
    </row>
    <row r="335" spans="1:1" ht="15.75">
      <c r="A335" s="328">
        <v>1.0590999999999999</v>
      </c>
    </row>
    <row r="336" spans="1:1" ht="15.75" thickBot="1">
      <c r="A336" s="329"/>
    </row>
    <row r="337" spans="1:6">
      <c r="A337" s="330" t="s">
        <v>459</v>
      </c>
    </row>
    <row r="338" spans="1:6">
      <c r="A338" s="331" t="s">
        <v>460</v>
      </c>
    </row>
    <row r="339" spans="1:6" ht="15.75" thickBot="1">
      <c r="A339" s="332" t="s">
        <v>461</v>
      </c>
    </row>
    <row r="340" spans="1:6">
      <c r="A340" s="331" t="s">
        <v>462</v>
      </c>
    </row>
    <row r="341" spans="1:6">
      <c r="A341" s="295" t="s">
        <v>463</v>
      </c>
    </row>
    <row r="342" spans="1:6">
      <c r="A342" s="295" t="s">
        <v>464</v>
      </c>
    </row>
    <row r="343" spans="1:6">
      <c r="A343" s="331" t="s">
        <v>465</v>
      </c>
    </row>
    <row r="344" spans="1:6">
      <c r="A344" s="295" t="s">
        <v>466</v>
      </c>
    </row>
    <row r="345" spans="1:6" ht="15.75" thickBot="1">
      <c r="A345" s="295" t="s">
        <v>467</v>
      </c>
    </row>
    <row r="346" spans="1:6" ht="30.75" thickBot="1">
      <c r="A346" s="333"/>
      <c r="B346" s="334"/>
      <c r="C346" s="335" t="s">
        <v>458</v>
      </c>
      <c r="D346" s="336">
        <v>1.0590999999999999</v>
      </c>
      <c r="E346" s="337" t="s">
        <v>461</v>
      </c>
      <c r="F346" s="336"/>
    </row>
    <row r="347" spans="1:6" ht="15.75" thickBot="1">
      <c r="A347" s="318"/>
      <c r="B347" s="323"/>
      <c r="C347" s="319" t="s">
        <v>468</v>
      </c>
      <c r="D347" s="325">
        <v>1.2366999999999999</v>
      </c>
      <c r="E347" s="338" t="s">
        <v>469</v>
      </c>
      <c r="F347" s="324"/>
    </row>
    <row r="348" spans="1:6" ht="15.75" thickBot="1">
      <c r="A348" s="318"/>
      <c r="B348" s="323"/>
      <c r="C348" s="319" t="s">
        <v>470</v>
      </c>
      <c r="D348" s="325">
        <v>111.1</v>
      </c>
      <c r="E348" s="339" t="s">
        <v>471</v>
      </c>
      <c r="F348" s="324"/>
    </row>
    <row r="349" spans="1:6" ht="30.75" thickBot="1">
      <c r="A349" s="318"/>
      <c r="B349" s="323"/>
      <c r="C349" s="319" t="s">
        <v>472</v>
      </c>
      <c r="D349" s="325">
        <v>0.74960000000000004</v>
      </c>
      <c r="E349" s="340" t="s">
        <v>461</v>
      </c>
      <c r="F349" s="324"/>
    </row>
    <row r="350" spans="1:6" ht="15.75" thickBot="1">
      <c r="A350" s="318"/>
      <c r="B350" s="323"/>
      <c r="C350" s="319" t="s">
        <v>473</v>
      </c>
      <c r="D350" s="325">
        <v>1.3409</v>
      </c>
      <c r="E350" s="338" t="s">
        <v>469</v>
      </c>
      <c r="F350" s="324"/>
    </row>
    <row r="351" spans="1:6" ht="30.75" thickBot="1">
      <c r="A351" s="318"/>
      <c r="B351" s="323"/>
      <c r="C351" s="319" t="s">
        <v>474</v>
      </c>
      <c r="D351" s="325">
        <v>117.68</v>
      </c>
      <c r="E351" s="340" t="s">
        <v>461</v>
      </c>
      <c r="F351" s="324"/>
    </row>
    <row r="352" spans="1:6" ht="30.75" thickBot="1">
      <c r="A352" s="341"/>
      <c r="B352" s="342"/>
      <c r="C352" s="343" t="s">
        <v>475</v>
      </c>
      <c r="D352" s="344">
        <v>1.069</v>
      </c>
      <c r="E352" s="345" t="s">
        <v>461</v>
      </c>
      <c r="F352" s="346"/>
    </row>
    <row r="353" spans="1:6">
      <c r="A353" s="294" t="s">
        <v>448</v>
      </c>
    </row>
    <row r="354" spans="1:6">
      <c r="A354" s="294" t="s">
        <v>449</v>
      </c>
    </row>
    <row r="355" spans="1:6">
      <c r="A355" s="347" t="s">
        <v>476</v>
      </c>
    </row>
    <row r="356" spans="1:6" ht="15.75" thickBot="1">
      <c r="A356" s="348"/>
      <c r="B356" s="349" t="s">
        <v>477</v>
      </c>
      <c r="C356" s="350" t="s">
        <v>478</v>
      </c>
      <c r="D356" s="350" t="s">
        <v>479</v>
      </c>
      <c r="E356" s="350" t="s">
        <v>480</v>
      </c>
      <c r="F356" s="348"/>
    </row>
    <row r="357" spans="1:6" ht="15.75" thickBot="1">
      <c r="A357" s="351"/>
      <c r="B357" s="352" t="s">
        <v>481</v>
      </c>
      <c r="C357" s="353">
        <v>84.65</v>
      </c>
      <c r="D357" s="354">
        <v>-0.56000000000000005</v>
      </c>
      <c r="E357" s="355">
        <v>-6.6E-3</v>
      </c>
      <c r="F357" s="356"/>
    </row>
    <row r="358" spans="1:6" ht="15.75" thickBot="1">
      <c r="A358" s="318"/>
      <c r="B358" s="357" t="s">
        <v>482</v>
      </c>
      <c r="C358" s="358">
        <v>44.81</v>
      </c>
      <c r="D358" s="359">
        <v>-0.5</v>
      </c>
      <c r="E358" s="360">
        <v>-1.0999999999999999E-2</v>
      </c>
      <c r="F358" s="324"/>
    </row>
    <row r="359" spans="1:6" ht="15.75" thickBot="1">
      <c r="A359" s="318"/>
      <c r="B359" s="357" t="s">
        <v>481</v>
      </c>
      <c r="C359" s="358">
        <v>84.65</v>
      </c>
      <c r="D359" s="359">
        <v>-0.56000000000000005</v>
      </c>
      <c r="E359" s="360">
        <v>-6.6E-3</v>
      </c>
      <c r="F359" s="324"/>
    </row>
    <row r="360" spans="1:6" ht="30.75" thickBot="1">
      <c r="A360" s="318"/>
      <c r="B360" s="357" t="s">
        <v>483</v>
      </c>
      <c r="C360" s="358">
        <v>0.89900000000000002</v>
      </c>
      <c r="D360" s="361">
        <v>1.2E-2</v>
      </c>
      <c r="E360" s="362">
        <v>1.35E-2</v>
      </c>
      <c r="F360" s="324"/>
    </row>
    <row r="361" spans="1:6" ht="30.75" thickBot="1">
      <c r="A361" s="318"/>
      <c r="B361" s="357" t="s">
        <v>484</v>
      </c>
      <c r="C361" s="358">
        <v>-0.54</v>
      </c>
      <c r="D361" s="359">
        <v>-5.0000000000000001E-3</v>
      </c>
      <c r="E361" s="360">
        <v>0</v>
      </c>
      <c r="F361" s="324"/>
    </row>
    <row r="362" spans="1:6" ht="30.75" thickBot="1">
      <c r="A362" s="341"/>
      <c r="B362" s="363" t="s">
        <v>485</v>
      </c>
      <c r="C362" s="346">
        <v>0.82</v>
      </c>
      <c r="D362" s="364">
        <v>0.01</v>
      </c>
      <c r="E362" s="365">
        <v>1.2699999999999999E-2</v>
      </c>
      <c r="F362" s="346"/>
    </row>
    <row r="363" spans="1:6">
      <c r="A363" s="366" t="s">
        <v>486</v>
      </c>
    </row>
    <row r="364" spans="1:6">
      <c r="A364" s="347" t="s">
        <v>487</v>
      </c>
    </row>
    <row r="365" spans="1:6">
      <c r="A365" s="304" t="s">
        <v>488</v>
      </c>
    </row>
    <row r="366" spans="1:6">
      <c r="A366" s="304" t="s">
        <v>489</v>
      </c>
    </row>
    <row r="367" spans="1:6">
      <c r="A367" s="304" t="s">
        <v>490</v>
      </c>
    </row>
    <row r="368" spans="1:6">
      <c r="A368" s="304" t="s">
        <v>491</v>
      </c>
    </row>
    <row r="369" spans="1:1">
      <c r="A369" s="295"/>
    </row>
    <row r="370" spans="1:1">
      <c r="A370" s="367" t="s">
        <v>492</v>
      </c>
    </row>
    <row r="371" spans="1:1">
      <c r="A371" s="367" t="s">
        <v>493</v>
      </c>
    </row>
    <row r="372" spans="1:1">
      <c r="A372" s="367" t="s">
        <v>494</v>
      </c>
    </row>
    <row r="373" spans="1:1">
      <c r="A373" s="367" t="s">
        <v>495</v>
      </c>
    </row>
    <row r="374" spans="1:1">
      <c r="A374" s="368"/>
    </row>
    <row r="375" spans="1:1">
      <c r="A375" s="369" t="s">
        <v>496</v>
      </c>
    </row>
  </sheetData>
  <phoneticPr fontId="38" type="noConversion"/>
  <hyperlinks>
    <hyperlink ref="A282" r:id="rId1" display="javascript:void(0);"/>
    <hyperlink ref="A287" r:id="rId2" display="https://www.investing.com/rates-bonds/france-10-year-bond-yield-commentary"/>
    <hyperlink ref="A289" r:id="rId3" display="https://www.investing.com/members/200269538"/>
    <hyperlink ref="A291" r:id="rId4" display="https://www.investing.com/rates-bonds/france-10-year-bond-yield-historical-data"/>
    <hyperlink ref="A295" r:id="rId5" display="https://www.investing.com/brokers/forex-brokers"/>
    <hyperlink ref="A296" r:id="rId6" display="javascript:void(0);"/>
    <hyperlink ref="A297" r:id="rId7" display="javascript:void(0);"/>
    <hyperlink ref="A298" r:id="rId8" display="javascript:void(0);"/>
    <hyperlink ref="A299" r:id="rId9" display="javascript:void(0);"/>
    <hyperlink ref="A305" r:id="rId10" display="javascript:void(0);"/>
    <hyperlink ref="A306" r:id="rId11" display="javascript:void(0);"/>
    <hyperlink ref="A307" r:id="rId12" display="javascript:void(0);"/>
    <hyperlink ref="A308" r:id="rId13" display="javascript:void(0);"/>
    <hyperlink ref="B311" r:id="rId14" tooltip="S&amp;P 500 Futures (CFD)" display="https://www.investing.com/indices/us-spx-500-futures"/>
    <hyperlink ref="B312" r:id="rId15" tooltip="Nasdaq 100 Futures (CFD)" display="https://www.investing.com/indices/nq-100-futures"/>
    <hyperlink ref="B313" r:id="rId16" tooltip="Dow Jones Industrial Average" display="https://www.investing.com/indices/us-30"/>
    <hyperlink ref="B314" r:id="rId17" tooltip="CBOE Volatility Index" display="https://www.investing.com/indices/volatility-s-p-500"/>
    <hyperlink ref="B315" r:id="rId18" tooltip="DAX (CFD)" display="https://www.investing.com/indices/germany-30"/>
    <hyperlink ref="B316" r:id="rId19" tooltip="Nikkei 225 (CFD)" display="https://www.investing.com/indices/japan-ni225"/>
    <hyperlink ref="B317" r:id="rId20" tooltip="US Dollar Index Futures (CFD)" display="https://www.investing.com/quotes/us-dollar-index"/>
    <hyperlink ref="B318" r:id="rId21" tooltip="Investing.com Euro Index (CFD)" display="https://www.investing.com/indices/investing.com-eur-index"/>
    <hyperlink ref="A319" r:id="rId22" tooltip="Start trading CFDs with Plus500" display="javascript:void(0);"/>
    <hyperlink ref="A320" r:id="rId23" tooltip="Start trading CFDs with Plus500" display="javascript:void(0);"/>
    <hyperlink ref="A321" r:id="rId24" display="https://www.investing.com/central-banks/fed-rate-monitor"/>
    <hyperlink ref="A328" r:id="rId25" display="javascript:void(0);"/>
    <hyperlink ref="A329" r:id="rId26" display="javascript:void(0);"/>
    <hyperlink ref="A330" r:id="rId27" display="javascript:void(0);"/>
    <hyperlink ref="A331" r:id="rId28" display="javascript:void(0);"/>
    <hyperlink ref="A334" r:id="rId29" display="https://www.investing.com/currencies/eur-usd"/>
    <hyperlink ref="C346" r:id="rId30" display="https://www.investing.com/currencies/eur-usd"/>
    <hyperlink ref="C347" r:id="rId31" display="https://www.investing.com/currencies/gbp-usd"/>
    <hyperlink ref="C348" r:id="rId32" display="https://www.investing.com/currencies/usd-jpy"/>
    <hyperlink ref="C349" r:id="rId33" display="https://www.investing.com/currencies/aud-usd"/>
    <hyperlink ref="C350" r:id="rId34" display="https://www.investing.com/currencies/usd-cad"/>
    <hyperlink ref="C351" r:id="rId35" display="https://www.investing.com/currencies/eur-jpy"/>
    <hyperlink ref="C352" r:id="rId36" display="https://www.investing.com/currencies/eur-chf"/>
    <hyperlink ref="A353" r:id="rId37" tooltip="Start trading CFDs with Plus500" display="javascript:void(0);"/>
    <hyperlink ref="A354" r:id="rId38" tooltip="Start trading CFDs with Plus500" display="javascript:void(0);"/>
    <hyperlink ref="B357" r:id="rId39" tooltip="Sanofi SA (Paris)" display="https://www.investing.com/equities/sanofi-aventis?cid=25425"/>
    <hyperlink ref="B358" r:id="rId40" tooltip="Sanofi SA (NYSE)" display="https://www.investing.com/equities/sanofi-aventis?cid=21258"/>
    <hyperlink ref="B359" r:id="rId41" tooltip="Sanofi SA" display="https://www.investing.com/equities/sanofi-aventis"/>
    <hyperlink ref="B360" r:id="rId42" tooltip="France 10-Year" display="https://www.investing.com/rates-bonds/france-10-year-bond-yield"/>
    <hyperlink ref="B361" r:id="rId43" tooltip="France 3-Month" display="https://www.investing.com/rates-bonds/france-3-month-bond-yield"/>
    <hyperlink ref="B362" r:id="rId44" tooltip="U.S. 3-Month" display="https://www.investing.com/rates-bonds/u.s.-3-month-bond-yield"/>
    <hyperlink ref="A363" r:id="rId45" display="javascript:void(0);"/>
    <hyperlink ref="A365" r:id="rId46" tooltip="What's New" display="https://www.investing.com/about-us/whats-new"/>
    <hyperlink ref="A366" r:id="rId47" tooltip="Mobile" display="https://www.investing.com/mobile/"/>
    <hyperlink ref="A367" r:id="rId48" tooltip="Portfolio" display="https://www.investing.com/portfolio/"/>
    <hyperlink ref="A368" r:id="rId49" tooltip="Webmaster Tools" display="https://www.investing.com/webmaster-tools/"/>
    <hyperlink ref="A370" r:id="rId50" tooltip="About Us" display="https://www.investing.com/about-us/"/>
    <hyperlink ref="A371" r:id="rId51" tooltip="Advertise" display="https://www.investing.com/about-us/advertise"/>
    <hyperlink ref="A372" r:id="rId52" tooltip="Contribute" display="https://www.investing.com/about-us/contributor-benefits"/>
    <hyperlink ref="A373" r:id="rId53" tooltip="Contact Us" display="https://www.investing.com/about-us/contact-us"/>
  </hyperlinks>
  <pageMargins left="0.7" right="0.7" top="0.75" bottom="0.75" header="0.3" footer="0.3"/>
  <drawing r:id="rId54"/>
  <legacyDrawing r:id="rId55"/>
  <controls>
    <mc:AlternateContent xmlns:mc="http://schemas.openxmlformats.org/markup-compatibility/2006">
      <mc:Choice Requires="x14">
        <control shapeId="29701" r:id="rId56" name="Control 5">
          <controlPr defaultSize="0" r:id="rId57">
            <anchor moveWithCells="1">
              <from>
                <xdr:col>0</xdr:col>
                <xdr:colOff>0</xdr:colOff>
                <xdr:row>332</xdr:row>
                <xdr:rowOff>0</xdr:rowOff>
              </from>
              <to>
                <xdr:col>1</xdr:col>
                <xdr:colOff>361950</xdr:colOff>
                <xdr:row>333</xdr:row>
                <xdr:rowOff>38100</xdr:rowOff>
              </to>
            </anchor>
          </controlPr>
        </control>
      </mc:Choice>
      <mc:Fallback>
        <control shapeId="29701" r:id="rId56" name="Control 5"/>
      </mc:Fallback>
    </mc:AlternateContent>
    <mc:AlternateContent xmlns:mc="http://schemas.openxmlformats.org/markup-compatibility/2006">
      <mc:Choice Requires="x14">
        <control shapeId="29700" r:id="rId58" name="Control 4">
          <controlPr defaultSize="0" r:id="rId59">
            <anchor moveWithCells="1">
              <from>
                <xdr:col>0</xdr:col>
                <xdr:colOff>0</xdr:colOff>
                <xdr:row>282</xdr:row>
                <xdr:rowOff>0</xdr:rowOff>
              </from>
              <to>
                <xdr:col>3</xdr:col>
                <xdr:colOff>485775</xdr:colOff>
                <xdr:row>286</xdr:row>
                <xdr:rowOff>114300</xdr:rowOff>
              </to>
            </anchor>
          </controlPr>
        </control>
      </mc:Choice>
      <mc:Fallback>
        <control shapeId="29700" r:id="rId58" name="Control 4"/>
      </mc:Fallback>
    </mc:AlternateContent>
    <mc:AlternateContent xmlns:mc="http://schemas.openxmlformats.org/markup-compatibility/2006">
      <mc:Choice Requires="x14">
        <control shapeId="29699" r:id="rId60" name="Control 3">
          <controlPr defaultSize="0" r:id="rId59">
            <anchor moveWithCells="1">
              <from>
                <xdr:col>0</xdr:col>
                <xdr:colOff>0</xdr:colOff>
                <xdr:row>282</xdr:row>
                <xdr:rowOff>0</xdr:rowOff>
              </from>
              <to>
                <xdr:col>3</xdr:col>
                <xdr:colOff>485775</xdr:colOff>
                <xdr:row>286</xdr:row>
                <xdr:rowOff>114300</xdr:rowOff>
              </to>
            </anchor>
          </controlPr>
        </control>
      </mc:Choice>
      <mc:Fallback>
        <control shapeId="29699" r:id="rId60" name="Control 3"/>
      </mc:Fallback>
    </mc:AlternateContent>
    <mc:AlternateContent xmlns:mc="http://schemas.openxmlformats.org/markup-compatibility/2006">
      <mc:Choice Requires="x14">
        <control shapeId="29698" r:id="rId61" name="Control 2">
          <controlPr defaultSize="0" r:id="rId57">
            <anchor moveWithCells="1">
              <from>
                <xdr:col>0</xdr:col>
                <xdr:colOff>0</xdr:colOff>
                <xdr:row>262</xdr:row>
                <xdr:rowOff>0</xdr:rowOff>
              </from>
              <to>
                <xdr:col>1</xdr:col>
                <xdr:colOff>361950</xdr:colOff>
                <xdr:row>263</xdr:row>
                <xdr:rowOff>28575</xdr:rowOff>
              </to>
            </anchor>
          </controlPr>
        </control>
      </mc:Choice>
      <mc:Fallback>
        <control shapeId="29698" r:id="rId61" name="Control 2"/>
      </mc:Fallback>
    </mc:AlternateContent>
    <mc:AlternateContent xmlns:mc="http://schemas.openxmlformats.org/markup-compatibility/2006">
      <mc:Choice Requires="x14">
        <control shapeId="29697" r:id="rId62" name="Control 1">
          <controlPr defaultSize="0" r:id="rId63">
            <anchor moveWithCells="1">
              <from>
                <xdr:col>0</xdr:col>
                <xdr:colOff>0</xdr:colOff>
                <xdr:row>212</xdr:row>
                <xdr:rowOff>0</xdr:rowOff>
              </from>
              <to>
                <xdr:col>4</xdr:col>
                <xdr:colOff>76200</xdr:colOff>
                <xdr:row>216</xdr:row>
                <xdr:rowOff>123825</xdr:rowOff>
              </to>
            </anchor>
          </controlPr>
        </control>
      </mc:Choice>
      <mc:Fallback>
        <control shapeId="29697" r:id="rId62" name="Control 1"/>
      </mc:Fallback>
    </mc:AlternateContent>
  </control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I18"/>
  <sheetViews>
    <sheetView workbookViewId="0">
      <selection activeCell="D22" sqref="D22"/>
    </sheetView>
  </sheetViews>
  <sheetFormatPr baseColWidth="10" defaultColWidth="9.140625" defaultRowHeight="15"/>
  <sheetData>
    <row r="1" spans="1:9">
      <c r="A1" t="s">
        <v>365</v>
      </c>
    </row>
    <row r="2" spans="1:9" ht="15.75" thickBot="1"/>
    <row r="3" spans="1:9">
      <c r="A3" s="257" t="s">
        <v>366</v>
      </c>
      <c r="B3" s="257"/>
    </row>
    <row r="4" spans="1:9">
      <c r="A4" s="258" t="s">
        <v>367</v>
      </c>
      <c r="B4" s="258">
        <v>0.55269065190055866</v>
      </c>
    </row>
    <row r="5" spans="1:9">
      <c r="A5" s="258" t="s">
        <v>368</v>
      </c>
      <c r="B5" s="258">
        <v>0.30546695669826451</v>
      </c>
    </row>
    <row r="6" spans="1:9">
      <c r="A6" s="258" t="s">
        <v>369</v>
      </c>
      <c r="B6" s="258">
        <v>0.29349224905513116</v>
      </c>
    </row>
    <row r="7" spans="1:9">
      <c r="A7" s="258" t="s">
        <v>370</v>
      </c>
      <c r="B7" s="258">
        <v>5.1259811002180376E-2</v>
      </c>
    </row>
    <row r="8" spans="1:9" ht="15.75" thickBot="1">
      <c r="A8" s="259" t="s">
        <v>371</v>
      </c>
      <c r="B8" s="259">
        <v>60</v>
      </c>
    </row>
    <row r="10" spans="1:9" ht="15.75" thickBot="1">
      <c r="A10" t="s">
        <v>372</v>
      </c>
    </row>
    <row r="11" spans="1:9">
      <c r="A11" s="260"/>
      <c r="B11" s="260" t="s">
        <v>373</v>
      </c>
      <c r="C11" s="260" t="s">
        <v>374</v>
      </c>
      <c r="D11" s="260" t="s">
        <v>375</v>
      </c>
      <c r="E11" s="260" t="s">
        <v>376</v>
      </c>
      <c r="F11" s="260" t="s">
        <v>377</v>
      </c>
    </row>
    <row r="12" spans="1:9">
      <c r="A12" s="258" t="s">
        <v>378</v>
      </c>
      <c r="B12" s="258">
        <v>1</v>
      </c>
      <c r="C12" s="258">
        <v>6.7027546126043364E-2</v>
      </c>
      <c r="D12" s="258">
        <v>6.7027546126043364E-2</v>
      </c>
      <c r="E12" s="258">
        <v>25.509345681055333</v>
      </c>
      <c r="F12" s="258">
        <v>4.6751591290598658E-6</v>
      </c>
    </row>
    <row r="13" spans="1:9">
      <c r="A13" s="258" t="s">
        <v>379</v>
      </c>
      <c r="B13" s="258">
        <v>58</v>
      </c>
      <c r="C13" s="258">
        <v>0.15239895699079661</v>
      </c>
      <c r="D13" s="258">
        <v>2.6275682239792521E-3</v>
      </c>
      <c r="E13" s="258"/>
      <c r="F13" s="258"/>
    </row>
    <row r="14" spans="1:9" ht="15.75" thickBot="1">
      <c r="A14" s="259" t="s">
        <v>380</v>
      </c>
      <c r="B14" s="259">
        <v>59</v>
      </c>
      <c r="C14" s="259">
        <v>0.21942650311683998</v>
      </c>
      <c r="D14" s="259"/>
      <c r="E14" s="259"/>
      <c r="F14" s="259"/>
    </row>
    <row r="15" spans="1:9" ht="15.75" thickBot="1"/>
    <row r="16" spans="1:9">
      <c r="A16" s="260"/>
      <c r="B16" s="260" t="s">
        <v>381</v>
      </c>
      <c r="C16" s="260" t="s">
        <v>370</v>
      </c>
      <c r="D16" s="260" t="s">
        <v>382</v>
      </c>
      <c r="E16" s="260" t="s">
        <v>383</v>
      </c>
      <c r="F16" s="260" t="s">
        <v>384</v>
      </c>
      <c r="G16" s="260" t="s">
        <v>385</v>
      </c>
      <c r="H16" s="260" t="s">
        <v>386</v>
      </c>
      <c r="I16" s="260" t="s">
        <v>387</v>
      </c>
    </row>
    <row r="17" spans="1:9">
      <c r="A17" s="258" t="s">
        <v>388</v>
      </c>
      <c r="B17" s="258">
        <v>-1.6237987582745257E-2</v>
      </c>
      <c r="C17" s="258">
        <v>8.173578771757754E-3</v>
      </c>
      <c r="D17" s="258">
        <v>-1.9866435543329604</v>
      </c>
      <c r="E17" s="258">
        <v>5.1693094174133446E-2</v>
      </c>
      <c r="F17" s="258">
        <v>-3.2599183118211091E-2</v>
      </c>
      <c r="G17" s="258">
        <v>1.2320795272057622E-4</v>
      </c>
      <c r="H17" s="258">
        <v>-3.2599183118211091E-2</v>
      </c>
      <c r="I17" s="258">
        <v>1.2320795272057622E-4</v>
      </c>
    </row>
    <row r="18" spans="1:9" ht="15.75" thickBot="1">
      <c r="A18" s="259" t="s">
        <v>389</v>
      </c>
      <c r="B18" s="259">
        <v>0.60248108863896244</v>
      </c>
      <c r="C18" s="259">
        <v>0.11928717670975202</v>
      </c>
      <c r="D18" s="259">
        <v>5.050677744724493</v>
      </c>
      <c r="E18" s="259">
        <v>4.6751591290599259E-6</v>
      </c>
      <c r="F18" s="259">
        <v>0.36370186138472954</v>
      </c>
      <c r="G18" s="259">
        <v>0.84126031589319528</v>
      </c>
      <c r="H18" s="259">
        <v>0.36370186138472954</v>
      </c>
      <c r="I18" s="259">
        <v>0.84126031589319528</v>
      </c>
    </row>
  </sheetData>
  <phoneticPr fontId="3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sheetPr>
  <dimension ref="A1:M203"/>
  <sheetViews>
    <sheetView topLeftCell="B2" workbookViewId="0">
      <selection activeCell="D22" sqref="D22"/>
    </sheetView>
  </sheetViews>
  <sheetFormatPr baseColWidth="10" defaultColWidth="9.140625" defaultRowHeight="15"/>
  <cols>
    <col min="1" max="1" width="10.5703125" bestFit="1" customWidth="1"/>
    <col min="3" max="3" width="33.42578125" bestFit="1" customWidth="1"/>
    <col min="8" max="8" width="21.28515625" bestFit="1" customWidth="1"/>
  </cols>
  <sheetData>
    <row r="1" spans="1:13" ht="18">
      <c r="A1" t="s">
        <v>351</v>
      </c>
      <c r="B1" t="s">
        <v>352</v>
      </c>
      <c r="H1" s="249" t="s">
        <v>351</v>
      </c>
      <c r="I1" s="250" t="s">
        <v>353</v>
      </c>
      <c r="J1" s="249"/>
      <c r="L1" s="4" t="s">
        <v>354</v>
      </c>
    </row>
    <row r="2" spans="1:13">
      <c r="A2" s="251">
        <v>40543</v>
      </c>
      <c r="B2">
        <v>2.0327234353707618E-2</v>
      </c>
      <c r="C2" s="4" t="s">
        <v>355</v>
      </c>
      <c r="D2" s="4"/>
      <c r="H2" s="253">
        <v>40543</v>
      </c>
      <c r="I2" s="370">
        <v>3.3500000000000002E-2</v>
      </c>
      <c r="J2" s="249"/>
      <c r="K2" t="s">
        <v>356</v>
      </c>
      <c r="L2" s="13">
        <v>0</v>
      </c>
      <c r="M2" t="s">
        <v>357</v>
      </c>
    </row>
    <row r="3" spans="1:13">
      <c r="A3" s="251">
        <v>40512</v>
      </c>
      <c r="B3">
        <v>-8.982703534628933E-2</v>
      </c>
      <c r="C3" s="4" t="s">
        <v>358</v>
      </c>
      <c r="K3" t="s">
        <v>359</v>
      </c>
      <c r="L3" s="13">
        <f>(1+L2)^12-1</f>
        <v>0</v>
      </c>
      <c r="M3" s="13"/>
    </row>
    <row r="4" spans="1:13">
      <c r="A4" s="251">
        <v>40480</v>
      </c>
      <c r="B4">
        <v>2.7477166651414114E-3</v>
      </c>
      <c r="H4" s="254" t="s">
        <v>360</v>
      </c>
      <c r="I4" s="255">
        <f>(1+I2)^12-1</f>
        <v>0.48499766769286223</v>
      </c>
    </row>
    <row r="5" spans="1:13">
      <c r="A5" s="251">
        <v>40451</v>
      </c>
      <c r="B5">
        <v>3.755057832181255E-2</v>
      </c>
      <c r="C5" t="s">
        <v>361</v>
      </c>
      <c r="D5" s="13">
        <f>AVERAGE(B2:B203)</f>
        <v>-4.3751491327018568E-2</v>
      </c>
      <c r="L5" s="4" t="s">
        <v>362</v>
      </c>
    </row>
    <row r="6" spans="1:13">
      <c r="A6" s="251">
        <v>40421</v>
      </c>
      <c r="B6">
        <v>-6.6568321557777088E-2</v>
      </c>
      <c r="C6" s="4" t="s">
        <v>363</v>
      </c>
      <c r="D6" s="255">
        <f>(1+D5)^12-1</f>
        <v>-0.4154128695340461</v>
      </c>
      <c r="L6">
        <v>0.6</v>
      </c>
      <c r="M6" t="s">
        <v>364</v>
      </c>
    </row>
    <row r="7" spans="1:13">
      <c r="A7" s="251">
        <v>40389</v>
      </c>
      <c r="B7">
        <v>2.8603345329069527E-2</v>
      </c>
    </row>
    <row r="8" spans="1:13">
      <c r="A8" s="251">
        <v>40359</v>
      </c>
      <c r="B8">
        <v>-4.8987318249723501E-2</v>
      </c>
    </row>
    <row r="9" spans="1:13">
      <c r="A9" s="251">
        <v>40329</v>
      </c>
      <c r="B9">
        <v>-0.11022649480349692</v>
      </c>
    </row>
    <row r="10" spans="1:13">
      <c r="A10" s="251">
        <v>40298</v>
      </c>
      <c r="B10">
        <v>-7.2511727449100588E-2</v>
      </c>
    </row>
    <row r="11" spans="1:13">
      <c r="A11" s="251">
        <v>40268</v>
      </c>
      <c r="B11">
        <v>3.7118304572907684E-2</v>
      </c>
    </row>
    <row r="12" spans="1:13">
      <c r="A12" s="251">
        <v>40235</v>
      </c>
      <c r="B12">
        <v>-4.2429044781866841E-2</v>
      </c>
    </row>
    <row r="13" spans="1:13">
      <c r="A13" s="251">
        <v>40207</v>
      </c>
      <c r="B13">
        <v>-8.4693591340156929E-2</v>
      </c>
    </row>
    <row r="14" spans="1:13">
      <c r="A14" s="251">
        <v>40178</v>
      </c>
      <c r="B14">
        <v>3.3481293017947548E-2</v>
      </c>
    </row>
    <row r="15" spans="1:13">
      <c r="A15" s="251">
        <v>40147</v>
      </c>
      <c r="B15">
        <v>-1.4125125745282942E-2</v>
      </c>
    </row>
    <row r="16" spans="1:13">
      <c r="A16" s="251">
        <v>40116</v>
      </c>
      <c r="B16">
        <v>-8.4689742162243259E-2</v>
      </c>
    </row>
    <row r="17" spans="1:8">
      <c r="A17" s="251">
        <v>40086</v>
      </c>
      <c r="B17">
        <v>3.410832562391615E-3</v>
      </c>
    </row>
    <row r="18" spans="1:8">
      <c r="A18" s="251">
        <v>40056</v>
      </c>
      <c r="B18">
        <v>3.0991608425489023E-2</v>
      </c>
    </row>
    <row r="19" spans="1:8">
      <c r="A19" s="251">
        <v>40025</v>
      </c>
      <c r="B19">
        <v>5.5315908598795163E-2</v>
      </c>
      <c r="H19" t="s">
        <v>497</v>
      </c>
    </row>
    <row r="20" spans="1:8">
      <c r="A20" s="251">
        <v>39994</v>
      </c>
      <c r="B20">
        <v>-7.9182309886656616E-2</v>
      </c>
    </row>
    <row r="21" spans="1:8">
      <c r="A21" s="251">
        <v>39962</v>
      </c>
      <c r="B21">
        <v>-2.269749355190892E-3</v>
      </c>
      <c r="C21">
        <v>21</v>
      </c>
      <c r="E21" s="3" t="s">
        <v>498</v>
      </c>
    </row>
    <row r="22" spans="1:8">
      <c r="A22" s="251">
        <v>39933</v>
      </c>
      <c r="B22">
        <v>8.9737262960667225E-2</v>
      </c>
    </row>
    <row r="23" spans="1:8">
      <c r="A23" s="251">
        <v>39903</v>
      </c>
      <c r="B23" s="4">
        <v>2.4713972351322055E-3</v>
      </c>
    </row>
    <row r="24" spans="1:8">
      <c r="A24" s="251">
        <v>39871</v>
      </c>
      <c r="B24">
        <v>-0.12784347070533164</v>
      </c>
    </row>
    <row r="25" spans="1:8">
      <c r="A25" s="251">
        <v>39843</v>
      </c>
      <c r="B25">
        <v>-0.11402973747424611</v>
      </c>
    </row>
    <row r="26" spans="1:8">
      <c r="A26" s="251">
        <v>39813</v>
      </c>
      <c r="B26">
        <v>-4.78434585065039E-2</v>
      </c>
    </row>
    <row r="27" spans="1:8">
      <c r="A27" s="251">
        <v>39780</v>
      </c>
      <c r="B27">
        <v>-0.10119915272707464</v>
      </c>
    </row>
    <row r="28" spans="1:8">
      <c r="A28" s="251">
        <v>39752</v>
      </c>
      <c r="B28">
        <v>-0.17821273877135982</v>
      </c>
    </row>
    <row r="29" spans="1:8">
      <c r="A29" s="251">
        <v>39721</v>
      </c>
      <c r="B29">
        <v>-0.14388970998973824</v>
      </c>
    </row>
    <row r="30" spans="1:8">
      <c r="A30" s="251">
        <v>39689</v>
      </c>
      <c r="B30">
        <v>-2.3205235909624686E-2</v>
      </c>
    </row>
    <row r="31" spans="1:8">
      <c r="A31" s="251">
        <v>39660</v>
      </c>
      <c r="B31">
        <v>-5.490093283876582E-2</v>
      </c>
    </row>
    <row r="32" spans="1:8">
      <c r="A32" s="251">
        <v>39629</v>
      </c>
      <c r="B32">
        <v>-0.16380597214355785</v>
      </c>
    </row>
    <row r="33" spans="1:2">
      <c r="A33" s="251">
        <v>39598</v>
      </c>
      <c r="B33">
        <v>-4.2509543083814057E-2</v>
      </c>
    </row>
    <row r="34" spans="1:2">
      <c r="A34" s="251">
        <v>39568</v>
      </c>
      <c r="B34">
        <v>1.8236854731287305E-2</v>
      </c>
    </row>
    <row r="35" spans="1:2">
      <c r="A35" s="251">
        <v>39538</v>
      </c>
      <c r="B35">
        <v>-5.8588535274889095E-2</v>
      </c>
    </row>
    <row r="36" spans="1:2">
      <c r="A36" s="251">
        <v>39507</v>
      </c>
      <c r="B36">
        <v>-5.735916064142401E-2</v>
      </c>
    </row>
    <row r="37" spans="1:2">
      <c r="A37" s="251">
        <v>39478</v>
      </c>
      <c r="B37">
        <v>-0.17396559564523481</v>
      </c>
    </row>
    <row r="38" spans="1:2">
      <c r="A38" s="251">
        <v>39447</v>
      </c>
      <c r="B38">
        <v>-5.41919614959342E-2</v>
      </c>
    </row>
    <row r="39" spans="1:2">
      <c r="A39" s="251">
        <v>39416</v>
      </c>
      <c r="B39">
        <v>-7.2251996682598227E-2</v>
      </c>
    </row>
    <row r="40" spans="1:2">
      <c r="A40" s="251">
        <v>39386</v>
      </c>
      <c r="B40">
        <v>-1.9830186609140862E-2</v>
      </c>
    </row>
    <row r="41" spans="1:2">
      <c r="A41" s="251">
        <v>39353</v>
      </c>
      <c r="B41">
        <v>-3.5432273120596165E-2</v>
      </c>
    </row>
    <row r="42" spans="1:2">
      <c r="A42" s="251">
        <v>39325</v>
      </c>
      <c r="B42">
        <v>-5.834754835613485E-2</v>
      </c>
    </row>
    <row r="43" spans="1:2">
      <c r="A43" s="251">
        <v>39294</v>
      </c>
      <c r="B43">
        <v>-9.4472248184537311E-2</v>
      </c>
    </row>
    <row r="44" spans="1:2">
      <c r="A44" s="251">
        <v>39262</v>
      </c>
      <c r="B44">
        <v>-5.423899082568804E-2</v>
      </c>
    </row>
    <row r="45" spans="1:2">
      <c r="A45" s="251">
        <v>39233</v>
      </c>
      <c r="B45">
        <v>-2.023579969261953E-2</v>
      </c>
    </row>
    <row r="46" spans="1:2">
      <c r="A46" s="251">
        <v>39202</v>
      </c>
      <c r="B46">
        <v>1.5170032941911528E-2</v>
      </c>
    </row>
    <row r="47" spans="1:2">
      <c r="A47" s="251">
        <v>39171</v>
      </c>
      <c r="B47">
        <v>-1.9757932534733194E-2</v>
      </c>
    </row>
    <row r="48" spans="1:2">
      <c r="A48" s="251">
        <v>39141</v>
      </c>
      <c r="B48">
        <v>-5.6182445656534817E-2</v>
      </c>
    </row>
    <row r="49" spans="1:2">
      <c r="A49" s="251">
        <v>39113</v>
      </c>
      <c r="B49">
        <v>-2.9471179697424556E-2</v>
      </c>
    </row>
    <row r="50" spans="1:2">
      <c r="A50" s="251">
        <v>39080</v>
      </c>
      <c r="B50">
        <v>4.2040325547518242E-4</v>
      </c>
    </row>
    <row r="51" spans="1:2">
      <c r="A51" s="251">
        <v>39051</v>
      </c>
      <c r="B51">
        <v>-4.1302992074754019E-2</v>
      </c>
    </row>
    <row r="52" spans="1:2">
      <c r="A52" s="251">
        <v>39021</v>
      </c>
      <c r="B52">
        <v>-1.9166226292902377E-2</v>
      </c>
    </row>
    <row r="53" spans="1:2">
      <c r="A53" s="251">
        <v>38989</v>
      </c>
      <c r="B53">
        <v>-2.0399014141226419E-2</v>
      </c>
    </row>
    <row r="54" spans="1:2">
      <c r="A54" s="251">
        <v>38960</v>
      </c>
      <c r="B54">
        <v>-6.5045273504716963E-3</v>
      </c>
    </row>
    <row r="55" spans="1:2">
      <c r="A55" s="251">
        <v>38929</v>
      </c>
      <c r="B55">
        <v>-3.0568419238173418E-2</v>
      </c>
    </row>
    <row r="56" spans="1:2">
      <c r="A56" s="251">
        <v>38898</v>
      </c>
      <c r="B56">
        <v>-3.3322658483057425E-2</v>
      </c>
    </row>
    <row r="57" spans="1:2">
      <c r="A57" s="251">
        <v>38868</v>
      </c>
      <c r="B57">
        <v>-8.9228714825379585E-2</v>
      </c>
    </row>
    <row r="58" spans="1:2">
      <c r="A58" s="251">
        <v>38835</v>
      </c>
      <c r="B58">
        <v>-4.6285462999320182E-2</v>
      </c>
    </row>
    <row r="59" spans="1:2">
      <c r="A59" s="251">
        <v>38807</v>
      </c>
      <c r="B59">
        <v>5.8660331570160248E-3</v>
      </c>
    </row>
    <row r="60" spans="1:2">
      <c r="A60" s="251">
        <v>38776</v>
      </c>
      <c r="B60">
        <v>-2.4957715031760329E-2</v>
      </c>
    </row>
    <row r="61" spans="1:2">
      <c r="A61" s="251">
        <v>38748</v>
      </c>
      <c r="B61">
        <v>1.4553445685576268E-2</v>
      </c>
    </row>
    <row r="62" spans="1:2">
      <c r="A62" s="251">
        <v>38716</v>
      </c>
      <c r="B62">
        <v>-8.5592495528105661E-4</v>
      </c>
    </row>
    <row r="63" spans="1:2">
      <c r="A63" s="253">
        <v>38686</v>
      </c>
      <c r="B63">
        <v>-5.2409025234140122E-3</v>
      </c>
    </row>
    <row r="64" spans="1:2">
      <c r="A64" s="253">
        <v>38656</v>
      </c>
      <c r="B64">
        <v>-6.9968541049821698E-2</v>
      </c>
    </row>
    <row r="65" spans="1:2">
      <c r="A65" s="253">
        <v>38625</v>
      </c>
      <c r="B65">
        <v>1.3691179807972131E-2</v>
      </c>
    </row>
    <row r="66" spans="1:2">
      <c r="A66" s="253">
        <v>38595</v>
      </c>
      <c r="B66">
        <v>-4.3796185805999525E-2</v>
      </c>
    </row>
    <row r="67" spans="1:2">
      <c r="A67" s="253">
        <v>38562</v>
      </c>
      <c r="B67">
        <v>1.9742548145696072E-2</v>
      </c>
    </row>
    <row r="68" spans="1:2">
      <c r="A68" s="253">
        <v>38533</v>
      </c>
      <c r="B68">
        <v>-5.4805928075848595E-3</v>
      </c>
    </row>
    <row r="69" spans="1:2">
      <c r="A69" s="253">
        <v>38503</v>
      </c>
      <c r="B69">
        <v>1.9924431489041813E-2</v>
      </c>
    </row>
    <row r="70" spans="1:2">
      <c r="A70" s="253">
        <v>38471</v>
      </c>
      <c r="B70">
        <v>-7.2827365000073765E-2</v>
      </c>
    </row>
    <row r="71" spans="1:2">
      <c r="A71" s="253">
        <v>38442</v>
      </c>
      <c r="B71">
        <v>-2.6963487420415183E-2</v>
      </c>
    </row>
    <row r="72" spans="1:2">
      <c r="A72" s="253">
        <v>38411</v>
      </c>
      <c r="B72">
        <v>-8.3669014152884524E-3</v>
      </c>
    </row>
    <row r="73" spans="1:2">
      <c r="A73" s="253">
        <v>38383</v>
      </c>
      <c r="B73">
        <v>-1.1104840205591972E-2</v>
      </c>
    </row>
    <row r="74" spans="1:2">
      <c r="A74" s="253">
        <v>38352</v>
      </c>
      <c r="B74">
        <v>-1.8941958041958154E-2</v>
      </c>
    </row>
    <row r="75" spans="1:2">
      <c r="A75" s="253">
        <v>38321</v>
      </c>
      <c r="B75">
        <v>-2.5509552500526188E-2</v>
      </c>
    </row>
    <row r="76" spans="1:2">
      <c r="A76" s="253">
        <v>38289</v>
      </c>
      <c r="B76">
        <v>-2.1073487300205127E-2</v>
      </c>
    </row>
    <row r="77" spans="1:2">
      <c r="A77" s="253">
        <v>38260</v>
      </c>
      <c r="B77">
        <v>-2.7630074896780481E-2</v>
      </c>
    </row>
    <row r="78" spans="1:2">
      <c r="A78" s="253">
        <v>38230</v>
      </c>
      <c r="B78">
        <v>-5.5362739711003223E-2</v>
      </c>
    </row>
    <row r="79" spans="1:2">
      <c r="A79" s="253">
        <v>38198</v>
      </c>
      <c r="B79">
        <v>-6.5908365947939862E-2</v>
      </c>
    </row>
    <row r="80" spans="1:2">
      <c r="A80" s="253">
        <v>38168</v>
      </c>
      <c r="B80">
        <v>-2.6513954104364926E-2</v>
      </c>
    </row>
    <row r="81" spans="1:2">
      <c r="A81" s="253">
        <v>38138</v>
      </c>
      <c r="B81">
        <v>-4.4725554067735762E-2</v>
      </c>
    </row>
    <row r="82" spans="1:2">
      <c r="A82" s="253">
        <v>38107</v>
      </c>
      <c r="B82">
        <v>-2.9299823983581635E-2</v>
      </c>
    </row>
    <row r="83" spans="1:2">
      <c r="A83" s="253">
        <v>38077</v>
      </c>
      <c r="B83">
        <v>-6.7048836110633919E-2</v>
      </c>
    </row>
    <row r="84" spans="1:2">
      <c r="A84" s="253">
        <v>38044</v>
      </c>
      <c r="B84">
        <v>-1.7088653378920585E-2</v>
      </c>
    </row>
    <row r="85" spans="1:2">
      <c r="A85" s="253">
        <v>38016</v>
      </c>
      <c r="B85">
        <v>-1.9923051238089975E-2</v>
      </c>
    </row>
    <row r="86" spans="1:2">
      <c r="A86" s="253">
        <v>37986</v>
      </c>
      <c r="B86">
        <v>-4.1333833607316156E-3</v>
      </c>
    </row>
    <row r="87" spans="1:2">
      <c r="A87" s="253">
        <v>37953</v>
      </c>
      <c r="B87">
        <v>-2.9435917229929949E-2</v>
      </c>
    </row>
    <row r="88" spans="1:2">
      <c r="A88" s="253">
        <v>37925</v>
      </c>
      <c r="B88">
        <v>3.2644293410824358E-2</v>
      </c>
    </row>
    <row r="89" spans="1:2">
      <c r="A89" s="253">
        <v>37894</v>
      </c>
      <c r="B89">
        <v>-9.3939257841047147E-2</v>
      </c>
    </row>
    <row r="90" spans="1:2">
      <c r="A90" s="253">
        <v>37862</v>
      </c>
      <c r="B90">
        <v>-1.0191746800113297E-2</v>
      </c>
    </row>
    <row r="91" spans="1:2">
      <c r="A91" s="253">
        <v>37833</v>
      </c>
      <c r="B91">
        <v>-1.2001721734055323E-3</v>
      </c>
    </row>
    <row r="92" spans="1:2">
      <c r="A92" s="253">
        <v>37802</v>
      </c>
      <c r="B92">
        <v>-7.5717790590792144E-3</v>
      </c>
    </row>
    <row r="93" spans="1:2">
      <c r="A93" s="253">
        <v>37771</v>
      </c>
      <c r="B93">
        <v>-2.4687564487569758E-2</v>
      </c>
    </row>
    <row r="94" spans="1:2">
      <c r="A94" s="253">
        <v>37741</v>
      </c>
      <c r="B94">
        <v>8.67379953102205E-2</v>
      </c>
    </row>
    <row r="95" spans="1:2">
      <c r="A95" s="253">
        <v>37711</v>
      </c>
      <c r="B95">
        <v>-9.0379852291336091E-2</v>
      </c>
    </row>
    <row r="96" spans="1:2">
      <c r="A96" s="253">
        <v>37680</v>
      </c>
      <c r="B96">
        <v>-0.10211552343867006</v>
      </c>
    </row>
    <row r="97" spans="1:2">
      <c r="A97" s="253">
        <v>37652</v>
      </c>
      <c r="B97">
        <v>-8.2293714763162079E-2</v>
      </c>
    </row>
    <row r="98" spans="1:2">
      <c r="A98" s="253">
        <v>37621</v>
      </c>
      <c r="B98">
        <v>-0.1214903556130041</v>
      </c>
    </row>
    <row r="99" spans="1:2">
      <c r="A99" s="253">
        <v>37589</v>
      </c>
      <c r="B99">
        <v>1.0485954718035331E-2</v>
      </c>
    </row>
    <row r="100" spans="1:2">
      <c r="A100" s="253">
        <v>37560</v>
      </c>
      <c r="B100">
        <v>8.8478229491080071E-2</v>
      </c>
    </row>
    <row r="101" spans="1:2">
      <c r="A101" s="253">
        <v>37529</v>
      </c>
      <c r="B101">
        <v>-0.21878293237795629</v>
      </c>
    </row>
    <row r="102" spans="1:2">
      <c r="A102" s="253">
        <v>37498</v>
      </c>
      <c r="B102">
        <v>-6.0786641076542039E-2</v>
      </c>
    </row>
    <row r="103" spans="1:2">
      <c r="A103" s="253">
        <v>37468</v>
      </c>
      <c r="B103">
        <v>-0.17211996359662279</v>
      </c>
    </row>
    <row r="104" spans="1:2">
      <c r="A104" s="253">
        <v>37435</v>
      </c>
      <c r="B104">
        <v>-0.13851268317331999</v>
      </c>
    </row>
    <row r="105" spans="1:2">
      <c r="A105" s="253">
        <v>37407</v>
      </c>
      <c r="B105">
        <v>-9.4898993667567308E-2</v>
      </c>
    </row>
    <row r="106" spans="1:2">
      <c r="A106" s="253">
        <v>37376</v>
      </c>
      <c r="B106">
        <v>-0.10025440249828296</v>
      </c>
    </row>
    <row r="107" spans="1:2">
      <c r="A107" s="253">
        <v>37344</v>
      </c>
      <c r="B107">
        <v>-2.8886457061294904E-3</v>
      </c>
    </row>
    <row r="108" spans="1:2">
      <c r="A108" s="253">
        <v>37315</v>
      </c>
      <c r="B108">
        <v>-4.9988984170314214E-2</v>
      </c>
    </row>
    <row r="109" spans="1:2">
      <c r="A109" s="253">
        <v>37287</v>
      </c>
      <c r="B109">
        <v>-8.4883735604098148E-2</v>
      </c>
    </row>
    <row r="110" spans="1:2">
      <c r="A110" s="253">
        <v>37256</v>
      </c>
      <c r="B110">
        <v>-1.7529032810105392E-2</v>
      </c>
    </row>
    <row r="111" spans="1:2">
      <c r="A111" s="253">
        <v>37225</v>
      </c>
      <c r="B111">
        <v>-1.5696231903420399E-2</v>
      </c>
    </row>
    <row r="112" spans="1:2">
      <c r="A112" s="253">
        <v>37195</v>
      </c>
      <c r="B112">
        <v>1.9007306706022631E-2</v>
      </c>
    </row>
    <row r="113" spans="1:2">
      <c r="A113" s="253">
        <v>37162</v>
      </c>
      <c r="B113">
        <v>-0.17887051158585221</v>
      </c>
    </row>
    <row r="114" spans="1:2">
      <c r="A114" s="253">
        <v>37134</v>
      </c>
      <c r="B114">
        <v>-0.12660172470411027</v>
      </c>
    </row>
    <row r="115" spans="1:2">
      <c r="A115" s="253">
        <v>37103</v>
      </c>
      <c r="B115">
        <v>-7.6548118626000639E-2</v>
      </c>
    </row>
    <row r="116" spans="1:2">
      <c r="A116" s="253">
        <v>37071</v>
      </c>
      <c r="B116">
        <v>-9.4230401086137422E-2</v>
      </c>
    </row>
    <row r="117" spans="1:2">
      <c r="A117" s="253">
        <v>37042</v>
      </c>
      <c r="B117">
        <v>-8.5880179343017699E-2</v>
      </c>
    </row>
    <row r="118" spans="1:2">
      <c r="A118" s="253">
        <v>37011</v>
      </c>
      <c r="B118">
        <v>3.6834300881197476E-2</v>
      </c>
    </row>
    <row r="119" spans="1:2">
      <c r="A119" s="253">
        <v>36980</v>
      </c>
      <c r="B119">
        <v>-8.3265029697362575E-2</v>
      </c>
    </row>
    <row r="120" spans="1:2">
      <c r="A120" s="253">
        <v>36950</v>
      </c>
      <c r="B120">
        <v>-0.15395480735985231</v>
      </c>
    </row>
    <row r="121" spans="1:2">
      <c r="A121" s="253">
        <v>36922</v>
      </c>
      <c r="B121">
        <v>-3.7159201406582881E-2</v>
      </c>
    </row>
    <row r="122" spans="1:2">
      <c r="A122" s="253">
        <v>36889</v>
      </c>
      <c r="B122">
        <v>-5.0180023211562619E-2</v>
      </c>
    </row>
    <row r="123" spans="1:2">
      <c r="A123" s="253">
        <v>36860</v>
      </c>
      <c r="B123">
        <v>-0.124568711403857</v>
      </c>
    </row>
    <row r="124" spans="1:2">
      <c r="A124" s="253">
        <v>36830</v>
      </c>
      <c r="B124">
        <v>-3.2520835105950184E-2</v>
      </c>
    </row>
    <row r="125" spans="1:2">
      <c r="A125" s="253">
        <v>36798</v>
      </c>
      <c r="B125">
        <v>-0.10789354800148519</v>
      </c>
    </row>
    <row r="126" spans="1:2">
      <c r="A126" s="253">
        <v>36769</v>
      </c>
      <c r="B126">
        <v>-4.188439789743665E-2</v>
      </c>
    </row>
    <row r="127" spans="1:2">
      <c r="A127" s="253">
        <v>36738</v>
      </c>
      <c r="B127">
        <v>-3.8576046747557706E-2</v>
      </c>
    </row>
    <row r="128" spans="1:2">
      <c r="A128" s="253">
        <v>36707</v>
      </c>
      <c r="B128">
        <v>-5.0474198647424799E-2</v>
      </c>
    </row>
    <row r="129" spans="1:2">
      <c r="A129" s="253">
        <v>36677</v>
      </c>
      <c r="B129">
        <v>-5.2431263980360576E-2</v>
      </c>
    </row>
    <row r="130" spans="1:2">
      <c r="A130" s="253">
        <v>36644</v>
      </c>
      <c r="B130">
        <v>-3.2735453901893766E-2</v>
      </c>
    </row>
    <row r="131" spans="1:2">
      <c r="A131" s="253">
        <v>36616</v>
      </c>
      <c r="B131">
        <v>-3.7970508095675051E-2</v>
      </c>
    </row>
    <row r="132" spans="1:2">
      <c r="A132" s="253">
        <v>36585</v>
      </c>
      <c r="B132">
        <v>3.7695906488026815E-2</v>
      </c>
    </row>
    <row r="133" spans="1:2">
      <c r="A133" s="253">
        <v>36556</v>
      </c>
      <c r="B133">
        <v>-0.1069196925307804</v>
      </c>
    </row>
    <row r="134" spans="1:2">
      <c r="A134" s="253">
        <v>36525</v>
      </c>
      <c r="B134">
        <v>6.0721866662173551E-2</v>
      </c>
    </row>
    <row r="135" spans="1:2">
      <c r="A135" s="253">
        <v>36494</v>
      </c>
      <c r="B135">
        <v>3.954418743940008E-2</v>
      </c>
    </row>
    <row r="136" spans="1:2">
      <c r="A136" s="253">
        <v>36462</v>
      </c>
      <c r="B136">
        <v>1.1819430110946001E-2</v>
      </c>
    </row>
    <row r="137" spans="1:2">
      <c r="A137" s="253">
        <v>36433</v>
      </c>
      <c r="B137">
        <v>-5.2100615703757944E-2</v>
      </c>
    </row>
    <row r="138" spans="1:2">
      <c r="A138" s="253">
        <v>36403</v>
      </c>
      <c r="B138">
        <v>-3.0654305052874586E-3</v>
      </c>
    </row>
    <row r="139" spans="1:2">
      <c r="A139" s="253">
        <v>36371</v>
      </c>
      <c r="B139">
        <v>-8.3527288129241761E-2</v>
      </c>
    </row>
    <row r="140" spans="1:2">
      <c r="A140" s="253">
        <v>36341</v>
      </c>
      <c r="B140">
        <v>-4.1703311891417641E-3</v>
      </c>
    </row>
    <row r="141" spans="1:2">
      <c r="A141" s="253">
        <v>36311</v>
      </c>
      <c r="B141">
        <v>-5.4601442677653343E-2</v>
      </c>
    </row>
    <row r="142" spans="1:2">
      <c r="A142" s="253">
        <v>36280</v>
      </c>
      <c r="B142">
        <v>1.0412565676007894E-2</v>
      </c>
    </row>
    <row r="143" spans="1:2">
      <c r="A143" s="253">
        <v>36250</v>
      </c>
      <c r="B143">
        <v>-1.5380728473908645E-2</v>
      </c>
    </row>
    <row r="144" spans="1:2">
      <c r="A144" s="253">
        <v>36217</v>
      </c>
      <c r="B144">
        <v>-7.8122999200338689E-2</v>
      </c>
    </row>
    <row r="145" spans="1:2">
      <c r="A145" s="253">
        <v>36189</v>
      </c>
      <c r="B145">
        <v>4.1288992913413966E-2</v>
      </c>
    </row>
    <row r="146" spans="1:2">
      <c r="A146" s="253">
        <v>36160</v>
      </c>
      <c r="B146">
        <v>-1.3048570372953011E-2</v>
      </c>
    </row>
    <row r="147" spans="1:2">
      <c r="A147" s="253">
        <v>36129</v>
      </c>
      <c r="B147">
        <v>5.0471216941579876E-2</v>
      </c>
    </row>
    <row r="148" spans="1:2">
      <c r="A148" s="253">
        <v>36098</v>
      </c>
      <c r="B148">
        <v>5.8951351178098556E-2</v>
      </c>
    </row>
    <row r="149" spans="1:2">
      <c r="A149" s="253">
        <v>36068</v>
      </c>
      <c r="B149">
        <v>-0.16435316647726497</v>
      </c>
    </row>
    <row r="150" spans="1:2">
      <c r="A150" s="253">
        <v>36038</v>
      </c>
      <c r="B150">
        <v>-0.16901908436290347</v>
      </c>
    </row>
    <row r="151" spans="1:2">
      <c r="A151" s="253">
        <v>36007</v>
      </c>
      <c r="B151">
        <v>-5.3698701304880338E-2</v>
      </c>
    </row>
    <row r="152" spans="1:2">
      <c r="A152" s="253">
        <v>35976</v>
      </c>
      <c r="B152">
        <v>-8.2507387977709887E-3</v>
      </c>
    </row>
    <row r="153" spans="1:2">
      <c r="A153" s="253">
        <v>35944</v>
      </c>
      <c r="B153">
        <v>-7.9008211455015437E-3</v>
      </c>
    </row>
    <row r="154" spans="1:2">
      <c r="A154" s="253">
        <v>35915</v>
      </c>
      <c r="B154">
        <v>-4.988156591783386E-2</v>
      </c>
    </row>
    <row r="155" spans="1:2">
      <c r="A155" s="253">
        <v>35885</v>
      </c>
      <c r="B155">
        <v>8.2941908636087275E-2</v>
      </c>
    </row>
    <row r="156" spans="1:2">
      <c r="A156" s="253">
        <v>35853</v>
      </c>
      <c r="B156">
        <v>2.8901795759329711E-2</v>
      </c>
    </row>
    <row r="157" spans="1:2">
      <c r="A157" s="253">
        <v>35825</v>
      </c>
      <c r="B157">
        <v>6.7143210366434128E-3</v>
      </c>
    </row>
    <row r="158" spans="1:2">
      <c r="A158" s="253">
        <v>35795</v>
      </c>
      <c r="B158">
        <v>-4.4030131960451496E-3</v>
      </c>
    </row>
    <row r="159" spans="1:2">
      <c r="A159" s="253">
        <v>35762</v>
      </c>
      <c r="B159">
        <v>-1.0743344285036364E-2</v>
      </c>
    </row>
    <row r="160" spans="1:2">
      <c r="A160" s="253">
        <v>35734</v>
      </c>
      <c r="B160">
        <v>-0.14534716560403693</v>
      </c>
    </row>
    <row r="161" spans="1:2">
      <c r="A161" s="253">
        <v>35703</v>
      </c>
      <c r="B161">
        <v>3.1002363553017755E-2</v>
      </c>
    </row>
    <row r="162" spans="1:2">
      <c r="A162" s="253">
        <v>35671</v>
      </c>
      <c r="B162">
        <v>-0.15526390893691469</v>
      </c>
    </row>
    <row r="163" spans="1:2">
      <c r="A163" s="253">
        <v>35642</v>
      </c>
      <c r="B163">
        <v>2.1573759070203577E-2</v>
      </c>
    </row>
    <row r="164" spans="1:2">
      <c r="A164" s="253">
        <v>35611</v>
      </c>
      <c r="B164">
        <v>5.0293455807797517E-2</v>
      </c>
    </row>
    <row r="165" spans="1:2">
      <c r="A165" s="253">
        <v>35580</v>
      </c>
      <c r="B165">
        <v>-7.9024605563259104E-2</v>
      </c>
    </row>
    <row r="166" spans="1:2">
      <c r="A166" s="253">
        <v>35550</v>
      </c>
      <c r="B166">
        <v>-6.3911774244545777E-2</v>
      </c>
    </row>
    <row r="167" spans="1:2">
      <c r="A167" s="253">
        <v>35520</v>
      </c>
      <c r="B167">
        <v>-3.9378558800406589E-2</v>
      </c>
    </row>
    <row r="168" spans="1:2">
      <c r="A168" s="253">
        <v>35489</v>
      </c>
      <c r="B168">
        <v>-1.8113500651683226E-2</v>
      </c>
    </row>
    <row r="169" spans="1:2">
      <c r="A169" s="253">
        <v>35461</v>
      </c>
      <c r="B169">
        <v>3.0924272691548696E-2</v>
      </c>
    </row>
    <row r="170" spans="1:2">
      <c r="A170" s="253">
        <v>35430</v>
      </c>
      <c r="B170">
        <v>-5.8129771037198859E-2</v>
      </c>
    </row>
    <row r="171" spans="1:2">
      <c r="A171" s="253">
        <v>35398</v>
      </c>
      <c r="B171">
        <v>2.5806293733736177E-2</v>
      </c>
    </row>
    <row r="172" spans="1:2">
      <c r="A172" s="253">
        <v>35369</v>
      </c>
      <c r="B172">
        <v>-5.6119739357936176E-2</v>
      </c>
    </row>
    <row r="173" spans="1:2">
      <c r="A173" s="253">
        <v>35338</v>
      </c>
      <c r="B173">
        <v>2.1209538670766845E-2</v>
      </c>
    </row>
    <row r="174" spans="1:2">
      <c r="A174" s="253">
        <v>35307</v>
      </c>
      <c r="B174">
        <v>-7.7566028688955943E-2</v>
      </c>
    </row>
    <row r="175" spans="1:2">
      <c r="A175" s="253">
        <v>35277</v>
      </c>
      <c r="B175">
        <v>-0.1242927000047086</v>
      </c>
    </row>
    <row r="176" spans="1:2">
      <c r="A176" s="253">
        <v>35244</v>
      </c>
      <c r="B176">
        <v>-5.8425728841833835E-2</v>
      </c>
    </row>
    <row r="177" spans="1:2">
      <c r="A177" s="253">
        <v>35216</v>
      </c>
      <c r="B177">
        <v>-8.2299265461456411E-2</v>
      </c>
    </row>
    <row r="178" spans="1:2">
      <c r="A178" s="253">
        <v>35185</v>
      </c>
      <c r="B178">
        <v>-1.4146857984027497E-2</v>
      </c>
    </row>
    <row r="179" spans="1:2">
      <c r="A179" s="253">
        <v>35153</v>
      </c>
      <c r="B179">
        <v>-3.8854817281755397E-2</v>
      </c>
    </row>
    <row r="180" spans="1:2">
      <c r="A180" s="253">
        <v>35124</v>
      </c>
      <c r="B180">
        <v>-8.2102563494851649E-2</v>
      </c>
    </row>
    <row r="181" spans="1:2">
      <c r="A181" s="253">
        <v>35095</v>
      </c>
      <c r="B181">
        <v>1.5777344455306389E-2</v>
      </c>
    </row>
    <row r="182" spans="1:2">
      <c r="A182" s="253">
        <v>35062</v>
      </c>
      <c r="B182">
        <v>-4.3023222701117941E-2</v>
      </c>
    </row>
    <row r="183" spans="1:2">
      <c r="A183" s="253">
        <v>35033</v>
      </c>
      <c r="B183">
        <v>-6.1283450201487358E-2</v>
      </c>
    </row>
    <row r="184" spans="1:2">
      <c r="A184" s="253">
        <v>35003</v>
      </c>
      <c r="B184">
        <v>-5.8481578270472678E-2</v>
      </c>
    </row>
    <row r="185" spans="1:2">
      <c r="A185" s="253">
        <v>34971</v>
      </c>
      <c r="B185">
        <v>-0.12534219848252365</v>
      </c>
    </row>
    <row r="186" spans="1:2">
      <c r="A186" s="253">
        <v>34942</v>
      </c>
      <c r="B186">
        <v>-9.2828143996999984E-2</v>
      </c>
    </row>
    <row r="187" spans="1:2">
      <c r="A187" s="253">
        <v>34911</v>
      </c>
      <c r="B187">
        <v>-4.1365127338849297E-2</v>
      </c>
    </row>
    <row r="188" spans="1:2">
      <c r="A188" s="253">
        <v>34880</v>
      </c>
      <c r="B188">
        <v>-0.1219857945532483</v>
      </c>
    </row>
    <row r="189" spans="1:2">
      <c r="A189" s="253">
        <v>34850</v>
      </c>
      <c r="B189">
        <v>-5.9028295612105527E-2</v>
      </c>
    </row>
    <row r="190" spans="1:2">
      <c r="A190" s="253">
        <v>34817</v>
      </c>
      <c r="B190">
        <v>-4.6331455030438604E-2</v>
      </c>
    </row>
    <row r="191" spans="1:2">
      <c r="A191" s="253">
        <v>34789</v>
      </c>
      <c r="B191">
        <v>-3.2526355910740767E-2</v>
      </c>
    </row>
    <row r="192" spans="1:2">
      <c r="A192" s="253">
        <v>34758</v>
      </c>
      <c r="B192">
        <v>-9.1768103898993356E-2</v>
      </c>
    </row>
    <row r="193" spans="1:2">
      <c r="A193" s="253">
        <v>34730</v>
      </c>
      <c r="B193">
        <v>-0.12541484411131487</v>
      </c>
    </row>
    <row r="194" spans="1:2">
      <c r="A194" s="253">
        <v>34698</v>
      </c>
      <c r="B194">
        <v>-0.13078210441612598</v>
      </c>
    </row>
    <row r="195" spans="1:2">
      <c r="A195" s="253">
        <v>34668</v>
      </c>
      <c r="B195">
        <v>-4.2046711637254666E-2</v>
      </c>
    </row>
    <row r="196" spans="1:2">
      <c r="A196" s="253">
        <v>34638</v>
      </c>
      <c r="B196">
        <v>-6.8620557403219332E-2</v>
      </c>
    </row>
    <row r="197" spans="1:2">
      <c r="A197" s="253">
        <v>34607</v>
      </c>
      <c r="B197">
        <v>-0.17292609004968393</v>
      </c>
    </row>
    <row r="198" spans="1:2">
      <c r="A198" s="253">
        <v>34577</v>
      </c>
      <c r="B198">
        <v>-8.1728206497380607E-2</v>
      </c>
    </row>
    <row r="199" spans="1:2">
      <c r="A199" s="253">
        <v>34544</v>
      </c>
      <c r="B199">
        <v>2.4217758985200635E-2</v>
      </c>
    </row>
    <row r="200" spans="1:2">
      <c r="A200" s="253">
        <v>34515</v>
      </c>
      <c r="B200">
        <v>-0.1436943810039904</v>
      </c>
    </row>
    <row r="201" spans="1:2">
      <c r="A201" s="253">
        <v>34485</v>
      </c>
      <c r="B201">
        <v>-0.13621741121719697</v>
      </c>
    </row>
    <row r="202" spans="1:2">
      <c r="A202" s="253">
        <v>34453</v>
      </c>
      <c r="B202">
        <v>-2.7473409512281888E-2</v>
      </c>
    </row>
    <row r="203" spans="1:2">
      <c r="A203" s="253">
        <v>34424</v>
      </c>
      <c r="B203">
        <v>-0.13441684298008089</v>
      </c>
    </row>
  </sheetData>
  <phoneticPr fontId="38"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Equation.3" shapeId="30721" r:id="rId4">
          <objectPr defaultSize="0" autoPict="0" r:id="rId5">
            <anchor moveWithCells="1" sizeWithCells="1">
              <from>
                <xdr:col>4</xdr:col>
                <xdr:colOff>85725</xdr:colOff>
                <xdr:row>8</xdr:row>
                <xdr:rowOff>123825</xdr:rowOff>
              </from>
              <to>
                <xdr:col>9</xdr:col>
                <xdr:colOff>85725</xdr:colOff>
                <xdr:row>15</xdr:row>
                <xdr:rowOff>19050</xdr:rowOff>
              </to>
            </anchor>
          </objectPr>
        </oleObject>
      </mc:Choice>
      <mc:Fallback>
        <oleObject progId="Equation.3" shapeId="30721" r:id="rId4"/>
      </mc:Fallback>
    </mc:AlternateContent>
    <mc:AlternateContent xmlns:mc="http://schemas.openxmlformats.org/markup-compatibility/2006">
      <mc:Choice Requires="x14">
        <oleObject progId="Equation.3" shapeId="30722" r:id="rId6">
          <objectPr defaultSize="0" autoPict="0" r:id="rId7">
            <anchor moveWithCells="1" sizeWithCells="1">
              <from>
                <xdr:col>4</xdr:col>
                <xdr:colOff>142875</xdr:colOff>
                <xdr:row>22</xdr:row>
                <xdr:rowOff>47625</xdr:rowOff>
              </from>
              <to>
                <xdr:col>8</xdr:col>
                <xdr:colOff>85725</xdr:colOff>
                <xdr:row>28</xdr:row>
                <xdr:rowOff>28575</xdr:rowOff>
              </to>
            </anchor>
          </objectPr>
        </oleObject>
      </mc:Choice>
      <mc:Fallback>
        <oleObject progId="Equation.3" shapeId="30722" r:id="rId6"/>
      </mc:Fallback>
    </mc:AlternateContent>
  </oleObjec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
  <sheetViews>
    <sheetView workbookViewId="0">
      <selection activeCell="C10" sqref="C10"/>
    </sheetView>
  </sheetViews>
  <sheetFormatPr baseColWidth="10" defaultRowHeight="15"/>
  <cols>
    <col min="1" max="16384" width="11.42578125" style="528"/>
  </cols>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sheetPr>
  <dimension ref="A1:K43"/>
  <sheetViews>
    <sheetView topLeftCell="A14" zoomScale="70" zoomScaleNormal="70" workbookViewId="0">
      <selection activeCell="G36" sqref="G36"/>
    </sheetView>
  </sheetViews>
  <sheetFormatPr baseColWidth="10" defaultColWidth="9.140625" defaultRowHeight="15"/>
  <cols>
    <col min="1" max="1" width="21.42578125" customWidth="1"/>
    <col min="2" max="4" width="12.42578125" customWidth="1"/>
    <col min="6" max="9" width="21" customWidth="1"/>
    <col min="10" max="10" width="24" customWidth="1"/>
  </cols>
  <sheetData>
    <row r="1" spans="1:10" ht="29.25">
      <c r="A1" s="83"/>
      <c r="B1" s="371" t="s">
        <v>499</v>
      </c>
      <c r="C1" s="84" t="s">
        <v>500</v>
      </c>
      <c r="D1" s="84" t="s">
        <v>501</v>
      </c>
      <c r="E1" s="84" t="s">
        <v>502</v>
      </c>
      <c r="F1" s="83" t="s">
        <v>503</v>
      </c>
      <c r="G1" s="83" t="s">
        <v>504</v>
      </c>
      <c r="H1" s="83" t="s">
        <v>7</v>
      </c>
      <c r="I1" s="83" t="s">
        <v>505</v>
      </c>
      <c r="J1" s="83" t="s">
        <v>506</v>
      </c>
    </row>
    <row r="2" spans="1:10">
      <c r="A2" s="84" t="s">
        <v>507</v>
      </c>
      <c r="B2" s="83">
        <v>0.70799999999999996</v>
      </c>
      <c r="C2" s="83" t="s">
        <v>508</v>
      </c>
      <c r="D2" s="372">
        <v>0.4</v>
      </c>
      <c r="E2" s="373">
        <v>0.82399999999999995</v>
      </c>
      <c r="F2" s="83">
        <f t="shared" ref="F2:F24" si="0">B2*E2</f>
        <v>0.58339199999999991</v>
      </c>
      <c r="G2" s="373">
        <f>1-E2</f>
        <v>0.17600000000000005</v>
      </c>
      <c r="H2" s="373">
        <f>G2/E2</f>
        <v>0.21359223300970881</v>
      </c>
      <c r="I2" s="373">
        <f t="shared" ref="I2:I24" si="1">$B$30+F2*$B$29</f>
        <v>3.6437537020049163E-2</v>
      </c>
      <c r="J2" s="374">
        <f>B2/(1+H2*(1-D2))</f>
        <v>0.62757314974182443</v>
      </c>
    </row>
    <row r="3" spans="1:10">
      <c r="A3" s="84" t="s">
        <v>509</v>
      </c>
      <c r="B3" s="83">
        <v>0.68100000000000005</v>
      </c>
      <c r="C3" s="83" t="s">
        <v>510</v>
      </c>
      <c r="D3" s="372">
        <v>0.1875</v>
      </c>
      <c r="E3" s="373">
        <v>0.79800000000000004</v>
      </c>
      <c r="F3" s="83">
        <f t="shared" si="0"/>
        <v>0.54343800000000009</v>
      </c>
      <c r="G3" s="373">
        <f t="shared" ref="G3:G24" si="2">1-E3</f>
        <v>0.20199999999999996</v>
      </c>
      <c r="H3" s="373">
        <f t="shared" ref="H3:H24" si="3">G3/E3</f>
        <v>0.25313283208020043</v>
      </c>
      <c r="I3" s="373">
        <f t="shared" si="1"/>
        <v>3.4024315420049175E-2</v>
      </c>
      <c r="J3" s="374">
        <f t="shared" ref="J3:J24" si="4">B3/(1+H3*(1-D3))</f>
        <v>0.56483097310640518</v>
      </c>
    </row>
    <row r="4" spans="1:10">
      <c r="A4" s="84" t="s">
        <v>511</v>
      </c>
      <c r="B4" s="83">
        <v>0.70599999999999996</v>
      </c>
      <c r="C4" s="83" t="s">
        <v>512</v>
      </c>
      <c r="D4" s="372">
        <v>0.29409999999999997</v>
      </c>
      <c r="E4" s="373">
        <v>0.80200000000000005</v>
      </c>
      <c r="F4" s="83">
        <f t="shared" si="0"/>
        <v>0.56621200000000005</v>
      </c>
      <c r="G4" s="373">
        <f t="shared" si="2"/>
        <v>0.19799999999999995</v>
      </c>
      <c r="H4" s="373">
        <f t="shared" si="3"/>
        <v>0.24688279301745628</v>
      </c>
      <c r="I4" s="373">
        <f t="shared" si="1"/>
        <v>3.5399865020049173E-2</v>
      </c>
      <c r="J4" s="374">
        <f t="shared" si="4"/>
        <v>0.6012222540535983</v>
      </c>
    </row>
    <row r="5" spans="1:10">
      <c r="A5" s="84" t="s">
        <v>513</v>
      </c>
      <c r="B5" s="83">
        <v>0.71499999999999997</v>
      </c>
      <c r="C5" s="83" t="s">
        <v>514</v>
      </c>
      <c r="D5" s="372">
        <v>0.4</v>
      </c>
      <c r="E5" s="373">
        <v>0.86099999999999999</v>
      </c>
      <c r="F5" s="83">
        <f t="shared" si="0"/>
        <v>0.61561499999999991</v>
      </c>
      <c r="G5" s="373">
        <f t="shared" si="2"/>
        <v>0.13900000000000001</v>
      </c>
      <c r="H5" s="373">
        <f t="shared" si="3"/>
        <v>0.16144018583042974</v>
      </c>
      <c r="I5" s="373">
        <f t="shared" si="1"/>
        <v>3.8383806220049159E-2</v>
      </c>
      <c r="J5" s="374">
        <f t="shared" si="4"/>
        <v>0.65185832274459976</v>
      </c>
    </row>
    <row r="6" spans="1:10">
      <c r="A6" s="84" t="s">
        <v>515</v>
      </c>
      <c r="B6" s="83">
        <v>0.40100000000000002</v>
      </c>
      <c r="C6" s="83" t="s">
        <v>514</v>
      </c>
      <c r="D6" s="372">
        <v>0.4</v>
      </c>
      <c r="E6" s="373">
        <v>0.91100000000000003</v>
      </c>
      <c r="F6" s="83">
        <f t="shared" si="0"/>
        <v>0.36531100000000005</v>
      </c>
      <c r="G6" s="373">
        <f t="shared" si="2"/>
        <v>8.8999999999999968E-2</v>
      </c>
      <c r="H6" s="373">
        <f t="shared" si="3"/>
        <v>9.7694840834248037E-2</v>
      </c>
      <c r="I6" s="373">
        <f t="shared" si="1"/>
        <v>2.3265444620049168E-2</v>
      </c>
      <c r="J6" s="374">
        <f t="shared" si="4"/>
        <v>0.37879614267938616</v>
      </c>
    </row>
    <row r="7" spans="1:10">
      <c r="A7" s="84" t="s">
        <v>516</v>
      </c>
      <c r="B7" s="83">
        <v>0.46400000000000002</v>
      </c>
      <c r="C7" s="83" t="s">
        <v>517</v>
      </c>
      <c r="D7" s="372">
        <v>0.28000000000000003</v>
      </c>
      <c r="E7" s="373">
        <v>0.81</v>
      </c>
      <c r="F7" s="83">
        <f t="shared" si="0"/>
        <v>0.37584000000000006</v>
      </c>
      <c r="G7" s="373">
        <f t="shared" si="2"/>
        <v>0.18999999999999995</v>
      </c>
      <c r="H7" s="373">
        <f t="shared" si="3"/>
        <v>0.23456790123456783</v>
      </c>
      <c r="I7" s="373">
        <f t="shared" si="1"/>
        <v>2.3901396220049172E-2</v>
      </c>
      <c r="J7" s="374">
        <f t="shared" si="4"/>
        <v>0.39695817490494301</v>
      </c>
    </row>
    <row r="8" spans="1:10">
      <c r="A8" s="84" t="s">
        <v>518</v>
      </c>
      <c r="B8" s="83">
        <v>0.78600000000000003</v>
      </c>
      <c r="C8" s="83" t="s">
        <v>514</v>
      </c>
      <c r="D8" s="372">
        <v>0.4</v>
      </c>
      <c r="E8" s="373">
        <v>0.85399999999999998</v>
      </c>
      <c r="F8" s="83">
        <f t="shared" si="0"/>
        <v>0.67124400000000006</v>
      </c>
      <c r="G8" s="373">
        <f t="shared" si="2"/>
        <v>0.14600000000000002</v>
      </c>
      <c r="H8" s="373">
        <f t="shared" si="3"/>
        <v>0.17096018735363</v>
      </c>
      <c r="I8" s="373">
        <f t="shared" si="1"/>
        <v>4.1743797820049174E-2</v>
      </c>
      <c r="J8" s="374">
        <f t="shared" si="4"/>
        <v>0.71287595581988106</v>
      </c>
    </row>
    <row r="9" spans="1:10">
      <c r="A9" s="84" t="s">
        <v>519</v>
      </c>
      <c r="B9" s="83">
        <v>0.378</v>
      </c>
      <c r="C9" s="83" t="s">
        <v>517</v>
      </c>
      <c r="D9" s="372">
        <v>0.28000000000000003</v>
      </c>
      <c r="E9" s="373">
        <v>0.874</v>
      </c>
      <c r="F9" s="83">
        <f t="shared" si="0"/>
        <v>0.330372</v>
      </c>
      <c r="G9" s="373">
        <f t="shared" si="2"/>
        <v>0.126</v>
      </c>
      <c r="H9" s="373">
        <f t="shared" si="3"/>
        <v>0.14416475972540047</v>
      </c>
      <c r="I9" s="373">
        <f t="shared" si="1"/>
        <v>2.1155129020049165E-2</v>
      </c>
      <c r="J9" s="374">
        <f t="shared" si="4"/>
        <v>0.34245376896923457</v>
      </c>
    </row>
    <row r="10" spans="1:10">
      <c r="A10" s="84" t="s">
        <v>520</v>
      </c>
      <c r="B10" s="83">
        <v>0.46800000000000003</v>
      </c>
      <c r="C10" s="83" t="s">
        <v>514</v>
      </c>
      <c r="D10" s="372">
        <v>0.4</v>
      </c>
      <c r="E10" s="373">
        <v>0.79300000000000004</v>
      </c>
      <c r="F10" s="83">
        <f t="shared" si="0"/>
        <v>0.37112400000000006</v>
      </c>
      <c r="G10" s="373">
        <f t="shared" si="2"/>
        <v>0.20699999999999996</v>
      </c>
      <c r="H10" s="373">
        <f t="shared" si="3"/>
        <v>0.26103404791929374</v>
      </c>
      <c r="I10" s="373">
        <f t="shared" si="1"/>
        <v>2.3616549820049171E-2</v>
      </c>
      <c r="J10" s="374">
        <f t="shared" si="4"/>
        <v>0.40462712603576106</v>
      </c>
    </row>
    <row r="11" spans="1:10">
      <c r="A11" s="84" t="s">
        <v>521</v>
      </c>
      <c r="B11" s="83">
        <v>0.47</v>
      </c>
      <c r="C11" s="83" t="s">
        <v>514</v>
      </c>
      <c r="D11" s="372">
        <v>0.4</v>
      </c>
      <c r="E11" s="373">
        <v>0.86499999999999999</v>
      </c>
      <c r="F11" s="83">
        <f t="shared" si="0"/>
        <v>0.40654999999999997</v>
      </c>
      <c r="G11" s="373">
        <f t="shared" si="2"/>
        <v>0.13500000000000001</v>
      </c>
      <c r="H11" s="373">
        <f t="shared" si="3"/>
        <v>0.15606936416184972</v>
      </c>
      <c r="I11" s="373">
        <f t="shared" si="1"/>
        <v>2.5756280220049166E-2</v>
      </c>
      <c r="J11" s="374">
        <f t="shared" si="4"/>
        <v>0.42975687103594079</v>
      </c>
    </row>
    <row r="12" spans="1:10">
      <c r="A12" s="84" t="s">
        <v>522</v>
      </c>
      <c r="B12" s="83">
        <v>0.20499999999999999</v>
      </c>
      <c r="C12" s="83" t="s">
        <v>514</v>
      </c>
      <c r="D12" s="372">
        <v>0.4</v>
      </c>
      <c r="E12" s="373">
        <v>0.89700000000000002</v>
      </c>
      <c r="F12" s="83">
        <f t="shared" si="0"/>
        <v>0.18388499999999999</v>
      </c>
      <c r="G12" s="373">
        <f t="shared" si="2"/>
        <v>0.10299999999999998</v>
      </c>
      <c r="H12" s="373">
        <f t="shared" si="3"/>
        <v>0.11482720178372349</v>
      </c>
      <c r="I12" s="373">
        <f t="shared" si="1"/>
        <v>1.2307314220049166E-2</v>
      </c>
      <c r="J12" s="374">
        <f t="shared" si="4"/>
        <v>0.19178660826032543</v>
      </c>
    </row>
    <row r="13" spans="1:10">
      <c r="A13" s="84" t="s">
        <v>523</v>
      </c>
      <c r="B13" s="83">
        <v>0.33</v>
      </c>
      <c r="C13" s="83" t="s">
        <v>524</v>
      </c>
      <c r="D13" s="372">
        <v>0.25</v>
      </c>
      <c r="E13" s="373">
        <v>0.997</v>
      </c>
      <c r="F13" s="83">
        <f t="shared" si="0"/>
        <v>0.32901000000000002</v>
      </c>
      <c r="G13" s="373">
        <f t="shared" si="2"/>
        <v>3.0000000000000027E-3</v>
      </c>
      <c r="H13" s="373">
        <f t="shared" si="3"/>
        <v>3.009027081243734E-3</v>
      </c>
      <c r="I13" s="373">
        <f t="shared" si="1"/>
        <v>2.1072864220049167E-2</v>
      </c>
      <c r="J13" s="374">
        <f t="shared" si="4"/>
        <v>0.32925694270703026</v>
      </c>
    </row>
    <row r="14" spans="1:10">
      <c r="A14" s="84" t="s">
        <v>525</v>
      </c>
      <c r="B14" s="83">
        <v>0.624</v>
      </c>
      <c r="C14" s="83" t="s">
        <v>514</v>
      </c>
      <c r="D14" s="372">
        <v>0.4</v>
      </c>
      <c r="E14" s="373">
        <v>0.90500000000000003</v>
      </c>
      <c r="F14" s="83">
        <f t="shared" si="0"/>
        <v>0.56472</v>
      </c>
      <c r="G14" s="373">
        <f t="shared" si="2"/>
        <v>9.4999999999999973E-2</v>
      </c>
      <c r="H14" s="373">
        <f t="shared" si="3"/>
        <v>0.1049723756906077</v>
      </c>
      <c r="I14" s="373">
        <f t="shared" si="1"/>
        <v>3.5309748220049168E-2</v>
      </c>
      <c r="J14" s="374">
        <f t="shared" si="4"/>
        <v>0.58702702702702703</v>
      </c>
    </row>
    <row r="15" spans="1:10">
      <c r="A15" s="84" t="s">
        <v>526</v>
      </c>
      <c r="B15" s="83">
        <v>0.57299999999999995</v>
      </c>
      <c r="C15" s="83" t="s">
        <v>527</v>
      </c>
      <c r="D15" s="372">
        <v>0.40689999999999998</v>
      </c>
      <c r="E15" s="373">
        <v>0.99399999999999999</v>
      </c>
      <c r="F15" s="83">
        <f t="shared" si="0"/>
        <v>0.5695619999999999</v>
      </c>
      <c r="G15" s="373">
        <f t="shared" si="2"/>
        <v>6.0000000000000053E-3</v>
      </c>
      <c r="H15" s="373">
        <f t="shared" si="3"/>
        <v>6.0362173038229433E-3</v>
      </c>
      <c r="I15" s="373">
        <f t="shared" si="1"/>
        <v>3.5602205020049162E-2</v>
      </c>
      <c r="J15" s="374">
        <f t="shared" si="4"/>
        <v>0.57095593181192561</v>
      </c>
    </row>
    <row r="16" spans="1:10">
      <c r="A16" s="84" t="s">
        <v>528</v>
      </c>
      <c r="B16" s="83">
        <v>0.61899999999999999</v>
      </c>
      <c r="C16" s="83" t="s">
        <v>527</v>
      </c>
      <c r="D16" s="372">
        <v>0.40689999999999998</v>
      </c>
      <c r="E16" s="373">
        <v>0.999</v>
      </c>
      <c r="F16" s="83">
        <f t="shared" si="0"/>
        <v>0.61838099999999996</v>
      </c>
      <c r="G16" s="373">
        <f t="shared" si="2"/>
        <v>1.0000000000000009E-3</v>
      </c>
      <c r="H16" s="373">
        <f t="shared" si="3"/>
        <v>1.0010010010010019E-3</v>
      </c>
      <c r="I16" s="373">
        <f t="shared" si="1"/>
        <v>3.8550872620049165E-2</v>
      </c>
      <c r="J16" s="374">
        <f t="shared" si="4"/>
        <v>0.61863272165444116</v>
      </c>
    </row>
    <row r="17" spans="1:11">
      <c r="A17" s="84" t="s">
        <v>529</v>
      </c>
      <c r="B17" s="83">
        <v>0.71299999999999997</v>
      </c>
      <c r="C17" s="83" t="s">
        <v>514</v>
      </c>
      <c r="D17" s="372">
        <v>0.4</v>
      </c>
      <c r="E17" s="373">
        <v>0.69499999999999995</v>
      </c>
      <c r="F17" s="83">
        <f t="shared" si="0"/>
        <v>0.49553499999999995</v>
      </c>
      <c r="G17" s="373">
        <f t="shared" si="2"/>
        <v>0.30500000000000005</v>
      </c>
      <c r="H17" s="373">
        <f t="shared" si="3"/>
        <v>0.43884892086330946</v>
      </c>
      <c r="I17" s="373">
        <f t="shared" si="1"/>
        <v>3.1130974220049165E-2</v>
      </c>
      <c r="J17" s="374">
        <f t="shared" si="4"/>
        <v>0.56439066059225507</v>
      </c>
    </row>
    <row r="18" spans="1:11">
      <c r="A18" s="84" t="s">
        <v>530</v>
      </c>
      <c r="B18" s="83">
        <v>0.47399999999999998</v>
      </c>
      <c r="C18" s="83" t="s">
        <v>527</v>
      </c>
      <c r="D18" s="372">
        <v>0.40689999999999998</v>
      </c>
      <c r="E18" s="373">
        <v>0.184</v>
      </c>
      <c r="F18" s="83">
        <f t="shared" si="0"/>
        <v>8.7215999999999988E-2</v>
      </c>
      <c r="G18" s="373">
        <f t="shared" si="2"/>
        <v>0.81600000000000006</v>
      </c>
      <c r="H18" s="373">
        <f t="shared" si="3"/>
        <v>4.4347826086956523</v>
      </c>
      <c r="I18" s="373">
        <f t="shared" si="1"/>
        <v>6.4685066200491654E-3</v>
      </c>
      <c r="J18" s="374">
        <f t="shared" si="4"/>
        <v>0.1305688163054127</v>
      </c>
    </row>
    <row r="19" spans="1:11">
      <c r="A19" s="84" t="s">
        <v>531</v>
      </c>
      <c r="B19" s="83">
        <v>0.63400000000000001</v>
      </c>
      <c r="C19" s="83" t="s">
        <v>527</v>
      </c>
      <c r="D19" s="372">
        <v>0.40689999999999998</v>
      </c>
      <c r="E19" s="373">
        <v>0.69599999999999995</v>
      </c>
      <c r="F19" s="83">
        <f t="shared" si="0"/>
        <v>0.44126399999999999</v>
      </c>
      <c r="G19" s="373">
        <f t="shared" si="2"/>
        <v>0.30400000000000005</v>
      </c>
      <c r="H19" s="373">
        <f t="shared" si="3"/>
        <v>0.43678160919540238</v>
      </c>
      <c r="I19" s="373">
        <f t="shared" si="1"/>
        <v>2.7853005820049168E-2</v>
      </c>
      <c r="J19" s="374">
        <f t="shared" si="4"/>
        <v>0.50355219841917587</v>
      </c>
    </row>
    <row r="20" spans="1:11">
      <c r="A20" s="84" t="s">
        <v>532</v>
      </c>
      <c r="B20" s="83">
        <v>0.626</v>
      </c>
      <c r="C20" s="83" t="s">
        <v>514</v>
      </c>
      <c r="D20" s="372">
        <v>0.4</v>
      </c>
      <c r="E20" s="373">
        <v>0.95699999999999996</v>
      </c>
      <c r="F20" s="83">
        <f t="shared" si="0"/>
        <v>0.599082</v>
      </c>
      <c r="G20" s="373">
        <f t="shared" si="2"/>
        <v>4.3000000000000038E-2</v>
      </c>
      <c r="H20" s="373">
        <f t="shared" si="3"/>
        <v>4.493207941483808E-2</v>
      </c>
      <c r="I20" s="373">
        <f t="shared" si="1"/>
        <v>3.7385213020049164E-2</v>
      </c>
      <c r="J20" s="374">
        <f t="shared" si="4"/>
        <v>0.60956654456654458</v>
      </c>
    </row>
    <row r="21" spans="1:11">
      <c r="A21" s="84" t="s">
        <v>533</v>
      </c>
      <c r="B21" s="83">
        <v>0.83</v>
      </c>
      <c r="C21" s="83" t="s">
        <v>514</v>
      </c>
      <c r="D21" s="372">
        <v>0.4</v>
      </c>
      <c r="E21" s="373">
        <v>0.91</v>
      </c>
      <c r="F21" s="83">
        <f t="shared" si="0"/>
        <v>0.75529999999999997</v>
      </c>
      <c r="G21" s="373">
        <f t="shared" si="2"/>
        <v>8.9999999999999969E-2</v>
      </c>
      <c r="H21" s="373">
        <f t="shared" si="3"/>
        <v>9.8901098901098869E-2</v>
      </c>
      <c r="I21" s="373">
        <f t="shared" si="1"/>
        <v>4.6820780220049166E-2</v>
      </c>
      <c r="J21" s="374">
        <f t="shared" si="4"/>
        <v>0.78350622406639003</v>
      </c>
    </row>
    <row r="22" spans="1:11">
      <c r="A22" s="84" t="s">
        <v>534</v>
      </c>
      <c r="B22" s="83">
        <v>0.69799999999999995</v>
      </c>
      <c r="C22" s="83" t="s">
        <v>514</v>
      </c>
      <c r="D22" s="372">
        <v>0.4</v>
      </c>
      <c r="E22" s="373">
        <v>0.93100000000000005</v>
      </c>
      <c r="F22" s="83">
        <f t="shared" si="0"/>
        <v>0.64983800000000003</v>
      </c>
      <c r="G22" s="373">
        <f t="shared" si="2"/>
        <v>6.899999999999995E-2</v>
      </c>
      <c r="H22" s="373">
        <f t="shared" si="3"/>
        <v>7.4113856068743225E-2</v>
      </c>
      <c r="I22" s="373">
        <f t="shared" si="1"/>
        <v>4.0450875420049166E-2</v>
      </c>
      <c r="J22" s="374">
        <f t="shared" si="4"/>
        <v>0.66828259975318793</v>
      </c>
    </row>
    <row r="23" spans="1:11">
      <c r="A23" s="84" t="s">
        <v>535</v>
      </c>
      <c r="B23" s="83">
        <v>0.84699999999999998</v>
      </c>
      <c r="C23" s="83" t="s">
        <v>517</v>
      </c>
      <c r="D23" s="372">
        <v>0.28000000000000003</v>
      </c>
      <c r="E23" s="373">
        <v>0.92400000000000004</v>
      </c>
      <c r="F23" s="83">
        <f t="shared" si="0"/>
        <v>0.78262799999999999</v>
      </c>
      <c r="G23" s="373">
        <f t="shared" si="2"/>
        <v>7.5999999999999956E-2</v>
      </c>
      <c r="H23" s="373">
        <f t="shared" si="3"/>
        <v>8.22510822510822E-2</v>
      </c>
      <c r="I23" s="373">
        <f t="shared" si="1"/>
        <v>4.8471391420049165E-2</v>
      </c>
      <c r="J23" s="374">
        <f t="shared" si="4"/>
        <v>0.79964443354585579</v>
      </c>
    </row>
    <row r="24" spans="1:11">
      <c r="A24" s="84" t="s">
        <v>536</v>
      </c>
      <c r="B24" s="83">
        <v>0.78200000000000003</v>
      </c>
      <c r="C24" s="83" t="s">
        <v>527</v>
      </c>
      <c r="D24" s="372">
        <v>0.40689999999999998</v>
      </c>
      <c r="E24" s="373">
        <v>1</v>
      </c>
      <c r="F24" s="83">
        <f t="shared" si="0"/>
        <v>0.78200000000000003</v>
      </c>
      <c r="G24" s="373">
        <f t="shared" si="2"/>
        <v>0</v>
      </c>
      <c r="H24" s="373">
        <f t="shared" si="3"/>
        <v>0</v>
      </c>
      <c r="I24" s="373">
        <f t="shared" si="1"/>
        <v>4.8433460220049171E-2</v>
      </c>
      <c r="J24" s="374">
        <f t="shared" si="4"/>
        <v>0.78200000000000003</v>
      </c>
    </row>
    <row r="25" spans="1:11" s="4" customFormat="1">
      <c r="A25" s="375" t="s">
        <v>537</v>
      </c>
      <c r="B25" s="375"/>
      <c r="C25" s="375"/>
      <c r="D25" s="375"/>
      <c r="E25" s="376">
        <f t="shared" ref="E25:I25" si="5">AVERAGE(E2:E24)</f>
        <v>0.84699999999999986</v>
      </c>
      <c r="F25" s="376">
        <f t="shared" si="5"/>
        <v>0.50815300000000008</v>
      </c>
      <c r="G25" s="376">
        <f t="shared" si="5"/>
        <v>0.15300000000000002</v>
      </c>
      <c r="H25" s="376">
        <f t="shared" si="5"/>
        <v>0.33826070536597003</v>
      </c>
      <c r="I25" s="376">
        <f t="shared" si="5"/>
        <v>3.1893101420049169E-2</v>
      </c>
      <c r="J25" s="374">
        <f>AVERAGE(J2:J24)</f>
        <v>0.53261406294787572</v>
      </c>
    </row>
    <row r="26" spans="1:11">
      <c r="I26" s="13"/>
    </row>
    <row r="28" spans="1:11">
      <c r="A28" s="83" t="s">
        <v>538</v>
      </c>
      <c r="B28" s="373">
        <v>0.33329999999999999</v>
      </c>
      <c r="C28" s="373" t="s">
        <v>539</v>
      </c>
      <c r="D28" s="373"/>
    </row>
    <row r="29" spans="1:11">
      <c r="A29" s="83" t="s">
        <v>540</v>
      </c>
      <c r="B29" s="377">
        <f>'cost of equity(use Fama French)'!G8</f>
        <v>6.0400000000000002E-2</v>
      </c>
      <c r="C29" s="377" t="s">
        <v>558</v>
      </c>
      <c r="D29" s="377"/>
      <c r="H29" s="13" t="s">
        <v>602</v>
      </c>
      <c r="K29" t="s">
        <v>603</v>
      </c>
    </row>
    <row r="30" spans="1:11">
      <c r="A30" s="83" t="s">
        <v>541</v>
      </c>
      <c r="B30" s="83">
        <f>'cost of equity(use Fama French)'!L4</f>
        <v>1.2006602200491656E-3</v>
      </c>
      <c r="C30" s="83" t="s">
        <v>542</v>
      </c>
      <c r="D30" s="83"/>
    </row>
    <row r="32" spans="1:11">
      <c r="A32" s="83"/>
      <c r="B32" s="83"/>
      <c r="C32" s="83"/>
      <c r="D32" s="83"/>
    </row>
    <row r="33" spans="1:9">
      <c r="A33" s="83" t="s">
        <v>543</v>
      </c>
      <c r="B33" s="83">
        <f>B30+F25*B29</f>
        <v>3.1893101420049169E-2</v>
      </c>
      <c r="C33" s="83"/>
      <c r="D33" s="83"/>
    </row>
    <row r="34" spans="1:9">
      <c r="A34" s="83" t="s">
        <v>506</v>
      </c>
      <c r="B34" s="378">
        <f>J25</f>
        <v>0.53261406294787572</v>
      </c>
      <c r="C34" s="374"/>
      <c r="D34" s="374"/>
      <c r="E34" t="s">
        <v>544</v>
      </c>
      <c r="F34" s="379" t="s">
        <v>545</v>
      </c>
      <c r="G34">
        <f>G35/G37</f>
        <v>0.82129140742569329</v>
      </c>
      <c r="H34" t="s">
        <v>546</v>
      </c>
      <c r="I34">
        <f>G36/G37</f>
        <v>0.17870859257430671</v>
      </c>
    </row>
    <row r="35" spans="1:9">
      <c r="A35" s="83" t="s">
        <v>547</v>
      </c>
      <c r="B35" s="380">
        <f>B34/G34</f>
        <v>0.6485080181434435</v>
      </c>
      <c r="C35" s="83"/>
      <c r="D35" s="83"/>
      <c r="E35" t="s">
        <v>548</v>
      </c>
      <c r="F35" s="379" t="s">
        <v>549</v>
      </c>
      <c r="G35">
        <f>I35*I36</f>
        <v>62444.25</v>
      </c>
      <c r="H35" t="s">
        <v>550</v>
      </c>
      <c r="I35">
        <v>1305</v>
      </c>
    </row>
    <row r="36" spans="1:9">
      <c r="A36" s="83"/>
      <c r="B36" s="83"/>
      <c r="C36" s="83"/>
      <c r="D36" s="83"/>
      <c r="F36" s="379" t="s">
        <v>551</v>
      </c>
      <c r="G36" s="7">
        <f>'Cost of Debt'!F47+'Operating lease converter'!C30</f>
        <v>13587.532915797365</v>
      </c>
      <c r="H36" t="s">
        <v>552</v>
      </c>
      <c r="I36">
        <v>47.85</v>
      </c>
    </row>
    <row r="37" spans="1:9">
      <c r="A37" s="507" t="s">
        <v>315</v>
      </c>
      <c r="B37" s="381">
        <f>$B$30+B29*$B$35</f>
        <v>4.0370544515913154E-2</v>
      </c>
      <c r="C37" s="373"/>
      <c r="D37" s="373"/>
      <c r="E37" s="373"/>
      <c r="F37" s="379" t="s">
        <v>553</v>
      </c>
      <c r="G37">
        <f>G35+G36</f>
        <v>76031.782915797361</v>
      </c>
    </row>
    <row r="38" spans="1:9">
      <c r="A38" s="83" t="s">
        <v>58</v>
      </c>
      <c r="B38" s="382">
        <v>4.2799999999999998E-2</v>
      </c>
      <c r="C38" s="383"/>
      <c r="D38" s="383"/>
    </row>
    <row r="39" spans="1:9">
      <c r="A39" s="83"/>
      <c r="B39" s="83"/>
      <c r="C39" s="83"/>
      <c r="D39" s="83"/>
    </row>
    <row r="40" spans="1:9">
      <c r="A40" s="83"/>
      <c r="B40" s="83"/>
      <c r="C40" s="83"/>
      <c r="D40" s="83"/>
    </row>
    <row r="41" spans="1:9">
      <c r="A41" s="83"/>
      <c r="B41" s="83"/>
      <c r="C41" s="83"/>
      <c r="D41" s="83"/>
    </row>
    <row r="42" spans="1:9">
      <c r="A42" s="83"/>
      <c r="B42" s="83"/>
      <c r="C42" s="83"/>
      <c r="D42" s="83"/>
    </row>
    <row r="43" spans="1:9">
      <c r="A43" s="375" t="s">
        <v>554</v>
      </c>
      <c r="B43" s="384">
        <f>B37*G34+B38*I34*(1-B28)</f>
        <v>3.8255388123061541E-2</v>
      </c>
      <c r="C43" s="376"/>
      <c r="D43" s="376"/>
    </row>
  </sheetData>
  <phoneticPr fontId="38" type="noConversion"/>
  <pageMargins left="0.7" right="0.7" top="0.75" bottom="0.75" header="0.3" footer="0.3"/>
  <drawing r:id="rId1"/>
  <legacyDrawing r:id="rId2"/>
  <oleObjects>
    <mc:AlternateContent xmlns:mc="http://schemas.openxmlformats.org/markup-compatibility/2006">
      <mc:Choice Requires="x14">
        <oleObject progId="Equation.3" shapeId="31745" r:id="rId3">
          <objectPr defaultSize="0" autoPict="0" r:id="rId4">
            <anchor moveWithCells="1" sizeWithCells="1">
              <from>
                <xdr:col>0</xdr:col>
                <xdr:colOff>38100</xdr:colOff>
                <xdr:row>39</xdr:row>
                <xdr:rowOff>104775</xdr:rowOff>
              </from>
              <to>
                <xdr:col>4</xdr:col>
                <xdr:colOff>533400</xdr:colOff>
                <xdr:row>41</xdr:row>
                <xdr:rowOff>133350</xdr:rowOff>
              </to>
            </anchor>
          </objectPr>
        </oleObject>
      </mc:Choice>
      <mc:Fallback>
        <oleObject progId="Equation.3" shapeId="31745" r:id="rId3"/>
      </mc:Fallback>
    </mc:AlternateContent>
    <mc:AlternateContent xmlns:mc="http://schemas.openxmlformats.org/markup-compatibility/2006">
      <mc:Choice Requires="x14">
        <oleObject progId="Equation.3" shapeId="31746" r:id="rId5">
          <objectPr defaultSize="0" autoPict="0" r:id="rId4">
            <anchor moveWithCells="1" sizeWithCells="1">
              <from>
                <xdr:col>0</xdr:col>
                <xdr:colOff>38100</xdr:colOff>
                <xdr:row>39</xdr:row>
                <xdr:rowOff>104775</xdr:rowOff>
              </from>
              <to>
                <xdr:col>4</xdr:col>
                <xdr:colOff>533400</xdr:colOff>
                <xdr:row>41</xdr:row>
                <xdr:rowOff>133350</xdr:rowOff>
              </to>
            </anchor>
          </objectPr>
        </oleObject>
      </mc:Choice>
      <mc:Fallback>
        <oleObject progId="Equation.3" shapeId="31746"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K52"/>
  <sheetViews>
    <sheetView topLeftCell="A30" zoomScale="85" zoomScaleNormal="85" workbookViewId="0">
      <selection activeCell="J36" sqref="J36"/>
    </sheetView>
  </sheetViews>
  <sheetFormatPr baseColWidth="10" defaultColWidth="10.7109375" defaultRowHeight="15"/>
  <cols>
    <col min="1" max="1" width="13.42578125" bestFit="1" customWidth="1"/>
    <col min="2" max="2" width="97.7109375" style="3" customWidth="1"/>
    <col min="3" max="3" width="2.85546875" customWidth="1"/>
    <col min="4" max="4" width="18.42578125" customWidth="1"/>
    <col min="5" max="5" width="2.85546875" customWidth="1"/>
    <col min="6" max="6" width="11.42578125" style="10"/>
    <col min="7" max="7" width="6.140625" bestFit="1" customWidth="1"/>
    <col min="9" max="9" width="6.140625" bestFit="1" customWidth="1"/>
    <col min="10" max="10" width="22.5703125" bestFit="1" customWidth="1"/>
    <col min="11" max="11" width="58.42578125" bestFit="1" customWidth="1"/>
  </cols>
  <sheetData>
    <row r="1" spans="1:11">
      <c r="A1" s="2" t="s">
        <v>40</v>
      </c>
    </row>
    <row r="2" spans="1:11">
      <c r="A2" s="2" t="s">
        <v>39</v>
      </c>
    </row>
    <row r="3" spans="1:11">
      <c r="A3" s="9"/>
    </row>
    <row r="4" spans="1:11">
      <c r="A4" s="433" t="s">
        <v>32</v>
      </c>
      <c r="B4" s="434" t="s">
        <v>44</v>
      </c>
      <c r="C4" s="434"/>
      <c r="D4" s="435" t="s">
        <v>41</v>
      </c>
      <c r="E4" s="434"/>
      <c r="F4" s="434" t="s">
        <v>53</v>
      </c>
      <c r="G4" s="434"/>
      <c r="H4" s="434" t="s">
        <v>54</v>
      </c>
      <c r="I4" s="434"/>
      <c r="J4" s="436" t="s">
        <v>55</v>
      </c>
    </row>
    <row r="5" spans="1:11" s="8" customFormat="1" ht="30">
      <c r="A5" s="410" t="s">
        <v>43</v>
      </c>
      <c r="B5" s="411" t="s">
        <v>45</v>
      </c>
      <c r="C5" s="412" t="s">
        <v>42</v>
      </c>
      <c r="D5" s="413">
        <v>138</v>
      </c>
      <c r="E5" s="413"/>
      <c r="F5" s="414">
        <f>B18</f>
        <v>1.001E-2</v>
      </c>
      <c r="G5" s="413"/>
      <c r="H5" s="413">
        <f t="shared" ref="H5:H12" si="0">IF($A$22="NO",D5/(SUM($D$5:$D$12)),D5/(SUM($D$5:$D$12,$D$22,$D$23)))</f>
        <v>1.3640407235346447E-2</v>
      </c>
      <c r="I5" s="413"/>
      <c r="J5" s="415">
        <f>H5*F5</f>
        <v>1.3654047642581792E-4</v>
      </c>
    </row>
    <row r="6" spans="1:11" s="8" customFormat="1" ht="30">
      <c r="A6" s="410" t="s">
        <v>33</v>
      </c>
      <c r="B6" s="411" t="s">
        <v>46</v>
      </c>
      <c r="C6" s="416"/>
      <c r="D6" s="413">
        <v>1500</v>
      </c>
      <c r="E6" s="413"/>
      <c r="F6" s="414">
        <v>3.5000000000000003E-2</v>
      </c>
      <c r="G6" s="413"/>
      <c r="H6" s="413">
        <f t="shared" si="0"/>
        <v>0.14826529603637442</v>
      </c>
      <c r="I6" s="413"/>
      <c r="J6" s="415">
        <f t="shared" ref="J6:J16" si="1">H6*F6</f>
        <v>5.1892853612731053E-3</v>
      </c>
    </row>
    <row r="7" spans="1:11" s="8" customFormat="1" ht="30">
      <c r="A7" s="410" t="s">
        <v>34</v>
      </c>
      <c r="B7" s="411" t="s">
        <v>47</v>
      </c>
      <c r="C7" s="416"/>
      <c r="D7" s="413">
        <v>1500</v>
      </c>
      <c r="E7" s="413"/>
      <c r="F7" s="414">
        <v>4.4999999999999998E-2</v>
      </c>
      <c r="G7" s="413"/>
      <c r="H7" s="413">
        <f t="shared" si="0"/>
        <v>0.14826529603637442</v>
      </c>
      <c r="I7" s="413"/>
      <c r="J7" s="415">
        <f t="shared" si="1"/>
        <v>6.6719383216368488E-3</v>
      </c>
    </row>
    <row r="8" spans="1:11" s="8" customFormat="1" ht="30">
      <c r="A8" s="410" t="s">
        <v>35</v>
      </c>
      <c r="B8" s="411" t="s">
        <v>48</v>
      </c>
      <c r="C8" s="416"/>
      <c r="D8" s="413">
        <v>1200</v>
      </c>
      <c r="E8" s="413"/>
      <c r="F8" s="414">
        <v>3.125E-2</v>
      </c>
      <c r="G8" s="413"/>
      <c r="H8" s="413">
        <f t="shared" si="0"/>
        <v>0.11861223682909953</v>
      </c>
      <c r="I8" s="413"/>
      <c r="J8" s="415">
        <f t="shared" si="1"/>
        <v>3.7066324009093605E-3</v>
      </c>
    </row>
    <row r="9" spans="1:11" s="8" customFormat="1" ht="30">
      <c r="A9" s="410" t="s">
        <v>36</v>
      </c>
      <c r="B9" s="411" t="s">
        <v>49</v>
      </c>
      <c r="C9" s="416"/>
      <c r="D9" s="413">
        <v>800</v>
      </c>
      <c r="E9" s="413"/>
      <c r="F9" s="414">
        <v>4.1250000000000002E-2</v>
      </c>
      <c r="G9" s="413"/>
      <c r="H9" s="413">
        <f t="shared" si="0"/>
        <v>7.9074824552733028E-2</v>
      </c>
      <c r="I9" s="413"/>
      <c r="J9" s="415">
        <f t="shared" si="1"/>
        <v>3.2618365128002378E-3</v>
      </c>
    </row>
    <row r="10" spans="1:11" s="8" customFormat="1" ht="45">
      <c r="A10" s="410" t="s">
        <v>37</v>
      </c>
      <c r="B10" s="411" t="s">
        <v>50</v>
      </c>
      <c r="C10" s="416"/>
      <c r="D10" s="413">
        <v>320</v>
      </c>
      <c r="E10" s="413"/>
      <c r="F10" s="414">
        <v>4.8669999999999998E-2</v>
      </c>
      <c r="G10" s="413"/>
      <c r="H10" s="413">
        <f t="shared" si="0"/>
        <v>3.1629929821093208E-2</v>
      </c>
      <c r="I10" s="413"/>
      <c r="J10" s="415">
        <f t="shared" si="1"/>
        <v>1.5394286843926064E-3</v>
      </c>
    </row>
    <row r="11" spans="1:11" s="8" customFormat="1" ht="30">
      <c r="A11" s="410" t="s">
        <v>38</v>
      </c>
      <c r="B11" s="411" t="s">
        <v>51</v>
      </c>
      <c r="C11" s="416"/>
      <c r="D11" s="413">
        <v>220</v>
      </c>
      <c r="E11" s="413"/>
      <c r="F11" s="414">
        <v>4.8939999999999997E-2</v>
      </c>
      <c r="G11" s="413"/>
      <c r="H11" s="413">
        <f t="shared" si="0"/>
        <v>2.1745576752001582E-2</v>
      </c>
      <c r="I11" s="413"/>
      <c r="J11" s="415">
        <f t="shared" si="1"/>
        <v>1.0642285262429574E-3</v>
      </c>
    </row>
    <row r="12" spans="1:11" ht="30">
      <c r="A12" s="410" t="s">
        <v>38</v>
      </c>
      <c r="B12" s="417" t="s">
        <v>52</v>
      </c>
      <c r="C12" s="395"/>
      <c r="D12" s="413">
        <v>200</v>
      </c>
      <c r="E12" s="418"/>
      <c r="F12" s="414">
        <f>B18</f>
        <v>1.001E-2</v>
      </c>
      <c r="G12" s="418"/>
      <c r="H12" s="413">
        <f t="shared" si="0"/>
        <v>1.9768706138183257E-2</v>
      </c>
      <c r="I12" s="418"/>
      <c r="J12" s="415">
        <f t="shared" si="1"/>
        <v>1.9788474844321439E-4</v>
      </c>
    </row>
    <row r="13" spans="1:11">
      <c r="A13" s="399"/>
      <c r="B13" s="419"/>
      <c r="C13" s="395"/>
      <c r="D13" s="418"/>
      <c r="E13" s="418"/>
      <c r="F13" s="420"/>
      <c r="G13" s="418"/>
      <c r="H13" s="413"/>
      <c r="I13" s="418"/>
      <c r="J13" s="438">
        <v>3.7465903368492683E-2</v>
      </c>
      <c r="K13" s="439" t="s">
        <v>565</v>
      </c>
    </row>
    <row r="14" spans="1:11" ht="30">
      <c r="A14" s="421" t="s">
        <v>61</v>
      </c>
      <c r="B14" s="422" t="s">
        <v>62</v>
      </c>
      <c r="C14" s="423"/>
      <c r="D14" s="424">
        <v>1500</v>
      </c>
      <c r="E14" s="423"/>
      <c r="F14" s="425">
        <f>(1+0.0425)^(257/365)-1</f>
        <v>2.9739873413844098E-2</v>
      </c>
      <c r="G14" s="423"/>
      <c r="H14" s="424">
        <f>IF($A$22="NO",D14/(SUM($D$5:$D$12)),D14/(SUM($D$5:$D$12,$D$22,$D$23)))</f>
        <v>0.14826529603637442</v>
      </c>
      <c r="I14" s="423"/>
      <c r="J14" s="426">
        <f t="shared" si="1"/>
        <v>4.409391135787896E-3</v>
      </c>
    </row>
    <row r="15" spans="1:11" ht="45">
      <c r="A15" s="421" t="s">
        <v>63</v>
      </c>
      <c r="B15" s="422" t="s">
        <v>64</v>
      </c>
      <c r="C15" s="423"/>
      <c r="D15" s="424">
        <v>227</v>
      </c>
      <c r="E15" s="423"/>
      <c r="F15" s="425">
        <f>(1+F12)^(18/365)-1</f>
        <v>4.9131016646386527E-4</v>
      </c>
      <c r="G15" s="423"/>
      <c r="H15" s="424">
        <f>IF($A$22="NO",D15/(SUM($D$5:$D$12)),D15/(SUM($D$5:$D$12,$D$22,$D$23)))</f>
        <v>2.2437481466837994E-2</v>
      </c>
      <c r="I15" s="423"/>
      <c r="J15" s="426">
        <f>H15*F15</f>
        <v>1.1023762754502067E-5</v>
      </c>
    </row>
    <row r="16" spans="1:11" ht="45">
      <c r="A16" s="427" t="s">
        <v>65</v>
      </c>
      <c r="B16" s="428" t="s">
        <v>66</v>
      </c>
      <c r="C16" s="429"/>
      <c r="D16" s="430">
        <v>136</v>
      </c>
      <c r="E16" s="429"/>
      <c r="F16" s="431">
        <f>(1+B19)^(21/365)-1</f>
        <v>7.0018922324877053E-4</v>
      </c>
      <c r="G16" s="429"/>
      <c r="H16" s="430">
        <f>IF($A$22="NO",D16/(SUM($D$5:$D$12)),D16/(SUM($D$5:$D$12,$D$22,$D$23)))</f>
        <v>1.3442720173964614E-2</v>
      </c>
      <c r="I16" s="429"/>
      <c r="J16" s="432">
        <f t="shared" si="1"/>
        <v>9.41244779695886E-6</v>
      </c>
    </row>
    <row r="17" spans="1:11">
      <c r="D17">
        <f>SUM(D5:D12)</f>
        <v>5878</v>
      </c>
      <c r="H17" s="12"/>
    </row>
    <row r="18" spans="1:11">
      <c r="A18" s="8" t="s">
        <v>67</v>
      </c>
      <c r="B18" s="11">
        <v>1.001E-2</v>
      </c>
      <c r="H18" s="12"/>
    </row>
    <row r="19" spans="1:11">
      <c r="A19" s="8" t="s">
        <v>68</v>
      </c>
      <c r="B19" s="11">
        <v>1.2239999999999999E-2</v>
      </c>
      <c r="H19" s="12"/>
    </row>
    <row r="20" spans="1:11">
      <c r="A20" s="14" t="s">
        <v>56</v>
      </c>
      <c r="H20" s="12"/>
    </row>
    <row r="21" spans="1:11">
      <c r="H21" s="12"/>
    </row>
    <row r="22" spans="1:11">
      <c r="A22" s="15" t="s">
        <v>69</v>
      </c>
      <c r="B22" s="15" t="s">
        <v>13</v>
      </c>
      <c r="C22" s="15"/>
      <c r="D22" s="16">
        <f>F36</f>
        <v>3854</v>
      </c>
      <c r="E22" s="15"/>
      <c r="F22" s="17">
        <f>G36</f>
        <v>4.9700000000000001E-2</v>
      </c>
      <c r="G22" s="15"/>
      <c r="H22" s="16">
        <f>D22/SUM(D22,D23,D5:D12)</f>
        <v>0.38094296728279137</v>
      </c>
      <c r="I22" s="15"/>
      <c r="J22" s="15">
        <f>F22*H22</f>
        <v>1.893286547395473E-2</v>
      </c>
    </row>
    <row r="23" spans="1:11">
      <c r="B23" s="18"/>
      <c r="C23" s="15"/>
      <c r="D23" s="15">
        <f>H36</f>
        <v>385</v>
      </c>
      <c r="E23" s="15"/>
      <c r="F23" s="17">
        <f>I36</f>
        <v>5.45E-2</v>
      </c>
      <c r="G23" s="15"/>
      <c r="H23" s="16">
        <f>D23/SUM(D23,D22,D6:D12)</f>
        <v>3.8581020142298826E-2</v>
      </c>
      <c r="I23" s="15"/>
      <c r="J23" s="15">
        <f>F23*H23</f>
        <v>2.1026655977552859E-3</v>
      </c>
    </row>
    <row r="25" spans="1:11">
      <c r="A25" t="s">
        <v>69</v>
      </c>
      <c r="J25" s="409">
        <f>IF(A22="NO",SUM(J5:J12),SUM(J5:J12,J22,J23))</f>
        <v>4.2803306103834163E-2</v>
      </c>
      <c r="K25" s="437" t="s">
        <v>58</v>
      </c>
    </row>
    <row r="26" spans="1:11">
      <c r="A26" t="s">
        <v>70</v>
      </c>
    </row>
    <row r="27" spans="1:11">
      <c r="F27"/>
    </row>
    <row r="28" spans="1:11">
      <c r="B28" s="433" t="s">
        <v>601</v>
      </c>
      <c r="C28" s="434"/>
      <c r="D28" s="436"/>
      <c r="F28"/>
    </row>
    <row r="29" spans="1:11" ht="30">
      <c r="B29" s="511" t="s">
        <v>5</v>
      </c>
      <c r="C29" s="5" t="s">
        <v>24</v>
      </c>
      <c r="D29" s="512" t="s">
        <v>31</v>
      </c>
      <c r="F29"/>
    </row>
    <row r="30" spans="1:11">
      <c r="B30" s="513" t="s">
        <v>8</v>
      </c>
      <c r="C30" s="395"/>
      <c r="D30" s="514"/>
      <c r="F30"/>
    </row>
    <row r="31" spans="1:11">
      <c r="B31" s="399" t="s">
        <v>9</v>
      </c>
      <c r="C31" s="395"/>
      <c r="D31" s="515">
        <v>53097</v>
      </c>
      <c r="F31"/>
    </row>
    <row r="32" spans="1:11">
      <c r="B32" s="399" t="s">
        <v>10</v>
      </c>
      <c r="C32" s="395"/>
      <c r="D32" s="515">
        <v>191</v>
      </c>
      <c r="F32"/>
    </row>
    <row r="33" spans="1:11">
      <c r="B33" s="513" t="s">
        <v>11</v>
      </c>
      <c r="C33" s="395"/>
      <c r="D33" s="516">
        <v>53288</v>
      </c>
      <c r="F33"/>
    </row>
    <row r="34" spans="1:11">
      <c r="B34" s="399" t="s">
        <v>12</v>
      </c>
      <c r="C34" s="395" t="s">
        <v>25</v>
      </c>
      <c r="D34" s="515">
        <v>6695</v>
      </c>
      <c r="E34">
        <v>1</v>
      </c>
      <c r="F34"/>
    </row>
    <row r="35" spans="1:11">
      <c r="B35" s="517" t="s">
        <v>14</v>
      </c>
      <c r="C35" s="395" t="s">
        <v>26</v>
      </c>
      <c r="D35" s="515">
        <v>388</v>
      </c>
      <c r="E35">
        <v>0</v>
      </c>
      <c r="F35"/>
    </row>
    <row r="36" spans="1:11">
      <c r="B36" s="399" t="s">
        <v>13</v>
      </c>
      <c r="C36" s="395" t="s">
        <v>27</v>
      </c>
      <c r="D36" s="515">
        <v>9326</v>
      </c>
      <c r="E36">
        <v>1</v>
      </c>
      <c r="F36">
        <v>3854</v>
      </c>
      <c r="G36" s="13">
        <v>4.9700000000000001E-2</v>
      </c>
      <c r="H36">
        <v>385</v>
      </c>
      <c r="I36" s="13">
        <v>5.45E-2</v>
      </c>
      <c r="J36" t="s">
        <v>71</v>
      </c>
    </row>
    <row r="37" spans="1:11">
      <c r="B37" s="399" t="s">
        <v>15</v>
      </c>
      <c r="C37" s="395" t="s">
        <v>28</v>
      </c>
      <c r="D37" s="515">
        <v>3808</v>
      </c>
      <c r="E37">
        <v>0</v>
      </c>
      <c r="F37"/>
    </row>
    <row r="38" spans="1:11">
      <c r="B38" s="513" t="s">
        <v>16</v>
      </c>
      <c r="C38" s="395"/>
      <c r="D38" s="516">
        <v>20217</v>
      </c>
      <c r="F38"/>
    </row>
    <row r="39" spans="1:11">
      <c r="B39" s="399" t="s">
        <v>17</v>
      </c>
      <c r="C39" s="395"/>
      <c r="D39" s="515">
        <v>2800</v>
      </c>
      <c r="E39">
        <v>0</v>
      </c>
      <c r="F39"/>
    </row>
    <row r="40" spans="1:11">
      <c r="B40" s="399" t="s">
        <v>18</v>
      </c>
      <c r="C40" s="395" t="s">
        <v>29</v>
      </c>
      <c r="D40" s="515">
        <v>5624</v>
      </c>
      <c r="E40">
        <v>0</v>
      </c>
      <c r="F40"/>
    </row>
    <row r="41" spans="1:11" ht="30">
      <c r="B41" s="517" t="s">
        <v>19</v>
      </c>
      <c r="C41" s="395" t="s">
        <v>26</v>
      </c>
      <c r="D41" s="515">
        <v>98</v>
      </c>
      <c r="E41">
        <v>0</v>
      </c>
      <c r="F41"/>
    </row>
    <row r="42" spans="1:11">
      <c r="B42" s="399" t="s">
        <v>20</v>
      </c>
      <c r="C42" s="395" t="s">
        <v>25</v>
      </c>
      <c r="D42" s="515">
        <v>1565</v>
      </c>
      <c r="E42">
        <v>1</v>
      </c>
      <c r="F42"/>
    </row>
    <row r="43" spans="1:11">
      <c r="B43" s="513" t="s">
        <v>21</v>
      </c>
      <c r="C43" s="395"/>
      <c r="D43" s="516">
        <v>10087</v>
      </c>
      <c r="F43"/>
      <c r="J43" s="508" t="s">
        <v>1</v>
      </c>
      <c r="K43" s="508">
        <v>62444.25</v>
      </c>
    </row>
    <row r="44" spans="1:11">
      <c r="B44" s="399" t="s">
        <v>22</v>
      </c>
      <c r="C44" s="395" t="s">
        <v>30</v>
      </c>
      <c r="D44" s="515">
        <v>1672</v>
      </c>
      <c r="F44"/>
      <c r="J44" s="508" t="s">
        <v>292</v>
      </c>
      <c r="K44" s="509">
        <f>D34+D42+'Operating lease converter'!F64+H36+F36</f>
        <v>12499</v>
      </c>
    </row>
    <row r="45" spans="1:11">
      <c r="B45" s="518" t="s">
        <v>23</v>
      </c>
      <c r="C45" s="6"/>
      <c r="D45" s="519">
        <v>85264</v>
      </c>
      <c r="F45"/>
      <c r="J45" s="508" t="s">
        <v>291</v>
      </c>
      <c r="K45" s="509">
        <f>K43+K44</f>
        <v>74943.25</v>
      </c>
    </row>
    <row r="46" spans="1:11">
      <c r="B46"/>
      <c r="F46"/>
    </row>
    <row r="47" spans="1:11">
      <c r="B47" s="520" t="s">
        <v>57</v>
      </c>
      <c r="C47" s="510"/>
      <c r="D47" s="521">
        <f>D34+D42</f>
        <v>8260</v>
      </c>
      <c r="E47" s="510"/>
      <c r="F47" s="525">
        <f>D47+F36+H36</f>
        <v>12499</v>
      </c>
    </row>
    <row r="48" spans="1:11">
      <c r="A48" t="s">
        <v>59</v>
      </c>
      <c r="B48" s="399" t="s">
        <v>567</v>
      </c>
      <c r="C48" s="395"/>
      <c r="D48" s="395">
        <v>392</v>
      </c>
      <c r="E48" s="395"/>
      <c r="F48" s="514">
        <v>392</v>
      </c>
    </row>
    <row r="49" spans="1:6">
      <c r="B49" s="401" t="s">
        <v>566</v>
      </c>
      <c r="C49" s="522"/>
      <c r="D49" s="523">
        <f>D48/D47</f>
        <v>4.7457627118644069E-2</v>
      </c>
      <c r="E49" s="522"/>
      <c r="F49" s="524">
        <f>F48/F47</f>
        <v>3.136250900072006E-2</v>
      </c>
    </row>
    <row r="50" spans="1:6">
      <c r="B50"/>
      <c r="F50"/>
    </row>
    <row r="51" spans="1:6">
      <c r="A51" t="s">
        <v>59</v>
      </c>
      <c r="B51" s="2" t="s">
        <v>60</v>
      </c>
      <c r="F51"/>
    </row>
    <row r="52" spans="1:6">
      <c r="B52"/>
      <c r="F52"/>
    </row>
  </sheetData>
  <phoneticPr fontId="38" type="noConversion"/>
  <conditionalFormatting sqref="E30:E44">
    <cfRule type="iconSet" priority="1">
      <iconSet iconSet="3Symbols2" showValue="0">
        <cfvo type="percent" val="0"/>
        <cfvo type="percent" val="33"/>
        <cfvo type="percent" val="67"/>
      </iconSet>
    </cfRule>
  </conditionalFormatting>
  <dataValidations count="1">
    <dataValidation type="list" allowBlank="1" showInputMessage="1" showErrorMessage="1" sqref="A22">
      <formula1>$A$25:$A$26</formula1>
    </dataValidation>
  </dataValidations>
  <pageMargins left="0.7" right="0.7" top="0.75" bottom="0.75" header="0.3" footer="0.3"/>
  <pageSetup paperSize="9" orientation="portrait"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B2:F11"/>
  <sheetViews>
    <sheetView workbookViewId="0">
      <selection activeCell="D5" sqref="D5"/>
    </sheetView>
  </sheetViews>
  <sheetFormatPr baseColWidth="10" defaultColWidth="11.42578125" defaultRowHeight="12.75"/>
  <cols>
    <col min="1" max="16384" width="11.42578125" style="167"/>
  </cols>
  <sheetData>
    <row r="2" spans="2:6">
      <c r="B2" s="167" t="s">
        <v>284</v>
      </c>
      <c r="D2" s="241">
        <v>0.33329999999999999</v>
      </c>
    </row>
    <row r="4" spans="2:6">
      <c r="B4" s="167" t="s">
        <v>313</v>
      </c>
      <c r="D4" s="242">
        <f>'Cost of Equity'!G35</f>
        <v>62444.25</v>
      </c>
    </row>
    <row r="5" spans="2:6">
      <c r="B5" s="167" t="s">
        <v>314</v>
      </c>
      <c r="D5" s="242">
        <f>'Cost of Equity'!G36</f>
        <v>13587.532915797365</v>
      </c>
      <c r="E5" s="236">
        <f>D5/D6</f>
        <v>0.17870859257430671</v>
      </c>
    </row>
    <row r="6" spans="2:6">
      <c r="D6" s="242">
        <f>D4+D5</f>
        <v>76031.782915797361</v>
      </c>
    </row>
    <row r="8" spans="2:6">
      <c r="B8" s="167" t="s">
        <v>315</v>
      </c>
      <c r="D8" s="243">
        <f>'Cost of Equity'!B37</f>
        <v>4.0370544515913154E-2</v>
      </c>
      <c r="E8" s="241">
        <v>0.1003</v>
      </c>
      <c r="F8" s="532" t="s">
        <v>604</v>
      </c>
    </row>
    <row r="9" spans="2:6">
      <c r="B9" s="167" t="s">
        <v>58</v>
      </c>
      <c r="D9" s="187">
        <f>'Cost of Debt'!J25</f>
        <v>4.2803306103834163E-2</v>
      </c>
    </row>
    <row r="11" spans="2:6">
      <c r="B11" s="167" t="s">
        <v>316</v>
      </c>
      <c r="D11" s="187">
        <f>D4/D6*E8+D5/D6*D9*(1-D2)</f>
        <v>8.7475328869645708E-2</v>
      </c>
      <c r="E11" s="243">
        <f>D4/D6*D8+D5/D6*D9*(1-D2)</f>
        <v>3.8255782028864586E-2</v>
      </c>
    </row>
  </sheetData>
  <phoneticPr fontId="38"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
  <sheetViews>
    <sheetView workbookViewId="0">
      <selection activeCell="E9" sqref="E9"/>
    </sheetView>
  </sheetViews>
  <sheetFormatPr baseColWidth="10" defaultRowHeight="15"/>
  <cols>
    <col min="1" max="16384" width="11.42578125" style="526"/>
  </cols>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S112"/>
  <sheetViews>
    <sheetView showGridLines="0" zoomScale="85" zoomScaleNormal="85" workbookViewId="0">
      <selection activeCell="N8" sqref="N8"/>
    </sheetView>
  </sheetViews>
  <sheetFormatPr baseColWidth="10" defaultColWidth="10.7109375" defaultRowHeight="15"/>
  <sheetData>
    <row r="1" spans="1:19">
      <c r="A1" s="46"/>
      <c r="B1" s="46"/>
      <c r="C1" s="46"/>
      <c r="D1" s="46"/>
      <c r="E1" s="46"/>
      <c r="F1" s="46"/>
      <c r="G1" s="46"/>
      <c r="H1" s="46"/>
      <c r="I1" s="46"/>
      <c r="J1" s="46"/>
      <c r="K1" s="46"/>
      <c r="L1" s="46"/>
      <c r="M1" s="46"/>
      <c r="S1" t="s">
        <v>322</v>
      </c>
    </row>
    <row r="2" spans="1:19">
      <c r="A2" s="46"/>
      <c r="B2" s="46"/>
      <c r="C2" s="46"/>
      <c r="D2" s="46"/>
      <c r="E2" s="189" t="s">
        <v>321</v>
      </c>
      <c r="F2" s="46"/>
      <c r="G2" s="46"/>
      <c r="H2" s="188" t="s">
        <v>322</v>
      </c>
      <c r="I2" s="46"/>
      <c r="J2" s="46"/>
      <c r="K2" s="46"/>
      <c r="L2" s="46"/>
      <c r="M2" s="46"/>
      <c r="S2" t="s">
        <v>323</v>
      </c>
    </row>
    <row r="3" spans="1:19">
      <c r="A3" s="46"/>
      <c r="B3" s="46"/>
      <c r="C3" s="46"/>
      <c r="D3" s="46"/>
      <c r="E3" s="46"/>
      <c r="F3" s="46"/>
      <c r="G3" s="46"/>
      <c r="H3" s="46"/>
      <c r="I3" s="46"/>
      <c r="J3" s="46"/>
      <c r="K3" s="46"/>
      <c r="L3" s="46"/>
      <c r="M3" s="46"/>
    </row>
    <row r="4" spans="1:19">
      <c r="A4" s="45" t="s">
        <v>320</v>
      </c>
      <c r="B4" s="46"/>
      <c r="C4" s="46"/>
      <c r="D4" s="46"/>
      <c r="E4" s="46"/>
      <c r="F4" s="46"/>
      <c r="G4" s="46"/>
      <c r="H4" s="46"/>
      <c r="I4" s="46"/>
      <c r="J4" s="46"/>
      <c r="K4" s="46"/>
      <c r="L4" s="46"/>
      <c r="M4" s="46"/>
    </row>
    <row r="5" spans="1:19" ht="18">
      <c r="A5" s="47" t="s">
        <v>319</v>
      </c>
      <c r="B5" s="48"/>
      <c r="C5" s="48"/>
      <c r="D5" s="49" t="s">
        <v>94</v>
      </c>
      <c r="E5" s="49"/>
      <c r="F5" s="49" t="s">
        <v>95</v>
      </c>
      <c r="G5" s="49"/>
      <c r="H5" s="49"/>
      <c r="I5" s="50"/>
      <c r="J5" s="50"/>
      <c r="K5" s="50"/>
      <c r="L5" s="50"/>
      <c r="M5" s="50"/>
    </row>
    <row r="6" spans="1:19">
      <c r="A6" s="51" t="s">
        <v>103</v>
      </c>
      <c r="B6" s="52"/>
      <c r="C6" s="52"/>
      <c r="D6" s="53">
        <v>2006</v>
      </c>
      <c r="E6" s="53">
        <v>2007</v>
      </c>
      <c r="F6" s="53">
        <v>2008</v>
      </c>
      <c r="G6" s="53">
        <v>2009</v>
      </c>
      <c r="H6" s="53">
        <v>2010</v>
      </c>
      <c r="I6" s="52">
        <v>2011</v>
      </c>
      <c r="J6" s="52">
        <v>2012</v>
      </c>
      <c r="K6" s="52">
        <v>2013</v>
      </c>
      <c r="L6" s="52">
        <v>2014</v>
      </c>
      <c r="M6" s="52">
        <v>2015</v>
      </c>
    </row>
    <row r="8" spans="1:19" ht="16.5" thickBot="1">
      <c r="B8" s="33" t="s">
        <v>560</v>
      </c>
      <c r="C8" s="34"/>
      <c r="D8" s="35"/>
      <c r="E8" s="35"/>
      <c r="F8" s="35"/>
      <c r="G8" s="35"/>
      <c r="H8" s="35"/>
      <c r="I8" s="35"/>
      <c r="J8" s="35"/>
      <c r="K8" s="35"/>
      <c r="L8" s="35"/>
      <c r="M8" s="43"/>
    </row>
    <row r="9" spans="1:19" ht="15.75">
      <c r="B9" s="561"/>
      <c r="C9" s="562"/>
      <c r="D9" s="53">
        <v>2006</v>
      </c>
      <c r="E9" s="53">
        <v>2007</v>
      </c>
      <c r="F9" s="53">
        <v>2008</v>
      </c>
      <c r="G9" s="53">
        <v>2009</v>
      </c>
      <c r="H9" s="53">
        <v>2010</v>
      </c>
      <c r="I9" s="52">
        <v>2011</v>
      </c>
      <c r="J9" s="52">
        <v>2012</v>
      </c>
      <c r="K9" s="52">
        <v>2013</v>
      </c>
      <c r="L9" s="52">
        <v>2014</v>
      </c>
      <c r="M9" s="52">
        <v>2015</v>
      </c>
    </row>
    <row r="10" spans="1:19">
      <c r="B10" s="65" t="s">
        <v>303</v>
      </c>
      <c r="C10" s="29"/>
      <c r="D10" s="31"/>
      <c r="E10" s="31"/>
      <c r="F10" s="31"/>
      <c r="G10" s="31"/>
      <c r="H10" s="31"/>
      <c r="I10" s="31"/>
      <c r="J10" s="31"/>
      <c r="K10" s="31"/>
      <c r="L10" s="31"/>
      <c r="M10" s="44"/>
    </row>
    <row r="11" spans="1:19">
      <c r="B11" s="36" t="s">
        <v>304</v>
      </c>
      <c r="C11" s="31"/>
      <c r="D11" s="220" t="s">
        <v>311</v>
      </c>
      <c r="E11" s="221">
        <f>'Income Statement'!E7/'Income Statement'!D7-1</f>
        <v>-1.1313572762837953E-2</v>
      </c>
      <c r="F11" s="221">
        <f>'Income Statement'!F7/'Income Statement'!E7-1</f>
        <v>-1.7253671752459732E-2</v>
      </c>
      <c r="G11" s="221">
        <f>'Income Statement'!G7/'Income Statement'!F7-1</f>
        <v>6.3044109112013968E-2</v>
      </c>
      <c r="H11" s="221">
        <f>'Income Statement'!H7/'Income Statement'!G7-1</f>
        <v>3.6784276257421755E-2</v>
      </c>
      <c r="I11" s="238">
        <f>H11-(G11-H11)</f>
        <v>1.0524443402829542E-2</v>
      </c>
      <c r="J11" s="559">
        <f>I11+5%</f>
        <v>6.0524443402829545E-2</v>
      </c>
      <c r="K11" s="238">
        <v>1.0999999999999999E-2</v>
      </c>
      <c r="L11" s="559">
        <v>6.0999999999999999E-2</v>
      </c>
      <c r="M11" s="537">
        <v>1.0999999999999999E-2</v>
      </c>
      <c r="O11" t="s">
        <v>344</v>
      </c>
    </row>
    <row r="12" spans="1:19">
      <c r="B12" s="36" t="s">
        <v>312</v>
      </c>
      <c r="C12" s="31"/>
      <c r="D12" s="220" t="s">
        <v>311</v>
      </c>
      <c r="E12" s="221">
        <f>'Income Statement'!E8/'Income Statement'!D8-1</f>
        <v>3.4946236559139754E-2</v>
      </c>
      <c r="F12" s="221">
        <f>'Income Statement'!F8/'Income Statement'!E8-1</f>
        <v>8.1385281385281338E-2</v>
      </c>
      <c r="G12" s="221">
        <f>'Income Statement'!G8/'Income Statement'!F8-1</f>
        <v>0.15532425940752592</v>
      </c>
      <c r="H12" s="221">
        <f>'Income Statement'!H8/'Income Statement'!G8-1</f>
        <v>0.14414414414414423</v>
      </c>
      <c r="I12" s="238">
        <f>AVERAGE($E$12:$H$12)</f>
        <v>0.10394998037402281</v>
      </c>
      <c r="J12" s="238">
        <f t="shared" ref="J12:M12" si="0">AVERAGE($E$12:$H$12)</f>
        <v>0.10394998037402281</v>
      </c>
      <c r="K12" s="238">
        <f t="shared" si="0"/>
        <v>0.10394998037402281</v>
      </c>
      <c r="L12" s="238">
        <f t="shared" si="0"/>
        <v>0.10394998037402281</v>
      </c>
      <c r="M12" s="538">
        <f t="shared" si="0"/>
        <v>0.10394998037402281</v>
      </c>
      <c r="O12" t="s">
        <v>335</v>
      </c>
    </row>
    <row r="13" spans="1:19">
      <c r="B13" s="36" t="s">
        <v>305</v>
      </c>
      <c r="C13" s="31"/>
      <c r="D13" s="221">
        <f>-'Income Statement'!D9/'Income Statement'!D7</f>
        <v>0.26740210763754274</v>
      </c>
      <c r="E13" s="221">
        <f>-'Income Statement'!E9/'Income Statement'!E7</f>
        <v>0.26989162983031512</v>
      </c>
      <c r="F13" s="221">
        <f>-'Income Statement'!F9/'Income Statement'!F7</f>
        <v>0.26614190365641321</v>
      </c>
      <c r="G13" s="221">
        <f>-'Income Statement'!G9/'Income Statement'!G7</f>
        <v>0.26888691735480791</v>
      </c>
      <c r="H13" s="221">
        <f>-'Income Statement'!H9/'Income Statement'!H7</f>
        <v>0.28689441811479727</v>
      </c>
      <c r="I13" s="238">
        <f>AVERAGE($D$13:$H$13)</f>
        <v>0.27184339531877522</v>
      </c>
      <c r="J13" s="238">
        <f t="shared" ref="J13:M13" si="1">AVERAGE($D$13:$H$13)</f>
        <v>0.27184339531877522</v>
      </c>
      <c r="K13" s="238">
        <f t="shared" si="1"/>
        <v>0.27184339531877522</v>
      </c>
      <c r="L13" s="238">
        <f t="shared" si="1"/>
        <v>0.27184339531877522</v>
      </c>
      <c r="M13" s="538">
        <f t="shared" si="1"/>
        <v>0.27184339531877522</v>
      </c>
      <c r="O13" t="s">
        <v>587</v>
      </c>
    </row>
    <row r="14" spans="1:19">
      <c r="B14" s="36" t="s">
        <v>306</v>
      </c>
      <c r="C14" s="31"/>
      <c r="D14" s="221">
        <f>-'Income Statement'!D10/'Income Statement'!D7</f>
        <v>0.28266309519613719</v>
      </c>
      <c r="E14" s="221">
        <f>-'Income Statement'!E10/'Income Statement'!E7</f>
        <v>0.26928561243405102</v>
      </c>
      <c r="F14" s="221">
        <f>-'Income Statement'!F10/'Income Statement'!F7</f>
        <v>0.2600116076610563</v>
      </c>
      <c r="G14" s="221">
        <f>-'Income Statement'!G10/'Income Statement'!G7</f>
        <v>0.24994881594212789</v>
      </c>
      <c r="H14" s="221">
        <f>-'Income Statement'!H10/'Income Statement'!H7</f>
        <v>0.24904555028962611</v>
      </c>
      <c r="I14" s="238">
        <f>(I6-$D$6)*(-0.0087)+0.2882</f>
        <v>0.24470000000000003</v>
      </c>
      <c r="J14" s="238">
        <f>(J6-$D$6)*(-0.0087)+0.2882</f>
        <v>0.23600000000000002</v>
      </c>
      <c r="K14" s="238">
        <f>(K6-$D$6)*(-0.0087)+0.2882</f>
        <v>0.2273</v>
      </c>
      <c r="L14" s="238">
        <f>(L6-$D$6)*(-0.0087)+0.2882</f>
        <v>0.21860000000000002</v>
      </c>
      <c r="M14" s="538">
        <f>(M6-$D$6)*(-0.0087)+0.2882</f>
        <v>0.20990000000000003</v>
      </c>
      <c r="O14" t="s">
        <v>609</v>
      </c>
    </row>
    <row r="15" spans="1:19">
      <c r="B15" s="36" t="s">
        <v>345</v>
      </c>
      <c r="C15" s="31"/>
      <c r="D15" s="220">
        <f>-'Income Statement'!D11/'Income Statement'!D7</f>
        <v>0.15613435308215556</v>
      </c>
      <c r="E15" s="220">
        <f>-'Income Statement'!E11/'Income Statement'!E7</f>
        <v>0.16173534863824326</v>
      </c>
      <c r="F15" s="220">
        <f>-'Income Statement'!F11/'Income Statement'!F7</f>
        <v>0.1659532791642484</v>
      </c>
      <c r="G15" s="220">
        <f>-'Income Statement'!G11/'Income Statement'!G7</f>
        <v>0.15638435815191429</v>
      </c>
      <c r="H15" s="220">
        <f>-'Income Statement'!H11/'Income Statement'!H7</f>
        <v>0.14484597156398105</v>
      </c>
      <c r="I15" s="238">
        <f>AVERAGE(D15:H15)</f>
        <v>0.15701066212010853</v>
      </c>
      <c r="J15" s="559">
        <f>I15+0.02</f>
        <v>0.17701066212010852</v>
      </c>
      <c r="K15" s="238">
        <f>AVERAGE(F15:J15)</f>
        <v>0.16024098662407216</v>
      </c>
      <c r="L15" s="559">
        <f>K15+0.02</f>
        <v>0.18024098662407215</v>
      </c>
      <c r="M15" s="538">
        <f>AVERAGE(H15:L15)</f>
        <v>0.16386985381046848</v>
      </c>
      <c r="O15" t="s">
        <v>610</v>
      </c>
    </row>
    <row r="16" spans="1:19">
      <c r="B16" s="36" t="s">
        <v>283</v>
      </c>
      <c r="C16" s="31"/>
      <c r="D16" s="221">
        <f>'Free Cash Flow'!D14</f>
        <v>0.17</v>
      </c>
      <c r="E16" s="221">
        <f>'Free Cash Flow'!E14</f>
        <v>0.12</v>
      </c>
      <c r="F16" s="221">
        <f>'Free Cash Flow'!F14</f>
        <v>0.16</v>
      </c>
      <c r="G16" s="221">
        <f>'Free Cash Flow'!G14</f>
        <v>0.22</v>
      </c>
      <c r="H16" s="221">
        <f>'Free Cash Flow'!H14</f>
        <v>0.22</v>
      </c>
      <c r="I16" s="238">
        <v>0.33</v>
      </c>
      <c r="J16" s="238">
        <v>0.33</v>
      </c>
      <c r="K16" s="238">
        <v>0.33</v>
      </c>
      <c r="L16" s="238">
        <v>0.33</v>
      </c>
      <c r="M16" s="538">
        <v>0.33</v>
      </c>
    </row>
    <row r="17" spans="2:15">
      <c r="B17" s="36"/>
      <c r="C17" s="31"/>
      <c r="D17" s="235"/>
      <c r="E17" s="235"/>
      <c r="F17" s="235"/>
      <c r="G17" s="235"/>
      <c r="H17" s="235"/>
      <c r="I17" s="239"/>
      <c r="J17" s="239"/>
      <c r="K17" s="239"/>
      <c r="L17" s="239"/>
      <c r="M17" s="539"/>
    </row>
    <row r="18" spans="2:15">
      <c r="B18" s="65" t="s">
        <v>326</v>
      </c>
      <c r="C18" s="29"/>
      <c r="D18" s="31"/>
      <c r="E18" s="31"/>
      <c r="F18" s="31"/>
      <c r="G18" s="31"/>
      <c r="H18" s="31"/>
      <c r="I18" s="239"/>
      <c r="J18" s="239"/>
      <c r="K18" s="239"/>
      <c r="L18" s="239"/>
      <c r="M18" s="539"/>
    </row>
    <row r="19" spans="2:15">
      <c r="B19" s="36" t="s">
        <v>308</v>
      </c>
      <c r="C19" s="29"/>
      <c r="D19" s="221">
        <f>'Balance Sheet'!D47/'Income Statement'!D7</f>
        <v>0.11570859620061326</v>
      </c>
      <c r="E19" s="221">
        <f>'Balance Sheet'!E47/'Income Statement'!E7</f>
        <v>0.12049051761015257</v>
      </c>
      <c r="F19" s="221">
        <f>'Balance Sheet'!F47/'Income Statement'!F7</f>
        <v>0.13294399303540336</v>
      </c>
      <c r="G19" s="221">
        <f>'Balance Sheet'!G47/'Income Statement'!G7</f>
        <v>0.16177574558110966</v>
      </c>
      <c r="H19" s="221">
        <f>'Balance Sheet'!H47/'Income Statement'!H7</f>
        <v>0.16640337019483939</v>
      </c>
      <c r="I19" s="238">
        <f>H19+AVERAGE(E19-D19,F19-E19)</f>
        <v>0.17502106861223443</v>
      </c>
      <c r="J19" s="238">
        <f>I19+G19-F19</f>
        <v>0.20385282115794071</v>
      </c>
      <c r="K19" s="238">
        <f>J19+0.004</f>
        <v>0.20785282115794071</v>
      </c>
      <c r="L19" s="238">
        <f>K19+0.013</f>
        <v>0.22085282115794072</v>
      </c>
      <c r="M19" s="538">
        <f>L19+AVERAGE(K19-J19,L19-K19)</f>
        <v>0.22935282115794073</v>
      </c>
      <c r="O19" t="s">
        <v>309</v>
      </c>
    </row>
    <row r="20" spans="2:15">
      <c r="B20" s="36"/>
      <c r="C20" s="29"/>
      <c r="D20" s="221"/>
      <c r="E20" s="221"/>
      <c r="F20" s="221"/>
      <c r="G20" s="221"/>
      <c r="H20" s="221"/>
      <c r="I20" s="238"/>
      <c r="J20" s="238"/>
      <c r="K20" s="238"/>
      <c r="L20" s="238"/>
      <c r="M20" s="538"/>
    </row>
    <row r="21" spans="2:15">
      <c r="B21" s="65" t="s">
        <v>127</v>
      </c>
      <c r="C21" s="29"/>
      <c r="D21" s="221"/>
      <c r="E21" s="221"/>
      <c r="F21" s="221"/>
      <c r="G21" s="221"/>
      <c r="H21" s="221"/>
      <c r="I21" s="238"/>
      <c r="J21" s="238"/>
      <c r="K21" s="238"/>
      <c r="L21" s="238"/>
      <c r="M21" s="538"/>
    </row>
    <row r="22" spans="2:15">
      <c r="B22" s="36" t="s">
        <v>310</v>
      </c>
      <c r="C22" s="31"/>
      <c r="D22" s="220" t="s">
        <v>311</v>
      </c>
      <c r="E22" s="221">
        <f>'Cash Flow Statement'!E7/'Cash Flow Statement'!D7-1</f>
        <v>-0.23703582529036482</v>
      </c>
      <c r="F22" s="221">
        <f>'Cash Flow Statement'!F7/'Cash Flow Statement'!E7-1</f>
        <v>0.28323327615780447</v>
      </c>
      <c r="G22" s="221">
        <f>'Cash Flow Statement'!G7/'Cash Flow Statement'!F7-1</f>
        <v>-0.16274018379281541</v>
      </c>
      <c r="H22" s="221">
        <f>'Cash Flow Statement'!H7/'Cash Flow Statement'!G7-1</f>
        <v>2.3548193973258913E-2</v>
      </c>
      <c r="I22" s="238">
        <f>AVERAGE($E$22:$H$22)</f>
        <v>-2.3248634738029211E-2</v>
      </c>
      <c r="J22" s="238">
        <f t="shared" ref="J22:M22" si="2">AVERAGE($E$22:$H$22)</f>
        <v>-2.3248634738029211E-2</v>
      </c>
      <c r="K22" s="238">
        <f t="shared" si="2"/>
        <v>-2.3248634738029211E-2</v>
      </c>
      <c r="L22" s="238">
        <f t="shared" si="2"/>
        <v>-2.3248634738029211E-2</v>
      </c>
      <c r="M22" s="538">
        <f t="shared" si="2"/>
        <v>-2.3248634738029211E-2</v>
      </c>
      <c r="O22" t="s">
        <v>336</v>
      </c>
    </row>
    <row r="23" spans="2:15">
      <c r="B23" s="36"/>
      <c r="C23" s="31"/>
      <c r="D23" s="220"/>
      <c r="E23" s="221"/>
      <c r="F23" s="221"/>
      <c r="G23" s="221"/>
      <c r="H23" s="221"/>
      <c r="I23" s="238"/>
      <c r="J23" s="238"/>
      <c r="K23" s="238"/>
      <c r="L23" s="238"/>
      <c r="M23" s="538"/>
    </row>
    <row r="24" spans="2:15">
      <c r="B24" s="36" t="s">
        <v>330</v>
      </c>
      <c r="C24" s="31"/>
      <c r="D24" s="220">
        <f>-'Cash Flow Statement'!D9/'Income Statement'!D7</f>
        <v>5.1245902794910654E-2</v>
      </c>
      <c r="E24" s="220">
        <f>-'Cash Flow Statement'!E9/'Income Statement'!E7</f>
        <v>5.7393412234421785E-2</v>
      </c>
      <c r="F24" s="220">
        <f>-'Cash Flow Statement'!F9/'Income Statement'!F7</f>
        <v>5.8255948926291351E-2</v>
      </c>
      <c r="G24" s="220">
        <f>-'Cash Flow Statement'!G9/'Income Statement'!G7</f>
        <v>6.0909028867808641E-2</v>
      </c>
      <c r="H24" s="220">
        <f>-'Cash Flow Statement'!H9/'Income Statement'!H7</f>
        <v>5.1770668773038445E-2</v>
      </c>
      <c r="I24" s="238">
        <f>AVERAGE($D$24:$H$24)</f>
        <v>5.5914992319294178E-2</v>
      </c>
      <c r="J24" s="238">
        <f t="shared" ref="J24:M24" si="3">AVERAGE($D$24:$H$24)</f>
        <v>5.5914992319294178E-2</v>
      </c>
      <c r="K24" s="238">
        <f t="shared" si="3"/>
        <v>5.5914992319294178E-2</v>
      </c>
      <c r="L24" s="238">
        <f t="shared" si="3"/>
        <v>5.5914992319294178E-2</v>
      </c>
      <c r="M24" s="538">
        <f t="shared" si="3"/>
        <v>5.5914992319294178E-2</v>
      </c>
      <c r="O24" t="s">
        <v>333</v>
      </c>
    </row>
    <row r="25" spans="2:15">
      <c r="B25" s="36" t="s">
        <v>331</v>
      </c>
      <c r="C25" s="31"/>
      <c r="D25" s="220">
        <f>-'Cash Flow Statement'!D10/'Income Statement'!D7</f>
        <v>1.793959045571494E-2</v>
      </c>
      <c r="E25" s="220">
        <f>-'Cash Flow Statement'!E10/'Income Statement'!E7</f>
        <v>7.6286895765007839E-3</v>
      </c>
      <c r="F25" s="220">
        <f>-'Cash Flow Statement'!F10/'Income Statement'!F7</f>
        <v>2.3977074869413813E-2</v>
      </c>
      <c r="G25" s="220">
        <f>-'Cash Flow Statement'!G10/'Income Statement'!G7</f>
        <v>0.1898246092950249</v>
      </c>
      <c r="H25" s="220">
        <f>-'Cash Flow Statement'!H10/'Income Statement'!H7</f>
        <v>5.4601105845181672E-2</v>
      </c>
      <c r="I25" s="238">
        <f>AVERAGE($H$25,$F$25,$E$25,$D$25)</f>
        <v>2.6036615186702805E-2</v>
      </c>
      <c r="J25" s="559">
        <v>0.21</v>
      </c>
      <c r="K25" s="238">
        <f>AVERAGE($H$25,$F$25,$E$25,$D$25)</f>
        <v>2.6036615186702805E-2</v>
      </c>
      <c r="L25" s="559">
        <v>0.21</v>
      </c>
      <c r="M25" s="538">
        <f>AVERAGE($H$25,$F$25,$E$25,$D$25)</f>
        <v>2.6036615186702805E-2</v>
      </c>
      <c r="O25" t="s">
        <v>334</v>
      </c>
    </row>
    <row r="26" spans="2:15">
      <c r="B26" s="541" t="s">
        <v>307</v>
      </c>
      <c r="C26" s="542"/>
      <c r="D26" s="543">
        <f>SUM(D24,D25)</f>
        <v>6.918549325062559E-2</v>
      </c>
      <c r="E26" s="543">
        <f t="shared" ref="E26:M26" si="4">SUM(E24,E25)</f>
        <v>6.5022101810922564E-2</v>
      </c>
      <c r="F26" s="543">
        <f t="shared" si="4"/>
        <v>8.2233023795705157E-2</v>
      </c>
      <c r="G26" s="543">
        <f t="shared" si="4"/>
        <v>0.25073363816283356</v>
      </c>
      <c r="H26" s="543">
        <f t="shared" si="4"/>
        <v>0.10637177461822012</v>
      </c>
      <c r="I26" s="544">
        <f t="shared" si="4"/>
        <v>8.1951607505996976E-2</v>
      </c>
      <c r="J26" s="544">
        <f t="shared" si="4"/>
        <v>0.26591499231929416</v>
      </c>
      <c r="K26" s="544">
        <f t="shared" si="4"/>
        <v>8.1951607505996976E-2</v>
      </c>
      <c r="L26" s="544">
        <f t="shared" si="4"/>
        <v>0.26591499231929416</v>
      </c>
      <c r="M26" s="545">
        <f t="shared" si="4"/>
        <v>8.1951607505996976E-2</v>
      </c>
      <c r="O26" t="s">
        <v>332</v>
      </c>
    </row>
    <row r="27" spans="2:15">
      <c r="B27" s="68" t="s">
        <v>612</v>
      </c>
      <c r="C27" s="31"/>
      <c r="D27" s="31"/>
      <c r="E27" s="31"/>
      <c r="F27" s="31"/>
      <c r="G27" s="31"/>
      <c r="H27" s="31"/>
      <c r="I27" s="31"/>
      <c r="J27" s="31"/>
      <c r="K27" s="31"/>
      <c r="L27" s="31"/>
      <c r="M27" s="31"/>
    </row>
    <row r="29" spans="2:15" ht="16.5" thickBot="1">
      <c r="B29" s="33" t="s">
        <v>561</v>
      </c>
      <c r="C29" s="34"/>
      <c r="D29" s="35"/>
      <c r="E29" s="35"/>
      <c r="F29" s="35"/>
      <c r="G29" s="35"/>
      <c r="H29" s="35"/>
      <c r="I29" s="35"/>
      <c r="J29" s="35"/>
      <c r="K29" s="35"/>
      <c r="L29" s="35"/>
      <c r="M29" s="43"/>
    </row>
    <row r="30" spans="2:15" ht="15.75">
      <c r="B30" s="561"/>
      <c r="C30" s="562"/>
      <c r="D30" s="53">
        <v>2006</v>
      </c>
      <c r="E30" s="53">
        <v>2007</v>
      </c>
      <c r="F30" s="53">
        <v>2008</v>
      </c>
      <c r="G30" s="53">
        <v>2009</v>
      </c>
      <c r="H30" s="53">
        <v>2010</v>
      </c>
      <c r="I30" s="52">
        <v>2011</v>
      </c>
      <c r="J30" s="52">
        <v>2012</v>
      </c>
      <c r="K30" s="52">
        <v>2013</v>
      </c>
      <c r="L30" s="52">
        <v>2014</v>
      </c>
      <c r="M30" s="52">
        <v>2015</v>
      </c>
    </row>
    <row r="31" spans="2:15">
      <c r="B31" s="65" t="s">
        <v>303</v>
      </c>
      <c r="C31" s="395"/>
      <c r="D31" s="395"/>
      <c r="E31" s="395"/>
      <c r="F31" s="395"/>
      <c r="G31" s="395"/>
      <c r="H31" s="395"/>
      <c r="I31" s="395"/>
      <c r="J31" s="395"/>
      <c r="K31" s="395"/>
      <c r="L31" s="395"/>
      <c r="M31" s="514"/>
    </row>
    <row r="32" spans="2:15">
      <c r="B32" s="36" t="s">
        <v>304</v>
      </c>
      <c r="C32" s="395"/>
      <c r="D32" s="220" t="str">
        <f t="shared" ref="D32:H36" si="5">D11</f>
        <v>NA</v>
      </c>
      <c r="E32" s="221">
        <f t="shared" si="5"/>
        <v>-1.1313572762837953E-2</v>
      </c>
      <c r="F32" s="221">
        <f t="shared" si="5"/>
        <v>-1.7253671752459732E-2</v>
      </c>
      <c r="G32" s="221">
        <f t="shared" si="5"/>
        <v>6.3044109112013968E-2</v>
      </c>
      <c r="H32" s="221">
        <f t="shared" si="5"/>
        <v>3.6784276257421755E-2</v>
      </c>
      <c r="I32" s="238">
        <f>H32</f>
        <v>3.6784276257421755E-2</v>
      </c>
      <c r="J32" s="238">
        <f>I32</f>
        <v>3.6784276257421755E-2</v>
      </c>
      <c r="K32" s="559">
        <v>0</v>
      </c>
      <c r="L32" s="559">
        <v>-2.5000000000000001E-2</v>
      </c>
      <c r="M32" s="560">
        <v>-0.05</v>
      </c>
    </row>
    <row r="33" spans="2:17">
      <c r="B33" s="36" t="s">
        <v>312</v>
      </c>
      <c r="C33" s="395"/>
      <c r="D33" s="220" t="str">
        <f t="shared" si="5"/>
        <v>NA</v>
      </c>
      <c r="E33" s="221">
        <f t="shared" si="5"/>
        <v>3.4946236559139754E-2</v>
      </c>
      <c r="F33" s="221">
        <f t="shared" si="5"/>
        <v>8.1385281385281338E-2</v>
      </c>
      <c r="G33" s="221">
        <f t="shared" si="5"/>
        <v>0.15532425940752592</v>
      </c>
      <c r="H33" s="221">
        <f t="shared" si="5"/>
        <v>0.14414414414414423</v>
      </c>
      <c r="I33" s="238">
        <f>AVERAGE($E$33:$H$33)</f>
        <v>0.10394998037402281</v>
      </c>
      <c r="J33" s="238">
        <f t="shared" ref="J33:M33" si="6">AVERAGE($E$33:$H$33)</f>
        <v>0.10394998037402281</v>
      </c>
      <c r="K33" s="238">
        <f t="shared" si="6"/>
        <v>0.10394998037402281</v>
      </c>
      <c r="L33" s="238">
        <f t="shared" si="6"/>
        <v>0.10394998037402281</v>
      </c>
      <c r="M33" s="538">
        <f t="shared" si="6"/>
        <v>0.10394998037402281</v>
      </c>
    </row>
    <row r="34" spans="2:17">
      <c r="B34" s="36" t="s">
        <v>305</v>
      </c>
      <c r="C34" s="395"/>
      <c r="D34" s="221">
        <f t="shared" si="5"/>
        <v>0.26740210763754274</v>
      </c>
      <c r="E34" s="221">
        <f t="shared" si="5"/>
        <v>0.26989162983031512</v>
      </c>
      <c r="F34" s="221">
        <f t="shared" si="5"/>
        <v>0.26614190365641321</v>
      </c>
      <c r="G34" s="221">
        <f t="shared" si="5"/>
        <v>0.26888691735480791</v>
      </c>
      <c r="H34" s="221">
        <f t="shared" si="5"/>
        <v>0.28689441811479727</v>
      </c>
      <c r="I34" s="238">
        <f>(H6-$E$6)*0.0038+0.2604</f>
        <v>0.27180000000000004</v>
      </c>
      <c r="J34" s="238">
        <f>(I6-$E$6)*0.0038+0.2604</f>
        <v>0.27560000000000001</v>
      </c>
      <c r="K34" s="238">
        <f>(J6-$E$6)*0.0038+0.2604</f>
        <v>0.27940000000000004</v>
      </c>
      <c r="L34" s="238">
        <f>(K6-$E$6)*0.0038+0.2604</f>
        <v>0.28320000000000001</v>
      </c>
      <c r="M34" s="538">
        <f>(L6-$E$6)*0.0038+0.2604</f>
        <v>0.28700000000000003</v>
      </c>
    </row>
    <row r="35" spans="2:17">
      <c r="B35" s="36" t="s">
        <v>306</v>
      </c>
      <c r="C35" s="395"/>
      <c r="D35" s="221">
        <f t="shared" si="5"/>
        <v>0.28266309519613719</v>
      </c>
      <c r="E35" s="221">
        <f t="shared" si="5"/>
        <v>0.26928561243405102</v>
      </c>
      <c r="F35" s="221">
        <f t="shared" si="5"/>
        <v>0.2600116076610563</v>
      </c>
      <c r="G35" s="221">
        <f t="shared" si="5"/>
        <v>0.24994881594212789</v>
      </c>
      <c r="H35" s="221">
        <f t="shared" si="5"/>
        <v>0.24904555028962611</v>
      </c>
      <c r="I35" s="238">
        <f>(I6-$D$6)*(-0.0087)+0.2882</f>
        <v>0.24470000000000003</v>
      </c>
      <c r="J35" s="238">
        <f>(J6-$D$6)*(-0.0087)+0.2882</f>
        <v>0.23600000000000002</v>
      </c>
      <c r="K35" s="238">
        <f>(K6-$D$6)*(-0.0087)+0.2882</f>
        <v>0.2273</v>
      </c>
      <c r="L35" s="238">
        <f>(L6-$D$6)*(-0.0087)+0.2882</f>
        <v>0.21860000000000002</v>
      </c>
      <c r="M35" s="538">
        <f>(M6-$D$6)*(-0.0087)+0.2882</f>
        <v>0.20990000000000003</v>
      </c>
    </row>
    <row r="36" spans="2:17">
      <c r="B36" s="36" t="s">
        <v>345</v>
      </c>
      <c r="C36" s="395"/>
      <c r="D36" s="220">
        <f t="shared" si="5"/>
        <v>0.15613435308215556</v>
      </c>
      <c r="E36" s="221">
        <f t="shared" si="5"/>
        <v>0.16173534863824326</v>
      </c>
      <c r="F36" s="221">
        <f t="shared" si="5"/>
        <v>0.1659532791642484</v>
      </c>
      <c r="G36" s="221">
        <f t="shared" si="5"/>
        <v>0.15638435815191429</v>
      </c>
      <c r="H36" s="221">
        <f t="shared" si="5"/>
        <v>0.14484597156398105</v>
      </c>
      <c r="I36" s="559">
        <f>AVERAGE(E36:H36)+0.005</f>
        <v>0.16222973937959675</v>
      </c>
      <c r="J36" s="559">
        <f>I36+0.005</f>
        <v>0.16722973937959676</v>
      </c>
      <c r="K36" s="559">
        <f t="shared" ref="K36:M36" si="7">J36+0.005</f>
        <v>0.17222973937959676</v>
      </c>
      <c r="L36" s="559">
        <f t="shared" si="7"/>
        <v>0.17722973937959677</v>
      </c>
      <c r="M36" s="560">
        <f t="shared" si="7"/>
        <v>0.18222973937959677</v>
      </c>
    </row>
    <row r="37" spans="2:17">
      <c r="B37" s="36" t="s">
        <v>283</v>
      </c>
      <c r="C37" s="395"/>
      <c r="D37" s="221">
        <f t="shared" ref="D37:H37" si="8">D16</f>
        <v>0.17</v>
      </c>
      <c r="E37" s="221">
        <f t="shared" si="8"/>
        <v>0.12</v>
      </c>
      <c r="F37" s="221">
        <f t="shared" si="8"/>
        <v>0.16</v>
      </c>
      <c r="G37" s="221">
        <f t="shared" si="8"/>
        <v>0.22</v>
      </c>
      <c r="H37" s="221">
        <f t="shared" si="8"/>
        <v>0.22</v>
      </c>
      <c r="I37" s="238">
        <v>0.33</v>
      </c>
      <c r="J37" s="238">
        <v>0.33</v>
      </c>
      <c r="K37" s="238">
        <v>0.33</v>
      </c>
      <c r="L37" s="238">
        <v>0.33</v>
      </c>
      <c r="M37" s="538">
        <v>0.33</v>
      </c>
    </row>
    <row r="38" spans="2:17">
      <c r="B38" s="36"/>
      <c r="C38" s="395"/>
      <c r="D38" s="31"/>
      <c r="E38" s="31"/>
      <c r="F38" s="31"/>
      <c r="G38" s="31"/>
      <c r="H38" s="31"/>
      <c r="I38" s="239"/>
      <c r="J38" s="239"/>
      <c r="K38" s="239"/>
      <c r="L38" s="239"/>
      <c r="M38" s="539"/>
    </row>
    <row r="39" spans="2:17">
      <c r="B39" s="65" t="s">
        <v>326</v>
      </c>
      <c r="C39" s="395"/>
      <c r="D39" s="31"/>
      <c r="E39" s="31"/>
      <c r="F39" s="31"/>
      <c r="G39" s="31"/>
      <c r="H39" s="31"/>
      <c r="I39" s="239"/>
      <c r="J39" s="239"/>
      <c r="K39" s="239"/>
      <c r="L39" s="239"/>
      <c r="M39" s="539"/>
    </row>
    <row r="40" spans="2:17">
      <c r="B40" s="36" t="s">
        <v>308</v>
      </c>
      <c r="C40" s="395"/>
      <c r="D40" s="221">
        <v>0.11570859620061326</v>
      </c>
      <c r="E40" s="221">
        <v>0.12049051761015257</v>
      </c>
      <c r="F40" s="221">
        <v>0.13294399303540336</v>
      </c>
      <c r="G40" s="221">
        <v>0.16177574558110966</v>
      </c>
      <c r="H40" s="221">
        <v>0.16640337019483939</v>
      </c>
      <c r="I40" s="238">
        <f>AVERAGE($G$40:$H$40)</f>
        <v>0.16408955788797452</v>
      </c>
      <c r="J40" s="238">
        <f t="shared" ref="J40:M40" si="9">AVERAGE($G$40:$H$40)</f>
        <v>0.16408955788797452</v>
      </c>
      <c r="K40" s="238">
        <f t="shared" si="9"/>
        <v>0.16408955788797452</v>
      </c>
      <c r="L40" s="238">
        <f t="shared" si="9"/>
        <v>0.16408955788797452</v>
      </c>
      <c r="M40" s="538">
        <f t="shared" si="9"/>
        <v>0.16408955788797452</v>
      </c>
    </row>
    <row r="41" spans="2:17">
      <c r="B41" s="36"/>
      <c r="C41" s="395"/>
      <c r="D41" s="221"/>
      <c r="E41" s="221"/>
      <c r="F41" s="221"/>
      <c r="G41" s="221"/>
      <c r="H41" s="221"/>
      <c r="I41" s="238"/>
      <c r="J41" s="238"/>
      <c r="K41" s="238"/>
      <c r="L41" s="238"/>
      <c r="M41" s="538"/>
      <c r="P41" s="184"/>
      <c r="Q41" s="1"/>
    </row>
    <row r="42" spans="2:17">
      <c r="B42" s="65" t="s">
        <v>127</v>
      </c>
      <c r="C42" s="395"/>
      <c r="D42" s="221"/>
      <c r="E42" s="221"/>
      <c r="F42" s="221"/>
      <c r="G42" s="221"/>
      <c r="H42" s="221"/>
      <c r="I42" s="238"/>
      <c r="J42" s="238"/>
      <c r="K42" s="238"/>
      <c r="L42" s="238"/>
      <c r="M42" s="538"/>
    </row>
    <row r="43" spans="2:17">
      <c r="B43" s="36" t="s">
        <v>310</v>
      </c>
      <c r="C43" s="395"/>
      <c r="D43" s="220" t="s">
        <v>311</v>
      </c>
      <c r="E43" s="221">
        <v>-0.23703582529036482</v>
      </c>
      <c r="F43" s="221">
        <v>0.28323327615780447</v>
      </c>
      <c r="G43" s="221">
        <v>-0.16274018379281541</v>
      </c>
      <c r="H43" s="221">
        <v>2.3548193973258913E-2</v>
      </c>
      <c r="I43" s="238">
        <f>AVERAGE($E$43:$H$43)</f>
        <v>-2.3248634738029211E-2</v>
      </c>
      <c r="J43" s="238">
        <f t="shared" ref="J43:M43" si="10">AVERAGE($E$43:$H$43)</f>
        <v>-2.3248634738029211E-2</v>
      </c>
      <c r="K43" s="238">
        <f t="shared" si="10"/>
        <v>-2.3248634738029211E-2</v>
      </c>
      <c r="L43" s="238">
        <f t="shared" si="10"/>
        <v>-2.3248634738029211E-2</v>
      </c>
      <c r="M43" s="538">
        <f t="shared" si="10"/>
        <v>-2.3248634738029211E-2</v>
      </c>
    </row>
    <row r="44" spans="2:17">
      <c r="B44" s="41" t="s">
        <v>307</v>
      </c>
      <c r="C44" s="522"/>
      <c r="D44" s="563">
        <v>6.918549325062559E-2</v>
      </c>
      <c r="E44" s="564">
        <v>6.5022101810922578E-2</v>
      </c>
      <c r="F44" s="564">
        <v>8.2233023795705171E-2</v>
      </c>
      <c r="G44" s="564">
        <v>0.25073363816283356</v>
      </c>
      <c r="H44" s="564">
        <v>0.10637177461822012</v>
      </c>
      <c r="I44" s="565">
        <f>AVERAGE($H$44,$F$44,$E$44,$D$44)</f>
        <v>8.0703098368868381E-2</v>
      </c>
      <c r="J44" s="565">
        <f t="shared" ref="J44:M44" si="11">AVERAGE($H$44,$F$44,$E$44,$D$44)</f>
        <v>8.0703098368868381E-2</v>
      </c>
      <c r="K44" s="565">
        <f t="shared" si="11"/>
        <v>8.0703098368868381E-2</v>
      </c>
      <c r="L44" s="565">
        <f t="shared" si="11"/>
        <v>8.0703098368868381E-2</v>
      </c>
      <c r="M44" s="566">
        <f t="shared" si="11"/>
        <v>8.0703098368868381E-2</v>
      </c>
    </row>
    <row r="45" spans="2:17">
      <c r="B45" s="41"/>
      <c r="C45" s="42"/>
      <c r="D45" s="42"/>
      <c r="E45" s="42"/>
      <c r="F45" s="42"/>
      <c r="G45" s="42"/>
      <c r="H45" s="42"/>
      <c r="I45" s="42"/>
      <c r="J45" s="42"/>
      <c r="K45" s="42"/>
      <c r="L45" s="42"/>
      <c r="M45" s="540"/>
    </row>
    <row r="46" spans="2:17">
      <c r="B46" s="68" t="s">
        <v>611</v>
      </c>
    </row>
    <row r="104" spans="9:10">
      <c r="I104">
        <v>5951</v>
      </c>
      <c r="J104">
        <f>-'Income Statement'!D15</f>
        <v>6113</v>
      </c>
    </row>
    <row r="105" spans="9:10">
      <c r="J105" s="1">
        <f>(J104-I104)/I104</f>
        <v>2.7222315577213912E-2</v>
      </c>
    </row>
    <row r="110" spans="9:10">
      <c r="I110">
        <v>27.311</v>
      </c>
      <c r="J110" s="1">
        <f>I110/(-I111-I112)</f>
        <v>3.9401681904022691E-2</v>
      </c>
    </row>
    <row r="111" spans="9:10">
      <c r="I111">
        <v>-1.143</v>
      </c>
    </row>
    <row r="112" spans="9:10">
      <c r="I112">
        <v>-692</v>
      </c>
    </row>
  </sheetData>
  <phoneticPr fontId="38" type="noConversion"/>
  <dataValidations count="1">
    <dataValidation type="list" allowBlank="1" showInputMessage="1" showErrorMessage="1" sqref="H2">
      <formula1>$S$1:$S$3</formula1>
    </dataValidation>
  </dataValidations>
  <pageMargins left="0.7" right="0.7" top="0.75" bottom="0.75" header="0.3" footer="0.3"/>
  <pageSetup paperSize="9" orientation="portrait" verticalDpi="300" r:id="rId1"/>
  <ignoredErrors>
    <ignoredError sqref="J15:K15 L15" formula="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M49"/>
  <sheetViews>
    <sheetView zoomScale="90" zoomScaleNormal="90" workbookViewId="0">
      <selection activeCell="B52" sqref="B52"/>
    </sheetView>
  </sheetViews>
  <sheetFormatPr baseColWidth="10" defaultColWidth="11.42578125" defaultRowHeight="15"/>
  <cols>
    <col min="1" max="1" width="9.140625" style="64" customWidth="1"/>
    <col min="2" max="2" width="45.85546875" style="64" customWidth="1"/>
    <col min="3" max="16384" width="11.42578125" style="64"/>
  </cols>
  <sheetData>
    <row r="1" spans="1:13" customFormat="1">
      <c r="A1" s="45" t="s">
        <v>102</v>
      </c>
      <c r="B1" s="46"/>
      <c r="C1" s="46"/>
      <c r="D1" s="46"/>
      <c r="E1" s="46"/>
      <c r="F1" s="46"/>
      <c r="G1" s="46"/>
      <c r="H1" s="46"/>
      <c r="I1" s="46"/>
      <c r="J1" s="46"/>
      <c r="K1" s="46"/>
      <c r="L1" s="46"/>
      <c r="M1" s="46"/>
    </row>
    <row r="2" spans="1:13" customFormat="1" ht="18">
      <c r="A2" s="47" t="s">
        <v>93</v>
      </c>
      <c r="B2" s="48"/>
      <c r="C2" s="48"/>
      <c r="D2" s="49" t="s">
        <v>94</v>
      </c>
      <c r="E2" s="49"/>
      <c r="F2" s="49" t="s">
        <v>95</v>
      </c>
      <c r="G2" s="49"/>
      <c r="H2" s="49"/>
      <c r="I2" s="50"/>
      <c r="J2" s="50"/>
      <c r="K2" s="50"/>
      <c r="L2" s="50"/>
      <c r="M2" s="50"/>
    </row>
    <row r="3" spans="1:13" customFormat="1">
      <c r="A3" s="51" t="s">
        <v>103</v>
      </c>
      <c r="B3" s="52"/>
      <c r="C3" s="52"/>
      <c r="D3" s="53">
        <v>2006</v>
      </c>
      <c r="E3" s="53">
        <v>2007</v>
      </c>
      <c r="F3" s="53">
        <v>2008</v>
      </c>
      <c r="G3" s="53">
        <v>2009</v>
      </c>
      <c r="H3" s="53">
        <v>2010</v>
      </c>
      <c r="I3" s="52">
        <v>2011</v>
      </c>
      <c r="J3" s="52">
        <v>2012</v>
      </c>
      <c r="K3" s="52">
        <v>2013</v>
      </c>
      <c r="L3" s="52">
        <v>2014</v>
      </c>
      <c r="M3" s="52">
        <v>2015</v>
      </c>
    </row>
    <row r="4" spans="1:13">
      <c r="A4" s="29"/>
      <c r="B4" s="30"/>
      <c r="C4" s="30"/>
      <c r="D4" s="30"/>
      <c r="E4" s="30"/>
      <c r="F4" s="30"/>
      <c r="G4" s="30"/>
      <c r="H4" s="30"/>
      <c r="I4" s="30"/>
      <c r="J4" s="30"/>
      <c r="K4" s="30"/>
      <c r="L4" s="30"/>
      <c r="M4" s="30"/>
    </row>
    <row r="5" spans="1:13" ht="16.5" thickBot="1">
      <c r="A5" s="32"/>
      <c r="B5" s="33" t="s">
        <v>107</v>
      </c>
      <c r="C5" s="34"/>
      <c r="D5" s="35"/>
      <c r="E5" s="35"/>
      <c r="F5" s="35"/>
      <c r="G5" s="35"/>
      <c r="H5" s="35"/>
      <c r="I5" s="35"/>
      <c r="J5" s="35"/>
      <c r="K5" s="35"/>
      <c r="L5" s="35"/>
      <c r="M5" s="35"/>
    </row>
    <row r="6" spans="1:13">
      <c r="A6" s="29"/>
      <c r="B6" s="36"/>
      <c r="C6" s="31"/>
      <c r="D6" s="31"/>
      <c r="E6" s="31"/>
      <c r="F6" s="31"/>
      <c r="G6" s="31"/>
      <c r="H6" s="31"/>
      <c r="I6" s="31"/>
      <c r="J6" s="31"/>
      <c r="K6" s="31"/>
      <c r="L6" s="31"/>
      <c r="M6" s="31"/>
    </row>
    <row r="7" spans="1:13">
      <c r="A7" s="29"/>
      <c r="B7" s="36" t="s">
        <v>108</v>
      </c>
      <c r="C7" s="31"/>
      <c r="D7" s="71">
        <v>1153</v>
      </c>
      <c r="E7" s="71">
        <v>1711</v>
      </c>
      <c r="F7" s="72">
        <v>4226</v>
      </c>
      <c r="G7" s="72">
        <v>4692</v>
      </c>
      <c r="H7" s="63">
        <v>6465</v>
      </c>
      <c r="I7" s="31"/>
      <c r="J7" s="31"/>
      <c r="K7" s="31"/>
      <c r="L7" s="31"/>
      <c r="M7" s="31"/>
    </row>
    <row r="8" spans="1:13">
      <c r="A8" s="29"/>
      <c r="B8" s="36" t="s">
        <v>109</v>
      </c>
      <c r="C8" s="31"/>
      <c r="D8" s="71">
        <v>3659</v>
      </c>
      <c r="E8" s="71">
        <v>3729</v>
      </c>
      <c r="F8" s="72">
        <v>3590</v>
      </c>
      <c r="G8" s="72">
        <v>4444</v>
      </c>
      <c r="H8" s="63">
        <v>5020</v>
      </c>
      <c r="I8" s="31"/>
      <c r="J8" s="31"/>
      <c r="K8" s="31"/>
      <c r="L8" s="31"/>
      <c r="M8" s="31"/>
    </row>
    <row r="9" spans="1:13">
      <c r="A9" s="29"/>
      <c r="B9" s="36" t="s">
        <v>110</v>
      </c>
      <c r="C9" s="31"/>
      <c r="D9" s="71">
        <v>5032</v>
      </c>
      <c r="E9" s="71">
        <v>4904</v>
      </c>
      <c r="F9" s="72">
        <v>5303</v>
      </c>
      <c r="G9" s="72">
        <v>6015</v>
      </c>
      <c r="H9" s="63">
        <v>6507</v>
      </c>
      <c r="I9" s="31"/>
      <c r="J9" s="31"/>
      <c r="K9" s="31"/>
      <c r="L9" s="31"/>
      <c r="M9" s="31"/>
    </row>
    <row r="10" spans="1:13">
      <c r="A10" s="29"/>
      <c r="B10" s="36" t="s">
        <v>111</v>
      </c>
      <c r="C10" s="31"/>
      <c r="D10" s="71">
        <v>2316</v>
      </c>
      <c r="E10" s="71">
        <v>2209</v>
      </c>
      <c r="F10" s="71">
        <v>2284</v>
      </c>
      <c r="G10" s="72">
        <v>2381</v>
      </c>
      <c r="H10" s="63">
        <v>2051</v>
      </c>
      <c r="I10" s="31"/>
      <c r="J10" s="31"/>
      <c r="K10" s="31"/>
      <c r="L10" s="31"/>
      <c r="M10" s="31"/>
    </row>
    <row r="11" spans="1:13">
      <c r="A11" s="29"/>
      <c r="B11" s="65" t="s">
        <v>112</v>
      </c>
      <c r="C11" s="29"/>
      <c r="D11" s="73">
        <f>SUM(D7:D10)</f>
        <v>12160</v>
      </c>
      <c r="E11" s="73">
        <f t="shared" ref="E11:F11" si="0">SUM(E7:E10)</f>
        <v>12553</v>
      </c>
      <c r="F11" s="73">
        <f t="shared" si="0"/>
        <v>15403</v>
      </c>
      <c r="G11" s="73">
        <f t="shared" ref="G11" si="1">SUM(G7:G10)</f>
        <v>17532</v>
      </c>
      <c r="H11" s="77">
        <f t="shared" ref="H11" si="2">SUM(H7:H10)</f>
        <v>20043</v>
      </c>
      <c r="I11" s="29"/>
      <c r="J11" s="29"/>
      <c r="K11" s="29"/>
      <c r="L11" s="29"/>
      <c r="M11" s="29"/>
    </row>
    <row r="12" spans="1:13">
      <c r="A12" s="29"/>
      <c r="B12" s="36"/>
      <c r="C12" s="31"/>
      <c r="D12" s="72"/>
      <c r="E12" s="72"/>
      <c r="F12" s="72"/>
      <c r="G12" s="72"/>
      <c r="H12" s="63"/>
      <c r="I12" s="31"/>
      <c r="J12" s="31"/>
      <c r="K12" s="31"/>
      <c r="L12" s="31"/>
      <c r="M12" s="31"/>
    </row>
    <row r="13" spans="1:13">
      <c r="A13" s="29"/>
      <c r="B13" s="36" t="s">
        <v>113</v>
      </c>
      <c r="C13" s="31"/>
      <c r="D13" s="71">
        <v>6219</v>
      </c>
      <c r="E13" s="71">
        <v>6538</v>
      </c>
      <c r="F13" s="72">
        <v>6961</v>
      </c>
      <c r="G13" s="72">
        <v>7830</v>
      </c>
      <c r="H13" s="63">
        <v>8155</v>
      </c>
      <c r="I13" s="31"/>
      <c r="J13" s="31"/>
      <c r="K13" s="31"/>
      <c r="L13" s="31"/>
      <c r="M13" s="31"/>
    </row>
    <row r="14" spans="1:13">
      <c r="A14" s="29"/>
      <c r="B14" s="36" t="s">
        <v>114</v>
      </c>
      <c r="C14" s="31"/>
      <c r="D14" s="71">
        <v>28472</v>
      </c>
      <c r="E14" s="71">
        <v>27199</v>
      </c>
      <c r="F14" s="72">
        <v>28163</v>
      </c>
      <c r="G14" s="72">
        <v>29733</v>
      </c>
      <c r="H14" s="63">
        <v>31932</v>
      </c>
      <c r="I14" s="31"/>
      <c r="J14" s="31"/>
      <c r="K14" s="31"/>
      <c r="L14" s="31"/>
      <c r="M14" s="31"/>
    </row>
    <row r="15" spans="1:13">
      <c r="A15" s="29"/>
      <c r="B15" s="36" t="s">
        <v>121</v>
      </c>
      <c r="C15" s="31"/>
      <c r="D15" s="71">
        <v>30912</v>
      </c>
      <c r="E15" s="71">
        <v>25624</v>
      </c>
      <c r="F15" s="71">
        <v>21460</v>
      </c>
      <c r="G15" s="72">
        <v>18612</v>
      </c>
      <c r="H15" s="63">
        <v>18098</v>
      </c>
      <c r="I15" s="31"/>
      <c r="J15" s="31"/>
      <c r="K15" s="31"/>
      <c r="L15" s="31"/>
      <c r="M15" s="31"/>
    </row>
    <row r="16" spans="1:13">
      <c r="A16" s="29"/>
      <c r="B16" s="65" t="s">
        <v>115</v>
      </c>
      <c r="C16" s="29"/>
      <c r="D16" s="73">
        <f>SUM(D13:D15)</f>
        <v>65603</v>
      </c>
      <c r="E16" s="73">
        <f t="shared" ref="E16:F16" si="3">SUM(E13:E15)</f>
        <v>59361</v>
      </c>
      <c r="F16" s="73">
        <f t="shared" si="3"/>
        <v>56584</v>
      </c>
      <c r="G16" s="73">
        <f t="shared" ref="G16" si="4">SUM(G13:G15)</f>
        <v>56175</v>
      </c>
      <c r="H16" s="77">
        <f t="shared" ref="H16" si="5">SUM(H13:H15)</f>
        <v>58185</v>
      </c>
      <c r="I16" s="29"/>
      <c r="J16" s="29"/>
      <c r="K16" s="29"/>
      <c r="L16" s="29"/>
      <c r="M16" s="29"/>
    </row>
    <row r="17" spans="1:13">
      <c r="A17" s="29"/>
      <c r="B17" s="65"/>
      <c r="C17" s="29"/>
      <c r="D17" s="73"/>
      <c r="E17" s="73"/>
      <c r="F17" s="73"/>
      <c r="G17" s="73"/>
      <c r="H17" s="77"/>
      <c r="I17" s="29"/>
      <c r="J17" s="29"/>
      <c r="K17" s="29"/>
      <c r="L17" s="29"/>
      <c r="M17" s="29"/>
    </row>
    <row r="18" spans="1:13" ht="15.75" thickBot="1">
      <c r="A18" s="31"/>
      <c r="B18" s="36" t="s">
        <v>125</v>
      </c>
      <c r="C18" s="31"/>
      <c r="D18" s="72">
        <v>0</v>
      </c>
      <c r="E18" s="72">
        <v>0</v>
      </c>
      <c r="F18" s="72">
        <v>0</v>
      </c>
      <c r="G18" s="72">
        <v>6544</v>
      </c>
      <c r="H18" s="63">
        <v>7036</v>
      </c>
      <c r="I18" s="31"/>
      <c r="J18" s="31"/>
      <c r="K18" s="31"/>
      <c r="L18" s="31"/>
      <c r="M18" s="31"/>
    </row>
    <row r="19" spans="1:13">
      <c r="A19" s="29"/>
      <c r="B19" s="66" t="s">
        <v>116</v>
      </c>
      <c r="C19" s="67"/>
      <c r="D19" s="74">
        <f t="shared" ref="D19:F19" si="6">D11+D16+D18</f>
        <v>77763</v>
      </c>
      <c r="E19" s="74">
        <f t="shared" si="6"/>
        <v>71914</v>
      </c>
      <c r="F19" s="74">
        <f t="shared" si="6"/>
        <v>71987</v>
      </c>
      <c r="G19" s="74">
        <f>G11+G16+G18</f>
        <v>80251</v>
      </c>
      <c r="H19" s="78">
        <f>H11+H16+H18</f>
        <v>85264</v>
      </c>
      <c r="I19" s="67"/>
      <c r="J19" s="67"/>
      <c r="K19" s="67"/>
      <c r="L19" s="67"/>
      <c r="M19" s="67"/>
    </row>
    <row r="20" spans="1:13">
      <c r="A20" s="29"/>
      <c r="B20" s="30"/>
      <c r="C20" s="30"/>
      <c r="D20" s="75"/>
      <c r="E20" s="75"/>
      <c r="F20" s="75"/>
      <c r="G20" s="75"/>
      <c r="H20" s="79"/>
      <c r="I20" s="30"/>
      <c r="J20" s="30"/>
      <c r="K20" s="30"/>
      <c r="L20" s="30"/>
      <c r="M20" s="30"/>
    </row>
    <row r="21" spans="1:13" ht="16.5" thickBot="1">
      <c r="A21" s="32"/>
      <c r="B21" s="33" t="s">
        <v>117</v>
      </c>
      <c r="C21" s="34"/>
      <c r="D21" s="76"/>
      <c r="E21" s="76"/>
      <c r="F21" s="76"/>
      <c r="G21" s="76"/>
      <c r="H21" s="35"/>
      <c r="I21" s="35"/>
      <c r="J21" s="35"/>
      <c r="K21" s="35"/>
      <c r="L21" s="35"/>
      <c r="M21" s="35"/>
    </row>
    <row r="22" spans="1:13">
      <c r="A22" s="29"/>
      <c r="B22" s="36"/>
      <c r="C22" s="31"/>
      <c r="D22" s="72"/>
      <c r="E22" s="72"/>
      <c r="F22" s="72"/>
      <c r="G22" s="72"/>
      <c r="H22" s="63"/>
      <c r="I22" s="31"/>
      <c r="J22" s="31"/>
      <c r="K22" s="31"/>
      <c r="L22" s="31"/>
      <c r="M22" s="31"/>
    </row>
    <row r="23" spans="1:13">
      <c r="A23" s="29"/>
      <c r="B23" s="36" t="s">
        <v>17</v>
      </c>
      <c r="C23" s="31"/>
      <c r="D23" s="71">
        <v>3008</v>
      </c>
      <c r="E23" s="71">
        <v>2749</v>
      </c>
      <c r="F23" s="72">
        <v>2791</v>
      </c>
      <c r="G23" s="72">
        <v>2654</v>
      </c>
      <c r="H23" s="63">
        <v>2800</v>
      </c>
      <c r="I23" s="31"/>
      <c r="J23" s="31"/>
      <c r="K23" s="31"/>
      <c r="L23" s="31"/>
      <c r="M23" s="31"/>
    </row>
    <row r="24" spans="1:13">
      <c r="A24" s="29"/>
      <c r="B24" s="36" t="s">
        <v>20</v>
      </c>
      <c r="C24" s="31"/>
      <c r="D24" s="71">
        <v>2554</v>
      </c>
      <c r="E24" s="71">
        <v>2207</v>
      </c>
      <c r="F24" s="72">
        <v>1833</v>
      </c>
      <c r="G24" s="72">
        <v>2866</v>
      </c>
      <c r="H24" s="63">
        <v>1565</v>
      </c>
      <c r="I24" s="31"/>
      <c r="J24" s="31"/>
      <c r="K24" s="31"/>
      <c r="L24" s="31"/>
      <c r="M24" s="31"/>
    </row>
    <row r="25" spans="1:13">
      <c r="A25" s="29"/>
      <c r="B25" s="36" t="s">
        <v>18</v>
      </c>
      <c r="C25" s="31"/>
      <c r="D25" s="71">
        <v>4716</v>
      </c>
      <c r="E25" s="71">
        <v>4713</v>
      </c>
      <c r="F25" s="71">
        <v>4721</v>
      </c>
      <c r="G25" s="72">
        <v>5445</v>
      </c>
      <c r="H25" s="63">
        <v>5722</v>
      </c>
      <c r="I25" s="31"/>
      <c r="J25" s="31"/>
      <c r="K25" s="31"/>
      <c r="L25" s="31"/>
      <c r="M25" s="31"/>
    </row>
    <row r="26" spans="1:13">
      <c r="A26" s="29"/>
      <c r="B26" s="65" t="s">
        <v>122</v>
      </c>
      <c r="C26" s="31"/>
      <c r="D26" s="71">
        <f>SUM(D23:D25)</f>
        <v>10278</v>
      </c>
      <c r="E26" s="71">
        <f t="shared" ref="E26:F26" si="7">SUM(E23:E25)</f>
        <v>9669</v>
      </c>
      <c r="F26" s="71">
        <f t="shared" si="7"/>
        <v>9345</v>
      </c>
      <c r="G26" s="71">
        <f t="shared" ref="G26" si="8">SUM(G23:G25)</f>
        <v>10965</v>
      </c>
      <c r="H26" s="80">
        <f t="shared" ref="H26" si="9">SUM(H23:H25)</f>
        <v>10087</v>
      </c>
      <c r="I26" s="31"/>
      <c r="J26" s="31"/>
      <c r="K26" s="31"/>
      <c r="L26" s="31"/>
      <c r="M26" s="31"/>
    </row>
    <row r="27" spans="1:13">
      <c r="A27" s="29"/>
      <c r="B27" s="36"/>
      <c r="C27" s="31"/>
      <c r="D27" s="71"/>
      <c r="E27" s="71"/>
      <c r="F27" s="72"/>
      <c r="G27" s="72"/>
      <c r="H27" s="63"/>
      <c r="I27" s="31"/>
      <c r="J27" s="31"/>
      <c r="K27" s="31"/>
      <c r="L27" s="31"/>
      <c r="M27" s="31"/>
    </row>
    <row r="28" spans="1:13">
      <c r="A28" s="29"/>
      <c r="B28" s="36" t="s">
        <v>12</v>
      </c>
      <c r="C28" s="31"/>
      <c r="D28" s="71">
        <v>4499</v>
      </c>
      <c r="E28" s="71">
        <v>3734</v>
      </c>
      <c r="F28" s="72">
        <v>4173</v>
      </c>
      <c r="G28" s="72">
        <v>5961</v>
      </c>
      <c r="H28" s="63">
        <v>6695</v>
      </c>
      <c r="I28" s="31"/>
      <c r="J28" s="31"/>
      <c r="K28" s="31"/>
      <c r="L28" s="31"/>
      <c r="M28" s="31"/>
    </row>
    <row r="29" spans="1:13">
      <c r="A29" s="29"/>
      <c r="B29" s="36" t="s">
        <v>13</v>
      </c>
      <c r="C29" s="31"/>
      <c r="D29" s="71">
        <v>7920</v>
      </c>
      <c r="E29" s="71">
        <v>6857</v>
      </c>
      <c r="F29" s="72">
        <v>7730</v>
      </c>
      <c r="G29" s="72">
        <v>8236</v>
      </c>
      <c r="H29" s="63">
        <v>9326</v>
      </c>
      <c r="I29" s="31"/>
      <c r="J29" s="31"/>
      <c r="K29" s="31"/>
      <c r="L29" s="31"/>
      <c r="M29" s="31"/>
    </row>
    <row r="30" spans="1:13">
      <c r="A30" s="29"/>
      <c r="B30" s="36" t="s">
        <v>126</v>
      </c>
      <c r="C30" s="31"/>
      <c r="D30" s="71">
        <v>9246</v>
      </c>
      <c r="E30" s="71">
        <v>6935</v>
      </c>
      <c r="F30" s="72">
        <v>5668</v>
      </c>
      <c r="G30" s="72">
        <v>5008</v>
      </c>
      <c r="H30" s="63">
        <v>4196</v>
      </c>
      <c r="I30" s="31"/>
      <c r="J30" s="31"/>
      <c r="K30" s="31"/>
      <c r="L30" s="31"/>
      <c r="M30" s="31"/>
    </row>
    <row r="31" spans="1:13">
      <c r="A31" s="29"/>
      <c r="B31" s="65" t="s">
        <v>118</v>
      </c>
      <c r="C31" s="29"/>
      <c r="D31" s="73">
        <f>D26+SUM(D28:D30)</f>
        <v>31943</v>
      </c>
      <c r="E31" s="73">
        <f t="shared" ref="E31:F31" si="10">E26+SUM(E28:E30)</f>
        <v>27195</v>
      </c>
      <c r="F31" s="73">
        <f t="shared" si="10"/>
        <v>26916</v>
      </c>
      <c r="G31" s="73">
        <f t="shared" ref="G31" si="11">G26+SUM(G28:G30)</f>
        <v>30170</v>
      </c>
      <c r="H31" s="77">
        <f t="shared" ref="H31" si="12">H26+SUM(H28:H30)</f>
        <v>30304</v>
      </c>
      <c r="I31" s="29"/>
      <c r="J31" s="29"/>
      <c r="K31" s="29"/>
      <c r="L31" s="29"/>
      <c r="M31" s="29"/>
    </row>
    <row r="32" spans="1:13">
      <c r="A32" s="29"/>
      <c r="B32" s="36"/>
      <c r="C32" s="31"/>
      <c r="D32" s="72"/>
      <c r="E32" s="72"/>
      <c r="F32" s="72"/>
      <c r="G32" s="72"/>
      <c r="H32" s="63"/>
      <c r="I32" s="31"/>
      <c r="J32" s="31"/>
      <c r="K32" s="31"/>
      <c r="L32" s="31"/>
      <c r="M32" s="31"/>
    </row>
    <row r="33" spans="1:13">
      <c r="A33" s="29"/>
      <c r="B33" s="36" t="s">
        <v>123</v>
      </c>
      <c r="C33" s="31"/>
      <c r="D33" s="71">
        <v>45600</v>
      </c>
      <c r="E33" s="71">
        <v>44542</v>
      </c>
      <c r="F33" s="72">
        <v>44866</v>
      </c>
      <c r="G33" s="72">
        <v>48322</v>
      </c>
      <c r="H33" s="63">
        <v>53097</v>
      </c>
      <c r="I33" s="31"/>
      <c r="J33" s="31"/>
      <c r="K33" s="31"/>
      <c r="L33" s="31"/>
      <c r="M33" s="31"/>
    </row>
    <row r="34" spans="1:13">
      <c r="A34" s="29"/>
      <c r="B34" s="36" t="s">
        <v>124</v>
      </c>
      <c r="C34" s="31"/>
      <c r="D34" s="71">
        <v>220</v>
      </c>
      <c r="E34" s="71">
        <v>177</v>
      </c>
      <c r="F34" s="72">
        <v>205</v>
      </c>
      <c r="G34" s="72">
        <v>258</v>
      </c>
      <c r="H34" s="63">
        <v>191</v>
      </c>
      <c r="I34" s="31"/>
      <c r="J34" s="31"/>
      <c r="K34" s="31"/>
      <c r="L34" s="31"/>
      <c r="M34" s="31"/>
    </row>
    <row r="35" spans="1:13">
      <c r="A35" s="29"/>
      <c r="B35" s="65" t="s">
        <v>11</v>
      </c>
      <c r="C35" s="29"/>
      <c r="D35" s="73">
        <f>SUM(D33:D34)</f>
        <v>45820</v>
      </c>
      <c r="E35" s="73">
        <f t="shared" ref="E35:F35" si="13">SUM(E33:E34)</f>
        <v>44719</v>
      </c>
      <c r="F35" s="73">
        <f t="shared" si="13"/>
        <v>45071</v>
      </c>
      <c r="G35" s="73">
        <f>SUM(G33:G34)</f>
        <v>48580</v>
      </c>
      <c r="H35" s="77">
        <f>SUM(H33:H34)</f>
        <v>53288</v>
      </c>
      <c r="I35" s="29"/>
      <c r="J35" s="29"/>
      <c r="K35" s="29"/>
      <c r="L35" s="29"/>
      <c r="M35" s="29"/>
    </row>
    <row r="36" spans="1:13">
      <c r="A36" s="29"/>
      <c r="B36" s="65"/>
      <c r="C36" s="29"/>
      <c r="D36" s="73"/>
      <c r="E36" s="73"/>
      <c r="F36" s="73"/>
      <c r="G36" s="73"/>
      <c r="H36" s="77"/>
      <c r="I36" s="29"/>
      <c r="J36" s="29"/>
      <c r="K36" s="29"/>
      <c r="L36" s="29"/>
      <c r="M36" s="29"/>
    </row>
    <row r="37" spans="1:13" ht="15.75" thickBot="1">
      <c r="A37" s="31"/>
      <c r="B37" s="36" t="s">
        <v>22</v>
      </c>
      <c r="C37" s="31"/>
      <c r="D37" s="72">
        <v>0</v>
      </c>
      <c r="E37" s="72">
        <v>0</v>
      </c>
      <c r="F37" s="72">
        <v>0</v>
      </c>
      <c r="G37" s="72">
        <v>1501</v>
      </c>
      <c r="H37" s="63">
        <v>1672</v>
      </c>
      <c r="I37" s="31"/>
      <c r="J37" s="31"/>
      <c r="K37" s="31"/>
      <c r="L37" s="31"/>
      <c r="M37" s="31"/>
    </row>
    <row r="38" spans="1:13">
      <c r="A38" s="29"/>
      <c r="B38" s="66" t="s">
        <v>119</v>
      </c>
      <c r="C38" s="67"/>
      <c r="D38" s="74">
        <f t="shared" ref="D38:F38" si="14">D31+D35+D37</f>
        <v>77763</v>
      </c>
      <c r="E38" s="74">
        <f t="shared" si="14"/>
        <v>71914</v>
      </c>
      <c r="F38" s="74">
        <f t="shared" si="14"/>
        <v>71987</v>
      </c>
      <c r="G38" s="74">
        <f>G31+G35+G37</f>
        <v>80251</v>
      </c>
      <c r="H38" s="78">
        <f>H31+H35+H37</f>
        <v>85264</v>
      </c>
      <c r="I38" s="67"/>
      <c r="J38" s="67"/>
      <c r="K38" s="67"/>
      <c r="L38" s="67"/>
      <c r="M38" s="67"/>
    </row>
    <row r="39" spans="1:13">
      <c r="A39" s="68"/>
      <c r="B39" s="68" t="s">
        <v>120</v>
      </c>
      <c r="C39" s="68"/>
      <c r="D39" s="70" t="str">
        <f>IF(ROUND(D38-D19,1)=0,"ok!",D38-D19)</f>
        <v>ok!</v>
      </c>
      <c r="E39" s="70" t="str">
        <f>IF(ROUND(E38-E19,1)=0,"ok!",E38-E19)</f>
        <v>ok!</v>
      </c>
      <c r="F39" s="70" t="str">
        <f>IF(ROUND(F38-F19,1)=0,"ok!",F38-F19)</f>
        <v>ok!</v>
      </c>
      <c r="G39" s="70" t="str">
        <f>IF(ROUND(G38-G19,1)=0,"ok!",G38-G19)</f>
        <v>ok!</v>
      </c>
      <c r="H39" s="70" t="str">
        <f>IF(ROUND(H38-H19,1)=0,"ok!",H38-H19)</f>
        <v>ok!</v>
      </c>
      <c r="I39" s="69"/>
      <c r="J39" s="69"/>
      <c r="K39" s="69"/>
      <c r="L39" s="69"/>
      <c r="M39" s="69"/>
    </row>
    <row r="40" spans="1:13">
      <c r="A40" s="29"/>
      <c r="B40" s="30"/>
      <c r="C40" s="30"/>
      <c r="D40" s="30"/>
      <c r="E40" s="30"/>
      <c r="F40" s="30"/>
      <c r="G40" s="30"/>
      <c r="H40" s="30"/>
      <c r="I40" s="30"/>
      <c r="J40" s="30"/>
      <c r="K40" s="30"/>
      <c r="L40" s="30"/>
      <c r="M40" s="30"/>
    </row>
    <row r="42" spans="1:13">
      <c r="B42" s="85" t="s">
        <v>140</v>
      </c>
      <c r="C42" s="93">
        <v>2005</v>
      </c>
      <c r="D42" s="93">
        <v>2006</v>
      </c>
      <c r="E42" s="93">
        <v>2007</v>
      </c>
      <c r="F42" s="93">
        <v>2008</v>
      </c>
      <c r="G42" s="93">
        <v>2009</v>
      </c>
      <c r="H42" s="93">
        <v>2010</v>
      </c>
      <c r="I42" s="178">
        <v>2011</v>
      </c>
      <c r="J42" s="178">
        <v>2012</v>
      </c>
      <c r="K42" s="178">
        <v>2013</v>
      </c>
      <c r="L42" s="178">
        <v>2014</v>
      </c>
      <c r="M42" s="179">
        <v>2015</v>
      </c>
    </row>
    <row r="43" spans="1:13">
      <c r="B43" s="128" t="s">
        <v>112</v>
      </c>
      <c r="C43" s="87">
        <v>13121</v>
      </c>
      <c r="D43" s="87">
        <f>D11</f>
        <v>12160</v>
      </c>
      <c r="E43" s="87">
        <f t="shared" ref="E43:H43" si="15">E11</f>
        <v>12553</v>
      </c>
      <c r="F43" s="87">
        <f t="shared" si="15"/>
        <v>15403</v>
      </c>
      <c r="G43" s="87">
        <f t="shared" si="15"/>
        <v>17532</v>
      </c>
      <c r="H43" s="87">
        <f t="shared" si="15"/>
        <v>20043</v>
      </c>
      <c r="I43" s="136"/>
      <c r="J43" s="136"/>
      <c r="K43" s="136"/>
      <c r="L43" s="136"/>
      <c r="M43" s="139"/>
    </row>
    <row r="44" spans="1:13">
      <c r="B44" s="128" t="s">
        <v>137</v>
      </c>
      <c r="C44" s="88">
        <v>1249</v>
      </c>
      <c r="D44" s="88">
        <f>D7</f>
        <v>1153</v>
      </c>
      <c r="E44" s="88">
        <f t="shared" ref="E44:H44" si="16">E7</f>
        <v>1711</v>
      </c>
      <c r="F44" s="88">
        <f t="shared" si="16"/>
        <v>4226</v>
      </c>
      <c r="G44" s="88">
        <f t="shared" si="16"/>
        <v>4692</v>
      </c>
      <c r="H44" s="88">
        <f t="shared" si="16"/>
        <v>6465</v>
      </c>
      <c r="I44" s="136"/>
      <c r="J44" s="136"/>
      <c r="K44" s="136"/>
      <c r="L44" s="136"/>
      <c r="M44" s="139"/>
    </row>
    <row r="45" spans="1:13">
      <c r="B45" s="128" t="s">
        <v>138</v>
      </c>
      <c r="C45" s="87">
        <v>15420</v>
      </c>
      <c r="D45" s="87">
        <f>D26</f>
        <v>10278</v>
      </c>
      <c r="E45" s="87">
        <f t="shared" ref="E45:H45" si="17">E26</f>
        <v>9669</v>
      </c>
      <c r="F45" s="87">
        <f t="shared" si="17"/>
        <v>9345</v>
      </c>
      <c r="G45" s="87">
        <f t="shared" si="17"/>
        <v>10965</v>
      </c>
      <c r="H45" s="87">
        <f t="shared" si="17"/>
        <v>10087</v>
      </c>
      <c r="I45" s="136"/>
      <c r="J45" s="136"/>
      <c r="K45" s="136"/>
      <c r="L45" s="136"/>
      <c r="M45" s="139"/>
    </row>
    <row r="46" spans="1:13">
      <c r="B46" s="194" t="s">
        <v>325</v>
      </c>
      <c r="C46" s="87">
        <v>6425</v>
      </c>
      <c r="D46" s="87">
        <f>D24</f>
        <v>2554</v>
      </c>
      <c r="E46" s="87">
        <f t="shared" ref="E46:H46" si="18">E24</f>
        <v>2207</v>
      </c>
      <c r="F46" s="87">
        <f t="shared" si="18"/>
        <v>1833</v>
      </c>
      <c r="G46" s="87">
        <f t="shared" si="18"/>
        <v>2866</v>
      </c>
      <c r="H46" s="87">
        <f t="shared" si="18"/>
        <v>1565</v>
      </c>
      <c r="I46" s="136"/>
      <c r="J46" s="136"/>
      <c r="K46" s="136"/>
      <c r="L46" s="136"/>
      <c r="M46" s="139"/>
    </row>
    <row r="47" spans="1:13">
      <c r="B47" s="190" t="s">
        <v>139</v>
      </c>
      <c r="C47" s="90">
        <f t="shared" ref="C47:H47" si="19">C43-C44-C45+C46</f>
        <v>2877</v>
      </c>
      <c r="D47" s="90">
        <f t="shared" si="19"/>
        <v>3283</v>
      </c>
      <c r="E47" s="90">
        <f t="shared" si="19"/>
        <v>3380</v>
      </c>
      <c r="F47" s="90">
        <f t="shared" si="19"/>
        <v>3665</v>
      </c>
      <c r="G47" s="90">
        <f t="shared" si="19"/>
        <v>4741</v>
      </c>
      <c r="H47" s="90">
        <f t="shared" si="19"/>
        <v>5056</v>
      </c>
      <c r="I47" s="183">
        <f>IF(Assumption!$H$2=Assumption!$S$1,Assumption!I19*'Income Statement'!I7,IF(Assumption!$H$2=Assumption!$S$2,'Income Statement'!I7*Assumption!I40,Assumption!#REF!*'Income Statement'!I7))</f>
        <v>5373.8074563845676</v>
      </c>
      <c r="J47" s="183">
        <f>IF(Assumption!$H$2=Assumption!$S$1,Assumption!J19*'Income Statement'!J7,IF(Assumption!$H$2=Assumption!$S$2,'Income Statement'!J7*Assumption!J40,Assumption!#REF!*'Income Statement'!J7))</f>
        <v>6637.8766738956774</v>
      </c>
      <c r="K47" s="183">
        <f>IF(Assumption!$H$2=Assumption!$S$1,Assumption!K19*'Income Statement'!K7,IF(Assumption!$H$2=Assumption!$S$2,'Income Statement'!K7*Assumption!K40,Assumption!#REF!*'Income Statement'!K7))</f>
        <v>6842.5744641121655</v>
      </c>
      <c r="L47" s="183">
        <f>IF(Assumption!$H$2=Assumption!$S$1,Assumption!L19*'Income Statement'!L7,IF(Assumption!$H$2=Assumption!$S$2,'Income Statement'!L7*Assumption!L40,Assumption!#REF!*'Income Statement'!L7))</f>
        <v>7714.041020888646</v>
      </c>
      <c r="M47" s="183">
        <f>IF(Assumption!$H$2=Assumption!$S$1,Assumption!M19*'Income Statement'!M7,IF(Assumption!$H$2=Assumption!$S$2,'Income Statement'!M7*Assumption!M40,Assumption!#REF!*'Income Statement'!M7))</f>
        <v>8099.0528853923024</v>
      </c>
    </row>
    <row r="48" spans="1:13">
      <c r="B48" s="180"/>
      <c r="C48" s="89"/>
      <c r="D48" s="89"/>
      <c r="E48" s="89"/>
      <c r="F48" s="89"/>
      <c r="G48" s="89"/>
      <c r="H48" s="89"/>
      <c r="I48" s="136"/>
      <c r="J48" s="136"/>
      <c r="K48" s="136"/>
      <c r="L48" s="136"/>
      <c r="M48" s="139"/>
    </row>
    <row r="49" spans="2:13">
      <c r="B49" s="191" t="s">
        <v>324</v>
      </c>
      <c r="C49" s="91"/>
      <c r="D49" s="91">
        <f>D47-C47</f>
        <v>406</v>
      </c>
      <c r="E49" s="91">
        <f t="shared" ref="E49:M49" si="20">E47-D47</f>
        <v>97</v>
      </c>
      <c r="F49" s="91">
        <f t="shared" si="20"/>
        <v>285</v>
      </c>
      <c r="G49" s="91">
        <f t="shared" si="20"/>
        <v>1076</v>
      </c>
      <c r="H49" s="91">
        <f>H47-G47</f>
        <v>315</v>
      </c>
      <c r="I49" s="91">
        <f>I47-H47</f>
        <v>317.80745638456756</v>
      </c>
      <c r="J49" s="91">
        <f t="shared" si="20"/>
        <v>1264.0692175111099</v>
      </c>
      <c r="K49" s="91">
        <f t="shared" si="20"/>
        <v>204.6977902164881</v>
      </c>
      <c r="L49" s="91">
        <f t="shared" si="20"/>
        <v>871.4665567764805</v>
      </c>
      <c r="M49" s="92">
        <f t="shared" si="20"/>
        <v>385.0118645036564</v>
      </c>
    </row>
  </sheetData>
  <phoneticPr fontId="38" type="noConversion"/>
  <conditionalFormatting sqref="D39:M39">
    <cfRule type="cellIs" dxfId="3" priority="1" stopIfTrue="1" operator="notEqual">
      <formula>"ok!"</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N20"/>
  <sheetViews>
    <sheetView tabSelected="1" workbookViewId="0">
      <selection activeCell="M20" sqref="M20"/>
    </sheetView>
  </sheetViews>
  <sheetFormatPr baseColWidth="10" defaultColWidth="10.7109375" defaultRowHeight="15"/>
  <cols>
    <col min="3" max="3" width="17" customWidth="1"/>
    <col min="8" max="8" width="11.85546875" bestFit="1" customWidth="1"/>
  </cols>
  <sheetData>
    <row r="1" spans="1:14">
      <c r="A1" s="45" t="s">
        <v>102</v>
      </c>
      <c r="B1" s="46"/>
      <c r="C1" s="46"/>
      <c r="D1" s="46"/>
      <c r="E1" s="46"/>
      <c r="F1" s="46"/>
      <c r="G1" s="46"/>
      <c r="H1" s="46"/>
      <c r="I1" s="46"/>
      <c r="J1" s="46"/>
      <c r="K1" s="46"/>
      <c r="L1" s="46"/>
      <c r="M1" s="46"/>
    </row>
    <row r="2" spans="1:14" ht="18">
      <c r="A2" s="47" t="s">
        <v>93</v>
      </c>
      <c r="B2" s="48"/>
      <c r="C2" s="48"/>
      <c r="D2" s="49" t="s">
        <v>94</v>
      </c>
      <c r="E2" s="49"/>
      <c r="F2" s="49" t="s">
        <v>95</v>
      </c>
      <c r="G2" s="49"/>
      <c r="H2" s="49"/>
      <c r="I2" s="50"/>
      <c r="J2" s="50"/>
      <c r="K2" s="50"/>
      <c r="L2" s="50"/>
      <c r="M2" s="50"/>
    </row>
    <row r="3" spans="1:14">
      <c r="A3" s="51" t="s">
        <v>103</v>
      </c>
      <c r="B3" s="52"/>
      <c r="C3" s="52"/>
      <c r="D3" s="53">
        <v>2006</v>
      </c>
      <c r="E3" s="53">
        <v>2007</v>
      </c>
      <c r="F3" s="53">
        <v>2008</v>
      </c>
      <c r="G3" s="53">
        <v>2009</v>
      </c>
      <c r="H3" s="53">
        <v>2010</v>
      </c>
      <c r="I3" s="52">
        <v>2011</v>
      </c>
      <c r="J3" s="52">
        <v>2012</v>
      </c>
      <c r="K3" s="52">
        <v>2013</v>
      </c>
      <c r="L3" s="52">
        <v>2014</v>
      </c>
      <c r="M3" s="52">
        <v>2015</v>
      </c>
    </row>
    <row r="4" spans="1:14">
      <c r="A4" s="29"/>
      <c r="B4" s="30"/>
      <c r="C4" s="30"/>
      <c r="D4" s="30"/>
      <c r="E4" s="30"/>
      <c r="F4" s="30"/>
      <c r="G4" s="30"/>
      <c r="H4" s="30"/>
      <c r="I4" s="30"/>
      <c r="J4" s="30"/>
      <c r="K4" s="30"/>
      <c r="L4" s="30"/>
      <c r="M4" s="30"/>
    </row>
    <row r="5" spans="1:14" ht="16.5" thickBot="1">
      <c r="A5" s="32"/>
      <c r="B5" s="33" t="s">
        <v>93</v>
      </c>
      <c r="C5" s="34"/>
      <c r="D5" s="35"/>
      <c r="E5" s="35"/>
      <c r="F5" s="35"/>
      <c r="G5" s="35"/>
      <c r="H5" s="35"/>
      <c r="I5" s="35"/>
      <c r="J5" s="35"/>
      <c r="K5" s="35"/>
      <c r="L5" s="35"/>
      <c r="M5" s="43"/>
    </row>
    <row r="6" spans="1:14">
      <c r="A6" s="29"/>
      <c r="B6" s="36"/>
      <c r="C6" s="31"/>
      <c r="D6" s="31"/>
      <c r="E6" s="31"/>
      <c r="F6" s="31"/>
      <c r="G6" s="31"/>
      <c r="H6" s="31"/>
      <c r="I6" s="31"/>
      <c r="J6" s="31"/>
      <c r="K6" s="31"/>
      <c r="L6" s="31"/>
      <c r="M6" s="44"/>
    </row>
    <row r="7" spans="1:14">
      <c r="A7" s="29"/>
      <c r="B7" s="36" t="s">
        <v>96</v>
      </c>
      <c r="C7" s="31"/>
      <c r="D7" s="138">
        <v>28373</v>
      </c>
      <c r="E7" s="138">
        <v>28052</v>
      </c>
      <c r="F7" s="31">
        <v>27568</v>
      </c>
      <c r="G7" s="31">
        <v>29306</v>
      </c>
      <c r="H7" s="31">
        <v>30384</v>
      </c>
      <c r="I7" s="31">
        <f>IF(Assumption!$H$2=Assumption!$S$1,H7*(1+Assumption!I11),IF(Assumption!$H$2=Assumption!$S$2,'Income Statement'!H7*(1+Assumption!I32),'Income Statement'!H7*(1+Assumption!#REF!)))</f>
        <v>30703.774688351572</v>
      </c>
      <c r="J7" s="31">
        <f>IF(Assumption!$H$2=Assumption!$S$1,I7*(1+Assumption!J11),IF(Assumption!$H$2=Assumption!$S$2,'Income Statement'!I7*(1+Assumption!J32),'Income Statement'!I7*(1+Assumption!#REF!)))</f>
        <v>32562.103561729939</v>
      </c>
      <c r="K7" s="31">
        <f>IF(Assumption!$H$2=Assumption!$S$1,J7*(1+Assumption!K11),IF(Assumption!$H$2=Assumption!$S$2,'Income Statement'!J7*(1+Assumption!K32),'Income Statement'!J7*(1+Assumption!#REF!)))</f>
        <v>32920.286700908968</v>
      </c>
      <c r="L7" s="31">
        <f>IF(Assumption!$H$2=Assumption!$S$1,K7*(1+Assumption!L11),IF(Assumption!$H$2=Assumption!$S$2,'Income Statement'!K7*(1+Assumption!L32),'Income Statement'!K7*(1+Assumption!#REF!)))</f>
        <v>34928.424189664416</v>
      </c>
      <c r="M7" s="44">
        <f>IF(Assumption!$H$2=Assumption!$S$1,L7*(1+Assumption!M11),IF(Assumption!$H$2=Assumption!$S$2,'Income Statement'!L7*(1+Assumption!M32),'Income Statement'!L7*(1+Assumption!#REF!)))</f>
        <v>35312.636855750723</v>
      </c>
      <c r="N7" s="54"/>
    </row>
    <row r="8" spans="1:14">
      <c r="A8" s="29"/>
      <c r="B8" s="36" t="s">
        <v>105</v>
      </c>
      <c r="C8" s="31"/>
      <c r="D8" s="138">
        <v>1116</v>
      </c>
      <c r="E8" s="138">
        <v>1155</v>
      </c>
      <c r="F8" s="31">
        <v>1249</v>
      </c>
      <c r="G8" s="31">
        <v>1443</v>
      </c>
      <c r="H8" s="31">
        <v>1651</v>
      </c>
      <c r="I8" s="31">
        <f>IF(Assumption!$H$2=Assumption!$S$1,H8*(1+Assumption!I12),IF(Assumption!$H$2=Assumption!$S$2,'Income Statement'!H8*(1+Assumption!I33),'Income Statement'!H8*(1+Assumption!#REF!)))</f>
        <v>1822.6214175975119</v>
      </c>
      <c r="J8" s="31">
        <f>IF(Assumption!$H$2=Assumption!$S$1,I8*(1+Assumption!J12),IF(Assumption!$H$2=Assumption!$S$2,'Income Statement'!I8*(1+Assumption!J33),'Income Statement'!I8*(1+Assumption!#REF!)))</f>
        <v>2012.0828781860471</v>
      </c>
      <c r="K8" s="31">
        <f>IF(Assumption!$H$2=Assumption!$S$1,J8*(1+Assumption!K12),IF(Assumption!$H$2=Assumption!$S$2,'Income Statement'!J8*(1+Assumption!K33),'Income Statement'!J8*(1+Assumption!#REF!)))</f>
        <v>2221.2388538843943</v>
      </c>
      <c r="L8" s="31">
        <f>IF(Assumption!$H$2=Assumption!$S$1,K8*(1+Assumption!L12),IF(Assumption!$H$2=Assumption!$S$2,'Income Statement'!K8*(1+Assumption!L33),'Income Statement'!K8*(1+Assumption!#REF!)))</f>
        <v>2452.1365891516944</v>
      </c>
      <c r="M8" s="44">
        <f>IF(Assumption!$H$2=Assumption!$S$1,L8*(1+Assumption!M12),IF(Assumption!$H$2=Assumption!$S$2,'Income Statement'!L8*(1+Assumption!M33),'Income Statement'!L8*(1+Assumption!#REF!)))</f>
        <v>2707.0361394684364</v>
      </c>
      <c r="N8" s="54"/>
    </row>
    <row r="9" spans="1:14">
      <c r="A9" s="29"/>
      <c r="B9" s="36" t="s">
        <v>104</v>
      </c>
      <c r="C9" s="31"/>
      <c r="D9" s="138">
        <v>-7587</v>
      </c>
      <c r="E9" s="138">
        <v>-7571</v>
      </c>
      <c r="F9" s="31">
        <v>-7337</v>
      </c>
      <c r="G9" s="31">
        <v>-7880</v>
      </c>
      <c r="H9" s="31">
        <v>-8717</v>
      </c>
      <c r="I9" s="31">
        <f>IF(Assumption!$H$2=Assumption!$S$1,-I$7*Assumption!I13,IF(Assumption!$H$2=Assumption!$S$2,-'Income Statement'!I$7*Assumption!I34,-'Income Statement'!I$7*Assumption!#REF!))</f>
        <v>-8346.61836038416</v>
      </c>
      <c r="J9" s="31">
        <f>IF(Assumption!$H$2=Assumption!$S$1,-J$7*Assumption!J13,IF(Assumption!$H$2=Assumption!$S$2,-'Income Statement'!J$7*Assumption!J34,-'Income Statement'!J$7*Assumption!#REF!))</f>
        <v>-8851.7927909422506</v>
      </c>
      <c r="K9" s="31">
        <f>IF(Assumption!$H$2=Assumption!$S$1,-K$7*Assumption!K13,IF(Assumption!$H$2=Assumption!$S$2,-'Income Statement'!K$7*Assumption!K34,-'Income Statement'!K$7*Assumption!#REF!))</f>
        <v>-8949.1625116426148</v>
      </c>
      <c r="L9" s="31">
        <f>IF(Assumption!$H$2=Assumption!$S$1,-L$7*Assumption!L13,IF(Assumption!$H$2=Assumption!$S$2,-'Income Statement'!L$7*Assumption!L34,-'Income Statement'!L$7*Assumption!#REF!))</f>
        <v>-9495.0614248528145</v>
      </c>
      <c r="M9" s="44">
        <f>IF(Assumption!$H$2=Assumption!$S$1,-M$7*Assumption!M13,IF(Assumption!$H$2=Assumption!$S$2,-'Income Statement'!M$7*Assumption!M34,-'Income Statement'!M$7*Assumption!#REF!))</f>
        <v>-9599.5071005261962</v>
      </c>
      <c r="N9" s="31"/>
    </row>
    <row r="10" spans="1:14">
      <c r="A10" s="29"/>
      <c r="B10" s="36" t="s">
        <v>97</v>
      </c>
      <c r="C10" s="31"/>
      <c r="D10" s="138">
        <v>-8020</v>
      </c>
      <c r="E10" s="138">
        <v>-7554</v>
      </c>
      <c r="F10" s="31">
        <v>-7168</v>
      </c>
      <c r="G10" s="31">
        <v>-7325</v>
      </c>
      <c r="H10" s="31">
        <v>-7567</v>
      </c>
      <c r="I10" s="31">
        <f>IF(Assumption!$H$2=Assumption!$S$1,-I$7*Assumption!I14,IF(Assumption!$H$2=Assumption!$S$2,-'Income Statement'!I$7*Assumption!I35,-'Income Statement'!I$7*Assumption!#REF!))</f>
        <v>-7513.2136662396306</v>
      </c>
      <c r="J10" s="31">
        <f>IF(Assumption!$H$2=Assumption!$S$1,-J$7*Assumption!J14,IF(Assumption!$H$2=Assumption!$S$2,-'Income Statement'!J$7*Assumption!J35,-'Income Statement'!J$7*Assumption!#REF!))</f>
        <v>-7684.6564405682657</v>
      </c>
      <c r="K10" s="31">
        <f>IF(Assumption!$H$2=Assumption!$S$1,-K$7*Assumption!K14,IF(Assumption!$H$2=Assumption!$S$2,-'Income Statement'!K$7*Assumption!K35,-'Income Statement'!K$7*Assumption!#REF!))</f>
        <v>-7482.7811671166082</v>
      </c>
      <c r="L10" s="31">
        <f>IF(Assumption!$H$2=Assumption!$S$1,-L$7*Assumption!L14,IF(Assumption!$H$2=Assumption!$S$2,-'Income Statement'!L$7*Assumption!L35,-'Income Statement'!L$7*Assumption!#REF!))</f>
        <v>-7635.3535278606423</v>
      </c>
      <c r="M10" s="44">
        <f>IF(Assumption!$H$2=Assumption!$S$1,-M$7*Assumption!M14,IF(Assumption!$H$2=Assumption!$S$2,-'Income Statement'!M$7*Assumption!M35,-'Income Statement'!M$7*Assumption!#REF!))</f>
        <v>-7412.1224760220775</v>
      </c>
      <c r="N10" s="31"/>
    </row>
    <row r="11" spans="1:14">
      <c r="A11" s="29"/>
      <c r="B11" s="36" t="s">
        <v>106</v>
      </c>
      <c r="C11" s="31"/>
      <c r="D11" s="138">
        <v>-4430</v>
      </c>
      <c r="E11" s="138">
        <v>-4537</v>
      </c>
      <c r="F11" s="31">
        <v>-4575</v>
      </c>
      <c r="G11" s="31">
        <v>-4583</v>
      </c>
      <c r="H11" s="31">
        <v>-4401</v>
      </c>
      <c r="I11" s="31">
        <f>IF(Assumption!$H$2=Assumption!$S$1,-I7*Assumption!I15,IF(Assumption!$H$2=Assumption!$S$2,-I7*Assumption!I36,-'Income Statement'!I7*Assumption!#REF!))</f>
        <v>-4820.8199934047088</v>
      </c>
      <c r="J11" s="31">
        <f>IF(Assumption!$H$2=Assumption!$S$1,-J7*Assumption!J15,IF(Assumption!$H$2=Assumption!$S$2,-J7*Assumption!J36,-'Income Statement'!J7*Assumption!#REF!))</f>
        <v>-5763.8395114853602</v>
      </c>
      <c r="K11" s="31">
        <f>IF(Assumption!$H$2=Assumption!$S$1,-K7*Assumption!K15,IF(Assumption!$H$2=Assumption!$S$2,-K7*Assumption!K36,-'Income Statement'!K7*Assumption!#REF!))</f>
        <v>-5275.1792209009745</v>
      </c>
      <c r="L11" s="31">
        <f>IF(Assumption!$H$2=Assumption!$S$1,-L7*Assumption!L15,IF(Assumption!$H$2=Assumption!$S$2,-L7*Assumption!L36,-'Income Statement'!L7*Assumption!#REF!))</f>
        <v>-6295.5336371692219</v>
      </c>
      <c r="M11" s="31">
        <f>IF(Assumption!$H$2=Assumption!$S$1,-M7*Assumption!M15,IF(Assumption!$H$2=Assumption!$S$2,-M7*Assumption!M36,-'Income Statement'!M7*Assumption!#REF!))</f>
        <v>-5786.6766392140325</v>
      </c>
      <c r="N11" s="54"/>
    </row>
    <row r="12" spans="1:14">
      <c r="A12" s="29"/>
      <c r="B12" s="37" t="s">
        <v>98</v>
      </c>
      <c r="C12" s="38"/>
      <c r="D12" s="61">
        <f>SUM(D7,D8,D9,D10,D11)</f>
        <v>9452</v>
      </c>
      <c r="E12" s="61">
        <f>SUM(E7,E8,E9,E10,E11)</f>
        <v>9545</v>
      </c>
      <c r="F12" s="61">
        <f>SUM(F7,F8,F9,F10,F11)</f>
        <v>9737</v>
      </c>
      <c r="G12" s="61">
        <f>SUM(G7,G8,G9,G10,G11)</f>
        <v>10961</v>
      </c>
      <c r="H12" s="61">
        <f>SUM(H7,H8,H9,H10,H11)</f>
        <v>11350</v>
      </c>
      <c r="I12" s="61">
        <f t="shared" ref="I12:L12" si="0">SUM(I7,I8,I9,I10,I11)</f>
        <v>11845.744085920585</v>
      </c>
      <c r="J12" s="61">
        <f t="shared" si="0"/>
        <v>12273.897696920107</v>
      </c>
      <c r="K12" s="61">
        <f t="shared" si="0"/>
        <v>13434.402655133164</v>
      </c>
      <c r="L12" s="61">
        <f t="shared" si="0"/>
        <v>13954.612188933435</v>
      </c>
      <c r="M12" s="156">
        <f>SUM(M7,M8,M9,M10,M11)</f>
        <v>15221.366779456856</v>
      </c>
      <c r="N12" s="54"/>
    </row>
    <row r="13" spans="1:14">
      <c r="A13" s="39"/>
      <c r="B13" s="40" t="s">
        <v>99</v>
      </c>
      <c r="C13" s="39"/>
      <c r="D13" s="62">
        <f>D12/D7</f>
        <v>0.33313361294188137</v>
      </c>
      <c r="E13" s="62">
        <f>E12/E7</f>
        <v>0.34026094396121487</v>
      </c>
      <c r="F13" s="57">
        <f>F12/F7</f>
        <v>0.3531993615786419</v>
      </c>
      <c r="G13" s="57">
        <f>G12/G7</f>
        <v>0.37401897222411795</v>
      </c>
      <c r="H13" s="57">
        <f>H12/H7</f>
        <v>0.37355186940495</v>
      </c>
      <c r="I13" s="57">
        <f t="shared" ref="I13:M13" si="1">I12/I7</f>
        <v>0.38580741964650472</v>
      </c>
      <c r="J13" s="57">
        <f t="shared" si="1"/>
        <v>0.37693810762722196</v>
      </c>
      <c r="K13" s="57">
        <f t="shared" si="1"/>
        <v>0.4080888716793048</v>
      </c>
      <c r="L13" s="57">
        <f t="shared" si="1"/>
        <v>0.39952023352552818</v>
      </c>
      <c r="M13" s="58">
        <f t="shared" si="1"/>
        <v>0.4310458842718235</v>
      </c>
      <c r="N13" s="55"/>
    </row>
    <row r="14" spans="1:14">
      <c r="A14" s="29"/>
      <c r="B14" s="36"/>
      <c r="C14" s="31"/>
      <c r="D14" s="63"/>
      <c r="E14" s="63"/>
      <c r="F14" s="31"/>
      <c r="G14" s="31"/>
      <c r="H14" s="31"/>
      <c r="I14" s="31"/>
      <c r="J14" s="31"/>
      <c r="K14" s="31"/>
      <c r="L14" s="31"/>
      <c r="M14" s="44"/>
      <c r="N14" s="54"/>
    </row>
    <row r="15" spans="1:14">
      <c r="A15" s="29"/>
      <c r="B15" s="36" t="s">
        <v>348</v>
      </c>
      <c r="C15" s="31"/>
      <c r="D15" s="138">
        <v>-6113</v>
      </c>
      <c r="E15" s="138">
        <v>-4664</v>
      </c>
      <c r="F15" s="31">
        <v>-5985</v>
      </c>
      <c r="G15" s="31">
        <v>-5011</v>
      </c>
      <c r="H15" s="31">
        <v>-5129</v>
      </c>
      <c r="I15" s="31">
        <f>-'Cash Flow Statement'!I7</f>
        <v>-5009.757752428648</v>
      </c>
      <c r="J15" s="31">
        <f>-'Cash Flow Statement'!J7</f>
        <v>-4893.2877243164239</v>
      </c>
      <c r="K15" s="31">
        <f>-'Cash Flow Statement'!K7</f>
        <v>-4779.5254653457096</v>
      </c>
      <c r="L15" s="31">
        <f>-'Cash Flow Statement'!L7</f>
        <v>-4668.4080235807778</v>
      </c>
      <c r="M15" s="44">
        <f>-'Cash Flow Statement'!M7</f>
        <v>-4559.8739106324638</v>
      </c>
      <c r="N15" s="54"/>
    </row>
    <row r="16" spans="1:14">
      <c r="A16" s="29"/>
      <c r="B16" s="37" t="s">
        <v>101</v>
      </c>
      <c r="C16" s="38"/>
      <c r="D16" s="61">
        <f>D12+D15</f>
        <v>3339</v>
      </c>
      <c r="E16" s="61">
        <f>E12+E15</f>
        <v>4881</v>
      </c>
      <c r="F16" s="38">
        <f>F12+F15</f>
        <v>3752</v>
      </c>
      <c r="G16" s="38">
        <f>G12+G15</f>
        <v>5950</v>
      </c>
      <c r="H16" s="38">
        <f>H12+H15</f>
        <v>6221</v>
      </c>
      <c r="I16" s="38">
        <f t="shared" ref="I16:L16" si="2">I12+I15</f>
        <v>6835.9863334919373</v>
      </c>
      <c r="J16" s="38">
        <f t="shared" si="2"/>
        <v>7380.6099726036828</v>
      </c>
      <c r="K16" s="38">
        <f t="shared" si="2"/>
        <v>8654.877189787454</v>
      </c>
      <c r="L16" s="38">
        <f t="shared" si="2"/>
        <v>9286.2041653526576</v>
      </c>
      <c r="M16" s="56">
        <f>M12+M15</f>
        <v>10661.492868824393</v>
      </c>
      <c r="N16" s="54"/>
    </row>
    <row r="17" spans="1:14">
      <c r="A17" s="29"/>
      <c r="B17" s="153" t="s">
        <v>99</v>
      </c>
      <c r="C17" s="154"/>
      <c r="D17" s="155">
        <f>D16/D7</f>
        <v>0.11768230359849152</v>
      </c>
      <c r="E17" s="155">
        <f>E16/E7</f>
        <v>0.1739982888920576</v>
      </c>
      <c r="F17" s="59">
        <f>F16/F7</f>
        <v>0.13609982588508415</v>
      </c>
      <c r="G17" s="59">
        <f>G16/G7</f>
        <v>0.2030300962260288</v>
      </c>
      <c r="H17" s="59">
        <f>H16/H7</f>
        <v>0.20474591890468669</v>
      </c>
      <c r="I17" s="59">
        <f t="shared" ref="I17:M17" si="3">I16/I7</f>
        <v>0.22264318973410721</v>
      </c>
      <c r="J17" s="59">
        <f t="shared" si="3"/>
        <v>0.22666256676605112</v>
      </c>
      <c r="K17" s="59">
        <f t="shared" si="3"/>
        <v>0.26290406485276702</v>
      </c>
      <c r="L17" s="59">
        <f t="shared" si="3"/>
        <v>0.26586381667056469</v>
      </c>
      <c r="M17" s="60">
        <f t="shared" si="3"/>
        <v>0.30191721202740346</v>
      </c>
      <c r="N17" s="54"/>
    </row>
    <row r="18" spans="1:14">
      <c r="A18" s="39"/>
      <c r="B18" s="39"/>
      <c r="C18" s="39"/>
      <c r="D18" s="57"/>
      <c r="E18" s="57"/>
      <c r="F18" s="57"/>
      <c r="G18" s="57"/>
      <c r="H18" s="57"/>
      <c r="I18" s="57"/>
      <c r="J18" s="57"/>
      <c r="K18" s="57"/>
      <c r="L18" s="57"/>
      <c r="M18" s="57"/>
      <c r="N18" s="55"/>
    </row>
    <row r="19" spans="1:14">
      <c r="A19" s="39"/>
      <c r="B19" s="39"/>
      <c r="C19" s="39"/>
      <c r="D19" s="57"/>
      <c r="E19" s="57"/>
      <c r="F19" s="57"/>
      <c r="G19" s="57"/>
      <c r="H19" s="57"/>
      <c r="I19" s="57"/>
      <c r="J19" s="57"/>
      <c r="K19" s="57"/>
      <c r="L19" s="57"/>
      <c r="M19" s="57"/>
      <c r="N19" s="55"/>
    </row>
    <row r="20" spans="1:14">
      <c r="B20" s="240" t="s">
        <v>349</v>
      </c>
      <c r="D20" s="1"/>
      <c r="E20" s="1"/>
      <c r="F20" s="1"/>
      <c r="G20" s="1"/>
      <c r="H20" s="1"/>
    </row>
  </sheetData>
  <phoneticPr fontId="38"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M18"/>
  <sheetViews>
    <sheetView workbookViewId="0">
      <selection activeCell="J11" sqref="J11"/>
    </sheetView>
  </sheetViews>
  <sheetFormatPr baseColWidth="10" defaultColWidth="10.7109375" defaultRowHeight="15"/>
  <cols>
    <col min="3" max="3" width="54" customWidth="1"/>
  </cols>
  <sheetData>
    <row r="1" spans="1:13">
      <c r="A1" s="45" t="s">
        <v>102</v>
      </c>
      <c r="B1" s="46"/>
      <c r="C1" s="46"/>
      <c r="D1" s="46"/>
      <c r="E1" s="46"/>
      <c r="F1" s="46"/>
      <c r="G1" s="46"/>
      <c r="H1" s="46"/>
      <c r="I1" s="46"/>
      <c r="J1" s="46"/>
      <c r="K1" s="46"/>
      <c r="L1" s="46"/>
      <c r="M1" s="46"/>
    </row>
    <row r="2" spans="1:13" ht="18">
      <c r="A2" s="47" t="s">
        <v>93</v>
      </c>
      <c r="B2" s="48"/>
      <c r="C2" s="48"/>
      <c r="D2" s="49" t="s">
        <v>94</v>
      </c>
      <c r="E2" s="49"/>
      <c r="F2" s="49" t="s">
        <v>95</v>
      </c>
      <c r="G2" s="49"/>
      <c r="H2" s="49"/>
      <c r="I2" s="50"/>
      <c r="J2" s="50"/>
      <c r="K2" s="50"/>
      <c r="L2" s="50"/>
      <c r="M2" s="50"/>
    </row>
    <row r="3" spans="1:13">
      <c r="A3" s="51" t="s">
        <v>103</v>
      </c>
      <c r="B3" s="52"/>
      <c r="C3" s="52"/>
      <c r="D3" s="53">
        <v>2006</v>
      </c>
      <c r="E3" s="53">
        <v>2007</v>
      </c>
      <c r="F3" s="53">
        <v>2008</v>
      </c>
      <c r="G3" s="53">
        <v>2009</v>
      </c>
      <c r="H3" s="53">
        <v>2010</v>
      </c>
      <c r="I3" s="52">
        <v>2011</v>
      </c>
      <c r="J3" s="52">
        <v>2012</v>
      </c>
      <c r="K3" s="52">
        <v>2013</v>
      </c>
      <c r="L3" s="52">
        <v>2014</v>
      </c>
      <c r="M3" s="52">
        <v>2015</v>
      </c>
    </row>
    <row r="4" spans="1:13">
      <c r="A4" s="29"/>
      <c r="B4" s="30"/>
      <c r="C4" s="30"/>
      <c r="D4" s="30"/>
      <c r="E4" s="30"/>
      <c r="F4" s="30"/>
      <c r="G4" s="30"/>
      <c r="H4" s="30"/>
      <c r="I4" s="30"/>
      <c r="J4" s="30"/>
      <c r="K4" s="30"/>
      <c r="L4" s="30"/>
      <c r="M4" s="30"/>
    </row>
    <row r="5" spans="1:13" ht="16.5" thickBot="1">
      <c r="A5" s="32"/>
      <c r="B5" s="33" t="s">
        <v>127</v>
      </c>
      <c r="C5" s="34"/>
      <c r="D5" s="35"/>
      <c r="E5" s="35"/>
      <c r="F5" s="35"/>
      <c r="G5" s="35"/>
      <c r="H5" s="35"/>
      <c r="I5" s="35"/>
      <c r="J5" s="35"/>
      <c r="K5" s="35"/>
      <c r="L5" s="35"/>
      <c r="M5" s="35"/>
    </row>
    <row r="6" spans="1:13">
      <c r="A6" s="29"/>
      <c r="B6" s="36"/>
      <c r="C6" s="31"/>
      <c r="D6" s="31"/>
      <c r="E6" s="31"/>
      <c r="F6" s="31"/>
      <c r="G6" s="31"/>
      <c r="H6" s="31"/>
      <c r="I6" s="31"/>
      <c r="J6" s="31"/>
      <c r="K6" s="31"/>
      <c r="L6" s="31"/>
      <c r="M6" s="31"/>
    </row>
    <row r="7" spans="1:13">
      <c r="A7" s="29"/>
      <c r="B7" s="36" t="s">
        <v>100</v>
      </c>
      <c r="C7" s="31"/>
      <c r="D7" s="31">
        <f>-'Income Statement'!D15</f>
        <v>6113</v>
      </c>
      <c r="E7" s="31">
        <f>-'Income Statement'!E15</f>
        <v>4664</v>
      </c>
      <c r="F7" s="31">
        <f>-'Income Statement'!F15</f>
        <v>5985</v>
      </c>
      <c r="G7" s="31">
        <f>-'Income Statement'!G15</f>
        <v>5011</v>
      </c>
      <c r="H7" s="31">
        <f>-'Income Statement'!H15</f>
        <v>5129</v>
      </c>
      <c r="I7" s="31">
        <f>IF(Assumption!$H$2=Assumption!$S$1,H7*(1+Assumption!I22),IF(Assumption!$H$2=Assumption!$S$2,'Cash Flow Statement'!H7*(1+Assumption!I43),'Cash Flow Statement'!H7*(1+Assumption!#REF!)))</f>
        <v>5009.757752428648</v>
      </c>
      <c r="J7" s="31">
        <f>IF(Assumption!$H$2=Assumption!$S$1,I7*(1+Assumption!J22),IF(Assumption!$H$2=Assumption!$S$2,'Cash Flow Statement'!I7*(1+Assumption!J43),'Cash Flow Statement'!I7*(1+Assumption!#REF!)))</f>
        <v>4893.2877243164239</v>
      </c>
      <c r="K7" s="31">
        <f>IF(Assumption!$H$2=Assumption!$S$1,J7*(1+Assumption!K22),IF(Assumption!$H$2=Assumption!$S$2,'Cash Flow Statement'!J7*(1+Assumption!K43),'Cash Flow Statement'!J7*(1+Assumption!#REF!)))</f>
        <v>4779.5254653457096</v>
      </c>
      <c r="L7" s="31">
        <f>IF(Assumption!$H$2=Assumption!$S$1,K7*(1+Assumption!L22),IF(Assumption!$H$2=Assumption!$S$2,'Cash Flow Statement'!K7*(1+Assumption!L43),'Cash Flow Statement'!K7*(1+Assumption!#REF!)))</f>
        <v>4668.4080235807778</v>
      </c>
      <c r="M7" s="31">
        <f>IF(Assumption!$H$2=Assumption!$S$1,L7*(1+Assumption!M22),IF(Assumption!$H$2=Assumption!$S$2,'Cash Flow Statement'!L7*(1+Assumption!M43),'Cash Flow Statement'!L7*(1+Assumption!#REF!)))</f>
        <v>4559.8739106324638</v>
      </c>
    </row>
    <row r="8" spans="1:13">
      <c r="A8" s="29"/>
      <c r="B8" s="36"/>
      <c r="C8" s="31"/>
      <c r="D8" s="31"/>
      <c r="E8" s="31"/>
      <c r="F8" s="31"/>
      <c r="G8" s="31"/>
      <c r="H8" s="31"/>
      <c r="I8" s="31"/>
      <c r="J8" s="31"/>
      <c r="K8" s="31"/>
      <c r="L8" s="31"/>
      <c r="M8" s="31"/>
    </row>
    <row r="9" spans="1:13">
      <c r="A9" s="29"/>
      <c r="B9" s="36" t="s">
        <v>129</v>
      </c>
      <c r="C9" s="31"/>
      <c r="D9" s="31">
        <v>-1454</v>
      </c>
      <c r="E9" s="31">
        <v>-1610</v>
      </c>
      <c r="F9" s="31">
        <v>-1606</v>
      </c>
      <c r="G9" s="31">
        <v>-1785</v>
      </c>
      <c r="H9" s="31">
        <v>-1573</v>
      </c>
      <c r="I9" s="237">
        <f>-Assumption!I24*'Income Statement'!I7</f>
        <v>-1716.8013258725171</v>
      </c>
      <c r="J9" s="237">
        <f>-Assumption!J24*'Income Statement'!J7</f>
        <v>-1820.7097705541912</v>
      </c>
      <c r="K9" s="237">
        <f>-Assumption!K24*'Income Statement'!K7</f>
        <v>-1840.7375780302873</v>
      </c>
      <c r="L9" s="237">
        <f>-Assumption!L24*'Income Statement'!L7</f>
        <v>-1953.0225702901348</v>
      </c>
      <c r="M9" s="237">
        <f>-Assumption!M24*'Income Statement'!M7</f>
        <v>-1974.5058185633261</v>
      </c>
    </row>
    <row r="10" spans="1:13">
      <c r="A10" s="29"/>
      <c r="B10" s="36" t="s">
        <v>130</v>
      </c>
      <c r="C10" s="31"/>
      <c r="D10" s="31">
        <v>-509</v>
      </c>
      <c r="E10" s="31">
        <v>-214</v>
      </c>
      <c r="F10" s="31">
        <v>-661</v>
      </c>
      <c r="G10" s="31">
        <v>-5563</v>
      </c>
      <c r="H10" s="31">
        <v>-1659</v>
      </c>
      <c r="I10" s="237">
        <f>-Assumption!I25*'Income Statement'!I7</f>
        <v>-799.42236633983578</v>
      </c>
      <c r="J10" s="237">
        <f>-Assumption!J25*'Income Statement'!J7</f>
        <v>-6838.041747963287</v>
      </c>
      <c r="K10" s="237">
        <f>-Assumption!K25*'Income Statement'!K7</f>
        <v>-857.1328366674968</v>
      </c>
      <c r="L10" s="237">
        <f>-Assumption!L25*'Income Statement'!L7</f>
        <v>-7334.9690798295269</v>
      </c>
      <c r="M10" s="237">
        <f>-Assumption!M25*'Income Statement'!M7</f>
        <v>-919.42153704096052</v>
      </c>
    </row>
    <row r="11" spans="1:13">
      <c r="A11" s="29"/>
      <c r="B11" s="37" t="s">
        <v>128</v>
      </c>
      <c r="C11" s="38"/>
      <c r="D11" s="38">
        <f>D9+D10</f>
        <v>-1963</v>
      </c>
      <c r="E11" s="38">
        <f>E9+E10</f>
        <v>-1824</v>
      </c>
      <c r="F11" s="38">
        <f t="shared" ref="F11:H11" si="0">F9+F10</f>
        <v>-2267</v>
      </c>
      <c r="G11" s="38">
        <f t="shared" si="0"/>
        <v>-7348</v>
      </c>
      <c r="H11" s="38">
        <f t="shared" si="0"/>
        <v>-3232</v>
      </c>
      <c r="I11" s="38">
        <f>-IF(Assumption!$H$2=Assumption!$S$1,'Income Statement'!I7*Assumption!I26,IF(Assumption!$H$2=Assumption!$S$2,'Income Statement'!I7*Assumption!I44,'Income Statement'!I7*Assumption!#REF!))</f>
        <v>-2516.2236922123525</v>
      </c>
      <c r="J11" s="38">
        <f>-IF(Assumption!$H$2=Assumption!$S$1,'Income Statement'!J7*Assumption!J26,IF(Assumption!$H$2=Assumption!$S$2,'Income Statement'!J7*Assumption!J44,'Income Statement'!J7*Assumption!#REF!))</f>
        <v>-8658.751518517478</v>
      </c>
      <c r="K11" s="38">
        <f>-IF(Assumption!$H$2=Assumption!$S$1,'Income Statement'!K7*Assumption!K26,IF(Assumption!$H$2=Assumption!$S$2,'Income Statement'!K7*Assumption!K44,'Income Statement'!K7*Assumption!#REF!))</f>
        <v>-2697.8704146977839</v>
      </c>
      <c r="L11" s="38">
        <f>-IF(Assumption!$H$2=Assumption!$S$1,'Income Statement'!L7*Assumption!L26,IF(Assumption!$H$2=Assumption!$S$2,'Income Statement'!L7*Assumption!L44,'Income Statement'!L7*Assumption!#REF!))</f>
        <v>-9287.9916501196622</v>
      </c>
      <c r="M11" s="38">
        <f>-IF(Assumption!$H$2=Assumption!$S$1,'Income Statement'!M7*Assumption!M26,IF(Assumption!$H$2=Assumption!$S$2,'Income Statement'!M7*Assumption!M44,'Income Statement'!M7*Assumption!#REF!))</f>
        <v>-2893.9273556042863</v>
      </c>
    </row>
    <row r="12" spans="1:13">
      <c r="A12" s="29"/>
      <c r="B12" s="65"/>
      <c r="C12" s="29"/>
      <c r="D12" s="29"/>
      <c r="E12" s="29"/>
      <c r="F12" s="29"/>
      <c r="G12" s="29"/>
      <c r="H12" s="29"/>
      <c r="I12" s="29"/>
      <c r="J12" s="29"/>
      <c r="K12" s="29"/>
      <c r="L12" s="29"/>
      <c r="M12" s="29"/>
    </row>
    <row r="13" spans="1:13">
      <c r="A13" s="29"/>
      <c r="B13" s="65" t="s">
        <v>131</v>
      </c>
      <c r="C13" s="31"/>
      <c r="D13" s="31">
        <f>-D11-D7</f>
        <v>-4150</v>
      </c>
      <c r="E13" s="31">
        <f t="shared" ref="E13:H13" si="1">-E11-E7</f>
        <v>-2840</v>
      </c>
      <c r="F13" s="31">
        <f t="shared" si="1"/>
        <v>-3718</v>
      </c>
      <c r="G13" s="31">
        <f t="shared" si="1"/>
        <v>2337</v>
      </c>
      <c r="H13" s="31">
        <f t="shared" si="1"/>
        <v>-1897</v>
      </c>
      <c r="I13" s="31">
        <f>-I11-I7</f>
        <v>-2493.5340602162955</v>
      </c>
      <c r="J13" s="31">
        <f t="shared" ref="J13:M13" si="2">-J11-J7</f>
        <v>3765.463794201054</v>
      </c>
      <c r="K13" s="31">
        <f t="shared" si="2"/>
        <v>-2081.6550506479257</v>
      </c>
      <c r="L13" s="31">
        <f t="shared" si="2"/>
        <v>4619.5836265388843</v>
      </c>
      <c r="M13" s="31">
        <f t="shared" si="2"/>
        <v>-1665.9465550281775</v>
      </c>
    </row>
    <row r="17" spans="4:13">
      <c r="D17" s="1"/>
      <c r="E17" s="1"/>
      <c r="F17" s="1"/>
      <c r="G17" s="1"/>
      <c r="H17" s="1"/>
    </row>
    <row r="18" spans="4:13">
      <c r="D18" s="54"/>
      <c r="E18" s="54"/>
      <c r="F18" s="54"/>
      <c r="G18" s="54"/>
      <c r="H18" s="54"/>
      <c r="I18" s="54"/>
      <c r="J18" s="54"/>
      <c r="K18" s="54"/>
      <c r="L18" s="54"/>
      <c r="M18" s="54"/>
    </row>
  </sheetData>
  <phoneticPr fontId="38"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
  <sheetViews>
    <sheetView workbookViewId="0">
      <selection activeCell="E8" sqref="E8"/>
    </sheetView>
  </sheetViews>
  <sheetFormatPr baseColWidth="10" defaultRowHeight="15"/>
  <cols>
    <col min="1" max="16384" width="11.42578125" style="529"/>
  </cols>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K35"/>
  <sheetViews>
    <sheetView workbookViewId="0">
      <selection activeCell="E26" sqref="E26"/>
    </sheetView>
  </sheetViews>
  <sheetFormatPr baseColWidth="10" defaultColWidth="11.42578125" defaultRowHeight="12.75"/>
  <cols>
    <col min="1" max="16384" width="11.42578125" style="19"/>
  </cols>
  <sheetData>
    <row r="1" spans="1:11" s="20" customFormat="1" ht="18.75">
      <c r="A1" s="97" t="s">
        <v>142</v>
      </c>
      <c r="B1" s="97"/>
      <c r="C1" s="97"/>
      <c r="D1" s="97"/>
      <c r="E1" s="97"/>
      <c r="F1" s="97"/>
      <c r="G1" s="97"/>
      <c r="H1" s="97"/>
      <c r="I1" s="97"/>
      <c r="J1" s="97"/>
      <c r="K1" s="97"/>
    </row>
    <row r="2" spans="1:11" s="22" customFormat="1">
      <c r="A2" s="22" t="s">
        <v>143</v>
      </c>
    </row>
    <row r="3" spans="1:11" s="21" customFormat="1">
      <c r="A3" s="21" t="s">
        <v>73</v>
      </c>
      <c r="E3" s="122">
        <v>264</v>
      </c>
    </row>
    <row r="4" spans="1:11" s="23" customFormat="1">
      <c r="A4" s="23" t="s">
        <v>74</v>
      </c>
    </row>
    <row r="5" spans="1:11" s="21" customFormat="1">
      <c r="A5" s="24" t="s">
        <v>75</v>
      </c>
      <c r="B5" s="24" t="s">
        <v>76</v>
      </c>
      <c r="C5" s="21" t="s">
        <v>77</v>
      </c>
    </row>
    <row r="6" spans="1:11" s="21" customFormat="1">
      <c r="A6" s="24">
        <v>1</v>
      </c>
      <c r="B6" s="122">
        <v>260</v>
      </c>
    </row>
    <row r="7" spans="1:11" s="21" customFormat="1">
      <c r="A7" s="24">
        <v>2</v>
      </c>
      <c r="B7" s="122">
        <v>168.5</v>
      </c>
    </row>
    <row r="8" spans="1:11" s="21" customFormat="1">
      <c r="A8" s="24">
        <v>3</v>
      </c>
      <c r="B8" s="122">
        <v>168.5</v>
      </c>
    </row>
    <row r="9" spans="1:11" s="21" customFormat="1">
      <c r="A9" s="24">
        <v>4</v>
      </c>
      <c r="B9" s="122">
        <v>108.5</v>
      </c>
    </row>
    <row r="10" spans="1:11" s="21" customFormat="1">
      <c r="A10" s="24">
        <v>5</v>
      </c>
      <c r="B10" s="122">
        <v>108.5</v>
      </c>
    </row>
    <row r="11" spans="1:11" s="21" customFormat="1">
      <c r="A11" s="24" t="s">
        <v>78</v>
      </c>
      <c r="B11" s="122">
        <v>477</v>
      </c>
    </row>
    <row r="12" spans="1:11" s="21" customFormat="1"/>
    <row r="13" spans="1:11" s="98" customFormat="1" ht="16.5" thickBot="1">
      <c r="A13" s="98" t="s">
        <v>72</v>
      </c>
    </row>
    <row r="14" spans="1:11" s="21" customFormat="1" ht="13.5" thickBot="1">
      <c r="A14" s="21" t="s">
        <v>79</v>
      </c>
      <c r="C14" s="99">
        <f>'Cost of Debt'!J25</f>
        <v>4.2803306103834163E-2</v>
      </c>
      <c r="D14" s="21" t="s">
        <v>144</v>
      </c>
    </row>
    <row r="15" spans="1:11" s="21" customFormat="1"/>
    <row r="16" spans="1:11" s="23" customFormat="1">
      <c r="A16" s="23" t="s">
        <v>80</v>
      </c>
    </row>
    <row r="17" spans="1:5" s="21" customFormat="1">
      <c r="A17" s="21" t="s">
        <v>81</v>
      </c>
      <c r="D17" s="100">
        <f>'Income Statement'!H16</f>
        <v>6221</v>
      </c>
      <c r="E17" s="21" t="s">
        <v>82</v>
      </c>
    </row>
    <row r="18" spans="1:5" s="21" customFormat="1">
      <c r="A18" s="21" t="s">
        <v>83</v>
      </c>
      <c r="D18" s="100">
        <f>'Balance Sheet'!H24+'Balance Sheet'!H28</f>
        <v>8260</v>
      </c>
      <c r="E18" s="21" t="s">
        <v>84</v>
      </c>
    </row>
    <row r="19" spans="1:5" s="21" customFormat="1">
      <c r="D19" s="101"/>
    </row>
    <row r="20" spans="1:5" s="21" customFormat="1">
      <c r="A20" s="21" t="s">
        <v>85</v>
      </c>
      <c r="D20" s="25">
        <f>IF(B11&gt;0,ROUND(B11/AVERAGE(B6:B10),0),0)</f>
        <v>3</v>
      </c>
      <c r="E20" s="21" t="s">
        <v>86</v>
      </c>
    </row>
    <row r="21" spans="1:5" s="22" customFormat="1">
      <c r="E21" s="21" t="s">
        <v>87</v>
      </c>
    </row>
    <row r="22" spans="1:5" s="23" customFormat="1">
      <c r="A22" s="23" t="s">
        <v>88</v>
      </c>
    </row>
    <row r="23" spans="1:5" s="21" customFormat="1">
      <c r="A23" s="24" t="s">
        <v>75</v>
      </c>
      <c r="B23" s="24" t="s">
        <v>76</v>
      </c>
      <c r="C23" s="24" t="s">
        <v>89</v>
      </c>
    </row>
    <row r="24" spans="1:5" s="21" customFormat="1">
      <c r="A24" s="26">
        <f>A6</f>
        <v>1</v>
      </c>
      <c r="B24" s="123">
        <f>B6</f>
        <v>260</v>
      </c>
      <c r="C24" s="100">
        <f>B24/(1+$C$14)^A24</f>
        <v>249.32793986952629</v>
      </c>
    </row>
    <row r="25" spans="1:5" s="21" customFormat="1">
      <c r="A25" s="26">
        <f t="shared" ref="A25:B28" si="0">A7</f>
        <v>2</v>
      </c>
      <c r="B25" s="123">
        <f t="shared" si="0"/>
        <v>168.5</v>
      </c>
      <c r="C25" s="100">
        <f>B25/(1+$C$14)^A25</f>
        <v>154.95125798120691</v>
      </c>
    </row>
    <row r="26" spans="1:5" s="21" customFormat="1">
      <c r="A26" s="26">
        <f t="shared" si="0"/>
        <v>3</v>
      </c>
      <c r="B26" s="123">
        <f t="shared" si="0"/>
        <v>168.5</v>
      </c>
      <c r="C26" s="100">
        <f>B26/(1+$C$14)^A26</f>
        <v>148.59106897171463</v>
      </c>
    </row>
    <row r="27" spans="1:5" s="21" customFormat="1">
      <c r="A27" s="26">
        <f t="shared" si="0"/>
        <v>4</v>
      </c>
      <c r="B27" s="123">
        <f t="shared" si="0"/>
        <v>108.5</v>
      </c>
      <c r="C27" s="100">
        <f>B27/(1+$C$14)^A27</f>
        <v>91.752972024777918</v>
      </c>
    </row>
    <row r="28" spans="1:5" s="21" customFormat="1">
      <c r="A28" s="26">
        <f t="shared" si="0"/>
        <v>5</v>
      </c>
      <c r="B28" s="123">
        <f t="shared" si="0"/>
        <v>108.5</v>
      </c>
      <c r="C28" s="100">
        <f>B28/(1+$C$14)^A28</f>
        <v>87.986844199400608</v>
      </c>
    </row>
    <row r="29" spans="1:5" s="21" customFormat="1" ht="13.5" thickBot="1">
      <c r="A29" s="27" t="str">
        <f>A11</f>
        <v>6 and beyond</v>
      </c>
      <c r="B29" s="124">
        <f>IF(B11&gt;0,IF(D20&gt;0,B11/D20,B11),0)</f>
        <v>159</v>
      </c>
      <c r="C29" s="102">
        <f>IF(D20&gt;0,(B29*(1-(1+C14)^(-D20))/C14)/(1+$C$14)^5,B29/(1+C14)^6)</f>
        <v>355.92283275073805</v>
      </c>
      <c r="D29" s="21" t="s">
        <v>90</v>
      </c>
    </row>
    <row r="30" spans="1:5" s="21" customFormat="1" ht="13.5" thickBot="1">
      <c r="A30" s="28" t="s">
        <v>91</v>
      </c>
      <c r="B30" s="103"/>
      <c r="C30" s="125">
        <f>SUM(C24:C29)</f>
        <v>1088.5329157973645</v>
      </c>
    </row>
    <row r="31" spans="1:5" s="21" customFormat="1"/>
    <row r="32" spans="1:5" s="21" customFormat="1">
      <c r="A32" s="23" t="s">
        <v>92</v>
      </c>
    </row>
    <row r="33" spans="1:7" s="21" customFormat="1">
      <c r="A33" s="21" t="s">
        <v>145</v>
      </c>
      <c r="F33" s="100">
        <f>C30/(5+D20)</f>
        <v>136.06661447467056</v>
      </c>
      <c r="G33" s="21" t="s">
        <v>146</v>
      </c>
    </row>
    <row r="34" spans="1:7" s="21" customFormat="1" ht="13.5" thickBot="1">
      <c r="A34" s="21" t="s">
        <v>147</v>
      </c>
      <c r="F34" s="104">
        <f>E3-F33</f>
        <v>127.93338552532944</v>
      </c>
      <c r="G34" s="21" t="s">
        <v>148</v>
      </c>
    </row>
    <row r="35" spans="1:7" s="21" customFormat="1" ht="13.5" thickBot="1">
      <c r="A35" s="21" t="s">
        <v>149</v>
      </c>
      <c r="F35" s="126">
        <f>C30</f>
        <v>1088.5329157973645</v>
      </c>
    </row>
  </sheetData>
  <phoneticPr fontId="38" type="noConversion"/>
  <pageMargins left="0.78740157499999996" right="0.78740157499999996" top="0.984251969" bottom="0.984251969" header="0.5" footer="0.5"/>
  <pageSetup paperSize="0" horizontalDpi="4294967292" verticalDpi="4294967292"/>
  <headerFooter alignWithMargins="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sheetPr>
  <dimension ref="A1:L142"/>
  <sheetViews>
    <sheetView topLeftCell="A19" workbookViewId="0">
      <selection activeCell="E37" sqref="E37"/>
    </sheetView>
  </sheetViews>
  <sheetFormatPr baseColWidth="10" defaultColWidth="11.42578125" defaultRowHeight="12.75"/>
  <cols>
    <col min="1" max="11" width="11.42578125" style="19"/>
    <col min="12" max="12" width="21" style="19" bestFit="1" customWidth="1"/>
    <col min="13" max="16384" width="11.42578125" style="19"/>
  </cols>
  <sheetData>
    <row r="1" spans="1:12" s="20" customFormat="1" ht="18.75">
      <c r="A1" s="97" t="s">
        <v>150</v>
      </c>
      <c r="B1" s="97"/>
      <c r="C1" s="97"/>
      <c r="D1" s="97"/>
      <c r="E1" s="97"/>
      <c r="F1" s="97"/>
      <c r="G1" s="97"/>
      <c r="H1" s="97"/>
      <c r="I1" s="97"/>
      <c r="J1" s="97"/>
    </row>
    <row r="2" spans="1:12" s="21" customFormat="1">
      <c r="A2" s="21" t="s">
        <v>151</v>
      </c>
    </row>
    <row r="3" spans="1:12" s="21" customFormat="1">
      <c r="A3" s="21" t="s">
        <v>152</v>
      </c>
    </row>
    <row r="4" spans="1:12" s="21" customFormat="1"/>
    <row r="5" spans="1:12" s="21" customFormat="1">
      <c r="A5" s="22" t="s">
        <v>143</v>
      </c>
    </row>
    <row r="6" spans="1:12" s="21" customFormat="1">
      <c r="A6" s="21" t="s">
        <v>153</v>
      </c>
      <c r="F6" s="105">
        <v>10</v>
      </c>
      <c r="G6" s="21" t="s">
        <v>154</v>
      </c>
    </row>
    <row r="7" spans="1:12" s="21" customFormat="1">
      <c r="A7" s="21" t="s">
        <v>155</v>
      </c>
      <c r="F7" s="127">
        <f>-'Income Statement'!H11</f>
        <v>4401</v>
      </c>
      <c r="G7" s="21" t="s">
        <v>156</v>
      </c>
    </row>
    <row r="8" spans="1:12" s="21" customFormat="1">
      <c r="A8" s="21" t="s">
        <v>157</v>
      </c>
    </row>
    <row r="9" spans="1:12" s="21" customFormat="1">
      <c r="A9" s="21" t="s">
        <v>158</v>
      </c>
    </row>
    <row r="10" spans="1:12" s="108" customFormat="1">
      <c r="A10" s="106" t="s">
        <v>75</v>
      </c>
      <c r="B10" s="106" t="s">
        <v>159</v>
      </c>
      <c r="C10" s="107"/>
      <c r="D10" s="107"/>
      <c r="E10" s="107"/>
      <c r="F10" s="107"/>
      <c r="G10" s="107"/>
      <c r="H10" s="107"/>
    </row>
    <row r="11" spans="1:12" s="108" customFormat="1">
      <c r="A11" s="109">
        <v>-1</v>
      </c>
      <c r="B11" s="110">
        <v>4583</v>
      </c>
      <c r="C11" s="107" t="s">
        <v>160</v>
      </c>
      <c r="D11" s="107"/>
      <c r="E11" s="107"/>
      <c r="F11" s="107"/>
      <c r="G11" s="107"/>
      <c r="H11" s="107"/>
      <c r="I11" s="107"/>
    </row>
    <row r="12" spans="1:12" s="108" customFormat="1">
      <c r="A12" s="109">
        <f>IF((0-A11)&lt;$F$6,IF(A11&gt;-1,,A11-1),)</f>
        <v>-2</v>
      </c>
      <c r="B12" s="110">
        <v>4575</v>
      </c>
      <c r="C12" s="107" t="s">
        <v>161</v>
      </c>
      <c r="D12" s="107"/>
      <c r="E12" s="107"/>
      <c r="F12" s="107"/>
      <c r="G12" s="107"/>
      <c r="H12" s="196" t="s">
        <v>327</v>
      </c>
      <c r="I12" s="93"/>
      <c r="J12" s="93"/>
      <c r="K12" s="93"/>
      <c r="L12" s="94"/>
    </row>
    <row r="13" spans="1:12" s="108" customFormat="1">
      <c r="A13" s="109">
        <f t="shared" ref="A13:A20" si="0">IF((0-A12)&lt;$F$6,IF(A12&gt;-1,,A12-1),)</f>
        <v>-3</v>
      </c>
      <c r="B13" s="110">
        <v>4537</v>
      </c>
      <c r="C13" s="107"/>
      <c r="D13" s="107"/>
      <c r="E13" s="107"/>
      <c r="F13" s="107"/>
      <c r="G13" s="107"/>
      <c r="H13" s="197" t="s">
        <v>75</v>
      </c>
      <c r="I13" s="177" t="s">
        <v>162</v>
      </c>
      <c r="J13" s="607" t="s">
        <v>163</v>
      </c>
      <c r="K13" s="607"/>
      <c r="L13" s="198" t="s">
        <v>164</v>
      </c>
    </row>
    <row r="14" spans="1:12" s="108" customFormat="1">
      <c r="A14" s="109">
        <f t="shared" si="0"/>
        <v>-4</v>
      </c>
      <c r="B14" s="110">
        <v>4430</v>
      </c>
      <c r="C14" s="107"/>
      <c r="D14" s="107"/>
      <c r="E14" s="107"/>
      <c r="F14" s="107"/>
      <c r="G14" s="195"/>
      <c r="H14" s="199" t="s">
        <v>165</v>
      </c>
      <c r="I14" s="200">
        <f>-'Income Statement'!M11</f>
        <v>5786.6766392140325</v>
      </c>
      <c r="J14" s="201">
        <f>1</f>
        <v>1</v>
      </c>
      <c r="K14" s="201">
        <f>I14*J14</f>
        <v>5786.6766392140325</v>
      </c>
      <c r="L14" s="202"/>
    </row>
    <row r="15" spans="1:12" s="108" customFormat="1">
      <c r="A15" s="109">
        <f t="shared" si="0"/>
        <v>-5</v>
      </c>
      <c r="B15" s="110">
        <v>4044</v>
      </c>
      <c r="C15" s="107"/>
      <c r="D15" s="107"/>
      <c r="E15" s="107"/>
      <c r="F15" s="107"/>
      <c r="G15" s="195"/>
      <c r="H15" s="203">
        <f>A11</f>
        <v>-1</v>
      </c>
      <c r="I15" s="200">
        <f>-'Income Statement'!L11</f>
        <v>6295.5336371692219</v>
      </c>
      <c r="J15" s="201">
        <f>IF(H15&lt;0,($F$6+H15)/$F$6,0)</f>
        <v>0.9</v>
      </c>
      <c r="K15" s="201">
        <f>I15*J15</f>
        <v>5665.9802734523</v>
      </c>
      <c r="L15" s="204">
        <f t="shared" ref="L15:L24" si="1">IF(H15&lt;0,I15/$F$6,0)</f>
        <v>629.55336371692215</v>
      </c>
    </row>
    <row r="16" spans="1:12" s="108" customFormat="1">
      <c r="A16" s="109">
        <f t="shared" si="0"/>
        <v>-6</v>
      </c>
      <c r="B16" s="110">
        <v>2389</v>
      </c>
      <c r="C16" s="107"/>
      <c r="D16" s="107"/>
      <c r="E16" s="107"/>
      <c r="F16" s="107"/>
      <c r="G16" s="31"/>
      <c r="H16" s="203">
        <f t="shared" ref="H16:H24" si="2">A12</f>
        <v>-2</v>
      </c>
      <c r="I16" s="200">
        <f>-'Income Statement'!K11</f>
        <v>5275.1792209009745</v>
      </c>
      <c r="J16" s="201">
        <f>IF(H16&lt;0,($F$6+H16)/$F$6,0)</f>
        <v>0.8</v>
      </c>
      <c r="K16" s="201">
        <f t="shared" ref="K16:K24" si="3">I16*J16</f>
        <v>4220.14337672078</v>
      </c>
      <c r="L16" s="204">
        <f t="shared" si="1"/>
        <v>527.5179220900975</v>
      </c>
    </row>
    <row r="17" spans="1:12" s="108" customFormat="1">
      <c r="A17" s="109">
        <f t="shared" si="0"/>
        <v>-7</v>
      </c>
      <c r="B17" s="110">
        <v>1316</v>
      </c>
      <c r="C17" s="107"/>
      <c r="D17" s="107"/>
      <c r="E17" s="107"/>
      <c r="F17" s="107"/>
      <c r="G17" s="31"/>
      <c r="H17" s="203">
        <f t="shared" si="2"/>
        <v>-3</v>
      </c>
      <c r="I17" s="200">
        <f>-'Income Statement'!J11</f>
        <v>5763.8395114853602</v>
      </c>
      <c r="J17" s="201">
        <f>IF(H17&lt;0,($F$6+H17)/$F$6,0)</f>
        <v>0.7</v>
      </c>
      <c r="K17" s="201">
        <f t="shared" si="3"/>
        <v>4034.687658039752</v>
      </c>
      <c r="L17" s="204">
        <f t="shared" si="1"/>
        <v>576.38395114853597</v>
      </c>
    </row>
    <row r="18" spans="1:12" s="108" customFormat="1">
      <c r="A18" s="109">
        <f t="shared" si="0"/>
        <v>-8</v>
      </c>
      <c r="B18" s="110">
        <v>1218</v>
      </c>
      <c r="C18" s="107"/>
      <c r="D18" s="107"/>
      <c r="E18" s="107"/>
      <c r="F18" s="107"/>
      <c r="G18" s="31"/>
      <c r="H18" s="203">
        <f t="shared" si="2"/>
        <v>-4</v>
      </c>
      <c r="I18" s="200">
        <f>-'Income Statement'!I11</f>
        <v>4820.8199934047088</v>
      </c>
      <c r="J18" s="201">
        <f t="shared" ref="J18:J23" si="4">IF(H18&lt;0,($F$6+H18)/$F$6,0)</f>
        <v>0.6</v>
      </c>
      <c r="K18" s="201">
        <f t="shared" si="3"/>
        <v>2892.4919960428251</v>
      </c>
      <c r="L18" s="204">
        <f t="shared" si="1"/>
        <v>482.08199934047087</v>
      </c>
    </row>
    <row r="19" spans="1:12" s="108" customFormat="1">
      <c r="A19" s="109">
        <f t="shared" si="0"/>
        <v>-9</v>
      </c>
      <c r="B19" s="110">
        <v>1031</v>
      </c>
      <c r="C19" s="107"/>
      <c r="D19" s="107"/>
      <c r="E19" s="107"/>
      <c r="F19" s="107"/>
      <c r="G19" s="107"/>
      <c r="H19" s="203">
        <f t="shared" si="2"/>
        <v>-5</v>
      </c>
      <c r="I19" s="200">
        <f>F7</f>
        <v>4401</v>
      </c>
      <c r="J19" s="201">
        <f t="shared" si="4"/>
        <v>0.5</v>
      </c>
      <c r="K19" s="201">
        <f t="shared" si="3"/>
        <v>2200.5</v>
      </c>
      <c r="L19" s="204">
        <f t="shared" si="1"/>
        <v>440.1</v>
      </c>
    </row>
    <row r="20" spans="1:12" s="108" customFormat="1">
      <c r="A20" s="109">
        <f t="shared" si="0"/>
        <v>-10</v>
      </c>
      <c r="B20" s="110">
        <v>945</v>
      </c>
      <c r="C20" s="107"/>
      <c r="D20" s="107"/>
      <c r="E20" s="107"/>
      <c r="F20" s="107"/>
      <c r="G20" s="107"/>
      <c r="H20" s="203">
        <f t="shared" si="2"/>
        <v>-6</v>
      </c>
      <c r="I20" s="200">
        <f>B11</f>
        <v>4583</v>
      </c>
      <c r="J20" s="201">
        <f t="shared" si="4"/>
        <v>0.4</v>
      </c>
      <c r="K20" s="201">
        <f t="shared" si="3"/>
        <v>1833.2</v>
      </c>
      <c r="L20" s="204">
        <f t="shared" si="1"/>
        <v>458.3</v>
      </c>
    </row>
    <row r="21" spans="1:12" s="108" customFormat="1">
      <c r="A21" s="107"/>
      <c r="B21" s="107"/>
      <c r="C21" s="107"/>
      <c r="D21" s="107"/>
      <c r="E21" s="107"/>
      <c r="F21" s="107"/>
      <c r="G21" s="107"/>
      <c r="H21" s="203">
        <f t="shared" si="2"/>
        <v>-7</v>
      </c>
      <c r="I21" s="200">
        <f t="shared" ref="I21:I24" si="5">B12</f>
        <v>4575</v>
      </c>
      <c r="J21" s="201">
        <f t="shared" si="4"/>
        <v>0.3</v>
      </c>
      <c r="K21" s="201">
        <f t="shared" si="3"/>
        <v>1372.5</v>
      </c>
      <c r="L21" s="204">
        <f t="shared" si="1"/>
        <v>457.5</v>
      </c>
    </row>
    <row r="22" spans="1:12" s="108" customFormat="1">
      <c r="A22" s="111" t="s">
        <v>72</v>
      </c>
      <c r="B22" s="107"/>
      <c r="C22" s="107"/>
      <c r="D22" s="107"/>
      <c r="E22" s="107"/>
      <c r="F22" s="107"/>
      <c r="G22" s="107"/>
      <c r="H22" s="203">
        <f t="shared" si="2"/>
        <v>-8</v>
      </c>
      <c r="I22" s="200">
        <f t="shared" si="5"/>
        <v>4537</v>
      </c>
      <c r="J22" s="201">
        <f t="shared" si="4"/>
        <v>0.2</v>
      </c>
      <c r="K22" s="201">
        <f t="shared" si="3"/>
        <v>907.40000000000009</v>
      </c>
      <c r="L22" s="204">
        <f t="shared" si="1"/>
        <v>453.7</v>
      </c>
    </row>
    <row r="23" spans="1:12" s="108" customFormat="1">
      <c r="A23" s="106" t="s">
        <v>75</v>
      </c>
      <c r="B23" s="106" t="s">
        <v>162</v>
      </c>
      <c r="C23" s="112" t="s">
        <v>163</v>
      </c>
      <c r="D23" s="113"/>
      <c r="E23" s="107" t="s">
        <v>164</v>
      </c>
      <c r="F23" s="107"/>
      <c r="G23" s="107"/>
      <c r="H23" s="203">
        <f t="shared" si="2"/>
        <v>-9</v>
      </c>
      <c r="I23" s="200">
        <f t="shared" si="5"/>
        <v>4430</v>
      </c>
      <c r="J23" s="201">
        <f t="shared" si="4"/>
        <v>0.1</v>
      </c>
      <c r="K23" s="201">
        <f t="shared" si="3"/>
        <v>443</v>
      </c>
      <c r="L23" s="204">
        <f t="shared" si="1"/>
        <v>443</v>
      </c>
    </row>
    <row r="24" spans="1:12" s="108" customFormat="1">
      <c r="A24" s="106" t="s">
        <v>165</v>
      </c>
      <c r="B24" s="106">
        <f>F7</f>
        <v>4401</v>
      </c>
      <c r="C24" s="106">
        <f>1</f>
        <v>1</v>
      </c>
      <c r="D24" s="106">
        <f>B24*C24</f>
        <v>4401</v>
      </c>
      <c r="E24" s="107"/>
      <c r="F24" s="107"/>
      <c r="G24" s="107"/>
      <c r="H24" s="203">
        <f t="shared" si="2"/>
        <v>-10</v>
      </c>
      <c r="I24" s="200">
        <f t="shared" si="5"/>
        <v>4044</v>
      </c>
      <c r="J24" s="201">
        <f>IF(H24&lt;0,($F$6+H24)/$F$6,0)</f>
        <v>0</v>
      </c>
      <c r="K24" s="201">
        <f t="shared" si="3"/>
        <v>0</v>
      </c>
      <c r="L24" s="204">
        <f t="shared" si="1"/>
        <v>404.4</v>
      </c>
    </row>
    <row r="25" spans="1:12" s="108" customFormat="1">
      <c r="A25" s="109">
        <f>A11</f>
        <v>-1</v>
      </c>
      <c r="B25" s="106">
        <f>B11</f>
        <v>4583</v>
      </c>
      <c r="C25" s="106">
        <f>IF(A25&lt;0,($F$6+A25)/$F$6,0)</f>
        <v>0.9</v>
      </c>
      <c r="D25" s="106">
        <f>B25*C25</f>
        <v>4124.7</v>
      </c>
      <c r="E25" s="114">
        <f t="shared" ref="E25:E34" si="6">IF(A25&lt;0,B25/$F$6,0)</f>
        <v>458.3</v>
      </c>
      <c r="F25" s="107"/>
      <c r="G25" s="107"/>
      <c r="H25" s="608" t="s">
        <v>328</v>
      </c>
      <c r="I25" s="609"/>
      <c r="J25" s="609"/>
      <c r="K25" s="206">
        <f>SUM(K14:K24)</f>
        <v>29356.579943469693</v>
      </c>
      <c r="L25" s="207">
        <f>SUM(L15:L24)</f>
        <v>4872.5372362960261</v>
      </c>
    </row>
    <row r="26" spans="1:12" s="108" customFormat="1">
      <c r="A26" s="109">
        <f t="shared" ref="A26:A34" si="7">A12</f>
        <v>-2</v>
      </c>
      <c r="B26" s="106">
        <f t="shared" ref="B26:B34" si="8">B12</f>
        <v>4575</v>
      </c>
      <c r="C26" s="106">
        <f>IF(A26&lt;0,($F$6+A26)/$F$6,0)</f>
        <v>0.8</v>
      </c>
      <c r="D26" s="106">
        <f t="shared" ref="D26:D34" si="9">B26*C26</f>
        <v>3660</v>
      </c>
      <c r="E26" s="114">
        <f t="shared" si="6"/>
        <v>457.5</v>
      </c>
      <c r="F26" s="107"/>
      <c r="G26" s="107"/>
      <c r="H26" s="208" t="s">
        <v>329</v>
      </c>
      <c r="I26" s="209"/>
      <c r="J26" s="209"/>
      <c r="K26" s="209"/>
      <c r="L26" s="210">
        <f>(1+L25/D37-1)^(1/5)-1</f>
        <v>0.10883775028771825</v>
      </c>
    </row>
    <row r="27" spans="1:12" s="108" customFormat="1">
      <c r="A27" s="109">
        <f t="shared" si="7"/>
        <v>-3</v>
      </c>
      <c r="B27" s="106">
        <f t="shared" si="8"/>
        <v>4537</v>
      </c>
      <c r="C27" s="106">
        <f>IF(A27&lt;0,($F$6+A27)/$F$6,0)</f>
        <v>0.7</v>
      </c>
      <c r="D27" s="106">
        <f t="shared" si="9"/>
        <v>3175.8999999999996</v>
      </c>
      <c r="E27" s="114">
        <f t="shared" si="6"/>
        <v>453.7</v>
      </c>
      <c r="F27" s="107"/>
      <c r="G27" s="107"/>
      <c r="H27" s="208" t="s">
        <v>606</v>
      </c>
      <c r="I27" s="209"/>
      <c r="J27" s="209"/>
      <c r="K27" s="209"/>
      <c r="L27" s="210">
        <f>(1+K25/D35-1)^(1/5)-1</f>
        <v>6.1926302651471588E-2</v>
      </c>
    </row>
    <row r="28" spans="1:12" s="108" customFormat="1">
      <c r="A28" s="109">
        <f t="shared" si="7"/>
        <v>-4</v>
      </c>
      <c r="B28" s="106">
        <f t="shared" si="8"/>
        <v>4430</v>
      </c>
      <c r="C28" s="106">
        <f t="shared" ref="C28:C33" si="10">IF(A28&lt;0,($F$6+A28)/$F$6,0)</f>
        <v>0.6</v>
      </c>
      <c r="D28" s="106">
        <f t="shared" si="9"/>
        <v>2658</v>
      </c>
      <c r="E28" s="114">
        <f t="shared" si="6"/>
        <v>443</v>
      </c>
      <c r="F28" s="107"/>
      <c r="G28" s="107"/>
      <c r="H28" s="107"/>
      <c r="I28" s="107"/>
    </row>
    <row r="29" spans="1:12" s="108" customFormat="1">
      <c r="A29" s="109">
        <f t="shared" si="7"/>
        <v>-5</v>
      </c>
      <c r="B29" s="106">
        <f t="shared" si="8"/>
        <v>4044</v>
      </c>
      <c r="C29" s="106">
        <f t="shared" si="10"/>
        <v>0.5</v>
      </c>
      <c r="D29" s="106">
        <f t="shared" si="9"/>
        <v>2022</v>
      </c>
      <c r="E29" s="114">
        <f t="shared" si="6"/>
        <v>404.4</v>
      </c>
      <c r="F29" s="107"/>
      <c r="G29" s="107"/>
      <c r="H29" s="107"/>
      <c r="I29" s="107"/>
      <c r="L29" s="205"/>
    </row>
    <row r="30" spans="1:12" s="108" customFormat="1">
      <c r="A30" s="109">
        <f t="shared" si="7"/>
        <v>-6</v>
      </c>
      <c r="B30" s="106">
        <f t="shared" si="8"/>
        <v>2389</v>
      </c>
      <c r="C30" s="106">
        <f t="shared" si="10"/>
        <v>0.4</v>
      </c>
      <c r="D30" s="106">
        <f t="shared" si="9"/>
        <v>955.6</v>
      </c>
      <c r="E30" s="114">
        <f t="shared" si="6"/>
        <v>238.9</v>
      </c>
      <c r="F30" s="107"/>
      <c r="G30" s="107"/>
      <c r="H30" s="107"/>
      <c r="I30" s="152"/>
    </row>
    <row r="31" spans="1:12" s="108" customFormat="1">
      <c r="A31" s="109">
        <f t="shared" si="7"/>
        <v>-7</v>
      </c>
      <c r="B31" s="106">
        <f t="shared" si="8"/>
        <v>1316</v>
      </c>
      <c r="C31" s="106">
        <f t="shared" si="10"/>
        <v>0.3</v>
      </c>
      <c r="D31" s="106">
        <f t="shared" si="9"/>
        <v>394.8</v>
      </c>
      <c r="E31" s="114">
        <f t="shared" si="6"/>
        <v>131.6</v>
      </c>
      <c r="F31" s="107"/>
      <c r="G31" s="107"/>
      <c r="H31" s="107"/>
      <c r="I31" s="151"/>
    </row>
    <row r="32" spans="1:12" s="108" customFormat="1">
      <c r="A32" s="109">
        <f t="shared" si="7"/>
        <v>-8</v>
      </c>
      <c r="B32" s="106">
        <f t="shared" si="8"/>
        <v>1218</v>
      </c>
      <c r="C32" s="106">
        <f t="shared" si="10"/>
        <v>0.2</v>
      </c>
      <c r="D32" s="106">
        <f t="shared" si="9"/>
        <v>243.60000000000002</v>
      </c>
      <c r="E32" s="114">
        <f t="shared" si="6"/>
        <v>121.8</v>
      </c>
      <c r="F32" s="107"/>
      <c r="G32" s="107"/>
      <c r="H32" s="107"/>
      <c r="I32" s="107"/>
    </row>
    <row r="33" spans="1:12" s="108" customFormat="1">
      <c r="A33" s="109">
        <f t="shared" si="7"/>
        <v>-9</v>
      </c>
      <c r="B33" s="106">
        <f t="shared" si="8"/>
        <v>1031</v>
      </c>
      <c r="C33" s="106">
        <f t="shared" si="10"/>
        <v>0.1</v>
      </c>
      <c r="D33" s="106">
        <f t="shared" si="9"/>
        <v>103.10000000000001</v>
      </c>
      <c r="E33" s="114">
        <f t="shared" si="6"/>
        <v>103.1</v>
      </c>
      <c r="F33" s="107"/>
      <c r="G33" s="107"/>
      <c r="H33" s="107"/>
      <c r="I33" s="107"/>
    </row>
    <row r="34" spans="1:12" s="108" customFormat="1" ht="15.95" customHeight="1" thickBot="1">
      <c r="A34" s="109">
        <f t="shared" si="7"/>
        <v>-10</v>
      </c>
      <c r="B34" s="106">
        <f t="shared" si="8"/>
        <v>945</v>
      </c>
      <c r="C34" s="106">
        <f>IF(A34&lt;0,($F$6+A34)/$F$6,0)</f>
        <v>0</v>
      </c>
      <c r="D34" s="115">
        <f t="shared" si="9"/>
        <v>0</v>
      </c>
      <c r="E34" s="116">
        <f t="shared" si="6"/>
        <v>94.5</v>
      </c>
      <c r="F34" s="107"/>
      <c r="G34" s="107"/>
      <c r="H34" s="107"/>
      <c r="I34" s="107"/>
    </row>
    <row r="35" spans="1:12" s="21" customFormat="1" ht="13.5" thickBot="1">
      <c r="A35" s="21" t="s">
        <v>166</v>
      </c>
      <c r="D35" s="117">
        <f>SUM(D24:D34)</f>
        <v>21738.699999999993</v>
      </c>
      <c r="E35" s="118">
        <f>SUM(E25:E34)</f>
        <v>2906.8</v>
      </c>
    </row>
    <row r="36" spans="1:12" ht="13.5" thickBot="1"/>
    <row r="37" spans="1:12" s="21" customFormat="1" ht="13.5" thickBot="1">
      <c r="A37" s="21" t="s">
        <v>167</v>
      </c>
      <c r="D37" s="117">
        <f>E35</f>
        <v>2906.8</v>
      </c>
    </row>
    <row r="38" spans="1:12" s="21" customFormat="1" ht="13.5" thickBot="1"/>
    <row r="39" spans="1:12" s="21" customFormat="1">
      <c r="A39" s="21" t="s">
        <v>168</v>
      </c>
      <c r="D39" s="119">
        <f>F7-D37</f>
        <v>1494.1999999999998</v>
      </c>
      <c r="E39" s="21" t="s">
        <v>169</v>
      </c>
      <c r="L39" s="148">
        <f>D39/F7</f>
        <v>0.33951374687571001</v>
      </c>
    </row>
    <row r="40" spans="1:12">
      <c r="A40" s="19" t="s">
        <v>170</v>
      </c>
      <c r="D40" s="120">
        <f>(F7-D37)*'Free Cash Flow'!H31</f>
        <v>493.08599999999996</v>
      </c>
      <c r="E40" s="21"/>
    </row>
    <row r="43" spans="1:12" s="121" customFormat="1" ht="12">
      <c r="A43" s="121" t="s">
        <v>171</v>
      </c>
    </row>
    <row r="44" spans="1:12" s="21" customFormat="1">
      <c r="A44" s="23" t="s">
        <v>172</v>
      </c>
      <c r="B44" s="23" t="s">
        <v>173</v>
      </c>
    </row>
    <row r="45" spans="1:12" s="21" customFormat="1">
      <c r="A45" s="21" t="s">
        <v>174</v>
      </c>
      <c r="B45" s="21">
        <v>2</v>
      </c>
    </row>
    <row r="46" spans="1:12" s="21" customFormat="1">
      <c r="A46" s="21" t="s">
        <v>175</v>
      </c>
      <c r="B46" s="21">
        <v>10</v>
      </c>
      <c r="D46" s="21" t="s">
        <v>176</v>
      </c>
      <c r="F46" s="21" t="s">
        <v>177</v>
      </c>
    </row>
    <row r="47" spans="1:12" s="21" customFormat="1">
      <c r="A47" s="21" t="s">
        <v>178</v>
      </c>
      <c r="B47" s="21">
        <v>10</v>
      </c>
      <c r="D47" s="21" t="s">
        <v>179</v>
      </c>
      <c r="F47" s="21" t="s">
        <v>180</v>
      </c>
    </row>
    <row r="48" spans="1:12" s="21" customFormat="1">
      <c r="A48" s="21" t="s">
        <v>181</v>
      </c>
      <c r="B48" s="21">
        <v>5</v>
      </c>
      <c r="D48" s="21" t="s">
        <v>182</v>
      </c>
      <c r="F48" s="21" t="s">
        <v>183</v>
      </c>
    </row>
    <row r="49" spans="1:6" s="21" customFormat="1">
      <c r="A49" s="21" t="s">
        <v>184</v>
      </c>
      <c r="B49" s="21">
        <v>3</v>
      </c>
      <c r="D49" s="21" t="s">
        <v>185</v>
      </c>
      <c r="F49" s="21" t="s">
        <v>186</v>
      </c>
    </row>
    <row r="50" spans="1:6" s="21" customFormat="1">
      <c r="A50" s="21" t="s">
        <v>187</v>
      </c>
      <c r="B50" s="21">
        <v>10</v>
      </c>
      <c r="D50" s="21" t="s">
        <v>188</v>
      </c>
      <c r="F50" s="21" t="s">
        <v>186</v>
      </c>
    </row>
    <row r="51" spans="1:6" s="21" customFormat="1">
      <c r="A51" s="21" t="s">
        <v>189</v>
      </c>
      <c r="B51" s="21">
        <v>5</v>
      </c>
      <c r="D51" s="21" t="s">
        <v>190</v>
      </c>
      <c r="F51" s="21" t="s">
        <v>186</v>
      </c>
    </row>
    <row r="52" spans="1:6" s="21" customFormat="1">
      <c r="A52" s="21" t="s">
        <v>191</v>
      </c>
      <c r="B52" s="21">
        <v>5</v>
      </c>
    </row>
    <row r="53" spans="1:6" s="21" customFormat="1">
      <c r="A53" s="21" t="s">
        <v>192</v>
      </c>
      <c r="B53" s="21">
        <v>2</v>
      </c>
    </row>
    <row r="54" spans="1:6" s="21" customFormat="1">
      <c r="A54" s="21" t="s">
        <v>193</v>
      </c>
      <c r="B54" s="21">
        <v>2</v>
      </c>
    </row>
    <row r="55" spans="1:6" s="21" customFormat="1">
      <c r="A55" s="21" t="s">
        <v>194</v>
      </c>
      <c r="B55" s="21">
        <v>2</v>
      </c>
    </row>
    <row r="56" spans="1:6" s="21" customFormat="1">
      <c r="A56" s="21" t="s">
        <v>195</v>
      </c>
      <c r="B56" s="21">
        <v>2</v>
      </c>
    </row>
    <row r="57" spans="1:6" s="21" customFormat="1">
      <c r="A57" s="21" t="s">
        <v>196</v>
      </c>
      <c r="B57" s="21">
        <v>3</v>
      </c>
    </row>
    <row r="58" spans="1:6" s="21" customFormat="1">
      <c r="A58" s="21" t="s">
        <v>197</v>
      </c>
      <c r="B58" s="21">
        <v>3</v>
      </c>
    </row>
    <row r="59" spans="1:6" s="21" customFormat="1">
      <c r="A59" s="21" t="s">
        <v>198</v>
      </c>
      <c r="B59" s="21">
        <v>5</v>
      </c>
    </row>
    <row r="60" spans="1:6" s="21" customFormat="1">
      <c r="A60" s="21" t="s">
        <v>199</v>
      </c>
      <c r="B60" s="21">
        <v>10</v>
      </c>
    </row>
    <row r="61" spans="1:6" s="21" customFormat="1">
      <c r="A61" s="21" t="s">
        <v>200</v>
      </c>
      <c r="B61" s="21">
        <v>10</v>
      </c>
    </row>
    <row r="62" spans="1:6" s="21" customFormat="1">
      <c r="A62" s="21" t="s">
        <v>201</v>
      </c>
      <c r="B62" s="21">
        <v>10</v>
      </c>
    </row>
    <row r="63" spans="1:6" s="21" customFormat="1">
      <c r="A63" s="21" t="s">
        <v>202</v>
      </c>
      <c r="B63" s="21">
        <v>10</v>
      </c>
    </row>
    <row r="64" spans="1:6" s="21" customFormat="1">
      <c r="A64" s="21" t="s">
        <v>203</v>
      </c>
      <c r="B64" s="21">
        <v>10</v>
      </c>
    </row>
    <row r="65" spans="1:2" s="21" customFormat="1">
      <c r="A65" s="21" t="s">
        <v>204</v>
      </c>
      <c r="B65" s="21">
        <v>10</v>
      </c>
    </row>
    <row r="66" spans="1:2" s="21" customFormat="1">
      <c r="A66" s="21" t="s">
        <v>205</v>
      </c>
      <c r="B66" s="21">
        <v>5</v>
      </c>
    </row>
    <row r="67" spans="1:2" s="21" customFormat="1">
      <c r="A67" s="21" t="s">
        <v>206</v>
      </c>
      <c r="B67" s="21">
        <v>5</v>
      </c>
    </row>
    <row r="68" spans="1:2" s="21" customFormat="1">
      <c r="A68" s="21" t="s">
        <v>207</v>
      </c>
      <c r="B68" s="21">
        <v>3</v>
      </c>
    </row>
    <row r="69" spans="1:2" s="21" customFormat="1">
      <c r="A69" s="21" t="s">
        <v>208</v>
      </c>
      <c r="B69" s="21">
        <v>5</v>
      </c>
    </row>
    <row r="70" spans="1:2" s="21" customFormat="1">
      <c r="A70" s="21" t="s">
        <v>209</v>
      </c>
      <c r="B70" s="21">
        <v>5</v>
      </c>
    </row>
    <row r="71" spans="1:2" s="21" customFormat="1">
      <c r="A71" s="21" t="s">
        <v>210</v>
      </c>
      <c r="B71" s="21">
        <v>10</v>
      </c>
    </row>
    <row r="72" spans="1:2" s="21" customFormat="1">
      <c r="A72" s="21" t="s">
        <v>211</v>
      </c>
      <c r="B72" s="21">
        <v>3</v>
      </c>
    </row>
    <row r="73" spans="1:2" s="21" customFormat="1">
      <c r="A73" s="21" t="s">
        <v>212</v>
      </c>
      <c r="B73" s="21">
        <v>3</v>
      </c>
    </row>
    <row r="74" spans="1:2" s="21" customFormat="1">
      <c r="A74" s="21" t="s">
        <v>213</v>
      </c>
      <c r="B74" s="21">
        <v>10</v>
      </c>
    </row>
    <row r="75" spans="1:2" s="21" customFormat="1">
      <c r="A75" s="21" t="s">
        <v>214</v>
      </c>
      <c r="B75" s="21">
        <v>10</v>
      </c>
    </row>
    <row r="76" spans="1:2" s="21" customFormat="1">
      <c r="A76" s="21" t="s">
        <v>215</v>
      </c>
      <c r="B76" s="21">
        <v>10</v>
      </c>
    </row>
    <row r="77" spans="1:2" s="21" customFormat="1">
      <c r="A77" s="21" t="s">
        <v>216</v>
      </c>
      <c r="B77" s="21">
        <v>10</v>
      </c>
    </row>
    <row r="78" spans="1:2" s="21" customFormat="1">
      <c r="A78" s="21" t="s">
        <v>217</v>
      </c>
      <c r="B78" s="21">
        <v>5</v>
      </c>
    </row>
    <row r="79" spans="1:2" s="21" customFormat="1">
      <c r="A79" s="21" t="s">
        <v>218</v>
      </c>
      <c r="B79" s="21">
        <v>3</v>
      </c>
    </row>
    <row r="80" spans="1:2" s="21" customFormat="1">
      <c r="A80" s="21" t="s">
        <v>219</v>
      </c>
      <c r="B80" s="21">
        <v>5</v>
      </c>
    </row>
    <row r="81" spans="1:2" s="21" customFormat="1">
      <c r="A81" s="21" t="s">
        <v>220</v>
      </c>
      <c r="B81" s="21">
        <v>2</v>
      </c>
    </row>
    <row r="82" spans="1:2" s="21" customFormat="1">
      <c r="A82" s="21" t="s">
        <v>221</v>
      </c>
      <c r="B82" s="21">
        <v>3</v>
      </c>
    </row>
    <row r="83" spans="1:2" s="21" customFormat="1">
      <c r="A83" s="21" t="s">
        <v>222</v>
      </c>
      <c r="B83" s="21">
        <v>3</v>
      </c>
    </row>
    <row r="84" spans="1:2" s="21" customFormat="1">
      <c r="A84" s="21" t="s">
        <v>223</v>
      </c>
      <c r="B84" s="21">
        <v>5</v>
      </c>
    </row>
    <row r="85" spans="1:2" s="21" customFormat="1">
      <c r="A85" s="21" t="s">
        <v>224</v>
      </c>
      <c r="B85" s="21">
        <v>10</v>
      </c>
    </row>
    <row r="86" spans="1:2" s="21" customFormat="1">
      <c r="A86" s="21" t="s">
        <v>225</v>
      </c>
      <c r="B86" s="21">
        <v>3</v>
      </c>
    </row>
    <row r="87" spans="1:2" s="21" customFormat="1">
      <c r="A87" s="21" t="s">
        <v>226</v>
      </c>
      <c r="B87" s="21">
        <v>5</v>
      </c>
    </row>
    <row r="88" spans="1:2" s="21" customFormat="1">
      <c r="A88" s="21" t="s">
        <v>227</v>
      </c>
      <c r="B88" s="21">
        <v>2</v>
      </c>
    </row>
    <row r="89" spans="1:2" s="21" customFormat="1">
      <c r="A89" s="21" t="s">
        <v>228</v>
      </c>
      <c r="B89" s="21">
        <v>3</v>
      </c>
    </row>
    <row r="90" spans="1:2" s="21" customFormat="1">
      <c r="A90" s="21" t="s">
        <v>229</v>
      </c>
      <c r="B90" s="21">
        <v>5</v>
      </c>
    </row>
    <row r="91" spans="1:2" s="21" customFormat="1">
      <c r="A91" s="21" t="s">
        <v>230</v>
      </c>
      <c r="B91" s="21">
        <v>5</v>
      </c>
    </row>
    <row r="92" spans="1:2" s="21" customFormat="1">
      <c r="A92" s="21" t="s">
        <v>231</v>
      </c>
      <c r="B92" s="21">
        <v>3</v>
      </c>
    </row>
    <row r="93" spans="1:2" s="21" customFormat="1">
      <c r="A93" s="21" t="s">
        <v>232</v>
      </c>
      <c r="B93" s="21">
        <v>3</v>
      </c>
    </row>
    <row r="94" spans="1:2" s="21" customFormat="1">
      <c r="A94" s="21" t="s">
        <v>233</v>
      </c>
      <c r="B94" s="21">
        <v>3</v>
      </c>
    </row>
    <row r="95" spans="1:2" s="21" customFormat="1">
      <c r="A95" s="21" t="s">
        <v>234</v>
      </c>
      <c r="B95" s="21">
        <v>3</v>
      </c>
    </row>
    <row r="96" spans="1:2" s="21" customFormat="1">
      <c r="A96" s="21" t="s">
        <v>235</v>
      </c>
      <c r="B96" s="21">
        <v>3</v>
      </c>
    </row>
    <row r="97" spans="1:2" s="21" customFormat="1">
      <c r="A97" s="21" t="s">
        <v>236</v>
      </c>
      <c r="B97" s="21">
        <v>3</v>
      </c>
    </row>
    <row r="98" spans="1:2" s="21" customFormat="1">
      <c r="A98" s="21" t="s">
        <v>237</v>
      </c>
      <c r="B98" s="21">
        <v>3</v>
      </c>
    </row>
    <row r="99" spans="1:2" s="21" customFormat="1">
      <c r="A99" s="21" t="s">
        <v>238</v>
      </c>
      <c r="B99" s="21">
        <v>3</v>
      </c>
    </row>
    <row r="100" spans="1:2" s="21" customFormat="1">
      <c r="A100" s="21" t="s">
        <v>239</v>
      </c>
      <c r="B100" s="21">
        <v>3</v>
      </c>
    </row>
    <row r="101" spans="1:2" s="21" customFormat="1">
      <c r="A101" s="21" t="s">
        <v>240</v>
      </c>
      <c r="B101" s="21">
        <v>3</v>
      </c>
    </row>
    <row r="102" spans="1:2" s="21" customFormat="1">
      <c r="A102" s="21" t="s">
        <v>241</v>
      </c>
      <c r="B102" s="21">
        <v>10</v>
      </c>
    </row>
    <row r="103" spans="1:2" s="21" customFormat="1">
      <c r="A103" s="21" t="s">
        <v>242</v>
      </c>
      <c r="B103" s="21">
        <v>5</v>
      </c>
    </row>
    <row r="104" spans="1:2" s="21" customFormat="1">
      <c r="A104" s="21" t="s">
        <v>243</v>
      </c>
      <c r="B104" s="21">
        <v>10</v>
      </c>
    </row>
    <row r="105" spans="1:2" s="21" customFormat="1">
      <c r="A105" s="21" t="s">
        <v>244</v>
      </c>
      <c r="B105" s="21">
        <v>3</v>
      </c>
    </row>
    <row r="106" spans="1:2" s="21" customFormat="1">
      <c r="A106" s="21" t="s">
        <v>245</v>
      </c>
      <c r="B106" s="21">
        <v>5</v>
      </c>
    </row>
    <row r="107" spans="1:2" s="21" customFormat="1">
      <c r="A107" s="21" t="s">
        <v>246</v>
      </c>
      <c r="B107" s="21">
        <v>10</v>
      </c>
    </row>
    <row r="108" spans="1:2" s="21" customFormat="1">
      <c r="A108" s="21" t="s">
        <v>247</v>
      </c>
      <c r="B108" s="21">
        <v>5</v>
      </c>
    </row>
    <row r="109" spans="1:2" s="21" customFormat="1">
      <c r="A109" s="21" t="s">
        <v>248</v>
      </c>
      <c r="B109" s="21">
        <v>10</v>
      </c>
    </row>
    <row r="110" spans="1:2" s="21" customFormat="1">
      <c r="A110" s="21" t="s">
        <v>249</v>
      </c>
      <c r="B110" s="21">
        <v>10</v>
      </c>
    </row>
    <row r="111" spans="1:2" s="21" customFormat="1">
      <c r="A111" s="21" t="s">
        <v>250</v>
      </c>
      <c r="B111" s="21">
        <v>3</v>
      </c>
    </row>
    <row r="112" spans="1:2" s="21" customFormat="1">
      <c r="A112" s="21" t="s">
        <v>251</v>
      </c>
      <c r="B112" s="21">
        <v>5</v>
      </c>
    </row>
    <row r="113" spans="1:2" s="21" customFormat="1">
      <c r="A113" s="21" t="s">
        <v>252</v>
      </c>
      <c r="B113" s="21">
        <v>5</v>
      </c>
    </row>
    <row r="114" spans="1:2" s="21" customFormat="1">
      <c r="A114" s="21" t="s">
        <v>253</v>
      </c>
      <c r="B114" s="21">
        <v>5</v>
      </c>
    </row>
    <row r="115" spans="1:2" s="21" customFormat="1">
      <c r="A115" s="21" t="s">
        <v>254</v>
      </c>
      <c r="B115" s="21">
        <v>10</v>
      </c>
    </row>
    <row r="116" spans="1:2" s="21" customFormat="1">
      <c r="A116" s="21" t="s">
        <v>255</v>
      </c>
      <c r="B116" s="21">
        <v>5</v>
      </c>
    </row>
    <row r="117" spans="1:2" s="21" customFormat="1">
      <c r="A117" s="21" t="s">
        <v>256</v>
      </c>
      <c r="B117" s="21">
        <v>5</v>
      </c>
    </row>
    <row r="118" spans="1:2" s="21" customFormat="1">
      <c r="A118" s="21" t="s">
        <v>257</v>
      </c>
      <c r="B118" s="21">
        <v>5</v>
      </c>
    </row>
    <row r="119" spans="1:2" s="21" customFormat="1">
      <c r="A119" s="21" t="s">
        <v>258</v>
      </c>
      <c r="B119" s="21">
        <v>3</v>
      </c>
    </row>
    <row r="120" spans="1:2" s="21" customFormat="1">
      <c r="A120" s="21" t="s">
        <v>259</v>
      </c>
      <c r="B120" s="21">
        <v>3</v>
      </c>
    </row>
    <row r="121" spans="1:2" s="21" customFormat="1">
      <c r="A121" s="21" t="s">
        <v>260</v>
      </c>
      <c r="B121" s="21">
        <v>5</v>
      </c>
    </row>
    <row r="122" spans="1:2" s="21" customFormat="1">
      <c r="A122" s="21" t="s">
        <v>261</v>
      </c>
      <c r="B122" s="21">
        <v>5</v>
      </c>
    </row>
    <row r="123" spans="1:2" s="21" customFormat="1">
      <c r="A123" s="21" t="s">
        <v>262</v>
      </c>
      <c r="B123" s="21">
        <v>2</v>
      </c>
    </row>
    <row r="124" spans="1:2" s="21" customFormat="1">
      <c r="A124" s="21" t="s">
        <v>263</v>
      </c>
      <c r="B124" s="21">
        <v>2</v>
      </c>
    </row>
    <row r="125" spans="1:2" s="21" customFormat="1">
      <c r="A125" s="21" t="s">
        <v>264</v>
      </c>
      <c r="B125" s="21">
        <v>2</v>
      </c>
    </row>
    <row r="126" spans="1:2" s="21" customFormat="1">
      <c r="A126" s="21" t="s">
        <v>265</v>
      </c>
      <c r="B126" s="21">
        <v>2</v>
      </c>
    </row>
    <row r="127" spans="1:2" s="21" customFormat="1">
      <c r="A127" s="21" t="s">
        <v>266</v>
      </c>
      <c r="B127" s="21">
        <v>2</v>
      </c>
    </row>
    <row r="128" spans="1:2" s="21" customFormat="1">
      <c r="A128" s="21" t="s">
        <v>267</v>
      </c>
      <c r="B128" s="21">
        <v>5</v>
      </c>
    </row>
    <row r="129" spans="1:2" s="21" customFormat="1">
      <c r="A129" s="21" t="s">
        <v>268</v>
      </c>
      <c r="B129" s="21">
        <v>5</v>
      </c>
    </row>
    <row r="130" spans="1:2" s="21" customFormat="1">
      <c r="A130" s="21" t="s">
        <v>269</v>
      </c>
      <c r="B130" s="21">
        <v>3</v>
      </c>
    </row>
    <row r="131" spans="1:2" s="21" customFormat="1">
      <c r="A131" s="21" t="s">
        <v>270</v>
      </c>
      <c r="B131" s="21">
        <v>5</v>
      </c>
    </row>
    <row r="132" spans="1:2" s="21" customFormat="1">
      <c r="A132" s="21" t="s">
        <v>271</v>
      </c>
      <c r="B132" s="21">
        <v>5</v>
      </c>
    </row>
    <row r="133" spans="1:2" s="21" customFormat="1">
      <c r="A133" s="21" t="s">
        <v>272</v>
      </c>
      <c r="B133" s="21">
        <v>10</v>
      </c>
    </row>
    <row r="134" spans="1:2" s="21" customFormat="1">
      <c r="A134" s="21" t="s">
        <v>273</v>
      </c>
      <c r="B134" s="21">
        <v>5</v>
      </c>
    </row>
    <row r="135" spans="1:2" s="21" customFormat="1">
      <c r="A135" s="21" t="s">
        <v>274</v>
      </c>
      <c r="B135" s="21">
        <v>5</v>
      </c>
    </row>
    <row r="136" spans="1:2" s="21" customFormat="1">
      <c r="A136" s="21" t="s">
        <v>275</v>
      </c>
      <c r="B136" s="21">
        <v>2</v>
      </c>
    </row>
    <row r="137" spans="1:2" s="21" customFormat="1">
      <c r="A137" s="21" t="s">
        <v>276</v>
      </c>
      <c r="B137" s="21">
        <v>5</v>
      </c>
    </row>
    <row r="138" spans="1:2" s="21" customFormat="1">
      <c r="A138" s="21" t="s">
        <v>277</v>
      </c>
      <c r="B138" s="21">
        <v>5</v>
      </c>
    </row>
    <row r="139" spans="1:2" s="21" customFormat="1">
      <c r="A139" s="21" t="s">
        <v>278</v>
      </c>
      <c r="B139" s="21">
        <v>3</v>
      </c>
    </row>
    <row r="140" spans="1:2" s="21" customFormat="1">
      <c r="A140" s="21" t="s">
        <v>279</v>
      </c>
      <c r="B140" s="21">
        <v>5</v>
      </c>
    </row>
    <row r="141" spans="1:2" s="21" customFormat="1">
      <c r="A141" s="21" t="s">
        <v>280</v>
      </c>
      <c r="B141" s="21">
        <v>10</v>
      </c>
    </row>
    <row r="142" spans="1:2" s="21" customFormat="1">
      <c r="A142" s="21" t="s">
        <v>281</v>
      </c>
      <c r="B142" s="21">
        <v>10</v>
      </c>
    </row>
  </sheetData>
  <mergeCells count="2">
    <mergeCell ref="J13:K13"/>
    <mergeCell ref="H25:J25"/>
  </mergeCells>
  <phoneticPr fontId="38" type="noConversion"/>
  <conditionalFormatting sqref="B11:B20">
    <cfRule type="cellIs" dxfId="2" priority="1" stopIfTrue="1" operator="equal">
      <formula>0</formula>
    </cfRule>
  </conditionalFormatting>
  <pageMargins left="0.78740157499999996" right="0.78740157499999996" top="0.984251969" bottom="0.984251969" header="0.5" footer="0.5"/>
  <pageSetup orientation="landscape" horizontalDpi="4294967292" verticalDpi="4294967292" r:id="rId1"/>
  <headerFooter alignWithMargins="0"/>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B123"/>
  <sheetViews>
    <sheetView showGridLines="0" zoomScale="85" zoomScaleNormal="85" workbookViewId="0">
      <selection activeCell="F124" sqref="F124"/>
    </sheetView>
  </sheetViews>
  <sheetFormatPr baseColWidth="10" defaultColWidth="11.42578125" defaultRowHeight="14.25"/>
  <cols>
    <col min="1" max="2" width="11.42578125" style="83"/>
    <col min="3" max="3" width="5.42578125" style="83" customWidth="1"/>
    <col min="4" max="4" width="12" style="83" customWidth="1"/>
    <col min="5" max="9" width="11.42578125" style="83"/>
    <col min="10" max="10" width="11.42578125" style="83" customWidth="1"/>
    <col min="11" max="14" width="13.7109375" style="83" bestFit="1" customWidth="1"/>
    <col min="15" max="15" width="14.85546875" style="83" bestFit="1" customWidth="1"/>
    <col min="16" max="16384" width="11.42578125" style="83"/>
  </cols>
  <sheetData>
    <row r="1" spans="1:22" ht="15">
      <c r="A1" s="45" t="s">
        <v>102</v>
      </c>
      <c r="B1" s="46"/>
      <c r="C1" s="46"/>
      <c r="D1" s="46"/>
      <c r="E1" s="46"/>
      <c r="F1" s="46"/>
      <c r="G1" s="46"/>
      <c r="H1" s="46"/>
      <c r="I1" s="46"/>
      <c r="J1" s="46"/>
      <c r="K1" s="46"/>
      <c r="L1" s="46"/>
      <c r="M1" s="46"/>
      <c r="N1" s="46"/>
      <c r="O1" s="46"/>
    </row>
    <row r="2" spans="1:22" ht="18">
      <c r="A2" s="47" t="s">
        <v>93</v>
      </c>
      <c r="B2" s="48"/>
      <c r="C2" s="48"/>
      <c r="D2" s="49" t="s">
        <v>94</v>
      </c>
      <c r="E2" s="49"/>
      <c r="F2" s="49" t="s">
        <v>95</v>
      </c>
      <c r="G2" s="49"/>
      <c r="H2" s="49"/>
      <c r="I2" s="49"/>
      <c r="J2" s="49"/>
      <c r="K2" s="50"/>
      <c r="L2" s="50"/>
      <c r="M2" s="50"/>
      <c r="N2" s="50"/>
      <c r="O2" s="50"/>
    </row>
    <row r="3" spans="1:22">
      <c r="A3" s="51" t="s">
        <v>103</v>
      </c>
      <c r="B3" s="52"/>
      <c r="C3" s="52"/>
      <c r="D3" s="53">
        <v>2006</v>
      </c>
      <c r="E3" s="53">
        <v>2007</v>
      </c>
      <c r="F3" s="53">
        <v>2008</v>
      </c>
      <c r="G3" s="53">
        <v>2009</v>
      </c>
      <c r="H3" s="53">
        <v>2010</v>
      </c>
      <c r="I3" s="82" t="s">
        <v>133</v>
      </c>
      <c r="J3" s="81">
        <v>2010</v>
      </c>
      <c r="K3" s="52">
        <v>2011</v>
      </c>
      <c r="L3" s="52">
        <v>2012</v>
      </c>
      <c r="M3" s="52">
        <v>2013</v>
      </c>
      <c r="N3" s="52">
        <v>2014</v>
      </c>
      <c r="O3" s="52">
        <v>2015</v>
      </c>
    </row>
    <row r="4" spans="1:22">
      <c r="I4" s="157"/>
    </row>
    <row r="5" spans="1:22" ht="16.5" thickBot="1">
      <c r="B5" s="33" t="s">
        <v>132</v>
      </c>
      <c r="C5" s="34"/>
      <c r="D5" s="35"/>
      <c r="E5" s="35"/>
      <c r="F5" s="35"/>
      <c r="G5" s="35"/>
      <c r="H5" s="35"/>
      <c r="I5" s="158"/>
      <c r="J5" s="35"/>
      <c r="K5" s="35"/>
      <c r="L5" s="35"/>
      <c r="M5" s="35"/>
      <c r="N5" s="35"/>
      <c r="O5" s="35"/>
    </row>
    <row r="6" spans="1:22">
      <c r="I6" s="536"/>
    </row>
    <row r="7" spans="1:22">
      <c r="B7" s="31" t="s">
        <v>134</v>
      </c>
      <c r="C7" s="84"/>
      <c r="D7" s="84"/>
      <c r="E7" s="84"/>
      <c r="I7" s="536"/>
      <c r="K7" s="31">
        <v>1</v>
      </c>
      <c r="L7" s="31">
        <v>2</v>
      </c>
      <c r="M7" s="31">
        <v>3</v>
      </c>
      <c r="N7" s="31">
        <v>4</v>
      </c>
      <c r="O7" s="31">
        <v>5</v>
      </c>
    </row>
    <row r="8" spans="1:22">
      <c r="B8" s="84"/>
      <c r="C8" s="84"/>
      <c r="D8" s="84"/>
      <c r="E8" s="84"/>
      <c r="F8" s="84"/>
      <c r="G8" s="84"/>
      <c r="H8" s="84"/>
      <c r="I8" s="157"/>
      <c r="J8" s="84"/>
      <c r="K8" s="84"/>
      <c r="L8" s="84"/>
      <c r="M8" s="84"/>
      <c r="N8" s="84"/>
      <c r="O8" s="84"/>
      <c r="P8" s="84"/>
    </row>
    <row r="9" spans="1:22">
      <c r="B9" s="29" t="s">
        <v>98</v>
      </c>
      <c r="C9" s="29"/>
      <c r="D9" s="29">
        <f>'Income Statement'!D12</f>
        <v>9452</v>
      </c>
      <c r="E9" s="29">
        <f>'Income Statement'!E12</f>
        <v>9545</v>
      </c>
      <c r="F9" s="29">
        <f>'Income Statement'!F12</f>
        <v>9737</v>
      </c>
      <c r="G9" s="29">
        <f>'Income Statement'!G12</f>
        <v>10961</v>
      </c>
      <c r="H9" s="29">
        <f>'Income Statement'!H12</f>
        <v>11350</v>
      </c>
      <c r="I9" s="160">
        <v>0</v>
      </c>
      <c r="J9" s="29">
        <f>H9+I9</f>
        <v>11350</v>
      </c>
      <c r="K9" s="29">
        <f>'Income Statement'!I12</f>
        <v>11845.744085920585</v>
      </c>
      <c r="L9" s="29">
        <f>'Income Statement'!J12</f>
        <v>12273.897696920107</v>
      </c>
      <c r="M9" s="29">
        <f>'Income Statement'!K12</f>
        <v>13434.402655133164</v>
      </c>
      <c r="N9" s="29">
        <f>'Income Statement'!L12</f>
        <v>13954.612188933435</v>
      </c>
      <c r="O9" s="29">
        <f>'Income Statement'!M12</f>
        <v>15221.366779456856</v>
      </c>
      <c r="P9" s="29"/>
    </row>
    <row r="10" spans="1:22" ht="15">
      <c r="B10" s="164"/>
      <c r="C10" s="164"/>
      <c r="D10" s="164"/>
      <c r="E10" s="164"/>
      <c r="F10" s="164"/>
      <c r="G10" s="164"/>
      <c r="H10" s="164"/>
      <c r="I10" s="165"/>
      <c r="J10" s="164"/>
      <c r="K10" s="164"/>
      <c r="L10" s="164"/>
      <c r="M10" s="164"/>
      <c r="N10" s="164"/>
      <c r="O10" s="164"/>
      <c r="P10" s="84"/>
      <c r="T10" s="244"/>
      <c r="U10" s="245" t="s">
        <v>350</v>
      </c>
      <c r="V10" s="244"/>
    </row>
    <row r="11" spans="1:22">
      <c r="B11" s="31" t="s">
        <v>100</v>
      </c>
      <c r="C11" s="164"/>
      <c r="D11" s="31">
        <f>'Income Statement'!D15</f>
        <v>-6113</v>
      </c>
      <c r="E11" s="31">
        <f>'Income Statement'!E15</f>
        <v>-4664</v>
      </c>
      <c r="F11" s="31">
        <f>'Income Statement'!F15</f>
        <v>-5985</v>
      </c>
      <c r="G11" s="31">
        <f>'Income Statement'!G15</f>
        <v>-5011</v>
      </c>
      <c r="H11" s="31">
        <f>'Income Statement'!H15</f>
        <v>-5129</v>
      </c>
      <c r="I11" s="159">
        <v>0</v>
      </c>
      <c r="J11" s="31">
        <f>'Income Statement'!H15</f>
        <v>-5129</v>
      </c>
      <c r="K11" s="31">
        <f>'Income Statement'!I11</f>
        <v>-4820.8199934047088</v>
      </c>
      <c r="L11" s="31">
        <f>'Income Statement'!J11</f>
        <v>-5763.8395114853602</v>
      </c>
      <c r="M11" s="31">
        <f>'Income Statement'!K11</f>
        <v>-5275.1792209009745</v>
      </c>
      <c r="N11" s="31">
        <f>'Income Statement'!L11</f>
        <v>-6295.5336371692219</v>
      </c>
      <c r="O11" s="31">
        <f>'Income Statement'!M11</f>
        <v>-5786.6766392140325</v>
      </c>
      <c r="P11" s="31"/>
      <c r="T11" s="244"/>
      <c r="U11" s="244"/>
      <c r="V11" s="244"/>
    </row>
    <row r="12" spans="1:22" ht="15">
      <c r="B12" s="38" t="s">
        <v>101</v>
      </c>
      <c r="C12" s="38"/>
      <c r="D12" s="38">
        <f>SUM(D9+D11)</f>
        <v>3339</v>
      </c>
      <c r="E12" s="38">
        <f>SUM(E9+E11)</f>
        <v>4881</v>
      </c>
      <c r="F12" s="38">
        <f>SUM(F9+F11)</f>
        <v>3752</v>
      </c>
      <c r="G12" s="38">
        <f>SUM(G9+G11)</f>
        <v>5950</v>
      </c>
      <c r="H12" s="38">
        <f>SUM(H9+H11)</f>
        <v>6221</v>
      </c>
      <c r="I12" s="161">
        <f>D35+D37+D36</f>
        <v>2115.219385525329</v>
      </c>
      <c r="J12" s="38">
        <f>H12+I12</f>
        <v>8336.2193855253281</v>
      </c>
      <c r="K12" s="38">
        <f>'Income Statement'!I16+E35+E36+E37</f>
        <v>9088.7947787721987</v>
      </c>
      <c r="L12" s="38">
        <f>'Income Statement'!J16+F35+F36+F37</f>
        <v>10421.067018587204</v>
      </c>
      <c r="M12" s="38">
        <f>'Income Statement'!K16+G35+G36+G37</f>
        <v>10528.068549309888</v>
      </c>
      <c r="N12" s="38">
        <f>'Income Statement'!L16+H35+H36+H37</f>
        <v>11942.812460512792</v>
      </c>
      <c r="O12" s="38">
        <f>'Income Statement'!M16+I35+I36+I37</f>
        <v>12005.231660230671</v>
      </c>
      <c r="P12" s="29"/>
      <c r="T12" s="246" t="s">
        <v>563</v>
      </c>
      <c r="U12" s="394">
        <f>O26</f>
        <v>78369.2280234637</v>
      </c>
      <c r="V12" s="392"/>
    </row>
    <row r="13" spans="1:22" ht="15.75" thickBot="1">
      <c r="B13" s="164"/>
      <c r="C13" s="164"/>
      <c r="D13" s="164"/>
      <c r="E13" s="164"/>
      <c r="F13" s="164"/>
      <c r="G13" s="164"/>
      <c r="H13" s="164"/>
      <c r="I13" s="165"/>
      <c r="J13" s="164"/>
      <c r="K13" s="164"/>
      <c r="L13" s="164"/>
      <c r="M13" s="164"/>
      <c r="N13" s="164"/>
      <c r="O13" s="164"/>
      <c r="P13" s="84"/>
      <c r="T13" s="248" t="e">
        <f t="shared" ref="T13" si="0">T14-0.01</f>
        <v>#REF!</v>
      </c>
      <c r="U13" s="83" t="e">
        <f>$O$24+IF(Assumption!$H$2=Assumption!$S$1,$O$23*(1+$N$68)/(T13-$N$68),IF(Assumption!$H$2=Assumption!$S$2,$N$62*(1+$N$66)^$N$64,'Free Cash Flow'!$N$68))</f>
        <v>#REF!</v>
      </c>
    </row>
    <row r="14" spans="1:22" ht="15.75" thickBot="1">
      <c r="B14" s="31" t="s">
        <v>283</v>
      </c>
      <c r="C14" s="164"/>
      <c r="D14" s="166">
        <f>IF($B$14="Marginal tax rate",D31,D30)</f>
        <v>0.17</v>
      </c>
      <c r="E14" s="166">
        <f>IF($B$14="Marginal tax rate",E31,E30)</f>
        <v>0.12</v>
      </c>
      <c r="F14" s="166">
        <f>IF($B$14="Marginal tax rate",F31,F30)</f>
        <v>0.16</v>
      </c>
      <c r="G14" s="166">
        <f>IF($B$14="Marginal tax rate",G31,G30)</f>
        <v>0.22</v>
      </c>
      <c r="H14" s="166">
        <f>IF($B$14="Marginal tax rate",H31,H30)</f>
        <v>0.22</v>
      </c>
      <c r="I14" s="159">
        <v>0</v>
      </c>
      <c r="J14" s="163">
        <v>0.22</v>
      </c>
      <c r="K14" s="166">
        <v>0.33</v>
      </c>
      <c r="L14" s="166">
        <v>0.33</v>
      </c>
      <c r="M14" s="166">
        <v>0.33</v>
      </c>
      <c r="N14" s="166">
        <v>0.33</v>
      </c>
      <c r="O14" s="166">
        <v>0.33</v>
      </c>
      <c r="P14" s="31"/>
      <c r="T14" s="248" t="e">
        <f>#REF!-0.01</f>
        <v>#REF!</v>
      </c>
      <c r="U14" s="83" t="e">
        <f>$O$24+IF(Assumption!$H$2=Assumption!$S$1,$O$23*(1+$N$68)/(T14-$N$68),IF(Assumption!$H$2=Assumption!$S$2,$N$62*(1+$N$66)^$N$64,'Free Cash Flow'!$N$68))</f>
        <v>#REF!</v>
      </c>
    </row>
    <row r="15" spans="1:22" ht="15.75" thickBot="1">
      <c r="B15" s="38" t="s">
        <v>135</v>
      </c>
      <c r="C15" s="150"/>
      <c r="D15" s="149">
        <f>D12*(1-D14)</f>
        <v>2771.37</v>
      </c>
      <c r="E15" s="149">
        <f>E12*(1-E14)</f>
        <v>4295.28</v>
      </c>
      <c r="F15" s="149">
        <f>F12*(1-F14)</f>
        <v>3151.68</v>
      </c>
      <c r="G15" s="149">
        <f>G12*(1-G14)</f>
        <v>4641</v>
      </c>
      <c r="H15" s="149">
        <f>H12*(1-H14)</f>
        <v>4852.38</v>
      </c>
      <c r="I15" s="175">
        <f>I12*(1-H14)</f>
        <v>1649.8711207097567</v>
      </c>
      <c r="J15" s="176">
        <f>H15+I15</f>
        <v>6502.2511207097568</v>
      </c>
      <c r="K15" s="176">
        <f>K12*(1-K14)</f>
        <v>6089.4925017773721</v>
      </c>
      <c r="L15" s="176">
        <f>L12*(1-L14)</f>
        <v>6982.1149024534261</v>
      </c>
      <c r="M15" s="176">
        <f>M12*(1-M14)</f>
        <v>7053.8059280376247</v>
      </c>
      <c r="N15" s="176">
        <f>N12*(1-N14)</f>
        <v>8001.6843485435702</v>
      </c>
      <c r="O15" s="176">
        <f>O12*(1-O14)</f>
        <v>8043.5052123545483</v>
      </c>
      <c r="P15" s="84"/>
      <c r="Q15" s="83" t="s">
        <v>562</v>
      </c>
      <c r="R15" s="373">
        <f>WACC!D11</f>
        <v>8.7475328869645708E-2</v>
      </c>
      <c r="T15" s="248">
        <f>R15</f>
        <v>8.7475328869645708E-2</v>
      </c>
      <c r="U15" s="83">
        <f>$O$24+IF(Assumption!$H$2=Assumption!$S$1,$O$23*(1+$N$68)/(T15-$N$68),IF(Assumption!$H$2=Assumption!$S$2,$N$62*(1+$N$66)^$N$64,'Free Cash Flow'!$N$68))</f>
        <v>78369.2280234637</v>
      </c>
    </row>
    <row r="16" spans="1:22" ht="15.75" thickBot="1">
      <c r="B16" s="167"/>
      <c r="C16" s="167"/>
      <c r="D16" s="167"/>
      <c r="E16" s="167"/>
      <c r="F16" s="167"/>
      <c r="G16" s="167"/>
      <c r="H16" s="167"/>
      <c r="I16" s="165"/>
      <c r="J16" s="167"/>
      <c r="K16" s="167"/>
      <c r="L16" s="167"/>
      <c r="M16" s="167"/>
      <c r="N16" s="167"/>
      <c r="O16" s="167"/>
      <c r="T16" s="248"/>
    </row>
    <row r="17" spans="2:28" ht="15.75" thickBot="1">
      <c r="B17" s="31" t="s">
        <v>100</v>
      </c>
      <c r="C17" s="167"/>
      <c r="D17" s="31">
        <f>-D11</f>
        <v>6113</v>
      </c>
      <c r="E17" s="31">
        <f>-E11</f>
        <v>4664</v>
      </c>
      <c r="F17" s="31">
        <f>-F11</f>
        <v>5985</v>
      </c>
      <c r="G17" s="31">
        <f>-G11</f>
        <v>5011</v>
      </c>
      <c r="H17" s="31">
        <f>-H11</f>
        <v>5129</v>
      </c>
      <c r="I17" s="159">
        <f>D40+D41</f>
        <v>3042.8666144746708</v>
      </c>
      <c r="J17" s="168">
        <f>H17+I17</f>
        <v>8171.8666144746712</v>
      </c>
      <c r="K17" s="169">
        <f>-K11+E40+E41</f>
        <v>8180.0561804157187</v>
      </c>
      <c r="L17" s="169">
        <f>-L11+F40+F41</f>
        <v>9473.8782235670515</v>
      </c>
      <c r="M17" s="169">
        <f>-M11+G40+G41</f>
        <v>9374.2010156772922</v>
      </c>
      <c r="N17" s="169">
        <f>-N11+H40+H41</f>
        <v>10825.87455826063</v>
      </c>
      <c r="O17" s="169">
        <f>-O11+I40+I41</f>
        <v>10795.280489984727</v>
      </c>
      <c r="T17" s="248" t="e">
        <f>#REF!+0.01</f>
        <v>#REF!</v>
      </c>
      <c r="U17" s="83" t="e">
        <f>$O$24+IF(Assumption!$H$2=Assumption!$S$1,$O$23*(1+$N$68)/(T17-$N$68),IF(Assumption!$H$2=Assumption!$S$2,$N$62*(1+$N$66)^$N$64,'Free Cash Flow'!$N$68))</f>
        <v>#REF!</v>
      </c>
    </row>
    <row r="18" spans="2:28" ht="15.75" thickBot="1">
      <c r="B18" s="31" t="s">
        <v>136</v>
      </c>
      <c r="C18" s="167"/>
      <c r="D18" s="31">
        <f>'Balance Sheet'!D49</f>
        <v>406</v>
      </c>
      <c r="E18" s="31">
        <f>'Balance Sheet'!E49</f>
        <v>97</v>
      </c>
      <c r="F18" s="31">
        <f>'Balance Sheet'!F49</f>
        <v>285</v>
      </c>
      <c r="G18" s="31">
        <f>'Balance Sheet'!G49</f>
        <v>1076</v>
      </c>
      <c r="H18" s="31">
        <f>'Balance Sheet'!H49</f>
        <v>315</v>
      </c>
      <c r="I18" s="160">
        <v>0</v>
      </c>
      <c r="J18" s="168">
        <f t="shared" ref="J18:J19" si="1">H18+I18</f>
        <v>315</v>
      </c>
      <c r="K18" s="174">
        <f>'Balance Sheet'!I49</f>
        <v>317.80745638456756</v>
      </c>
      <c r="L18" s="174">
        <f>'Balance Sheet'!J49</f>
        <v>1264.0692175111099</v>
      </c>
      <c r="M18" s="174">
        <f>'Balance Sheet'!K49</f>
        <v>204.6977902164881</v>
      </c>
      <c r="N18" s="174">
        <f>'Balance Sheet'!L49</f>
        <v>871.4665567764805</v>
      </c>
      <c r="O18" s="174">
        <f>'Balance Sheet'!M49</f>
        <v>385.0118645036564</v>
      </c>
      <c r="R18" s="244"/>
      <c r="S18" s="244"/>
      <c r="T18" s="248" t="e">
        <f>T17+0.01</f>
        <v>#REF!</v>
      </c>
      <c r="U18" s="83" t="e">
        <f>$O$24+IF(Assumption!$H$2=Assumption!$S$1,$O$23*(1+$N$68)/(T18-$N$68),IF(Assumption!$H$2=Assumption!$S$2,$N$62*(1+$N$66)^$N$64,'Free Cash Flow'!$N$68))</f>
        <v>#REF!</v>
      </c>
      <c r="W18" s="244"/>
      <c r="X18" s="244"/>
    </row>
    <row r="19" spans="2:28" ht="15.75" thickBot="1">
      <c r="B19" s="31" t="s">
        <v>128</v>
      </c>
      <c r="C19" s="167"/>
      <c r="D19" s="31">
        <f>'Cash Flow Statement'!D11</f>
        <v>-1963</v>
      </c>
      <c r="E19" s="31">
        <f>'Cash Flow Statement'!E11</f>
        <v>-1824</v>
      </c>
      <c r="F19" s="31">
        <f>'Cash Flow Statement'!F11</f>
        <v>-2267</v>
      </c>
      <c r="G19" s="31">
        <f>'Cash Flow Statement'!G11</f>
        <v>-7348</v>
      </c>
      <c r="H19" s="31">
        <f>'Cash Flow Statement'!H11</f>
        <v>-3232</v>
      </c>
      <c r="I19" s="159">
        <f>D44+D45</f>
        <v>-4665</v>
      </c>
      <c r="J19" s="31">
        <f t="shared" si="1"/>
        <v>-7897</v>
      </c>
      <c r="K19" s="31">
        <f>'Cash Flow Statement'!I11+D44+D45</f>
        <v>-7181.223692212352</v>
      </c>
      <c r="L19" s="31">
        <f>'Cash Flow Statement'!J11+E44+E45</f>
        <v>-13743.571511922186</v>
      </c>
      <c r="M19" s="31">
        <f>'Cash Flow Statement'!K11+F44+F45</f>
        <v>-8725.7099261831445</v>
      </c>
      <c r="N19" s="31">
        <f>'Cash Flow Statement'!L11+G44+G45</f>
        <v>-14827.170871020637</v>
      </c>
      <c r="O19" s="31">
        <f>'Cash Flow Statement'!M11+H44+H45</f>
        <v>-9453.4609927735073</v>
      </c>
      <c r="R19" s="244"/>
      <c r="S19" s="244"/>
      <c r="T19" s="248" t="e">
        <f>T18+0.01</f>
        <v>#REF!</v>
      </c>
      <c r="U19" s="83" t="e">
        <f>$O$24+IF(Assumption!$H$2=Assumption!$S$1,$O$23*(1+$N$68)/(T19-$N$68),IF(Assumption!$H$2=Assumption!$S$2,$N$62*(1+$N$66)^$N$64,'Free Cash Flow'!$N$68))</f>
        <v>#REF!</v>
      </c>
      <c r="W19" s="244"/>
      <c r="X19" s="244"/>
    </row>
    <row r="20" spans="2:28" ht="15.75" thickBot="1">
      <c r="B20" s="167"/>
      <c r="C20" s="167"/>
      <c r="D20" s="167"/>
      <c r="E20" s="167"/>
      <c r="F20" s="167"/>
      <c r="G20" s="167"/>
      <c r="H20" s="167"/>
      <c r="I20" s="165"/>
      <c r="J20" s="167"/>
      <c r="K20" s="167"/>
      <c r="L20" s="167"/>
      <c r="M20" s="167"/>
      <c r="N20" s="167"/>
      <c r="O20" s="167"/>
      <c r="R20" s="391"/>
      <c r="S20" s="391"/>
      <c r="T20" s="248"/>
      <c r="V20" s="392"/>
      <c r="W20" s="392"/>
      <c r="X20" s="392"/>
      <c r="Y20" s="392"/>
      <c r="Z20" s="392"/>
      <c r="AA20" s="392"/>
      <c r="AB20" s="392"/>
    </row>
    <row r="21" spans="2:28" ht="15.75" thickBot="1">
      <c r="B21" s="170" t="s">
        <v>141</v>
      </c>
      <c r="C21" s="171"/>
      <c r="D21" s="172">
        <f>D15+D17-D18+D19</f>
        <v>6515.369999999999</v>
      </c>
      <c r="E21" s="172">
        <f>E15+E17-E18+E19</f>
        <v>7038.2799999999988</v>
      </c>
      <c r="F21" s="172">
        <f>F15+F17-F18+F19</f>
        <v>6584.68</v>
      </c>
      <c r="G21" s="172">
        <f>G15+G17-G18+G19</f>
        <v>1228</v>
      </c>
      <c r="H21" s="172">
        <f>H15+H17-H18+H19</f>
        <v>6434.380000000001</v>
      </c>
      <c r="I21" s="173" t="s">
        <v>311</v>
      </c>
      <c r="J21" s="172">
        <f t="shared" ref="J21:O21" si="2">J15+J17-J18+J19</f>
        <v>6462.1177351844271</v>
      </c>
      <c r="K21" s="172">
        <f t="shared" si="2"/>
        <v>6770.5175335961703</v>
      </c>
      <c r="L21" s="172">
        <f t="shared" si="2"/>
        <v>1448.3523965871791</v>
      </c>
      <c r="M21" s="172">
        <f t="shared" si="2"/>
        <v>7497.599227315286</v>
      </c>
      <c r="N21" s="172">
        <f t="shared" si="2"/>
        <v>3128.9214790070837</v>
      </c>
      <c r="O21" s="172">
        <f t="shared" si="2"/>
        <v>9000.3128450621116</v>
      </c>
      <c r="R21" s="392"/>
      <c r="S21" s="247"/>
      <c r="T21" s="248" t="e">
        <f>#REF!+0.01</f>
        <v>#REF!</v>
      </c>
      <c r="U21" s="83" t="e">
        <f>$O$24+IF(Assumption!$H$2=Assumption!$S$1,$O$23*(1+$N$68)/(T21-$N$68),IF(Assumption!$H$2=Assumption!$S$2,$N$62*(1+$N$66)^$N$64,'Free Cash Flow'!$N$68))</f>
        <v>#REF!</v>
      </c>
      <c r="V21" s="248"/>
      <c r="W21" s="248"/>
      <c r="X21" s="248"/>
      <c r="Y21" s="248"/>
      <c r="Z21" s="248"/>
      <c r="AA21" s="248"/>
      <c r="AB21" s="248"/>
    </row>
    <row r="22" spans="2:28" ht="15">
      <c r="R22" s="247"/>
      <c r="S22" s="389"/>
      <c r="T22" s="388"/>
      <c r="U22" s="247"/>
      <c r="V22" s="247"/>
      <c r="W22" s="393"/>
      <c r="X22" s="393"/>
      <c r="Y22" s="393"/>
      <c r="Z22" s="393"/>
      <c r="AA22" s="393"/>
      <c r="AB22" s="393"/>
    </row>
    <row r="23" spans="2:28" ht="15">
      <c r="B23" s="534" t="s">
        <v>317</v>
      </c>
      <c r="C23" s="141"/>
      <c r="D23" s="141"/>
      <c r="E23" s="141"/>
      <c r="F23" s="141"/>
      <c r="G23" s="141"/>
      <c r="H23" s="141"/>
      <c r="I23" s="141"/>
      <c r="J23" s="141"/>
      <c r="K23" s="535">
        <f>K21/(1+WACC!$D$11)^'Free Cash Flow'!K7</f>
        <v>6225.904490756262</v>
      </c>
      <c r="L23" s="535">
        <f>L21/(1+WACC!$D$11)^'Free Cash Flow'!L7</f>
        <v>1224.7160692289353</v>
      </c>
      <c r="M23" s="535">
        <f>M21/(1+WACC!$D$11)^'Free Cash Flow'!M7</f>
        <v>5829.938628098731</v>
      </c>
      <c r="N23" s="535">
        <f>N21/(1+WACC!$D$11)^'Free Cash Flow'!N7</f>
        <v>2237.2628556969908</v>
      </c>
      <c r="O23" s="535">
        <f>O21/(1+WACC!$D$11)^'Free Cash Flow'!O7</f>
        <v>5917.8034971617526</v>
      </c>
      <c r="P23" s="530"/>
      <c r="R23" s="247"/>
      <c r="S23" s="389"/>
      <c r="T23" s="390"/>
      <c r="U23" s="247"/>
      <c r="V23" s="247"/>
      <c r="W23" s="393"/>
      <c r="X23" s="393"/>
      <c r="Y23" s="393"/>
      <c r="Z23" s="393"/>
      <c r="AA23" s="393"/>
      <c r="AB23" s="393"/>
    </row>
    <row r="24" spans="2:28" ht="15">
      <c r="B24" s="170" t="s">
        <v>318</v>
      </c>
      <c r="C24" s="95"/>
      <c r="D24" s="95"/>
      <c r="E24" s="95"/>
      <c r="F24" s="95"/>
      <c r="G24" s="95"/>
      <c r="H24" s="95"/>
      <c r="I24" s="95"/>
      <c r="J24" s="95"/>
      <c r="K24" s="172"/>
      <c r="L24" s="172"/>
      <c r="M24" s="172"/>
      <c r="N24" s="172"/>
      <c r="O24" s="172">
        <f>SUM(K23:O23)</f>
        <v>21435.62554094267</v>
      </c>
      <c r="P24" s="530"/>
      <c r="R24" s="247"/>
      <c r="S24" s="389"/>
      <c r="T24" s="390"/>
      <c r="U24" s="247"/>
      <c r="V24" s="247"/>
      <c r="W24" s="247"/>
      <c r="X24" s="247"/>
      <c r="Y24" s="247"/>
      <c r="Z24" s="247"/>
    </row>
    <row r="25" spans="2:28" ht="15">
      <c r="B25" s="170" t="s">
        <v>614</v>
      </c>
      <c r="C25" s="95"/>
      <c r="D25" s="95"/>
      <c r="E25" s="95"/>
      <c r="F25" s="95"/>
      <c r="G25" s="95"/>
      <c r="H25" s="95"/>
      <c r="I25" s="95"/>
      <c r="J25" s="95"/>
      <c r="K25" s="172"/>
      <c r="L25" s="172"/>
      <c r="M25" s="172"/>
      <c r="N25" s="172"/>
      <c r="O25" s="172">
        <f>IF(Assumption!$H$2=Assumption!$S$1,O23*(1+N68)/(WACC!D11-N68),IF(Assumption!$H$2=Assumption!$S$2,N62*(1+N66)^N64,'Free Cash Flow'!N68))</f>
        <v>56933.602482521026</v>
      </c>
      <c r="P25" s="530"/>
      <c r="R25" s="247"/>
      <c r="S25" s="389"/>
      <c r="T25" s="390"/>
      <c r="U25" s="247"/>
      <c r="V25" s="247"/>
    </row>
    <row r="26" spans="2:28" ht="15">
      <c r="B26" s="534" t="s">
        <v>615</v>
      </c>
      <c r="C26" s="141"/>
      <c r="D26" s="141"/>
      <c r="E26" s="141"/>
      <c r="F26" s="141"/>
      <c r="G26" s="141"/>
      <c r="H26" s="141"/>
      <c r="I26" s="141"/>
      <c r="J26" s="141"/>
      <c r="K26" s="535"/>
      <c r="L26" s="535"/>
      <c r="M26" s="535"/>
      <c r="N26" s="535"/>
      <c r="O26" s="550">
        <f>O24+O25</f>
        <v>78369.2280234637</v>
      </c>
      <c r="P26" s="236">
        <f>O26/WACC!D6-1</f>
        <v>3.0743000072153803E-2</v>
      </c>
      <c r="R26" s="247"/>
      <c r="S26" s="389"/>
      <c r="T26" s="390"/>
      <c r="U26" s="247"/>
      <c r="V26" s="247"/>
    </row>
    <row r="27" spans="2:28" ht="15">
      <c r="B27" s="375" t="s">
        <v>613</v>
      </c>
      <c r="O27" s="530">
        <f>O26-WACC!D5</f>
        <v>64781.695107666339</v>
      </c>
      <c r="P27" s="236">
        <f>O27/WACC!D4-1</f>
        <v>3.7432511522939915E-2</v>
      </c>
      <c r="T27" s="387"/>
    </row>
    <row r="28" spans="2:28">
      <c r="P28" s="236"/>
      <c r="T28" s="136"/>
    </row>
    <row r="29" spans="2:28">
      <c r="B29" s="85" t="s">
        <v>282</v>
      </c>
      <c r="C29" s="135"/>
      <c r="D29" s="93">
        <v>2006</v>
      </c>
      <c r="E29" s="93">
        <v>2007</v>
      </c>
      <c r="F29" s="93">
        <v>2008</v>
      </c>
      <c r="G29" s="93">
        <v>2009</v>
      </c>
      <c r="H29" s="94">
        <v>2010</v>
      </c>
      <c r="O29" s="167"/>
      <c r="P29" s="167"/>
    </row>
    <row r="30" spans="2:28">
      <c r="B30" s="192" t="s">
        <v>283</v>
      </c>
      <c r="C30" s="136"/>
      <c r="D30" s="130">
        <v>0.17</v>
      </c>
      <c r="E30" s="130">
        <v>0.12</v>
      </c>
      <c r="F30" s="130">
        <v>0.16</v>
      </c>
      <c r="G30" s="130">
        <v>0.22</v>
      </c>
      <c r="H30" s="131">
        <v>0.22</v>
      </c>
    </row>
    <row r="31" spans="2:28">
      <c r="B31" s="193" t="s">
        <v>284</v>
      </c>
      <c r="C31" s="137"/>
      <c r="D31" s="133">
        <v>0.33</v>
      </c>
      <c r="E31" s="133">
        <v>0.33</v>
      </c>
      <c r="F31" s="133">
        <v>0.33</v>
      </c>
      <c r="G31" s="133">
        <v>0.33</v>
      </c>
      <c r="H31" s="134">
        <v>0.33</v>
      </c>
    </row>
    <row r="33" spans="2:14">
      <c r="B33" s="85" t="s">
        <v>289</v>
      </c>
      <c r="C33" s="211"/>
      <c r="D33" s="93" t="s">
        <v>285</v>
      </c>
      <c r="E33" s="178">
        <v>2011</v>
      </c>
      <c r="F33" s="178">
        <v>2012</v>
      </c>
      <c r="G33" s="178">
        <v>2013</v>
      </c>
      <c r="H33" s="178">
        <v>2014</v>
      </c>
      <c r="I33" s="179">
        <v>2015</v>
      </c>
    </row>
    <row r="34" spans="2:14">
      <c r="B34" s="143" t="s">
        <v>297</v>
      </c>
      <c r="C34" s="212"/>
      <c r="D34" s="182"/>
      <c r="E34" s="213">
        <v>1</v>
      </c>
      <c r="F34" s="213">
        <v>2</v>
      </c>
      <c r="G34" s="213">
        <v>3</v>
      </c>
      <c r="H34" s="213">
        <v>4</v>
      </c>
      <c r="I34" s="214">
        <v>5</v>
      </c>
    </row>
    <row r="35" spans="2:14">
      <c r="B35" s="192" t="s">
        <v>286</v>
      </c>
      <c r="C35" s="215"/>
      <c r="D35" s="216">
        <f>'R&amp;D converter'!D39</f>
        <v>1494.1999999999998</v>
      </c>
      <c r="E35" s="216">
        <f>-'Income Statement'!I11-'R&amp;D converter'!$D$37*POWER((1+'R&amp;D converter'!$L$26),E34)</f>
        <v>1597.6504208683691</v>
      </c>
      <c r="F35" s="216">
        <f>-'Income Statement'!J11-'R&amp;D converter'!$D$37*POWER((1+'R&amp;D converter'!$L$26),F34)</f>
        <v>2189.8674138783385</v>
      </c>
      <c r="G35" s="216">
        <f>-'Income Statement'!K11-'R&amp;D converter'!$D$37*POWER((1+'R&amp;D converter'!$L$26),G34)</f>
        <v>1312.2240405993271</v>
      </c>
      <c r="H35" s="216">
        <f>-'Income Statement'!L11-'R&amp;D converter'!$D$37*POWER((1+'R&amp;D converter'!$L$26),H34)</f>
        <v>1901.2593305524842</v>
      </c>
      <c r="I35" s="216">
        <f>-'Income Statement'!M11-'R&amp;D converter'!$D$37*POWER((1+'R&amp;D converter'!$L$26),I34)</f>
        <v>914.13940291800645</v>
      </c>
    </row>
    <row r="36" spans="2:14">
      <c r="B36" s="192" t="s">
        <v>293</v>
      </c>
      <c r="C36" s="215"/>
      <c r="D36" s="216">
        <f>'R&amp;D converter'!D40</f>
        <v>493.08599999999996</v>
      </c>
      <c r="E36" s="216">
        <f>E35*K14</f>
        <v>527.22463888656182</v>
      </c>
      <c r="F36" s="216">
        <f>F35*L14</f>
        <v>722.65624657985177</v>
      </c>
      <c r="G36" s="216">
        <f>G35*M14</f>
        <v>433.03393339777796</v>
      </c>
      <c r="H36" s="216">
        <f>H35*N14</f>
        <v>627.41557908231982</v>
      </c>
      <c r="I36" s="217">
        <f>I35*O14</f>
        <v>301.66600296294212</v>
      </c>
    </row>
    <row r="37" spans="2:14">
      <c r="B37" s="192" t="s">
        <v>287</v>
      </c>
      <c r="C37" s="215"/>
      <c r="D37" s="216">
        <f>'Operating lease converter'!F34</f>
        <v>127.93338552532944</v>
      </c>
      <c r="E37" s="216">
        <f>$D$37</f>
        <v>127.93338552532944</v>
      </c>
      <c r="F37" s="216">
        <f t="shared" ref="F37:I37" si="3">$D$37</f>
        <v>127.93338552532944</v>
      </c>
      <c r="G37" s="216">
        <f t="shared" si="3"/>
        <v>127.93338552532944</v>
      </c>
      <c r="H37" s="216">
        <f t="shared" si="3"/>
        <v>127.93338552532944</v>
      </c>
      <c r="I37" s="217">
        <f t="shared" si="3"/>
        <v>127.93338552532944</v>
      </c>
    </row>
    <row r="38" spans="2:14">
      <c r="B38" s="192"/>
      <c r="C38" s="215"/>
      <c r="D38" s="216"/>
      <c r="E38" s="216"/>
      <c r="F38" s="216"/>
      <c r="G38" s="216"/>
      <c r="H38" s="216"/>
      <c r="I38" s="217"/>
      <c r="M38" s="162"/>
    </row>
    <row r="39" spans="2:14">
      <c r="B39" s="193" t="s">
        <v>288</v>
      </c>
      <c r="C39" s="213"/>
      <c r="D39" s="218"/>
      <c r="E39" s="218"/>
      <c r="F39" s="218"/>
      <c r="G39" s="218"/>
      <c r="H39" s="218"/>
      <c r="I39" s="219"/>
    </row>
    <row r="40" spans="2:14">
      <c r="B40" s="192" t="s">
        <v>286</v>
      </c>
      <c r="C40" s="215"/>
      <c r="D40" s="216">
        <f>'R&amp;D converter'!D37</f>
        <v>2906.8</v>
      </c>
      <c r="E40" s="216">
        <f>D40*(1+'R&amp;D converter'!$L$26)</f>
        <v>3223.1695725363397</v>
      </c>
      <c r="F40" s="216">
        <f>E40*(1+'R&amp;D converter'!$L$26)</f>
        <v>3573.9720976070216</v>
      </c>
      <c r="G40" s="216">
        <f>F40*(1+'R&amp;D converter'!$L$26)</f>
        <v>3962.955180301647</v>
      </c>
      <c r="H40" s="216">
        <f>G40*(1+'R&amp;D converter'!$L$26)</f>
        <v>4394.2743066167368</v>
      </c>
      <c r="I40" s="216">
        <f>H40*(1+'R&amp;D converter'!$L$26)</f>
        <v>4872.5372362960252</v>
      </c>
    </row>
    <row r="41" spans="2:14">
      <c r="B41" s="192" t="s">
        <v>287</v>
      </c>
      <c r="C41" s="215"/>
      <c r="D41" s="216">
        <f>'Operating lease converter'!F33</f>
        <v>136.06661447467056</v>
      </c>
      <c r="E41" s="216">
        <f>$D$41</f>
        <v>136.06661447467056</v>
      </c>
      <c r="F41" s="216">
        <f t="shared" ref="F41:I41" si="4">$D$41</f>
        <v>136.06661447467056</v>
      </c>
      <c r="G41" s="216">
        <f t="shared" si="4"/>
        <v>136.06661447467056</v>
      </c>
      <c r="H41" s="216">
        <f t="shared" si="4"/>
        <v>136.06661447467056</v>
      </c>
      <c r="I41" s="217">
        <f t="shared" si="4"/>
        <v>136.06661447467056</v>
      </c>
    </row>
    <row r="42" spans="2:14">
      <c r="B42" s="192"/>
      <c r="C42" s="215"/>
      <c r="D42" s="216"/>
      <c r="E42" s="216"/>
      <c r="F42" s="216"/>
      <c r="G42" s="216"/>
      <c r="H42" s="216"/>
      <c r="I42" s="217"/>
    </row>
    <row r="43" spans="2:14">
      <c r="B43" s="193" t="s">
        <v>290</v>
      </c>
      <c r="C43" s="213"/>
      <c r="D43" s="218"/>
      <c r="E43" s="218"/>
      <c r="F43" s="218"/>
      <c r="G43" s="218"/>
      <c r="H43" s="218"/>
      <c r="I43" s="219"/>
    </row>
    <row r="44" spans="2:14">
      <c r="B44" s="192" t="s">
        <v>286</v>
      </c>
      <c r="C44" s="215"/>
      <c r="D44" s="163">
        <f>-'R&amp;D converter'!F7</f>
        <v>-4401</v>
      </c>
      <c r="E44" s="216">
        <f>'Income Statement'!I11</f>
        <v>-4820.8199934047088</v>
      </c>
      <c r="F44" s="216">
        <f>'Income Statement'!J11</f>
        <v>-5763.8395114853602</v>
      </c>
      <c r="G44" s="216">
        <f>'Income Statement'!K11</f>
        <v>-5275.1792209009745</v>
      </c>
      <c r="H44" s="216">
        <f>'Income Statement'!L11</f>
        <v>-6295.5336371692219</v>
      </c>
      <c r="I44" s="217">
        <f>'Income Statement'!M11</f>
        <v>-5786.6766392140325</v>
      </c>
    </row>
    <row r="45" spans="2:14">
      <c r="B45" s="193" t="s">
        <v>287</v>
      </c>
      <c r="C45" s="213"/>
      <c r="D45" s="181">
        <f>-'Operating lease converter'!E3</f>
        <v>-264</v>
      </c>
      <c r="E45" s="218">
        <f>$D$45</f>
        <v>-264</v>
      </c>
      <c r="F45" s="218">
        <f t="shared" ref="F45:I45" si="5">$D$45</f>
        <v>-264</v>
      </c>
      <c r="G45" s="218">
        <f t="shared" si="5"/>
        <v>-264</v>
      </c>
      <c r="H45" s="218">
        <f t="shared" si="5"/>
        <v>-264</v>
      </c>
      <c r="I45" s="219">
        <f t="shared" si="5"/>
        <v>-264</v>
      </c>
    </row>
    <row r="47" spans="2:14">
      <c r="B47" s="85" t="s">
        <v>342</v>
      </c>
      <c r="C47" s="86"/>
      <c r="D47" s="93"/>
      <c r="E47" s="93">
        <v>2006</v>
      </c>
      <c r="F47" s="93">
        <v>2007</v>
      </c>
      <c r="G47" s="93">
        <v>2008</v>
      </c>
      <c r="H47" s="93">
        <v>2009</v>
      </c>
      <c r="I47" s="94">
        <v>2010</v>
      </c>
      <c r="J47" s="178">
        <v>2011</v>
      </c>
      <c r="K47" s="178">
        <v>2012</v>
      </c>
      <c r="L47" s="178">
        <v>2013</v>
      </c>
      <c r="M47" s="178">
        <v>2014</v>
      </c>
      <c r="N47" s="179">
        <v>2015</v>
      </c>
    </row>
    <row r="48" spans="2:14">
      <c r="B48" s="192" t="s">
        <v>294</v>
      </c>
      <c r="C48" s="136"/>
      <c r="D48" s="136"/>
      <c r="E48" s="136">
        <f>'Balance Sheet'!D33</f>
        <v>45600</v>
      </c>
      <c r="F48" s="136">
        <f>'Balance Sheet'!E33</f>
        <v>44542</v>
      </c>
      <c r="G48" s="136">
        <f>'Balance Sheet'!F33</f>
        <v>44866</v>
      </c>
      <c r="H48" s="136">
        <f>'Balance Sheet'!G33</f>
        <v>48322</v>
      </c>
      <c r="I48" s="139">
        <f>'Balance Sheet'!H33</f>
        <v>53097</v>
      </c>
    </row>
    <row r="49" spans="2:14">
      <c r="B49" s="192" t="s">
        <v>295</v>
      </c>
      <c r="C49" s="136"/>
      <c r="D49" s="136"/>
      <c r="E49" s="136">
        <f>'Balance Sheet'!D28+'Balance Sheet'!D24</f>
        <v>7053</v>
      </c>
      <c r="F49" s="136">
        <f>'Balance Sheet'!E28+'Balance Sheet'!E24</f>
        <v>5941</v>
      </c>
      <c r="G49" s="136">
        <f>'Balance Sheet'!F28+'Balance Sheet'!F24</f>
        <v>6006</v>
      </c>
      <c r="H49" s="136">
        <f>'Balance Sheet'!G28+'Balance Sheet'!G24</f>
        <v>8827</v>
      </c>
      <c r="I49" s="139">
        <f>'Balance Sheet'!H28+'Balance Sheet'!H24</f>
        <v>8260</v>
      </c>
    </row>
    <row r="50" spans="2:14" ht="15">
      <c r="B50" s="225" t="s">
        <v>296</v>
      </c>
      <c r="C50" s="95"/>
      <c r="D50" s="95"/>
      <c r="E50" s="96">
        <f>SUM(E48:E49)</f>
        <v>52653</v>
      </c>
      <c r="F50" s="96">
        <f t="shared" ref="F50:I50" si="6">SUM(F48:F49)</f>
        <v>50483</v>
      </c>
      <c r="G50" s="96">
        <f t="shared" si="6"/>
        <v>50872</v>
      </c>
      <c r="H50" s="96">
        <f t="shared" si="6"/>
        <v>57149</v>
      </c>
      <c r="I50" s="140">
        <f t="shared" si="6"/>
        <v>61357</v>
      </c>
      <c r="J50" s="231">
        <v>61357</v>
      </c>
      <c r="K50" s="231">
        <f>J50+7000</f>
        <v>68357</v>
      </c>
      <c r="L50" s="231">
        <v>68357</v>
      </c>
      <c r="M50" s="231">
        <f>L50+7000</f>
        <v>75357</v>
      </c>
      <c r="N50" s="231">
        <v>75357</v>
      </c>
    </row>
    <row r="51" spans="2:14">
      <c r="B51" s="192" t="s">
        <v>605</v>
      </c>
      <c r="C51" s="136"/>
      <c r="D51" s="136"/>
      <c r="E51" s="136"/>
      <c r="F51" s="136"/>
      <c r="G51" s="136"/>
      <c r="H51" s="136"/>
      <c r="I51" s="222">
        <f>'R&amp;D converter'!D35</f>
        <v>21738.699999999993</v>
      </c>
      <c r="J51" s="531">
        <f>'R&amp;D converter'!$D$35*POWER(1+'R&amp;D converter'!$L$27,'Free Cash Flow'!K7)</f>
        <v>23084.89731544954</v>
      </c>
      <c r="K51" s="531">
        <f>'R&amp;D converter'!$D$35*POWER(1+'R&amp;D converter'!$L$27,'Free Cash Flow'!L7)</f>
        <v>24514.459653284208</v>
      </c>
      <c r="L51" s="531">
        <f>'R&amp;D converter'!$D$35*POWER(1+'R&amp;D converter'!$L$27,'Free Cash Flow'!M7)</f>
        <v>26032.549501110774</v>
      </c>
      <c r="M51" s="531">
        <f>'R&amp;D converter'!$D$35*POWER(1+'R&amp;D converter'!$L$27,'Free Cash Flow'!N7)</f>
        <v>27644.64904030598</v>
      </c>
      <c r="N51" s="531">
        <f>'R&amp;D converter'!$D$35*POWER(1+'R&amp;D converter'!$L$27,'Free Cash Flow'!O7)</f>
        <v>29356.579943469682</v>
      </c>
    </row>
    <row r="52" spans="2:14">
      <c r="B52" s="192"/>
      <c r="C52" s="136"/>
      <c r="D52" s="136"/>
      <c r="E52" s="136"/>
      <c r="F52" s="136"/>
      <c r="G52" s="136"/>
      <c r="H52" s="136"/>
      <c r="I52" s="139"/>
      <c r="J52" s="222"/>
      <c r="K52" s="222"/>
      <c r="L52" s="222"/>
      <c r="M52" s="222"/>
      <c r="N52" s="222"/>
    </row>
    <row r="53" spans="2:14" ht="15">
      <c r="B53" s="225" t="s">
        <v>135</v>
      </c>
      <c r="C53" s="95"/>
      <c r="D53" s="95"/>
      <c r="E53" s="96">
        <f>D15</f>
        <v>2771.37</v>
      </c>
      <c r="F53" s="96">
        <f>E15</f>
        <v>4295.28</v>
      </c>
      <c r="G53" s="96">
        <f>F15</f>
        <v>3151.68</v>
      </c>
      <c r="H53" s="96">
        <f>G15</f>
        <v>4641</v>
      </c>
      <c r="I53" s="140">
        <f>H15</f>
        <v>4852.38</v>
      </c>
      <c r="J53" s="231">
        <f>K15</f>
        <v>6089.4925017773721</v>
      </c>
      <c r="K53" s="231">
        <f>L15</f>
        <v>6982.1149024534261</v>
      </c>
      <c r="L53" s="231">
        <f>M15</f>
        <v>7053.8059280376247</v>
      </c>
      <c r="M53" s="231">
        <f>N15</f>
        <v>8001.6843485435702</v>
      </c>
      <c r="N53" s="231">
        <f>O15</f>
        <v>8043.5052123545483</v>
      </c>
    </row>
    <row r="54" spans="2:14">
      <c r="B54" s="192"/>
      <c r="C54" s="136"/>
      <c r="D54" s="136"/>
      <c r="E54" s="136"/>
      <c r="F54" s="136"/>
      <c r="G54" s="136"/>
      <c r="H54" s="136"/>
      <c r="I54" s="139"/>
    </row>
    <row r="55" spans="2:14" ht="15">
      <c r="B55" s="227" t="s">
        <v>608</v>
      </c>
      <c r="C55" s="141"/>
      <c r="D55" s="141"/>
      <c r="E55" s="141"/>
      <c r="F55" s="142">
        <f>F53/E50</f>
        <v>8.1577118112928032E-2</v>
      </c>
      <c r="G55" s="142">
        <f t="shared" ref="G55:I55" si="7">G53/F50</f>
        <v>6.2430521165540868E-2</v>
      </c>
      <c r="H55" s="142">
        <f t="shared" si="7"/>
        <v>9.1228966818682186E-2</v>
      </c>
      <c r="I55" s="142">
        <f t="shared" si="7"/>
        <v>8.4907522441337563E-2</v>
      </c>
      <c r="J55" s="224">
        <f>(J53+E40)/(I50+I51)</f>
        <v>0.11207152806118381</v>
      </c>
      <c r="K55" s="224">
        <f t="shared" ref="K55:N55" si="8">(K53+F40)/(J50+J51)</f>
        <v>0.12501006414654658</v>
      </c>
      <c r="L55" s="224">
        <f t="shared" si="8"/>
        <v>0.11862375319035579</v>
      </c>
      <c r="M55" s="224">
        <f t="shared" si="8"/>
        <v>0.13132765990173978</v>
      </c>
      <c r="N55" s="224">
        <f t="shared" si="8"/>
        <v>0.12539646276533248</v>
      </c>
    </row>
    <row r="56" spans="2:14">
      <c r="B56" s="192"/>
      <c r="C56" s="136"/>
      <c r="D56" s="136"/>
      <c r="E56" s="136"/>
      <c r="F56" s="136"/>
      <c r="G56" s="136"/>
      <c r="H56" s="136"/>
      <c r="I56" s="139"/>
    </row>
    <row r="57" spans="2:14">
      <c r="B57" s="192" t="s">
        <v>131</v>
      </c>
      <c r="C57" s="136"/>
      <c r="D57" s="136"/>
      <c r="E57" s="31">
        <f>'Cash Flow Statement'!D13</f>
        <v>-4150</v>
      </c>
      <c r="F57" s="31">
        <f>'Cash Flow Statement'!E13</f>
        <v>-2840</v>
      </c>
      <c r="G57" s="31">
        <f>'Cash Flow Statement'!F13</f>
        <v>-3718</v>
      </c>
      <c r="H57" s="31">
        <f>'Cash Flow Statement'!G13</f>
        <v>2337</v>
      </c>
      <c r="I57" s="44">
        <f>'Cash Flow Statement'!H13</f>
        <v>-1897</v>
      </c>
      <c r="J57" s="31">
        <f>-K19-K17</f>
        <v>-998.83248820336667</v>
      </c>
      <c r="K57" s="31">
        <f>-L19-L17</f>
        <v>4269.6932883551344</v>
      </c>
      <c r="L57" s="31">
        <f>-M19-M17</f>
        <v>-648.49108949414767</v>
      </c>
      <c r="M57" s="31">
        <f>-N19-N17</f>
        <v>4001.2963127600069</v>
      </c>
      <c r="N57" s="31">
        <f>-O19-O17</f>
        <v>-1341.8194972112196</v>
      </c>
    </row>
    <row r="58" spans="2:14">
      <c r="B58" s="192" t="s">
        <v>298</v>
      </c>
      <c r="C58" s="215"/>
      <c r="D58" s="215"/>
      <c r="E58" s="222">
        <f>'Balance Sheet'!D49</f>
        <v>406</v>
      </c>
      <c r="F58" s="222">
        <f>'Balance Sheet'!E49</f>
        <v>97</v>
      </c>
      <c r="G58" s="222">
        <f>'Balance Sheet'!F49</f>
        <v>285</v>
      </c>
      <c r="H58" s="222">
        <f>'Balance Sheet'!G49</f>
        <v>1076</v>
      </c>
      <c r="I58" s="223">
        <f>'Balance Sheet'!H49</f>
        <v>315</v>
      </c>
      <c r="J58" s="222">
        <f>K18</f>
        <v>317.80745638456756</v>
      </c>
      <c r="K58" s="222">
        <f>L18</f>
        <v>1264.0692175111099</v>
      </c>
      <c r="L58" s="222">
        <f>M18</f>
        <v>204.6977902164881</v>
      </c>
      <c r="M58" s="222">
        <f>N18</f>
        <v>871.4665567764805</v>
      </c>
      <c r="N58" s="222">
        <f>O18</f>
        <v>385.0118645036564</v>
      </c>
    </row>
    <row r="59" spans="2:14">
      <c r="B59" s="192"/>
      <c r="C59" s="215"/>
      <c r="D59" s="215"/>
      <c r="E59" s="222"/>
      <c r="F59" s="222"/>
      <c r="G59" s="222"/>
      <c r="H59" s="222"/>
      <c r="I59" s="223"/>
      <c r="J59" s="222"/>
      <c r="K59" s="222"/>
      <c r="L59" s="222"/>
      <c r="M59" s="222"/>
      <c r="N59" s="222"/>
    </row>
    <row r="60" spans="2:14">
      <c r="B60" s="192" t="s">
        <v>346</v>
      </c>
      <c r="C60" s="215"/>
      <c r="D60" s="215"/>
      <c r="E60" s="222">
        <f>9339+'Balance Sheet'!D7+'Balance Sheet'!D8</f>
        <v>14151</v>
      </c>
      <c r="F60" s="222">
        <f>9339+'Balance Sheet'!E7+'Balance Sheet'!E8</f>
        <v>14779</v>
      </c>
      <c r="G60" s="222">
        <f>9339+'Balance Sheet'!F7+'Balance Sheet'!F8</f>
        <v>17155</v>
      </c>
      <c r="H60" s="222">
        <f>9339+'Balance Sheet'!G7+'Balance Sheet'!G8</f>
        <v>18475</v>
      </c>
      <c r="I60" s="222">
        <f>9339+'Balance Sheet'!H7+'Balance Sheet'!H8</f>
        <v>20824</v>
      </c>
      <c r="J60" s="222">
        <f>((J47-$E$47)*1704.2+11964)*1.01</f>
        <v>20689.849999999999</v>
      </c>
      <c r="K60" s="222">
        <f t="shared" ref="K60:N60" si="9">(K47-$E$47)*1704.2+11964</f>
        <v>22189.200000000001</v>
      </c>
      <c r="L60" s="222">
        <f t="shared" si="9"/>
        <v>23893.4</v>
      </c>
      <c r="M60" s="222">
        <f t="shared" si="9"/>
        <v>25597.599999999999</v>
      </c>
      <c r="N60" s="222">
        <f t="shared" si="9"/>
        <v>27301.800000000003</v>
      </c>
    </row>
    <row r="61" spans="2:14">
      <c r="B61" s="192" t="s">
        <v>337</v>
      </c>
      <c r="C61" s="215"/>
      <c r="D61" s="215"/>
      <c r="E61" s="222">
        <v>-3120</v>
      </c>
      <c r="F61" s="222">
        <v>-3840</v>
      </c>
      <c r="G61" s="222">
        <v>-4590</v>
      </c>
      <c r="H61" s="222">
        <v>-5274</v>
      </c>
      <c r="I61" s="223">
        <v>-6221</v>
      </c>
      <c r="J61" s="222">
        <f>(J47-$E$47)*(-763.6)-2318.2</f>
        <v>-6136.2</v>
      </c>
      <c r="K61" s="222">
        <f t="shared" ref="K61:N61" si="10">(K47-$E$47)*(-763.6)-2318.2</f>
        <v>-6899.8</v>
      </c>
      <c r="L61" s="222">
        <f t="shared" si="10"/>
        <v>-7663.4</v>
      </c>
      <c r="M61" s="222">
        <f t="shared" si="10"/>
        <v>-8427</v>
      </c>
      <c r="N61" s="222">
        <f t="shared" si="10"/>
        <v>-9190.6</v>
      </c>
    </row>
    <row r="62" spans="2:14">
      <c r="B62" s="192" t="s">
        <v>347</v>
      </c>
      <c r="C62" s="215"/>
      <c r="D62" s="215"/>
      <c r="E62" s="222">
        <f>SUM(E60,E61)</f>
        <v>11031</v>
      </c>
      <c r="F62" s="222">
        <f t="shared" ref="F62:N62" si="11">SUM(F60,F61)</f>
        <v>10939</v>
      </c>
      <c r="G62" s="222">
        <f t="shared" si="11"/>
        <v>12565</v>
      </c>
      <c r="H62" s="222">
        <f t="shared" si="11"/>
        <v>13201</v>
      </c>
      <c r="I62" s="222">
        <f t="shared" si="11"/>
        <v>14603</v>
      </c>
      <c r="J62" s="222">
        <f t="shared" si="11"/>
        <v>14553.649999999998</v>
      </c>
      <c r="K62" s="222">
        <f t="shared" si="11"/>
        <v>15289.400000000001</v>
      </c>
      <c r="L62" s="222">
        <f t="shared" si="11"/>
        <v>16230.000000000002</v>
      </c>
      <c r="M62" s="222">
        <f t="shared" si="11"/>
        <v>17170.599999999999</v>
      </c>
      <c r="N62" s="222">
        <f t="shared" si="11"/>
        <v>18111.200000000004</v>
      </c>
    </row>
    <row r="63" spans="2:14">
      <c r="B63" s="192" t="s">
        <v>338</v>
      </c>
      <c r="C63" s="215"/>
      <c r="D63" s="215"/>
      <c r="E63" s="222">
        <f>D11</f>
        <v>-6113</v>
      </c>
      <c r="F63" s="222">
        <f>E11</f>
        <v>-4664</v>
      </c>
      <c r="G63" s="222">
        <f>F11</f>
        <v>-5985</v>
      </c>
      <c r="H63" s="222">
        <f>G11</f>
        <v>-5011</v>
      </c>
      <c r="I63" s="222">
        <f>H11</f>
        <v>-5129</v>
      </c>
      <c r="J63" s="222">
        <f>K11</f>
        <v>-4820.8199934047088</v>
      </c>
      <c r="K63" s="222">
        <f>L11</f>
        <v>-5763.8395114853602</v>
      </c>
      <c r="L63" s="222">
        <f>M11</f>
        <v>-5275.1792209009745</v>
      </c>
      <c r="M63" s="222">
        <f>N11</f>
        <v>-6295.5336371692219</v>
      </c>
      <c r="N63" s="222">
        <f>O11</f>
        <v>-5786.6766392140325</v>
      </c>
    </row>
    <row r="64" spans="2:14">
      <c r="B64" s="225" t="s">
        <v>343</v>
      </c>
      <c r="C64" s="170"/>
      <c r="D64" s="170"/>
      <c r="E64" s="226">
        <f>-E60/E63</f>
        <v>2.3149026664485524</v>
      </c>
      <c r="F64" s="226">
        <f t="shared" ref="F64:M64" si="12">-F60/F63</f>
        <v>3.168739279588336</v>
      </c>
      <c r="G64" s="226">
        <f t="shared" si="12"/>
        <v>2.8663324979114453</v>
      </c>
      <c r="H64" s="226">
        <f t="shared" si="12"/>
        <v>3.6868888445420076</v>
      </c>
      <c r="I64" s="226">
        <f t="shared" si="12"/>
        <v>4.0600506921427177</v>
      </c>
      <c r="J64" s="226">
        <f t="shared" si="12"/>
        <v>4.2917698707492651</v>
      </c>
      <c r="K64" s="226">
        <f t="shared" si="12"/>
        <v>3.8497255094949323</v>
      </c>
      <c r="L64" s="226">
        <f t="shared" si="12"/>
        <v>4.5294006136002194</v>
      </c>
      <c r="M64" s="226">
        <f t="shared" si="12"/>
        <v>4.065993683024768</v>
      </c>
      <c r="N64" s="226">
        <f>-N60/N63</f>
        <v>4.7180448644713335</v>
      </c>
    </row>
    <row r="65" spans="2:14">
      <c r="B65" s="230"/>
      <c r="C65" s="229"/>
      <c r="D65" s="229"/>
      <c r="E65" s="231"/>
      <c r="F65" s="231"/>
      <c r="G65" s="231"/>
      <c r="H65" s="231"/>
      <c r="I65" s="231"/>
      <c r="J65" s="231"/>
      <c r="K65" s="231"/>
      <c r="L65" s="231"/>
      <c r="M65" s="231"/>
      <c r="N65" s="231"/>
    </row>
    <row r="66" spans="2:14">
      <c r="B66" s="192" t="s">
        <v>340</v>
      </c>
      <c r="C66" s="229"/>
      <c r="D66" s="229"/>
      <c r="E66" s="232">
        <v>1.6E-2</v>
      </c>
      <c r="F66" s="232">
        <v>1.4999999999999999E-2</v>
      </c>
      <c r="G66" s="232">
        <v>2.8000000000000001E-2</v>
      </c>
      <c r="H66" s="232">
        <v>1E-3</v>
      </c>
      <c r="I66" s="232">
        <v>1.4999999999999999E-2</v>
      </c>
      <c r="J66" s="232">
        <v>2.1000000000000001E-2</v>
      </c>
      <c r="K66" s="232">
        <v>0.02</v>
      </c>
      <c r="L66" s="232">
        <v>8.9999999999999993E-3</v>
      </c>
      <c r="M66" s="232">
        <v>5.0000000000000001E-3</v>
      </c>
      <c r="N66" s="232">
        <v>6.0000000000000001E-3</v>
      </c>
    </row>
    <row r="67" spans="2:14">
      <c r="B67" s="192"/>
      <c r="C67" s="136"/>
      <c r="D67" s="136"/>
      <c r="E67" s="136"/>
      <c r="F67" s="136"/>
      <c r="G67" s="136"/>
      <c r="H67" s="136"/>
      <c r="I67" s="139"/>
    </row>
    <row r="68" spans="2:14" ht="15">
      <c r="B68" s="227" t="s">
        <v>341</v>
      </c>
      <c r="C68" s="141"/>
      <c r="D68" s="141"/>
      <c r="E68" s="141"/>
      <c r="F68" s="234">
        <f t="shared" ref="F68:M68" si="13">(F57+F58)/F53*F55</f>
        <v>-5.209579701061668E-2</v>
      </c>
      <c r="G68" s="234">
        <f t="shared" si="13"/>
        <v>-6.8003090149159118E-2</v>
      </c>
      <c r="H68" s="234">
        <f t="shared" si="13"/>
        <v>6.7089951250196581E-2</v>
      </c>
      <c r="I68" s="234">
        <f t="shared" si="13"/>
        <v>-2.7682024182400393E-2</v>
      </c>
      <c r="J68" s="233">
        <f t="shared" si="13"/>
        <v>-1.2533641504866324E-2</v>
      </c>
      <c r="K68" s="233">
        <f t="shared" si="13"/>
        <v>9.9078290101901972E-2</v>
      </c>
      <c r="L68" s="233">
        <f t="shared" si="13"/>
        <v>-7.4632655531100657E-3</v>
      </c>
      <c r="M68" s="233">
        <f t="shared" si="13"/>
        <v>7.997423005429978E-2</v>
      </c>
      <c r="N68" s="233">
        <f>(N57+N58)/N53*N55</f>
        <v>-1.4916418839900077E-2</v>
      </c>
    </row>
    <row r="69" spans="2:14" ht="15">
      <c r="B69" s="2" t="s">
        <v>339</v>
      </c>
      <c r="C69" s="136"/>
      <c r="D69" s="136"/>
      <c r="E69" s="136"/>
      <c r="F69" s="224"/>
      <c r="G69" s="224"/>
      <c r="H69" s="224"/>
      <c r="I69" s="224"/>
      <c r="J69" s="224"/>
      <c r="K69" s="224"/>
      <c r="L69" s="224"/>
      <c r="M69" s="224"/>
      <c r="N69" s="224"/>
    </row>
    <row r="70" spans="2:14" ht="15">
      <c r="B70" s="2" t="s">
        <v>619</v>
      </c>
      <c r="J70" s="186"/>
    </row>
    <row r="71" spans="2:14" ht="15">
      <c r="B71" s="533" t="s">
        <v>607</v>
      </c>
      <c r="J71" s="185"/>
    </row>
    <row r="72" spans="2:14" ht="15">
      <c r="B72" s="228"/>
      <c r="D72" s="185"/>
      <c r="J72" s="185"/>
    </row>
    <row r="73" spans="2:14">
      <c r="D73" s="185"/>
      <c r="J73" s="185"/>
    </row>
    <row r="75" spans="2:14" ht="15">
      <c r="B75" s="85" t="s">
        <v>299</v>
      </c>
      <c r="C75" s="86"/>
      <c r="D75" s="93"/>
      <c r="E75" s="93">
        <v>2006</v>
      </c>
      <c r="F75" s="93">
        <v>2007</v>
      </c>
      <c r="G75" s="93">
        <v>2008</v>
      </c>
      <c r="H75" s="93">
        <v>2009</v>
      </c>
      <c r="I75" s="94">
        <v>2010</v>
      </c>
      <c r="J75" s="135"/>
      <c r="K75" s="145" t="s">
        <v>302</v>
      </c>
    </row>
    <row r="76" spans="2:14" ht="15">
      <c r="B76" s="129" t="s">
        <v>300</v>
      </c>
      <c r="C76" s="136"/>
      <c r="D76" s="136"/>
      <c r="E76" s="136">
        <v>2.97</v>
      </c>
      <c r="F76" s="136">
        <v>3.91</v>
      </c>
      <c r="G76" s="136">
        <v>2.94</v>
      </c>
      <c r="H76" s="136">
        <v>4.03</v>
      </c>
      <c r="I76" s="139">
        <v>4.1900000000000004</v>
      </c>
      <c r="J76" s="136"/>
      <c r="K76" s="146">
        <v>0.25600000000000001</v>
      </c>
    </row>
    <row r="77" spans="2:14" ht="15">
      <c r="B77" s="132" t="s">
        <v>301</v>
      </c>
      <c r="C77" s="137"/>
      <c r="D77" s="137"/>
      <c r="E77" s="137">
        <f>LN(E76)</f>
        <v>1.0885619528146082</v>
      </c>
      <c r="F77" s="137">
        <f t="shared" ref="F77:I77" si="14">LN(F76)</f>
        <v>1.3635373739972745</v>
      </c>
      <c r="G77" s="137">
        <f t="shared" si="14"/>
        <v>1.0784095813505903</v>
      </c>
      <c r="H77" s="137">
        <f t="shared" si="14"/>
        <v>1.3937663759585917</v>
      </c>
      <c r="I77" s="144">
        <f t="shared" si="14"/>
        <v>1.4327007339340465</v>
      </c>
      <c r="J77" s="137"/>
      <c r="K77" s="147">
        <f>7.19%/5</f>
        <v>1.438E-2</v>
      </c>
    </row>
    <row r="95" spans="2:18">
      <c r="B95" s="177" t="s">
        <v>616</v>
      </c>
      <c r="C95" s="177"/>
      <c r="D95" s="177"/>
      <c r="E95" s="177"/>
      <c r="F95" s="177"/>
      <c r="G95" s="177"/>
      <c r="H95" s="177"/>
      <c r="I95" s="177"/>
      <c r="J95" s="177"/>
      <c r="L95" s="177" t="s">
        <v>622</v>
      </c>
      <c r="M95" s="177"/>
      <c r="N95" s="177"/>
      <c r="P95" s="177" t="s">
        <v>622</v>
      </c>
      <c r="Q95" s="177"/>
      <c r="R95" s="177"/>
    </row>
    <row r="96" spans="2:18">
      <c r="B96" s="215" t="s">
        <v>618</v>
      </c>
      <c r="C96" s="215"/>
      <c r="D96" s="547">
        <v>2011</v>
      </c>
      <c r="E96" s="547">
        <v>2012</v>
      </c>
      <c r="F96" s="547">
        <v>2013</v>
      </c>
      <c r="G96" s="547">
        <v>2014</v>
      </c>
      <c r="H96" s="547">
        <v>2015</v>
      </c>
      <c r="I96" s="215"/>
      <c r="L96" s="551" t="s">
        <v>624</v>
      </c>
      <c r="M96" s="551"/>
      <c r="N96" s="552">
        <v>0.1003</v>
      </c>
      <c r="P96" s="551" t="s">
        <v>624</v>
      </c>
      <c r="Q96" s="551"/>
      <c r="R96" s="552">
        <v>0.1003</v>
      </c>
    </row>
    <row r="97" spans="2:21">
      <c r="B97" s="215" t="s">
        <v>317</v>
      </c>
      <c r="C97" s="215"/>
      <c r="D97" s="531">
        <v>6225.904490756262</v>
      </c>
      <c r="E97" s="531">
        <v>1224.7160692289353</v>
      </c>
      <c r="F97" s="531">
        <v>5829.938628098731</v>
      </c>
      <c r="G97" s="531">
        <v>2237.2628556969908</v>
      </c>
      <c r="H97" s="531">
        <v>5917.8034971617526</v>
      </c>
      <c r="I97" s="215"/>
      <c r="L97" s="551" t="s">
        <v>625</v>
      </c>
      <c r="M97" s="551"/>
      <c r="N97" s="552">
        <v>4.2803306103834163E-2</v>
      </c>
      <c r="P97" s="551" t="s">
        <v>625</v>
      </c>
      <c r="Q97" s="551"/>
      <c r="R97" s="552">
        <v>4.2803306103834163E-2</v>
      </c>
    </row>
    <row r="98" spans="2:21">
      <c r="B98" s="215" t="s">
        <v>318</v>
      </c>
      <c r="C98" s="215"/>
      <c r="D98" s="531"/>
      <c r="E98" s="531"/>
      <c r="F98" s="531"/>
      <c r="G98" s="531"/>
      <c r="H98" s="215"/>
      <c r="I98" s="531">
        <v>21435.62554094267</v>
      </c>
      <c r="L98" s="551" t="s">
        <v>316</v>
      </c>
      <c r="M98" s="551"/>
      <c r="N98" s="552">
        <v>8.7475328869645708E-2</v>
      </c>
      <c r="P98" s="551" t="s">
        <v>316</v>
      </c>
      <c r="Q98" s="551"/>
      <c r="R98" s="552">
        <v>8.7475328869645708E-2</v>
      </c>
    </row>
    <row r="99" spans="2:21">
      <c r="B99" s="229" t="s">
        <v>614</v>
      </c>
      <c r="C99" s="229"/>
      <c r="D99" s="530"/>
      <c r="E99" s="530"/>
      <c r="F99" s="530"/>
      <c r="G99" s="530"/>
      <c r="H99" s="229"/>
      <c r="I99" s="530">
        <v>56933.602482521026</v>
      </c>
      <c r="L99" s="551" t="s">
        <v>623</v>
      </c>
      <c r="M99" s="551"/>
      <c r="N99" s="552">
        <v>-1.4916418839900077E-2</v>
      </c>
      <c r="P99" s="551" t="s">
        <v>623</v>
      </c>
      <c r="Q99" s="551"/>
      <c r="R99" s="552">
        <v>-1.4916418839900077E-2</v>
      </c>
    </row>
    <row r="100" spans="2:21">
      <c r="B100" s="534" t="s">
        <v>617</v>
      </c>
      <c r="C100" s="546"/>
      <c r="D100" s="535"/>
      <c r="E100" s="535"/>
      <c r="F100" s="535"/>
      <c r="G100" s="535"/>
      <c r="H100" s="546"/>
      <c r="I100" s="550">
        <v>78369.2280234637</v>
      </c>
      <c r="J100" s="557">
        <v>3.0743000072153803E-2</v>
      </c>
    </row>
    <row r="101" spans="2:21">
      <c r="B101" s="534" t="s">
        <v>613</v>
      </c>
      <c r="C101" s="546"/>
      <c r="D101" s="546"/>
      <c r="E101" s="546"/>
      <c r="F101" s="546"/>
      <c r="G101" s="546"/>
      <c r="H101" s="546"/>
      <c r="I101" s="535">
        <v>64781.695107666339</v>
      </c>
      <c r="J101" s="557">
        <v>3.7432511522939915E-2</v>
      </c>
    </row>
    <row r="102" spans="2:21">
      <c r="B102" s="548" t="s">
        <v>620</v>
      </c>
      <c r="C102" s="136"/>
      <c r="D102" s="136"/>
      <c r="E102" s="136"/>
      <c r="F102" s="136"/>
      <c r="G102" s="136"/>
    </row>
    <row r="103" spans="2:21" ht="15">
      <c r="K103" s="46"/>
      <c r="L103" s="46"/>
      <c r="M103" s="46"/>
      <c r="N103" s="46"/>
      <c r="O103" s="46"/>
      <c r="P103" s="46"/>
      <c r="Q103" s="46"/>
      <c r="R103" s="46"/>
      <c r="S103" s="46"/>
      <c r="T103" s="46"/>
      <c r="U103" s="46"/>
    </row>
    <row r="104" spans="2:21" ht="18">
      <c r="B104" s="192"/>
      <c r="C104" s="215"/>
      <c r="D104" s="215"/>
      <c r="E104" s="222"/>
      <c r="F104" s="222"/>
      <c r="G104" s="222"/>
      <c r="H104" s="222"/>
      <c r="I104" s="223"/>
      <c r="J104" s="222"/>
      <c r="K104" s="48"/>
      <c r="L104" s="48"/>
      <c r="M104" s="48"/>
      <c r="N104" s="49" t="s">
        <v>94</v>
      </c>
      <c r="O104" s="49"/>
      <c r="P104" s="49"/>
      <c r="Q104" s="49"/>
      <c r="R104" s="49" t="s">
        <v>626</v>
      </c>
      <c r="S104" s="49"/>
      <c r="T104" s="49"/>
      <c r="U104" s="49"/>
    </row>
    <row r="105" spans="2:21">
      <c r="K105" s="52"/>
      <c r="L105" s="52"/>
      <c r="M105" s="52"/>
      <c r="N105" s="53">
        <v>2010</v>
      </c>
      <c r="O105" s="82" t="s">
        <v>133</v>
      </c>
      <c r="P105" s="81">
        <v>2010</v>
      </c>
      <c r="Q105" s="52">
        <v>2011</v>
      </c>
      <c r="R105" s="52">
        <v>2012</v>
      </c>
      <c r="S105" s="52">
        <v>2013</v>
      </c>
      <c r="T105" s="52">
        <v>2014</v>
      </c>
      <c r="U105" s="52">
        <v>2015</v>
      </c>
    </row>
    <row r="106" spans="2:21">
      <c r="B106" s="177" t="s">
        <v>616</v>
      </c>
      <c r="C106" s="177"/>
      <c r="D106" s="177"/>
      <c r="E106" s="177"/>
      <c r="F106" s="177"/>
      <c r="G106" s="177"/>
      <c r="H106" s="177"/>
      <c r="I106" s="177"/>
      <c r="J106" s="177"/>
      <c r="O106" s="157"/>
    </row>
    <row r="107" spans="2:21" ht="15.75">
      <c r="B107" s="215" t="s">
        <v>618</v>
      </c>
      <c r="C107" s="215"/>
      <c r="D107" s="547">
        <v>2011</v>
      </c>
      <c r="E107" s="547">
        <v>2012</v>
      </c>
      <c r="F107" s="547">
        <v>2013</v>
      </c>
      <c r="G107" s="547">
        <v>2014</v>
      </c>
      <c r="H107" s="547">
        <v>2015</v>
      </c>
      <c r="I107" s="215"/>
      <c r="K107" s="553" t="s">
        <v>132</v>
      </c>
      <c r="L107" s="558"/>
      <c r="M107" s="558"/>
      <c r="N107" s="554"/>
      <c r="O107" s="555"/>
      <c r="P107" s="554"/>
      <c r="Q107" s="554"/>
      <c r="R107" s="554"/>
      <c r="S107" s="554"/>
      <c r="T107" s="554"/>
      <c r="U107" s="556"/>
    </row>
    <row r="108" spans="2:21">
      <c r="B108" s="215" t="s">
        <v>317</v>
      </c>
      <c r="C108" s="215"/>
      <c r="D108" s="531">
        <v>6953.5528880570646</v>
      </c>
      <c r="E108" s="531">
        <v>6626.0046310197295</v>
      </c>
      <c r="F108" s="531">
        <v>6406.7940603684829</v>
      </c>
      <c r="G108" s="531">
        <v>6012.4759069232896</v>
      </c>
      <c r="H108" s="531">
        <v>5489.252826528359</v>
      </c>
      <c r="I108" s="215"/>
      <c r="O108" s="536"/>
    </row>
    <row r="109" spans="2:21">
      <c r="B109" s="215" t="s">
        <v>318</v>
      </c>
      <c r="C109" s="215"/>
      <c r="D109" s="531"/>
      <c r="E109" s="531"/>
      <c r="F109" s="531"/>
      <c r="G109" s="531"/>
      <c r="H109" s="215"/>
      <c r="I109" s="531">
        <v>31488.080312896924</v>
      </c>
      <c r="K109" s="31" t="s">
        <v>134</v>
      </c>
      <c r="L109" s="31"/>
      <c r="M109" s="31"/>
      <c r="O109" s="536"/>
      <c r="Q109" s="31">
        <v>1</v>
      </c>
      <c r="R109" s="31">
        <v>2</v>
      </c>
      <c r="S109" s="31">
        <v>3</v>
      </c>
      <c r="T109" s="31">
        <v>4</v>
      </c>
      <c r="U109" s="31">
        <v>5</v>
      </c>
    </row>
    <row r="110" spans="2:21">
      <c r="B110" s="229" t="s">
        <v>614</v>
      </c>
      <c r="C110" s="229"/>
      <c r="D110" s="530"/>
      <c r="E110" s="530"/>
      <c r="F110" s="530"/>
      <c r="G110" s="530"/>
      <c r="H110" s="229"/>
      <c r="I110" s="530">
        <v>18655.79041003155</v>
      </c>
      <c r="K110" s="84"/>
      <c r="L110" s="84"/>
      <c r="M110" s="84"/>
      <c r="N110" s="84"/>
      <c r="O110" s="157"/>
      <c r="P110" s="84"/>
      <c r="Q110" s="84"/>
      <c r="R110" s="84"/>
      <c r="S110" s="84"/>
      <c r="T110" s="84"/>
      <c r="U110" s="84"/>
    </row>
    <row r="111" spans="2:21">
      <c r="B111" s="534" t="s">
        <v>617</v>
      </c>
      <c r="C111" s="546"/>
      <c r="D111" s="535"/>
      <c r="E111" s="535"/>
      <c r="F111" s="535"/>
      <c r="G111" s="535"/>
      <c r="H111" s="546"/>
      <c r="I111" s="550">
        <v>50143.870722928477</v>
      </c>
      <c r="J111" s="557">
        <v>-0.34048803276833417</v>
      </c>
      <c r="K111" s="29" t="s">
        <v>98</v>
      </c>
      <c r="L111" s="29"/>
      <c r="M111" s="29"/>
      <c r="N111" s="29">
        <v>11350</v>
      </c>
      <c r="O111" s="160">
        <v>0</v>
      </c>
      <c r="P111" s="29">
        <v>11350</v>
      </c>
      <c r="Q111" s="29">
        <v>11943.165831390144</v>
      </c>
      <c r="R111" s="29">
        <v>12501.638151673853</v>
      </c>
      <c r="S111" s="29">
        <v>12707.528085474914</v>
      </c>
      <c r="T111" s="29">
        <v>12673.084199102595</v>
      </c>
      <c r="U111" s="29">
        <v>12413.911197614427</v>
      </c>
    </row>
    <row r="112" spans="2:21">
      <c r="B112" s="534" t="s">
        <v>613</v>
      </c>
      <c r="C112" s="546"/>
      <c r="D112" s="546"/>
      <c r="E112" s="546"/>
      <c r="F112" s="546"/>
      <c r="G112" s="546"/>
      <c r="H112" s="546"/>
      <c r="I112" s="535">
        <v>36556.337807131116</v>
      </c>
      <c r="J112" s="557">
        <v>-0.41457639723223327</v>
      </c>
      <c r="K112" s="164"/>
      <c r="L112" s="164"/>
      <c r="M112" s="164"/>
      <c r="N112" s="164"/>
      <c r="O112" s="165"/>
      <c r="P112" s="164"/>
      <c r="Q112" s="164"/>
      <c r="R112" s="164"/>
      <c r="S112" s="164"/>
      <c r="T112" s="164"/>
      <c r="U112" s="164"/>
    </row>
    <row r="113" spans="2:21">
      <c r="B113" s="549" t="s">
        <v>621</v>
      </c>
      <c r="C113" s="215"/>
      <c r="D113" s="215"/>
      <c r="E113" s="215"/>
      <c r="F113" s="215"/>
      <c r="G113" s="215"/>
      <c r="H113" s="167"/>
      <c r="I113" s="167"/>
      <c r="K113" s="31" t="s">
        <v>100</v>
      </c>
      <c r="L113" s="31"/>
      <c r="M113" s="31"/>
      <c r="N113" s="31">
        <v>-5129</v>
      </c>
      <c r="O113" s="159">
        <v>0</v>
      </c>
      <c r="P113" s="31">
        <v>-5129</v>
      </c>
      <c r="Q113" s="31">
        <v>-5110.5050291883217</v>
      </c>
      <c r="R113" s="31">
        <v>-5461.7933528612721</v>
      </c>
      <c r="S113" s="31">
        <v>-5625.0954477256155</v>
      </c>
      <c r="T113" s="31">
        <v>-5643.68760402521</v>
      </c>
      <c r="U113" s="31">
        <v>-5512.7617891920481</v>
      </c>
    </row>
    <row r="114" spans="2:21">
      <c r="K114" s="38" t="s">
        <v>101</v>
      </c>
      <c r="L114" s="38"/>
      <c r="M114" s="38"/>
      <c r="N114" s="38">
        <v>6221</v>
      </c>
      <c r="O114" s="161">
        <v>2115.219385525329</v>
      </c>
      <c r="P114" s="38">
        <v>8336.2193855253281</v>
      </c>
      <c r="Q114" s="38">
        <v>9577.0421538668579</v>
      </c>
      <c r="R114" s="38">
        <v>10259.374103467224</v>
      </c>
      <c r="S114" s="38">
        <v>10287.007479424887</v>
      </c>
      <c r="T114" s="38">
        <v>9824.5069535782441</v>
      </c>
      <c r="U114" s="38">
        <v>8875.2700214372653</v>
      </c>
    </row>
    <row r="115" spans="2:21">
      <c r="K115" s="164"/>
      <c r="L115" s="164"/>
      <c r="M115" s="164"/>
      <c r="N115" s="164"/>
      <c r="O115" s="165"/>
      <c r="P115" s="164"/>
      <c r="Q115" s="164"/>
      <c r="R115" s="164"/>
      <c r="S115" s="164"/>
      <c r="T115" s="164"/>
      <c r="U115" s="164"/>
    </row>
    <row r="116" spans="2:21">
      <c r="K116" s="31" t="s">
        <v>283</v>
      </c>
      <c r="L116" s="31"/>
      <c r="M116" s="31"/>
      <c r="N116" s="166">
        <v>0.22</v>
      </c>
      <c r="O116" s="159">
        <v>0</v>
      </c>
      <c r="P116" s="163">
        <v>0.22</v>
      </c>
      <c r="Q116" s="166">
        <v>0.33</v>
      </c>
      <c r="R116" s="166">
        <v>0.33</v>
      </c>
      <c r="S116" s="166">
        <v>0.33</v>
      </c>
      <c r="T116" s="166">
        <v>0.33</v>
      </c>
      <c r="U116" s="166">
        <v>0.33</v>
      </c>
    </row>
    <row r="117" spans="2:21">
      <c r="K117" s="38" t="s">
        <v>135</v>
      </c>
      <c r="L117" s="38"/>
      <c r="M117" s="38"/>
      <c r="N117" s="149">
        <v>4852.38</v>
      </c>
      <c r="O117" s="175">
        <v>1649.8711207097567</v>
      </c>
      <c r="P117" s="176">
        <v>6502.2511207097568</v>
      </c>
      <c r="Q117" s="176">
        <v>6416.6182430907938</v>
      </c>
      <c r="R117" s="176">
        <v>6873.7806493230391</v>
      </c>
      <c r="S117" s="176">
        <v>6892.2950112146737</v>
      </c>
      <c r="T117" s="176">
        <v>6582.4196588974228</v>
      </c>
      <c r="U117" s="176">
        <v>5946.4309143629671</v>
      </c>
    </row>
    <row r="118" spans="2:21">
      <c r="K118" s="167"/>
      <c r="L118" s="167"/>
      <c r="M118" s="167"/>
      <c r="N118" s="167"/>
      <c r="O118" s="165"/>
      <c r="P118" s="167"/>
      <c r="Q118" s="167"/>
      <c r="R118" s="167"/>
      <c r="S118" s="167"/>
      <c r="T118" s="167"/>
      <c r="U118" s="167"/>
    </row>
    <row r="119" spans="2:21">
      <c r="K119" s="31" t="s">
        <v>100</v>
      </c>
      <c r="L119" s="31"/>
      <c r="M119" s="31"/>
      <c r="N119" s="31">
        <v>5129</v>
      </c>
      <c r="O119" s="159">
        <v>3042.8666144746708</v>
      </c>
      <c r="P119" s="168">
        <v>8171.8666144746712</v>
      </c>
      <c r="Q119" s="169">
        <v>8465.5723951219661</v>
      </c>
      <c r="R119" s="169">
        <v>9162.5929513367137</v>
      </c>
      <c r="S119" s="169">
        <v>9708.7601612263898</v>
      </c>
      <c r="T119" s="169">
        <v>10151.338519870131</v>
      </c>
      <c r="U119" s="169">
        <v>10489.936547046758</v>
      </c>
    </row>
    <row r="120" spans="2:21">
      <c r="K120" s="31" t="s">
        <v>136</v>
      </c>
      <c r="L120" s="31"/>
      <c r="M120" s="31"/>
      <c r="N120" s="31">
        <v>315</v>
      </c>
      <c r="O120" s="160">
        <v>0</v>
      </c>
      <c r="P120" s="168">
        <v>315</v>
      </c>
      <c r="Q120" s="174">
        <v>113.09238731877304</v>
      </c>
      <c r="R120" s="174">
        <v>190.14132237526883</v>
      </c>
      <c r="S120" s="174">
        <v>0</v>
      </c>
      <c r="T120" s="174">
        <v>-133.98084274235134</v>
      </c>
      <c r="U120" s="174">
        <v>-261.26264334758434</v>
      </c>
    </row>
    <row r="121" spans="2:21">
      <c r="K121" s="31" t="s">
        <v>128</v>
      </c>
      <c r="L121" s="31"/>
      <c r="M121" s="31"/>
      <c r="N121" s="31">
        <v>-3232</v>
      </c>
      <c r="O121" s="159">
        <v>-4665</v>
      </c>
      <c r="P121" s="31">
        <v>-7897</v>
      </c>
      <c r="Q121" s="31">
        <v>-7207.2810371416563</v>
      </c>
      <c r="R121" s="31">
        <v>-8010.3020343242006</v>
      </c>
      <c r="S121" s="31">
        <v>-8361.5903579971509</v>
      </c>
      <c r="T121" s="31">
        <v>-8458.9975277330977</v>
      </c>
      <c r="U121" s="31">
        <v>-8349.094580032317</v>
      </c>
    </row>
    <row r="122" spans="2:21">
      <c r="K122" s="167"/>
      <c r="L122" s="167"/>
      <c r="M122" s="167"/>
      <c r="N122" s="167"/>
      <c r="O122" s="165"/>
      <c r="P122" s="167"/>
      <c r="Q122" s="167"/>
      <c r="R122" s="167"/>
      <c r="S122" s="167"/>
      <c r="T122" s="167"/>
      <c r="U122" s="167"/>
    </row>
    <row r="123" spans="2:21">
      <c r="K123" s="170" t="s">
        <v>141</v>
      </c>
      <c r="L123" s="170"/>
      <c r="M123" s="170"/>
      <c r="N123" s="172">
        <v>6434.380000000001</v>
      </c>
      <c r="O123" s="173" t="s">
        <v>311</v>
      </c>
      <c r="P123" s="172">
        <v>6462.1177351844271</v>
      </c>
      <c r="Q123" s="172">
        <v>7561.8172137523306</v>
      </c>
      <c r="R123" s="172">
        <v>7835.9302439602852</v>
      </c>
      <c r="S123" s="172">
        <v>8239.4648144439107</v>
      </c>
      <c r="T123" s="172">
        <v>8408.7414937768062</v>
      </c>
      <c r="U123" s="172">
        <v>8348.5355247249936</v>
      </c>
    </row>
  </sheetData>
  <phoneticPr fontId="38" type="noConversion"/>
  <dataValidations disablePrompts="1" count="1">
    <dataValidation type="list" allowBlank="1" showInputMessage="1" showErrorMessage="1" sqref="B14 K116:M116">
      <formula1>$B$30:$B$31</formula1>
    </dataValidation>
  </dataValidations>
  <pageMargins left="0.7" right="0.7" top="0.75" bottom="0.75" header="0.3" footer="0.3"/>
  <pageSetup paperSize="9" orientation="portrait" verticalDpi="30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K24"/>
  <sheetViews>
    <sheetView showGridLines="0" topLeftCell="A8" workbookViewId="0">
      <selection activeCell="I25" sqref="I25"/>
    </sheetView>
  </sheetViews>
  <sheetFormatPr baseColWidth="10" defaultColWidth="9.140625" defaultRowHeight="15"/>
  <cols>
    <col min="1" max="1" width="23.7109375" customWidth="1"/>
    <col min="2" max="2" width="11.7109375" customWidth="1"/>
    <col min="4" max="4" width="11.7109375" customWidth="1"/>
    <col min="5" max="5" width="12.7109375" customWidth="1"/>
    <col min="6" max="6" width="17.28515625" customWidth="1"/>
    <col min="7" max="7" width="12.7109375" customWidth="1"/>
    <col min="8" max="8" width="11.7109375" customWidth="1"/>
    <col min="9" max="9" width="12.7109375" customWidth="1"/>
  </cols>
  <sheetData>
    <row r="1" spans="1:11">
      <c r="A1" s="52"/>
      <c r="B1" s="52">
        <v>2015</v>
      </c>
      <c r="C1" s="572" t="s">
        <v>692</v>
      </c>
    </row>
    <row r="2" spans="1:11">
      <c r="A2" s="551" t="s">
        <v>317</v>
      </c>
      <c r="B2" s="172">
        <v>5917.8034971617526</v>
      </c>
    </row>
    <row r="3" spans="1:11">
      <c r="A3" s="551" t="s">
        <v>318</v>
      </c>
      <c r="B3" s="172">
        <v>21435.62554094267</v>
      </c>
      <c r="C3" s="83"/>
      <c r="D3" s="83"/>
      <c r="E3" s="83"/>
      <c r="F3" s="83"/>
      <c r="G3" s="83"/>
      <c r="H3" s="83"/>
      <c r="I3" s="83"/>
      <c r="J3" s="83"/>
      <c r="K3" s="83"/>
    </row>
    <row r="4" spans="1:11">
      <c r="A4" s="551" t="s">
        <v>627</v>
      </c>
      <c r="B4" s="172">
        <v>56933.602482521026</v>
      </c>
      <c r="C4" s="83"/>
      <c r="D4" s="83"/>
      <c r="E4" s="83"/>
      <c r="F4" s="83"/>
      <c r="G4" s="83"/>
      <c r="H4" s="83"/>
      <c r="I4" s="83"/>
      <c r="J4" s="83"/>
      <c r="K4" s="83"/>
    </row>
    <row r="5" spans="1:11">
      <c r="A5" s="551" t="s">
        <v>291</v>
      </c>
      <c r="B5" s="172">
        <v>78369.2280234637</v>
      </c>
      <c r="C5" s="83"/>
      <c r="D5" s="83"/>
      <c r="E5" s="83"/>
      <c r="F5" s="83"/>
      <c r="G5" s="83"/>
      <c r="H5" s="83"/>
      <c r="I5" s="83"/>
      <c r="J5" s="83"/>
      <c r="K5" s="83"/>
    </row>
    <row r="6" spans="1:11">
      <c r="A6" s="551" t="s">
        <v>628</v>
      </c>
      <c r="B6" s="567">
        <v>8.7475328869645708E-2</v>
      </c>
      <c r="C6" s="568"/>
      <c r="D6" s="84"/>
      <c r="E6" s="83"/>
      <c r="F6" s="83"/>
      <c r="G6" s="83"/>
      <c r="H6" s="83"/>
      <c r="I6" s="83"/>
      <c r="J6" s="83"/>
      <c r="K6" s="83"/>
    </row>
    <row r="7" spans="1:11">
      <c r="A7" s="551" t="s">
        <v>629</v>
      </c>
      <c r="B7" s="567">
        <v>-1.4916418839900077E-2</v>
      </c>
      <c r="C7" s="84"/>
      <c r="D7" s="84"/>
      <c r="E7" s="83"/>
      <c r="F7" s="83"/>
      <c r="G7" s="83"/>
      <c r="H7" s="83"/>
      <c r="I7" s="83"/>
      <c r="J7" s="83"/>
      <c r="K7" s="83"/>
    </row>
    <row r="8" spans="1:11">
      <c r="B8" s="29"/>
      <c r="C8" s="31"/>
      <c r="D8" s="569"/>
      <c r="E8" s="83"/>
      <c r="F8" s="83"/>
      <c r="G8" s="83"/>
      <c r="H8" s="83"/>
      <c r="I8" s="83"/>
      <c r="J8" s="83"/>
      <c r="K8" s="83"/>
    </row>
    <row r="9" spans="1:11">
      <c r="B9" s="236"/>
      <c r="C9" s="244"/>
      <c r="D9" s="244"/>
      <c r="E9" s="244"/>
      <c r="G9" s="244"/>
      <c r="H9" s="244"/>
      <c r="I9" s="244"/>
      <c r="J9" s="83"/>
      <c r="K9" s="83"/>
    </row>
    <row r="10" spans="1:11">
      <c r="B10" s="167"/>
      <c r="C10" s="596" t="s">
        <v>103</v>
      </c>
      <c r="D10" s="597"/>
      <c r="E10" s="598"/>
      <c r="F10" s="597" t="s">
        <v>693</v>
      </c>
      <c r="G10" s="598"/>
      <c r="H10" s="598"/>
      <c r="I10" s="598"/>
      <c r="J10" s="83"/>
      <c r="K10" s="83"/>
    </row>
    <row r="11" spans="1:11">
      <c r="B11" s="83"/>
      <c r="C11" s="597"/>
      <c r="D11" s="597"/>
      <c r="E11" s="598"/>
      <c r="F11" s="598"/>
      <c r="G11" s="598" t="s">
        <v>694</v>
      </c>
      <c r="H11" s="598"/>
      <c r="I11" s="598"/>
      <c r="J11" s="83"/>
      <c r="K11" s="83"/>
    </row>
    <row r="12" spans="1:11" ht="15.75" thickBot="1">
      <c r="B12" s="83"/>
      <c r="C12" s="598"/>
      <c r="D12" s="599">
        <f>B3+B2*(1+B7)/(B6-B7)</f>
        <v>78369.2280234637</v>
      </c>
      <c r="E12" s="600">
        <f>F12-0.01</f>
        <v>6.7475328869645718E-2</v>
      </c>
      <c r="F12" s="600">
        <f>G12-0.01</f>
        <v>7.7475328869645713E-2</v>
      </c>
      <c r="G12" s="601">
        <f>B6</f>
        <v>8.7475328869645708E-2</v>
      </c>
      <c r="H12" s="600">
        <f>G12+0.01</f>
        <v>9.7475328869645703E-2</v>
      </c>
      <c r="I12" s="600">
        <f>H12+0.01</f>
        <v>0.1074753288696457</v>
      </c>
      <c r="J12" s="83"/>
      <c r="K12" s="83"/>
    </row>
    <row r="13" spans="1:11">
      <c r="B13" s="83"/>
      <c r="C13" s="598"/>
      <c r="D13" s="602">
        <f>D14-0.01</f>
        <v>-2.4916418839900076E-2</v>
      </c>
      <c r="E13" s="599">
        <f>$B$3+$B$2*(1+$D13)/(E$12-$D13)</f>
        <v>83890.911534174942</v>
      </c>
      <c r="F13" s="603">
        <f t="shared" ref="F13:I17" si="0">$B$3+$B$2*(1+$D13)/(F$12-$D13)</f>
        <v>77791.27094884195</v>
      </c>
      <c r="G13" s="603">
        <f t="shared" si="0"/>
        <v>72777.055354157957</v>
      </c>
      <c r="H13" s="603">
        <f t="shared" si="0"/>
        <v>68582.211275694746</v>
      </c>
      <c r="I13" s="599">
        <f t="shared" si="0"/>
        <v>65021.068942398648</v>
      </c>
      <c r="J13" s="83"/>
      <c r="K13" s="83"/>
    </row>
    <row r="14" spans="1:11">
      <c r="B14" s="83"/>
      <c r="C14" s="598"/>
      <c r="D14" s="604">
        <f>B7</f>
        <v>-1.4916418839900077E-2</v>
      </c>
      <c r="E14" s="599">
        <f t="shared" ref="E14:E17" si="1">$B$3+$B$2*(1+$D14)/(E$12-$D14)</f>
        <v>92189.447660806021</v>
      </c>
      <c r="F14" s="603">
        <f t="shared" si="0"/>
        <v>84531.423662570392</v>
      </c>
      <c r="G14" s="605">
        <f t="shared" si="0"/>
        <v>78369.2280234637</v>
      </c>
      <c r="H14" s="603">
        <f t="shared" si="0"/>
        <v>73303.58898476357</v>
      </c>
      <c r="I14" s="599">
        <f t="shared" si="0"/>
        <v>69065.724552358253</v>
      </c>
      <c r="J14" s="83"/>
      <c r="K14" s="83"/>
    </row>
    <row r="15" spans="1:11">
      <c r="B15" s="83"/>
      <c r="C15" s="598" t="s">
        <v>630</v>
      </c>
      <c r="D15" s="602">
        <f>D14+0.01</f>
        <v>-4.9164188399000771E-3</v>
      </c>
      <c r="E15" s="599">
        <f t="shared" si="1"/>
        <v>102780.65840552397</v>
      </c>
      <c r="F15" s="603">
        <f t="shared" si="0"/>
        <v>92907.699629197785</v>
      </c>
      <c r="G15" s="603">
        <f t="shared" si="0"/>
        <v>85171.935790965872</v>
      </c>
      <c r="H15" s="603">
        <f t="shared" si="0"/>
        <v>78947.185098085451</v>
      </c>
      <c r="I15" s="599">
        <f t="shared" si="0"/>
        <v>73830.122615369197</v>
      </c>
      <c r="J15" s="83"/>
      <c r="K15" s="83"/>
    </row>
    <row r="16" spans="1:11">
      <c r="B16" s="83"/>
      <c r="C16" s="598"/>
      <c r="D16" s="602">
        <f>D15+0.01</f>
        <v>5.0835811600999231E-3</v>
      </c>
      <c r="E16" s="599">
        <f t="shared" si="1"/>
        <v>116766.93697043617</v>
      </c>
      <c r="F16" s="599">
        <f t="shared" si="0"/>
        <v>103598.12775588494</v>
      </c>
      <c r="G16" s="599">
        <f t="shared" si="0"/>
        <v>93625.951597589534</v>
      </c>
      <c r="H16" s="599">
        <f t="shared" si="0"/>
        <v>85812.447919361337</v>
      </c>
      <c r="I16" s="599">
        <f t="shared" si="0"/>
        <v>79525.142172707216</v>
      </c>
      <c r="J16" s="83"/>
      <c r="K16" s="83"/>
    </row>
    <row r="17" spans="2:11">
      <c r="B17" s="83"/>
      <c r="C17" s="598"/>
      <c r="D17" s="602">
        <f>D16+0.01</f>
        <v>1.5083581160099923E-2</v>
      </c>
      <c r="E17" s="599">
        <f t="shared" si="1"/>
        <v>136092.33063509676</v>
      </c>
      <c r="F17" s="599">
        <f t="shared" si="0"/>
        <v>117715.42835181422</v>
      </c>
      <c r="G17" s="599">
        <f t="shared" si="0"/>
        <v>104415.5971062459</v>
      </c>
      <c r="H17" s="599">
        <f t="shared" si="0"/>
        <v>94344.203565981283</v>
      </c>
      <c r="I17" s="599">
        <f t="shared" si="0"/>
        <v>86452.960047756787</v>
      </c>
      <c r="J17" s="83"/>
      <c r="K17" s="83"/>
    </row>
    <row r="18" spans="2:11">
      <c r="B18" s="83"/>
      <c r="J18" s="83"/>
      <c r="K18" s="83"/>
    </row>
    <row r="19" spans="2:11">
      <c r="B19" s="83"/>
      <c r="C19" s="167"/>
      <c r="D19" s="167"/>
      <c r="E19" s="167"/>
      <c r="F19" s="167"/>
      <c r="G19" s="167"/>
      <c r="H19" s="167" t="s">
        <v>291</v>
      </c>
      <c r="I19" s="167" t="s">
        <v>695</v>
      </c>
      <c r="J19" s="167"/>
      <c r="K19" s="83"/>
    </row>
    <row r="20" spans="2:11">
      <c r="B20" s="83"/>
      <c r="C20" s="167" t="s">
        <v>698</v>
      </c>
      <c r="D20" s="167"/>
      <c r="E20" s="167"/>
      <c r="F20" s="167"/>
      <c r="G20" s="167"/>
      <c r="H20" s="606">
        <f>$G$14</f>
        <v>78369.2280234637</v>
      </c>
      <c r="I20" s="167">
        <v>75272.599770112807</v>
      </c>
      <c r="J20" s="606">
        <f>I20-H20</f>
        <v>-3096.6282533508929</v>
      </c>
      <c r="K20" s="83"/>
    </row>
    <row r="21" spans="2:11">
      <c r="B21" s="83"/>
      <c r="C21" s="167" t="s">
        <v>699</v>
      </c>
      <c r="D21" s="167"/>
      <c r="E21" s="167"/>
      <c r="F21" s="167"/>
      <c r="G21" s="167"/>
      <c r="H21" s="606">
        <f t="shared" ref="H21:H23" si="2">$G$14</f>
        <v>78369.2280234637</v>
      </c>
      <c r="I21" s="167">
        <v>81583.826162896177</v>
      </c>
      <c r="J21" s="606">
        <f>I21-H21</f>
        <v>3214.5981394324772</v>
      </c>
      <c r="K21" s="83"/>
    </row>
    <row r="22" spans="2:11">
      <c r="B22" s="83"/>
      <c r="C22" s="167" t="s">
        <v>697</v>
      </c>
      <c r="D22" s="167"/>
      <c r="E22" s="167"/>
      <c r="F22" s="167"/>
      <c r="G22" s="167"/>
      <c r="H22" s="606">
        <f t="shared" si="2"/>
        <v>78369.2280234637</v>
      </c>
      <c r="I22" s="167">
        <v>78100.079511435353</v>
      </c>
      <c r="J22" s="606">
        <f>I22-H22</f>
        <v>-269.14851202834689</v>
      </c>
      <c r="K22" s="83"/>
    </row>
    <row r="23" spans="2:11">
      <c r="B23" s="83"/>
      <c r="C23" s="167" t="s">
        <v>696</v>
      </c>
      <c r="D23" s="167"/>
      <c r="E23" s="167"/>
      <c r="F23" s="167"/>
      <c r="G23" s="167"/>
      <c r="H23" s="606">
        <f t="shared" si="2"/>
        <v>78369.2280234637</v>
      </c>
      <c r="I23" s="167">
        <v>78647.05256983955</v>
      </c>
      <c r="J23" s="606">
        <f>I23-H23</f>
        <v>277.82454637585033</v>
      </c>
      <c r="K23" s="83"/>
    </row>
    <row r="24" spans="2:11">
      <c r="B24" s="83"/>
      <c r="K24" s="83"/>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Y107"/>
  <sheetViews>
    <sheetView zoomScale="70" zoomScaleNormal="70" workbookViewId="0">
      <selection activeCell="C6" sqref="C6"/>
    </sheetView>
  </sheetViews>
  <sheetFormatPr baseColWidth="10" defaultColWidth="8.85546875" defaultRowHeight="15"/>
  <cols>
    <col min="1" max="1" width="2.7109375" customWidth="1"/>
    <col min="2" max="2" width="25.85546875" customWidth="1"/>
    <col min="3" max="3" width="14.85546875" customWidth="1"/>
    <col min="4" max="6" width="14.28515625" customWidth="1"/>
    <col min="8" max="8" width="11.7109375" customWidth="1"/>
    <col min="9" max="13" width="14.28515625" customWidth="1"/>
    <col min="14" max="14" width="3.28515625" customWidth="1"/>
  </cols>
  <sheetData>
    <row r="1" spans="1:25">
      <c r="A1" s="263"/>
      <c r="B1" s="263"/>
      <c r="C1" s="263"/>
      <c r="D1" s="263"/>
      <c r="E1" s="263"/>
      <c r="F1" s="263"/>
      <c r="G1" s="263"/>
      <c r="H1" s="263"/>
      <c r="I1" s="440" t="s">
        <v>568</v>
      </c>
      <c r="J1" s="263"/>
      <c r="K1" s="263"/>
      <c r="L1" s="263"/>
      <c r="M1" s="263"/>
      <c r="N1" s="441"/>
      <c r="O1" s="263"/>
      <c r="P1" s="263"/>
      <c r="Q1" s="263"/>
      <c r="R1" s="263"/>
      <c r="S1" s="263"/>
      <c r="T1" s="263"/>
      <c r="U1" s="263"/>
      <c r="V1" s="263"/>
      <c r="W1" s="263"/>
      <c r="X1" s="263"/>
      <c r="Y1" s="263"/>
    </row>
    <row r="2" spans="1:25" ht="10.9" customHeight="1">
      <c r="A2" s="263"/>
      <c r="B2" s="610">
        <v>2010</v>
      </c>
      <c r="C2" s="611"/>
      <c r="D2" s="611"/>
      <c r="E2" s="611"/>
      <c r="F2" s="612"/>
      <c r="G2" s="263"/>
      <c r="H2" s="263"/>
      <c r="I2" s="263"/>
      <c r="J2" s="263"/>
      <c r="K2" s="263"/>
      <c r="L2" s="263"/>
      <c r="M2" s="263"/>
      <c r="N2" s="441"/>
      <c r="O2" s="263"/>
      <c r="P2" s="263"/>
      <c r="Q2" s="263"/>
      <c r="R2" s="263"/>
      <c r="S2" s="263"/>
      <c r="T2" s="263"/>
      <c r="U2" s="263"/>
      <c r="V2" s="263"/>
      <c r="W2" s="263"/>
      <c r="X2" s="263"/>
      <c r="Y2" s="263"/>
    </row>
    <row r="3" spans="1:25" ht="10.9" customHeight="1">
      <c r="A3" s="263"/>
      <c r="B3" s="613"/>
      <c r="C3" s="614"/>
      <c r="D3" s="614"/>
      <c r="E3" s="614"/>
      <c r="F3" s="615"/>
      <c r="G3" s="263"/>
      <c r="H3" s="263"/>
      <c r="I3" s="263"/>
      <c r="J3" s="263"/>
      <c r="K3" s="263"/>
      <c r="L3" s="263"/>
      <c r="M3" s="263"/>
      <c r="N3" s="441"/>
      <c r="O3" s="263"/>
      <c r="P3" s="263"/>
      <c r="Q3" s="263"/>
      <c r="R3" s="263"/>
      <c r="S3" s="263"/>
      <c r="T3" s="263"/>
      <c r="U3" s="263"/>
      <c r="V3" s="263"/>
      <c r="W3" s="263"/>
      <c r="X3" s="263"/>
      <c r="Y3" s="263"/>
    </row>
    <row r="4" spans="1:25" ht="16.899999999999999" customHeight="1">
      <c r="A4" s="442"/>
      <c r="B4" s="443" t="s">
        <v>569</v>
      </c>
      <c r="C4" s="443" t="s">
        <v>570</v>
      </c>
      <c r="D4" s="443" t="s">
        <v>571</v>
      </c>
      <c r="E4" s="444" t="s">
        <v>572</v>
      </c>
      <c r="F4" s="445" t="s">
        <v>573</v>
      </c>
      <c r="G4" s="263"/>
      <c r="H4" s="263"/>
      <c r="I4" s="263"/>
      <c r="J4" s="263"/>
      <c r="K4" s="263"/>
      <c r="L4" s="263"/>
      <c r="M4" s="263"/>
      <c r="N4" s="441"/>
      <c r="O4" s="263"/>
      <c r="P4" s="263"/>
      <c r="Q4" s="263"/>
      <c r="R4" s="263"/>
      <c r="S4" s="263"/>
      <c r="T4" s="263"/>
      <c r="U4" s="263"/>
      <c r="V4" s="263"/>
      <c r="W4" s="263"/>
      <c r="X4" s="263"/>
      <c r="Y4" s="263"/>
    </row>
    <row r="5" spans="1:25" ht="9.6" customHeight="1">
      <c r="A5" s="442"/>
      <c r="B5" s="446"/>
      <c r="C5" s="447"/>
      <c r="D5" s="448"/>
      <c r="E5" s="448"/>
      <c r="F5" s="448"/>
      <c r="G5" s="263"/>
      <c r="H5" s="263"/>
      <c r="I5" s="263"/>
      <c r="J5" s="263"/>
      <c r="K5" s="263"/>
      <c r="L5" s="263"/>
      <c r="M5" s="263"/>
      <c r="N5" s="441"/>
      <c r="O5" s="263"/>
      <c r="P5" s="263"/>
      <c r="Q5" s="263"/>
      <c r="R5" s="263"/>
      <c r="S5" s="263"/>
      <c r="T5" s="263"/>
      <c r="U5" s="263"/>
      <c r="V5" s="263"/>
      <c r="W5" s="263"/>
      <c r="X5" s="263"/>
      <c r="Y5" s="263"/>
    </row>
    <row r="6" spans="1:25" ht="16.899999999999999" customHeight="1">
      <c r="A6" s="263"/>
      <c r="B6" s="449" t="s">
        <v>574</v>
      </c>
      <c r="C6" s="450">
        <v>44989.52</v>
      </c>
      <c r="D6" s="450">
        <v>2.0358999999999998</v>
      </c>
      <c r="E6" s="450">
        <v>5.9847999999999999</v>
      </c>
      <c r="F6" s="451">
        <v>6.7416</v>
      </c>
      <c r="G6" s="263"/>
      <c r="H6" s="452" t="s">
        <v>575</v>
      </c>
      <c r="I6" s="263"/>
      <c r="J6" s="263"/>
      <c r="K6" s="263"/>
      <c r="L6" s="263"/>
      <c r="M6" s="263"/>
      <c r="N6" s="441"/>
      <c r="O6" s="263"/>
      <c r="P6" s="263"/>
      <c r="Q6" s="263"/>
      <c r="R6" s="263"/>
      <c r="S6" s="263"/>
      <c r="T6" s="263"/>
      <c r="U6" s="263"/>
      <c r="V6" s="263"/>
      <c r="W6" s="263"/>
      <c r="X6" s="263"/>
      <c r="Y6" s="263"/>
    </row>
    <row r="7" spans="1:25" ht="16.899999999999999" customHeight="1">
      <c r="A7" s="263"/>
      <c r="B7" s="453" t="s">
        <v>576</v>
      </c>
      <c r="C7" s="454">
        <v>45730.213799999998</v>
      </c>
      <c r="D7" s="454">
        <v>1.5463</v>
      </c>
      <c r="E7" s="454">
        <v>8.6313999999999993</v>
      </c>
      <c r="F7" s="455">
        <v>19.874400000000001</v>
      </c>
      <c r="G7" s="263"/>
      <c r="H7" s="456"/>
      <c r="I7" s="456" t="s">
        <v>577</v>
      </c>
      <c r="J7" s="456" t="s">
        <v>578</v>
      </c>
      <c r="K7" s="456" t="s">
        <v>579</v>
      </c>
      <c r="L7" s="456" t="s">
        <v>580</v>
      </c>
      <c r="M7" s="456" t="s">
        <v>581</v>
      </c>
      <c r="N7" s="441"/>
      <c r="O7" s="263"/>
      <c r="P7" s="263"/>
      <c r="Q7" s="263"/>
      <c r="R7" s="263"/>
      <c r="S7" s="263"/>
      <c r="T7" s="263"/>
      <c r="U7" s="263"/>
      <c r="V7" s="263"/>
      <c r="W7" s="263"/>
      <c r="X7" s="263"/>
      <c r="Y7" s="263"/>
    </row>
    <row r="8" spans="1:25" ht="16.899999999999999" customHeight="1">
      <c r="A8" s="263"/>
      <c r="B8" s="453" t="s">
        <v>582</v>
      </c>
      <c r="C8" s="454">
        <v>64189.672100000003</v>
      </c>
      <c r="D8" s="454">
        <v>1.8353000000000002</v>
      </c>
      <c r="E8" s="454">
        <v>4.2892999999999999</v>
      </c>
      <c r="F8" s="458">
        <v>5.3121999999999998</v>
      </c>
      <c r="G8" s="263"/>
      <c r="H8" s="270" t="s">
        <v>571</v>
      </c>
      <c r="I8" s="459">
        <f>$D$29</f>
        <v>46982779.200000003</v>
      </c>
      <c r="J8" s="459">
        <f>$D$31-$D$29</f>
        <v>6471792</v>
      </c>
      <c r="K8" s="459">
        <f>$D$30-$D$31</f>
        <v>2309184</v>
      </c>
      <c r="L8" s="459">
        <f>$D$32-$D$30</f>
        <v>14842584</v>
      </c>
      <c r="M8" s="459">
        <f>$D$28-$D$32</f>
        <v>8747553.599999994</v>
      </c>
      <c r="N8" s="441"/>
      <c r="O8" s="263"/>
      <c r="P8" s="263"/>
      <c r="Q8" s="263"/>
      <c r="R8" s="263"/>
      <c r="S8" s="263"/>
      <c r="T8" s="263"/>
      <c r="U8" s="263"/>
      <c r="V8" s="263"/>
      <c r="W8" s="263"/>
      <c r="X8" s="263"/>
      <c r="Y8" s="263"/>
    </row>
    <row r="9" spans="1:25" ht="16.899999999999999" customHeight="1">
      <c r="A9" s="263"/>
      <c r="B9" s="453" t="s">
        <v>583</v>
      </c>
      <c r="C9" s="454">
        <v>64433.673799999997</v>
      </c>
      <c r="D9" s="454">
        <v>2.6116999999999999</v>
      </c>
      <c r="E9" s="457">
        <v>13.4282</v>
      </c>
      <c r="F9" s="455">
        <v>19.295000000000002</v>
      </c>
      <c r="G9" s="263"/>
      <c r="H9" s="270" t="s">
        <v>572</v>
      </c>
      <c r="I9" s="459">
        <f>$E$29</f>
        <v>48683555</v>
      </c>
      <c r="J9" s="459">
        <f>$E$31-$E$29</f>
        <v>9953949.9999999925</v>
      </c>
      <c r="K9" s="459">
        <f>$E$30-$E$31</f>
        <v>9289975.0000000075</v>
      </c>
      <c r="L9" s="459">
        <f>$E$32-$E$30</f>
        <v>57260750</v>
      </c>
      <c r="M9" s="459">
        <f>$E$28-$E$32</f>
        <v>27221840</v>
      </c>
      <c r="N9" s="441"/>
      <c r="O9" s="263"/>
      <c r="P9" s="263"/>
      <c r="Q9" s="263"/>
      <c r="R9" s="263"/>
      <c r="S9" s="263"/>
      <c r="T9" s="263"/>
      <c r="U9" s="263"/>
      <c r="V9" s="263"/>
      <c r="W9" s="263"/>
      <c r="X9" s="263"/>
      <c r="Y9" s="263"/>
    </row>
    <row r="10" spans="1:25" ht="16.899999999999999" customHeight="1">
      <c r="A10" s="263"/>
      <c r="B10" s="453" t="s">
        <v>584</v>
      </c>
      <c r="C10" s="454">
        <v>40406.516199999998</v>
      </c>
      <c r="D10" s="454">
        <v>1.7593000000000001</v>
      </c>
      <c r="E10" s="454">
        <v>5.1662999999999997</v>
      </c>
      <c r="F10" s="458">
        <v>6.2169999999999996</v>
      </c>
      <c r="G10" s="263"/>
      <c r="H10" s="270" t="s">
        <v>573</v>
      </c>
      <c r="I10" s="459">
        <f>$F$29</f>
        <v>33047196.199999999</v>
      </c>
      <c r="J10" s="459">
        <f>$F$31-$F$29</f>
        <v>5628760.8000000007</v>
      </c>
      <c r="K10" s="459">
        <f>$F$30-$F$31</f>
        <v>3263536.6000000015</v>
      </c>
      <c r="L10" s="459">
        <f>$F$32-$F$30</f>
        <v>79896925.099999994</v>
      </c>
      <c r="M10" s="459">
        <f>$F$28-$F$32</f>
        <v>1802223.700000003</v>
      </c>
      <c r="N10" s="441"/>
      <c r="O10" s="263"/>
      <c r="P10" s="263"/>
      <c r="Q10" s="263"/>
      <c r="R10" s="263"/>
      <c r="S10" s="263"/>
      <c r="T10" s="263"/>
      <c r="U10" s="263"/>
      <c r="V10" s="263"/>
      <c r="W10" s="263"/>
      <c r="X10" s="263"/>
      <c r="Y10" s="263"/>
    </row>
    <row r="11" spans="1:25" ht="16.899999999999999" customHeight="1">
      <c r="A11" s="263"/>
      <c r="B11" s="460" t="s">
        <v>575</v>
      </c>
      <c r="C11" s="461">
        <v>62439.4</v>
      </c>
      <c r="D11" s="462"/>
      <c r="E11" s="462"/>
      <c r="F11" s="463"/>
      <c r="G11" s="263"/>
      <c r="H11" s="270" t="s">
        <v>585</v>
      </c>
      <c r="I11" s="459">
        <f>F47</f>
        <v>77449794.052937001</v>
      </c>
      <c r="J11" s="270"/>
      <c r="K11" s="270"/>
      <c r="L11" s="270"/>
      <c r="M11" s="459">
        <f>F48</f>
        <v>51592687.382248297</v>
      </c>
      <c r="N11" s="441"/>
      <c r="O11" s="263"/>
      <c r="P11" s="263"/>
      <c r="Q11" s="263"/>
      <c r="R11" s="263"/>
      <c r="S11" s="263"/>
      <c r="T11" s="263"/>
      <c r="U11" s="263"/>
      <c r="V11" s="263"/>
      <c r="W11" s="263"/>
      <c r="X11" s="263"/>
      <c r="Y11" s="263"/>
    </row>
    <row r="12" spans="1:25" ht="16.899999999999999" customHeight="1">
      <c r="A12" s="263"/>
      <c r="B12" s="263"/>
      <c r="C12" s="263"/>
      <c r="D12" s="452"/>
      <c r="E12" s="452"/>
      <c r="F12" s="452"/>
      <c r="G12" s="263"/>
      <c r="H12" s="270"/>
      <c r="I12" s="270"/>
      <c r="J12" s="270"/>
      <c r="K12" s="270"/>
      <c r="L12" s="270"/>
      <c r="M12" s="270"/>
      <c r="N12" s="441"/>
      <c r="O12" s="263"/>
      <c r="P12" s="263"/>
      <c r="Q12" s="263"/>
      <c r="R12" s="263"/>
      <c r="S12" s="263"/>
      <c r="T12" s="263"/>
      <c r="U12" s="263"/>
      <c r="V12" s="263"/>
      <c r="W12" s="263"/>
      <c r="X12" s="263"/>
      <c r="Y12" s="263"/>
    </row>
    <row r="13" spans="1:25" ht="16.899999999999999" customHeight="1">
      <c r="A13" s="263"/>
      <c r="B13" s="444" t="s">
        <v>586</v>
      </c>
      <c r="C13" s="444"/>
      <c r="D13" s="444" t="s">
        <v>571</v>
      </c>
      <c r="E13" s="444" t="s">
        <v>572</v>
      </c>
      <c r="F13" s="445" t="s">
        <v>573</v>
      </c>
      <c r="G13" s="263"/>
      <c r="H13" s="270"/>
      <c r="I13" s="270"/>
      <c r="J13" s="270"/>
      <c r="K13" s="270"/>
      <c r="L13" s="270"/>
      <c r="M13" s="270"/>
      <c r="N13" s="441"/>
      <c r="O13" s="263"/>
      <c r="P13" s="263"/>
      <c r="Q13" s="263"/>
      <c r="R13" s="263"/>
      <c r="S13" s="263"/>
      <c r="T13" s="263"/>
      <c r="U13" s="263"/>
      <c r="V13" s="263"/>
      <c r="W13" s="263"/>
      <c r="X13" s="263"/>
      <c r="Y13" s="263"/>
    </row>
    <row r="14" spans="1:25" ht="16.899999999999999" customHeight="1">
      <c r="A14" s="263"/>
      <c r="B14" s="449" t="s">
        <v>581</v>
      </c>
      <c r="C14" s="446"/>
      <c r="D14" s="467">
        <f>MAX(D6:D10)</f>
        <v>2.6116999999999999</v>
      </c>
      <c r="E14" s="467">
        <f t="shared" ref="E14:F14" si="0">MAX(E6:E10)</f>
        <v>13.4282</v>
      </c>
      <c r="F14" s="468">
        <f t="shared" si="0"/>
        <v>19.874400000000001</v>
      </c>
      <c r="G14" s="263"/>
      <c r="H14" s="452"/>
      <c r="I14" s="263"/>
      <c r="J14" s="263"/>
      <c r="K14" s="263"/>
      <c r="L14" s="263"/>
      <c r="M14" s="263"/>
      <c r="N14" s="441"/>
      <c r="O14" s="263"/>
      <c r="P14" s="263"/>
      <c r="Q14" s="263"/>
      <c r="R14" s="263"/>
      <c r="S14" s="263"/>
      <c r="T14" s="263"/>
      <c r="U14" s="263"/>
      <c r="V14" s="263"/>
      <c r="W14" s="263"/>
      <c r="X14" s="263"/>
      <c r="Y14" s="263"/>
    </row>
    <row r="15" spans="1:25" ht="16.899999999999999" customHeight="1">
      <c r="A15" s="263"/>
      <c r="B15" s="453" t="s">
        <v>577</v>
      </c>
      <c r="C15" s="270"/>
      <c r="D15" s="469">
        <f>MIN(D6:D10)</f>
        <v>1.5463</v>
      </c>
      <c r="E15" s="469">
        <f t="shared" ref="E15:F15" si="1">MIN(E6:E10)</f>
        <v>4.2892999999999999</v>
      </c>
      <c r="F15" s="470">
        <f t="shared" si="1"/>
        <v>5.3121999999999998</v>
      </c>
      <c r="G15" s="263"/>
      <c r="H15" s="263"/>
      <c r="I15" s="459"/>
      <c r="J15" s="459"/>
      <c r="K15" s="459"/>
      <c r="L15" s="459"/>
      <c r="M15" s="459"/>
      <c r="N15" s="441"/>
      <c r="O15" s="263"/>
      <c r="P15" s="263"/>
      <c r="Q15" s="263"/>
      <c r="R15" s="263"/>
      <c r="S15" s="263"/>
      <c r="T15" s="263"/>
      <c r="U15" s="263"/>
      <c r="V15" s="263"/>
      <c r="W15" s="263"/>
      <c r="X15" s="263"/>
      <c r="Y15" s="263"/>
    </row>
    <row r="16" spans="1:25" ht="16.899999999999999" customHeight="1">
      <c r="A16" s="263"/>
      <c r="B16" s="453" t="s">
        <v>579</v>
      </c>
      <c r="C16" s="270"/>
      <c r="D16" s="469">
        <f>MEDIAN(D6:D10)</f>
        <v>1.8353000000000002</v>
      </c>
      <c r="E16" s="469">
        <f t="shared" ref="E16:F16" si="2">MEDIAN(E6:E10)</f>
        <v>5.9847999999999999</v>
      </c>
      <c r="F16" s="470">
        <f t="shared" si="2"/>
        <v>6.7416</v>
      </c>
      <c r="G16" s="263"/>
      <c r="H16" s="263"/>
      <c r="I16" s="459"/>
      <c r="J16" s="459"/>
      <c r="K16" s="459"/>
      <c r="L16" s="459"/>
      <c r="M16" s="459"/>
      <c r="N16" s="441"/>
      <c r="O16" s="263"/>
      <c r="P16" s="263"/>
      <c r="Q16" s="263"/>
      <c r="R16" s="263"/>
      <c r="S16" s="263"/>
      <c r="T16" s="263"/>
      <c r="U16" s="263"/>
      <c r="V16" s="263"/>
      <c r="W16" s="263"/>
      <c r="X16" s="263"/>
      <c r="Y16" s="263"/>
    </row>
    <row r="17" spans="1:25" ht="16.899999999999999" customHeight="1">
      <c r="A17" s="263"/>
      <c r="B17" s="453" t="s">
        <v>578</v>
      </c>
      <c r="C17" s="270"/>
      <c r="D17" s="469">
        <f>QUARTILE(D6:D10,1)</f>
        <v>1.7593000000000001</v>
      </c>
      <c r="E17" s="469">
        <f t="shared" ref="E17:F17" si="3">QUARTILE(E6:E10,1)</f>
        <v>5.1662999999999997</v>
      </c>
      <c r="F17" s="470">
        <f t="shared" si="3"/>
        <v>6.2169999999999996</v>
      </c>
      <c r="G17" s="263"/>
      <c r="H17" s="263"/>
      <c r="I17" s="459"/>
      <c r="J17" s="459"/>
      <c r="K17" s="459"/>
      <c r="L17" s="459"/>
      <c r="M17" s="459"/>
      <c r="N17" s="441"/>
      <c r="O17" s="263"/>
      <c r="P17" s="263"/>
      <c r="Q17" s="263"/>
      <c r="R17" s="263"/>
      <c r="S17" s="263"/>
      <c r="T17" s="263"/>
      <c r="U17" s="263"/>
      <c r="V17" s="263"/>
      <c r="W17" s="263"/>
      <c r="X17" s="263"/>
      <c r="Y17" s="263"/>
    </row>
    <row r="18" spans="1:25" ht="16.899999999999999" customHeight="1">
      <c r="A18" s="263"/>
      <c r="B18" s="453" t="s">
        <v>580</v>
      </c>
      <c r="C18" s="270"/>
      <c r="D18" s="469">
        <f>_xlfn.QUARTILE.EXC(D6:D10,3)</f>
        <v>2.3237999999999999</v>
      </c>
      <c r="E18" s="469">
        <f t="shared" ref="E18:F18" si="4">_xlfn.QUARTILE.EXC(E6:E10,3)</f>
        <v>11.0298</v>
      </c>
      <c r="F18" s="470">
        <f t="shared" si="4"/>
        <v>19.584700000000002</v>
      </c>
      <c r="G18" s="263"/>
      <c r="H18" s="263"/>
      <c r="I18" s="270"/>
      <c r="J18" s="270"/>
      <c r="K18" s="270"/>
      <c r="L18" s="270"/>
      <c r="M18" s="270"/>
      <c r="N18" s="441"/>
      <c r="O18" s="263"/>
      <c r="P18" s="263"/>
      <c r="Q18" s="263"/>
      <c r="R18" s="263"/>
      <c r="S18" s="263"/>
      <c r="T18" s="263"/>
      <c r="U18" s="263"/>
      <c r="V18" s="263"/>
      <c r="W18" s="263"/>
      <c r="X18" s="263"/>
      <c r="Y18" s="263"/>
    </row>
    <row r="19" spans="1:25" ht="16.899999999999999" customHeight="1">
      <c r="A19" s="263"/>
      <c r="B19" s="453" t="s">
        <v>587</v>
      </c>
      <c r="C19" s="270"/>
      <c r="D19" s="469">
        <f>AVERAGE(D6:D10)</f>
        <v>1.9576999999999998</v>
      </c>
      <c r="E19" s="469">
        <f t="shared" ref="E19:F19" si="5">AVERAGE(E6:E10)</f>
        <v>7.5</v>
      </c>
      <c r="F19" s="470">
        <f t="shared" si="5"/>
        <v>11.488040000000002</v>
      </c>
      <c r="G19" s="263"/>
      <c r="H19" s="263"/>
      <c r="I19" s="263"/>
      <c r="J19" s="263"/>
      <c r="K19" s="263"/>
      <c r="L19" s="263"/>
      <c r="M19" s="263"/>
      <c r="N19" s="441"/>
      <c r="O19" s="263"/>
      <c r="P19" s="263"/>
      <c r="Q19" s="263"/>
      <c r="R19" s="263"/>
      <c r="S19" s="263"/>
      <c r="T19" s="263"/>
      <c r="U19" s="263"/>
      <c r="V19" s="263"/>
      <c r="W19" s="263"/>
      <c r="X19" s="263"/>
      <c r="Y19" s="263"/>
    </row>
    <row r="20" spans="1:25" ht="16.899999999999999" customHeight="1">
      <c r="A20" s="263"/>
      <c r="B20" s="471" t="s">
        <v>588</v>
      </c>
      <c r="C20" s="472"/>
      <c r="D20" s="473">
        <f>_xlfn.STDEV.P(D14:D18)</f>
        <v>0.39211279193619819</v>
      </c>
      <c r="E20" s="473">
        <f t="shared" ref="E20:F20" si="6">_xlfn.STDEV.P(E14:E18)</f>
        <v>3.5917449794772436</v>
      </c>
      <c r="F20" s="474">
        <f t="shared" si="6"/>
        <v>6.6981147653350943</v>
      </c>
      <c r="G20" s="263"/>
      <c r="H20" s="263"/>
      <c r="I20" s="263"/>
      <c r="J20" s="263"/>
      <c r="K20" s="263"/>
      <c r="L20" s="263"/>
      <c r="M20" s="263"/>
      <c r="N20" s="441"/>
      <c r="O20" s="263"/>
      <c r="P20" s="263"/>
      <c r="Q20" s="263"/>
      <c r="R20" s="263"/>
      <c r="S20" s="263"/>
      <c r="T20" s="263"/>
      <c r="U20" s="263"/>
      <c r="V20" s="263"/>
      <c r="W20" s="263"/>
      <c r="X20" s="263"/>
      <c r="Y20" s="263"/>
    </row>
    <row r="21" spans="1:25" ht="16.899999999999999" customHeight="1">
      <c r="A21" s="263"/>
      <c r="B21" s="449" t="s">
        <v>589</v>
      </c>
      <c r="C21" s="446"/>
      <c r="D21" s="467">
        <f>D15</f>
        <v>1.5463</v>
      </c>
      <c r="E21" s="467">
        <f t="shared" ref="E21:F21" si="7">E15</f>
        <v>4.2892999999999999</v>
      </c>
      <c r="F21" s="468">
        <f t="shared" si="7"/>
        <v>5.3121999999999998</v>
      </c>
      <c r="G21" s="263"/>
      <c r="H21" s="263"/>
      <c r="I21" s="263"/>
      <c r="J21" s="263"/>
      <c r="K21" s="263"/>
      <c r="L21" s="263"/>
      <c r="M21" s="263"/>
      <c r="N21" s="441"/>
      <c r="O21" s="263"/>
      <c r="P21" s="263"/>
      <c r="Q21" s="263"/>
      <c r="R21" s="263"/>
      <c r="S21" s="263"/>
      <c r="T21" s="263"/>
      <c r="U21" s="263"/>
      <c r="V21" s="263"/>
      <c r="W21" s="263"/>
      <c r="X21" s="263"/>
      <c r="Y21" s="263"/>
    </row>
    <row r="22" spans="1:25" ht="16.899999999999999" customHeight="1">
      <c r="A22" s="263"/>
      <c r="B22" s="453" t="s">
        <v>590</v>
      </c>
      <c r="C22" s="270"/>
      <c r="D22" s="469">
        <f>D17-D15</f>
        <v>0.21300000000000008</v>
      </c>
      <c r="E22" s="469">
        <f t="shared" ref="E22:F22" si="8">E17-E15</f>
        <v>0.87699999999999978</v>
      </c>
      <c r="F22" s="470">
        <f t="shared" si="8"/>
        <v>0.90479999999999983</v>
      </c>
      <c r="G22" s="263"/>
      <c r="H22" s="263"/>
      <c r="I22" s="263"/>
      <c r="J22" s="263"/>
      <c r="K22" s="263"/>
      <c r="L22" s="263"/>
      <c r="M22" s="263"/>
      <c r="N22" s="441"/>
      <c r="O22" s="263"/>
      <c r="P22" s="263"/>
      <c r="Q22" s="263"/>
      <c r="R22" s="263"/>
      <c r="S22" s="263"/>
      <c r="T22" s="263"/>
      <c r="U22" s="263"/>
      <c r="V22" s="263"/>
      <c r="W22" s="263"/>
      <c r="X22" s="263"/>
      <c r="Y22" s="263"/>
    </row>
    <row r="23" spans="1:25" ht="16.899999999999999" customHeight="1">
      <c r="A23" s="263"/>
      <c r="B23" s="453" t="s">
        <v>591</v>
      </c>
      <c r="C23" s="270"/>
      <c r="D23" s="469">
        <f>D16-D17</f>
        <v>7.6000000000000068E-2</v>
      </c>
      <c r="E23" s="469">
        <f t="shared" ref="E23:F23" si="9">E16-E17</f>
        <v>0.81850000000000023</v>
      </c>
      <c r="F23" s="470">
        <f t="shared" si="9"/>
        <v>0.5246000000000004</v>
      </c>
      <c r="G23" s="263"/>
      <c r="H23" s="263"/>
      <c r="I23" s="263"/>
      <c r="J23" s="263"/>
      <c r="K23" s="263"/>
      <c r="L23" s="263"/>
      <c r="M23" s="263"/>
      <c r="N23" s="441"/>
      <c r="O23" s="263"/>
      <c r="P23" s="263"/>
      <c r="Q23" s="263"/>
      <c r="R23" s="263"/>
      <c r="S23" s="263"/>
      <c r="T23" s="263"/>
      <c r="U23" s="263"/>
      <c r="V23" s="263"/>
      <c r="W23" s="263"/>
      <c r="X23" s="263"/>
      <c r="Y23" s="263"/>
    </row>
    <row r="24" spans="1:25" ht="16.899999999999999" customHeight="1">
      <c r="A24" s="263"/>
      <c r="B24" s="453" t="s">
        <v>592</v>
      </c>
      <c r="C24" s="270"/>
      <c r="D24" s="469">
        <f>D18-D16</f>
        <v>0.48849999999999971</v>
      </c>
      <c r="E24" s="469">
        <f t="shared" ref="E24:F24" si="10">E18-E16</f>
        <v>5.0449999999999999</v>
      </c>
      <c r="F24" s="470">
        <f t="shared" si="10"/>
        <v>12.843100000000002</v>
      </c>
      <c r="G24" s="263"/>
      <c r="H24" s="263"/>
      <c r="I24" s="263"/>
      <c r="J24" s="263"/>
      <c r="K24" s="263"/>
      <c r="L24" s="263"/>
      <c r="M24" s="263"/>
      <c r="N24" s="441"/>
      <c r="O24" s="263"/>
      <c r="P24" s="263"/>
      <c r="Q24" s="263"/>
      <c r="R24" s="263"/>
      <c r="S24" s="263"/>
      <c r="T24" s="263"/>
      <c r="U24" s="263"/>
      <c r="V24" s="263"/>
      <c r="W24" s="263"/>
      <c r="X24" s="263"/>
      <c r="Y24" s="263"/>
    </row>
    <row r="25" spans="1:25" ht="16.899999999999999" customHeight="1">
      <c r="A25" s="263"/>
      <c r="B25" s="475" t="s">
        <v>593</v>
      </c>
      <c r="C25" s="476"/>
      <c r="D25" s="477">
        <f>D14-D18</f>
        <v>0.28790000000000004</v>
      </c>
      <c r="E25" s="477">
        <f t="shared" ref="E25:F25" si="11">E14-E18</f>
        <v>2.3984000000000005</v>
      </c>
      <c r="F25" s="478">
        <f t="shared" si="11"/>
        <v>0.28969999999999985</v>
      </c>
      <c r="G25" s="263"/>
      <c r="H25" s="263"/>
      <c r="I25" s="263"/>
      <c r="J25" s="270"/>
      <c r="K25" s="270"/>
      <c r="L25" s="270"/>
      <c r="M25" s="270"/>
      <c r="N25" s="441"/>
      <c r="O25" s="263"/>
      <c r="P25" s="263"/>
      <c r="Q25" s="263"/>
      <c r="R25" s="263"/>
      <c r="S25" s="263"/>
      <c r="T25" s="263"/>
      <c r="U25" s="263"/>
      <c r="V25" s="263"/>
      <c r="W25" s="263"/>
      <c r="X25" s="263"/>
      <c r="Y25" s="263"/>
    </row>
    <row r="26" spans="1:25" ht="16.899999999999999" customHeight="1">
      <c r="A26" s="263"/>
      <c r="B26" s="270"/>
      <c r="C26" s="270"/>
      <c r="D26" s="479"/>
      <c r="E26" s="479"/>
      <c r="F26" s="479"/>
      <c r="G26" s="263"/>
      <c r="H26" s="263"/>
      <c r="I26" s="263"/>
      <c r="J26" s="263"/>
      <c r="K26" s="263"/>
      <c r="L26" s="263"/>
      <c r="M26" s="263"/>
      <c r="N26" s="441"/>
      <c r="O26" s="263"/>
      <c r="P26" s="263"/>
      <c r="Q26" s="263"/>
      <c r="R26" s="263"/>
      <c r="S26" s="263"/>
      <c r="T26" s="263"/>
      <c r="U26" s="263"/>
      <c r="V26" s="263"/>
      <c r="W26" s="263"/>
      <c r="X26" s="263"/>
      <c r="Y26" s="263"/>
    </row>
    <row r="27" spans="1:25" ht="16.899999999999999" customHeight="1">
      <c r="A27" s="263"/>
      <c r="B27" s="465" t="s">
        <v>575</v>
      </c>
      <c r="C27" s="466"/>
      <c r="D27" s="443" t="s">
        <v>594</v>
      </c>
      <c r="E27" s="444" t="s">
        <v>595</v>
      </c>
      <c r="F27" s="445" t="s">
        <v>596</v>
      </c>
      <c r="G27" s="263"/>
      <c r="H27" s="263"/>
      <c r="I27" s="263"/>
      <c r="J27" s="263"/>
      <c r="K27" s="263"/>
      <c r="L27" s="263"/>
      <c r="M27" s="263"/>
      <c r="N27" s="441"/>
      <c r="O27" s="263"/>
      <c r="P27" s="263"/>
      <c r="Q27" s="263"/>
      <c r="R27" s="263"/>
      <c r="S27" s="263"/>
      <c r="T27" s="263"/>
      <c r="U27" s="263"/>
      <c r="V27" s="263"/>
      <c r="W27" s="263"/>
      <c r="X27" s="263"/>
      <c r="Y27" s="263"/>
    </row>
    <row r="28" spans="1:25" ht="16.899999999999999" customHeight="1">
      <c r="A28" s="263"/>
      <c r="B28" s="449" t="s">
        <v>581</v>
      </c>
      <c r="C28" s="446"/>
      <c r="D28" s="480">
        <f>D14*$C$41</f>
        <v>79353892.799999997</v>
      </c>
      <c r="E28" s="480">
        <f>E14*$C$42</f>
        <v>152410070</v>
      </c>
      <c r="F28" s="481">
        <f>F14*$C$43</f>
        <v>123638642.40000001</v>
      </c>
      <c r="G28" s="263"/>
      <c r="H28" s="263"/>
      <c r="I28" s="263"/>
      <c r="J28" s="263"/>
      <c r="K28" s="263"/>
      <c r="L28" s="263"/>
      <c r="M28" s="263"/>
      <c r="N28" s="441"/>
      <c r="O28" s="263"/>
      <c r="P28" s="263"/>
      <c r="Q28" s="263"/>
      <c r="R28" s="263"/>
      <c r="S28" s="263"/>
      <c r="T28" s="263"/>
      <c r="U28" s="263"/>
      <c r="V28" s="263"/>
      <c r="W28" s="263"/>
      <c r="X28" s="263"/>
      <c r="Y28" s="263"/>
    </row>
    <row r="29" spans="1:25" ht="16.899999999999999" customHeight="1">
      <c r="A29" s="263"/>
      <c r="B29" s="453" t="s">
        <v>577</v>
      </c>
      <c r="C29" s="270"/>
      <c r="D29" s="459">
        <f t="shared" ref="D29:D34" si="12">D15*$C$41</f>
        <v>46982779.200000003</v>
      </c>
      <c r="E29" s="459">
        <f t="shared" ref="E29:E34" si="13">E15*$C$42</f>
        <v>48683555</v>
      </c>
      <c r="F29" s="482">
        <f t="shared" ref="F29:F34" si="14">F15*$C$43</f>
        <v>33047196.199999999</v>
      </c>
      <c r="G29" s="263"/>
      <c r="H29" s="263"/>
      <c r="I29" s="263"/>
      <c r="J29" s="263"/>
      <c r="K29" s="263"/>
      <c r="L29" s="263"/>
      <c r="M29" s="263"/>
      <c r="N29" s="441"/>
      <c r="O29" s="263"/>
      <c r="P29" s="263"/>
      <c r="Q29" s="263"/>
      <c r="R29" s="263"/>
      <c r="S29" s="263"/>
      <c r="T29" s="263"/>
      <c r="U29" s="263"/>
      <c r="V29" s="263"/>
      <c r="W29" s="263"/>
      <c r="X29" s="263"/>
      <c r="Y29" s="263"/>
    </row>
    <row r="30" spans="1:25" ht="16.899999999999999" customHeight="1">
      <c r="A30" s="263"/>
      <c r="B30" s="453" t="s">
        <v>579</v>
      </c>
      <c r="C30" s="270"/>
      <c r="D30" s="459">
        <f t="shared" si="12"/>
        <v>55763755.200000003</v>
      </c>
      <c r="E30" s="459">
        <f t="shared" si="13"/>
        <v>67927480</v>
      </c>
      <c r="F30" s="482">
        <f t="shared" si="14"/>
        <v>41939493.600000001</v>
      </c>
      <c r="G30" s="263"/>
      <c r="H30" s="263"/>
      <c r="I30" s="263"/>
      <c r="J30" s="263"/>
      <c r="K30" s="263"/>
      <c r="L30" s="263"/>
      <c r="M30" s="263"/>
      <c r="N30" s="441"/>
      <c r="O30" s="263"/>
      <c r="P30" s="263"/>
      <c r="Q30" s="263"/>
      <c r="R30" s="263"/>
      <c r="S30" s="263"/>
      <c r="T30" s="263"/>
      <c r="U30" s="263"/>
      <c r="V30" s="263"/>
      <c r="W30" s="263"/>
      <c r="X30" s="263"/>
      <c r="Y30" s="263"/>
    </row>
    <row r="31" spans="1:25" ht="16.899999999999999" customHeight="1">
      <c r="A31" s="263"/>
      <c r="B31" s="453" t="s">
        <v>578</v>
      </c>
      <c r="C31" s="270"/>
      <c r="D31" s="459">
        <f t="shared" si="12"/>
        <v>53454571.200000003</v>
      </c>
      <c r="E31" s="459">
        <f t="shared" si="13"/>
        <v>58637504.999999993</v>
      </c>
      <c r="F31" s="482">
        <f t="shared" si="14"/>
        <v>38675957</v>
      </c>
      <c r="G31" s="263"/>
      <c r="H31" s="263"/>
      <c r="I31" s="263"/>
      <c r="J31" s="263"/>
      <c r="K31" s="263"/>
      <c r="L31" s="263"/>
      <c r="M31" s="263"/>
      <c r="N31" s="441"/>
      <c r="O31" s="263"/>
      <c r="P31" s="263"/>
      <c r="Q31" s="263"/>
      <c r="R31" s="263"/>
      <c r="S31" s="263"/>
      <c r="T31" s="263"/>
      <c r="U31" s="263"/>
      <c r="V31" s="263"/>
      <c r="W31" s="263"/>
      <c r="X31" s="263"/>
      <c r="Y31" s="263"/>
    </row>
    <row r="32" spans="1:25" ht="16.899999999999999" customHeight="1">
      <c r="A32" s="263"/>
      <c r="B32" s="453" t="s">
        <v>580</v>
      </c>
      <c r="C32" s="270"/>
      <c r="D32" s="459">
        <f t="shared" si="12"/>
        <v>70606339.200000003</v>
      </c>
      <c r="E32" s="459">
        <f t="shared" si="13"/>
        <v>125188230</v>
      </c>
      <c r="F32" s="482">
        <f t="shared" si="14"/>
        <v>121836418.7</v>
      </c>
      <c r="G32" s="263"/>
      <c r="H32" s="263"/>
      <c r="I32" s="263"/>
      <c r="J32" s="263"/>
      <c r="K32" s="263"/>
      <c r="L32" s="263"/>
      <c r="M32" s="263"/>
      <c r="N32" s="441"/>
      <c r="O32" s="263"/>
      <c r="P32" s="263"/>
      <c r="Q32" s="263"/>
      <c r="R32" s="263"/>
      <c r="S32" s="263"/>
      <c r="T32" s="263"/>
      <c r="U32" s="263"/>
      <c r="V32" s="263"/>
      <c r="W32" s="263"/>
      <c r="X32" s="263"/>
      <c r="Y32" s="263"/>
    </row>
    <row r="33" spans="1:25" ht="16.899999999999999" customHeight="1">
      <c r="A33" s="263"/>
      <c r="B33" s="453" t="s">
        <v>587</v>
      </c>
      <c r="C33" s="270"/>
      <c r="D33" s="459">
        <f t="shared" si="12"/>
        <v>59482756.79999999</v>
      </c>
      <c r="E33" s="459">
        <f t="shared" si="13"/>
        <v>85125000</v>
      </c>
      <c r="F33" s="482">
        <f t="shared" si="14"/>
        <v>71467096.840000004</v>
      </c>
      <c r="G33" s="263"/>
      <c r="H33" s="263"/>
      <c r="I33" s="263"/>
      <c r="J33" s="263"/>
      <c r="K33" s="263"/>
      <c r="L33" s="263"/>
      <c r="M33" s="263"/>
      <c r="N33" s="441"/>
      <c r="O33" s="263"/>
      <c r="P33" s="263"/>
      <c r="Q33" s="263"/>
      <c r="R33" s="263"/>
      <c r="S33" s="263"/>
      <c r="T33" s="263"/>
      <c r="U33" s="263"/>
      <c r="V33" s="263"/>
      <c r="W33" s="263"/>
      <c r="X33" s="263"/>
      <c r="Y33" s="263"/>
    </row>
    <row r="34" spans="1:25" ht="16.899999999999999" customHeight="1">
      <c r="A34" s="263"/>
      <c r="B34" s="475" t="s">
        <v>588</v>
      </c>
      <c r="C34" s="476"/>
      <c r="D34" s="483">
        <f t="shared" si="12"/>
        <v>11913955.070189446</v>
      </c>
      <c r="E34" s="483">
        <f t="shared" si="13"/>
        <v>40766305.517066717</v>
      </c>
      <c r="F34" s="484">
        <f t="shared" si="14"/>
        <v>41668971.955149621</v>
      </c>
      <c r="G34" s="263"/>
      <c r="H34" s="263"/>
      <c r="I34" s="263"/>
      <c r="J34" s="263"/>
      <c r="K34" s="263"/>
      <c r="L34" s="263"/>
      <c r="M34" s="263"/>
      <c r="N34" s="441"/>
      <c r="O34" s="263"/>
      <c r="P34" s="263"/>
      <c r="Q34" s="263"/>
      <c r="R34" s="263"/>
      <c r="S34" s="263"/>
      <c r="T34" s="263"/>
      <c r="U34" s="263"/>
      <c r="V34" s="263"/>
      <c r="W34" s="263"/>
      <c r="X34" s="263"/>
      <c r="Y34" s="263"/>
    </row>
    <row r="35" spans="1:25">
      <c r="A35" s="263"/>
      <c r="B35" s="449" t="s">
        <v>589</v>
      </c>
      <c r="C35" s="446"/>
      <c r="D35" s="485">
        <f>$D$29</f>
        <v>46982779.200000003</v>
      </c>
      <c r="E35" s="485">
        <f>$E$29</f>
        <v>48683555</v>
      </c>
      <c r="F35" s="486">
        <f>$F$29</f>
        <v>33047196.199999999</v>
      </c>
      <c r="G35" s="263"/>
      <c r="H35" s="270"/>
      <c r="I35" s="270"/>
      <c r="J35" s="270"/>
      <c r="K35" s="270"/>
      <c r="L35" s="270"/>
      <c r="M35" s="270"/>
      <c r="N35" s="441"/>
      <c r="O35" s="263"/>
      <c r="P35" s="263"/>
      <c r="Q35" s="263"/>
      <c r="R35" s="263"/>
      <c r="S35" s="263"/>
      <c r="T35" s="263"/>
      <c r="U35" s="263"/>
      <c r="V35" s="263"/>
      <c r="W35" s="263"/>
      <c r="X35" s="263"/>
      <c r="Y35" s="263"/>
    </row>
    <row r="36" spans="1:25">
      <c r="A36" s="263"/>
      <c r="B36" s="453" t="s">
        <v>590</v>
      </c>
      <c r="C36" s="270"/>
      <c r="D36" s="487">
        <f>$D$31-$D$29</f>
        <v>6471792</v>
      </c>
      <c r="E36" s="487">
        <f>$E$31-$E$29</f>
        <v>9953949.9999999925</v>
      </c>
      <c r="F36" s="488">
        <f>$F$31-$F$29</f>
        <v>5628760.8000000007</v>
      </c>
      <c r="G36" s="263"/>
      <c r="H36" s="270"/>
      <c r="I36" s="270"/>
      <c r="J36" s="270"/>
      <c r="K36" s="270"/>
      <c r="L36" s="270"/>
      <c r="M36" s="270"/>
      <c r="N36" s="441"/>
      <c r="O36" s="263"/>
      <c r="P36" s="263"/>
      <c r="Q36" s="263"/>
      <c r="R36" s="263"/>
      <c r="S36" s="263"/>
      <c r="T36" s="263"/>
      <c r="U36" s="263"/>
      <c r="V36" s="263"/>
      <c r="W36" s="263"/>
      <c r="X36" s="263"/>
      <c r="Y36" s="263"/>
    </row>
    <row r="37" spans="1:25">
      <c r="A37" s="263"/>
      <c r="B37" s="453" t="s">
        <v>591</v>
      </c>
      <c r="C37" s="270"/>
      <c r="D37" s="487">
        <f>$D$30-$D$31</f>
        <v>2309184</v>
      </c>
      <c r="E37" s="487">
        <f>$E$30-$E$31</f>
        <v>9289975.0000000075</v>
      </c>
      <c r="F37" s="488">
        <f>$F$30-$F$31</f>
        <v>3263536.6000000015</v>
      </c>
      <c r="G37" s="263"/>
      <c r="H37" s="270"/>
      <c r="I37" s="270"/>
      <c r="J37" s="270"/>
      <c r="K37" s="270"/>
      <c r="L37" s="270"/>
      <c r="M37" s="270"/>
      <c r="N37" s="441"/>
      <c r="O37" s="263"/>
      <c r="P37" s="263"/>
      <c r="Q37" s="263"/>
      <c r="R37" s="263"/>
      <c r="S37" s="263"/>
      <c r="T37" s="263"/>
      <c r="U37" s="263"/>
      <c r="V37" s="263"/>
      <c r="W37" s="263"/>
      <c r="X37" s="263"/>
      <c r="Y37" s="263"/>
    </row>
    <row r="38" spans="1:25">
      <c r="A38" s="263"/>
      <c r="B38" s="453" t="s">
        <v>592</v>
      </c>
      <c r="C38" s="270"/>
      <c r="D38" s="487">
        <f>$D$32-$D$30</f>
        <v>14842584</v>
      </c>
      <c r="E38" s="487">
        <f>$E$32-$E$30</f>
        <v>57260750</v>
      </c>
      <c r="F38" s="488">
        <f>$F$32-$F$30</f>
        <v>79896925.099999994</v>
      </c>
      <c r="G38" s="263"/>
      <c r="H38" s="270"/>
      <c r="I38" s="270"/>
      <c r="J38" s="270"/>
      <c r="K38" s="270"/>
      <c r="L38" s="270"/>
      <c r="M38" s="270"/>
      <c r="N38" s="441"/>
      <c r="O38" s="263"/>
      <c r="P38" s="263"/>
      <c r="Q38" s="263"/>
      <c r="R38" s="263"/>
      <c r="S38" s="263"/>
      <c r="T38" s="263"/>
      <c r="U38" s="263"/>
      <c r="V38" s="263"/>
      <c r="W38" s="263"/>
      <c r="X38" s="263"/>
      <c r="Y38" s="263"/>
    </row>
    <row r="39" spans="1:25">
      <c r="A39" s="263"/>
      <c r="B39" s="475" t="s">
        <v>593</v>
      </c>
      <c r="C39" s="476"/>
      <c r="D39" s="489">
        <f>$D$28-$D$32</f>
        <v>8747553.599999994</v>
      </c>
      <c r="E39" s="489">
        <f>$E$28-$E$32</f>
        <v>27221840</v>
      </c>
      <c r="F39" s="490">
        <f>$F$28-$F$32</f>
        <v>1802223.700000003</v>
      </c>
      <c r="G39" s="263"/>
      <c r="H39" s="270"/>
      <c r="I39" s="448"/>
      <c r="J39" s="270"/>
      <c r="K39" s="270"/>
      <c r="L39" s="270"/>
      <c r="M39" s="270"/>
      <c r="N39" s="441"/>
      <c r="O39" s="263"/>
      <c r="P39" s="263"/>
      <c r="Q39" s="263"/>
      <c r="R39" s="263"/>
      <c r="S39" s="263"/>
      <c r="T39" s="263"/>
      <c r="U39" s="263"/>
      <c r="V39" s="263"/>
      <c r="W39" s="263"/>
      <c r="X39" s="263"/>
      <c r="Y39" s="263"/>
    </row>
    <row r="40" spans="1:25">
      <c r="A40" s="263"/>
      <c r="B40" s="263"/>
      <c r="C40" s="263"/>
      <c r="D40" s="263"/>
      <c r="E40" s="263"/>
      <c r="F40" s="263"/>
      <c r="G40" s="263"/>
      <c r="H40" s="270"/>
      <c r="I40" s="448"/>
      <c r="J40" s="270"/>
      <c r="K40" s="270"/>
      <c r="L40" s="270"/>
      <c r="M40" s="270"/>
      <c r="N40" s="441"/>
      <c r="O40" s="263"/>
      <c r="P40" s="263"/>
      <c r="Q40" s="263"/>
      <c r="R40" s="263"/>
      <c r="S40" s="263"/>
      <c r="T40" s="263"/>
      <c r="U40" s="263"/>
      <c r="V40" s="263"/>
      <c r="W40" s="263"/>
      <c r="X40" s="263"/>
      <c r="Y40" s="263"/>
    </row>
    <row r="41" spans="1:25">
      <c r="A41" s="263"/>
      <c r="B41" s="491" t="s">
        <v>96</v>
      </c>
      <c r="C41" s="492">
        <v>30384000</v>
      </c>
      <c r="D41" s="493" t="s">
        <v>597</v>
      </c>
      <c r="E41" s="493"/>
      <c r="F41" s="494"/>
      <c r="G41" s="263"/>
      <c r="H41" s="270"/>
      <c r="I41" s="448"/>
      <c r="J41" s="270"/>
      <c r="K41" s="270"/>
      <c r="L41" s="270"/>
      <c r="M41" s="270"/>
      <c r="N41" s="441"/>
      <c r="O41" s="263"/>
      <c r="P41" s="263"/>
      <c r="Q41" s="263"/>
      <c r="R41" s="263"/>
      <c r="S41" s="263"/>
      <c r="T41" s="263"/>
      <c r="U41" s="263"/>
      <c r="V41" s="263"/>
      <c r="W41" s="263"/>
      <c r="X41" s="263"/>
      <c r="Y41" s="263"/>
    </row>
    <row r="42" spans="1:25">
      <c r="A42" s="263"/>
      <c r="B42" s="495" t="s">
        <v>98</v>
      </c>
      <c r="C42" s="496">
        <v>11350000</v>
      </c>
      <c r="D42" s="497" t="s">
        <v>597</v>
      </c>
      <c r="E42" s="497"/>
      <c r="F42" s="498"/>
      <c r="G42" s="263"/>
      <c r="H42" s="270"/>
      <c r="I42" s="270"/>
      <c r="J42" s="270"/>
      <c r="K42" s="270"/>
      <c r="L42" s="270"/>
      <c r="M42" s="270"/>
      <c r="N42" s="441"/>
      <c r="O42" s="263"/>
      <c r="P42" s="263"/>
      <c r="Q42" s="263"/>
      <c r="R42" s="263"/>
      <c r="S42" s="263"/>
      <c r="T42" s="263"/>
      <c r="U42" s="263"/>
      <c r="V42" s="263"/>
      <c r="W42" s="263"/>
      <c r="X42" s="263"/>
      <c r="Y42" s="263"/>
    </row>
    <row r="43" spans="1:25">
      <c r="A43" s="263"/>
      <c r="B43" s="495" t="s">
        <v>598</v>
      </c>
      <c r="C43" s="496">
        <v>6221000</v>
      </c>
      <c r="D43" s="497" t="s">
        <v>597</v>
      </c>
      <c r="E43" s="497"/>
      <c r="F43" s="498"/>
      <c r="G43" s="263"/>
      <c r="H43" s="270"/>
      <c r="I43" s="270"/>
      <c r="J43" s="270"/>
      <c r="K43" s="270"/>
      <c r="L43" s="270"/>
      <c r="M43" s="270"/>
      <c r="N43" s="441"/>
      <c r="O43" s="263"/>
      <c r="P43" s="263"/>
      <c r="Q43" s="263"/>
      <c r="R43" s="263"/>
      <c r="S43" s="263"/>
      <c r="T43" s="263"/>
      <c r="U43" s="263"/>
      <c r="V43" s="263"/>
      <c r="W43" s="263"/>
      <c r="X43" s="263"/>
      <c r="Y43" s="263"/>
    </row>
    <row r="44" spans="1:25">
      <c r="A44" s="263"/>
      <c r="B44" s="460" t="s">
        <v>291</v>
      </c>
      <c r="C44" s="499">
        <v>76014000</v>
      </c>
      <c r="D44" s="464" t="s">
        <v>597</v>
      </c>
      <c r="E44" s="476"/>
      <c r="F44" s="500"/>
      <c r="G44" s="263"/>
      <c r="H44" s="270"/>
      <c r="I44" s="270"/>
      <c r="J44" s="270"/>
      <c r="K44" s="270"/>
      <c r="L44" s="270"/>
      <c r="M44" s="270"/>
      <c r="N44" s="441"/>
      <c r="O44" s="263"/>
      <c r="P44" s="263"/>
      <c r="Q44" s="263"/>
      <c r="R44" s="263"/>
      <c r="S44" s="263"/>
      <c r="T44" s="263"/>
      <c r="U44" s="263"/>
      <c r="V44" s="263"/>
      <c r="W44" s="263"/>
      <c r="X44" s="263"/>
      <c r="Y44" s="263"/>
    </row>
    <row r="45" spans="1:25">
      <c r="A45" s="263"/>
      <c r="B45" s="263"/>
      <c r="C45" s="263"/>
      <c r="D45" s="263"/>
      <c r="E45" s="263"/>
      <c r="F45" s="263"/>
      <c r="G45" s="263"/>
      <c r="H45" s="270"/>
      <c r="I45" s="270"/>
      <c r="J45" s="270"/>
      <c r="K45" s="270"/>
      <c r="L45" s="270"/>
      <c r="M45" s="270"/>
      <c r="N45" s="441"/>
      <c r="O45" s="263"/>
      <c r="P45" s="263"/>
      <c r="Q45" s="263"/>
      <c r="R45" s="263"/>
      <c r="S45" s="263"/>
      <c r="T45" s="263"/>
      <c r="U45" s="263"/>
      <c r="V45" s="263"/>
      <c r="W45" s="263"/>
      <c r="X45" s="263"/>
      <c r="Y45" s="263"/>
    </row>
    <row r="46" spans="1:25">
      <c r="A46" s="263"/>
      <c r="B46" s="15"/>
      <c r="C46" s="501" t="s">
        <v>573</v>
      </c>
      <c r="D46" s="502" t="s">
        <v>572</v>
      </c>
      <c r="E46" s="501" t="s">
        <v>571</v>
      </c>
      <c r="F46" s="501" t="s">
        <v>585</v>
      </c>
      <c r="G46" s="263"/>
      <c r="H46" s="263"/>
      <c r="I46" s="263"/>
      <c r="J46" s="263"/>
      <c r="K46" s="263"/>
      <c r="L46" s="263"/>
      <c r="M46" s="263"/>
      <c r="N46" s="441"/>
      <c r="O46" s="263"/>
      <c r="P46" s="263"/>
      <c r="Q46" s="263"/>
      <c r="R46" s="263"/>
      <c r="S46" s="263"/>
      <c r="T46" s="263"/>
      <c r="U46" s="263"/>
      <c r="V46" s="263"/>
      <c r="W46" s="263"/>
      <c r="X46" s="263"/>
      <c r="Y46" s="263"/>
    </row>
    <row r="47" spans="1:25">
      <c r="A47" s="263"/>
      <c r="B47" s="497" t="s">
        <v>599</v>
      </c>
      <c r="C47" s="503">
        <f>F28</f>
        <v>123638642.40000001</v>
      </c>
      <c r="D47" s="504">
        <f>E28</f>
        <v>152410070</v>
      </c>
      <c r="E47" s="504">
        <f>D28</f>
        <v>79353892.799999997</v>
      </c>
      <c r="F47" s="504">
        <v>77449794.052937001</v>
      </c>
      <c r="G47" s="263"/>
      <c r="H47" s="263"/>
      <c r="I47" s="263"/>
      <c r="J47" s="263"/>
      <c r="K47" s="263"/>
      <c r="L47" s="263"/>
      <c r="M47" s="263"/>
      <c r="N47" s="441"/>
      <c r="O47" s="263"/>
      <c r="P47" s="263"/>
      <c r="Q47" s="263"/>
      <c r="R47" s="263"/>
      <c r="S47" s="263"/>
      <c r="T47" s="263"/>
      <c r="U47" s="263"/>
      <c r="V47" s="263"/>
      <c r="W47" s="263"/>
      <c r="X47" s="263"/>
      <c r="Y47" s="263"/>
    </row>
    <row r="48" spans="1:25">
      <c r="A48" s="263"/>
      <c r="B48" s="497" t="s">
        <v>600</v>
      </c>
      <c r="C48" s="503">
        <f>F29</f>
        <v>33047196.199999999</v>
      </c>
      <c r="D48" s="504">
        <f>E29</f>
        <v>48683555</v>
      </c>
      <c r="E48" s="504">
        <f>D29</f>
        <v>46982779.200000003</v>
      </c>
      <c r="F48" s="504">
        <v>51592687.382248297</v>
      </c>
      <c r="G48" s="263"/>
      <c r="H48" s="263"/>
      <c r="I48" s="263"/>
      <c r="J48" s="263"/>
      <c r="K48" s="263"/>
      <c r="L48" s="263"/>
      <c r="M48" s="263"/>
      <c r="N48" s="441"/>
      <c r="O48" s="263"/>
      <c r="P48" s="263"/>
      <c r="Q48" s="263"/>
      <c r="R48" s="263"/>
      <c r="S48" s="263"/>
      <c r="T48" s="263"/>
      <c r="U48" s="263"/>
      <c r="V48" s="263"/>
      <c r="W48" s="263"/>
      <c r="X48" s="263"/>
      <c r="Y48" s="263"/>
    </row>
    <row r="49" spans="1:25">
      <c r="A49" s="263"/>
      <c r="B49" s="505"/>
      <c r="C49" s="506"/>
      <c r="D49" s="506"/>
      <c r="E49" s="506"/>
      <c r="G49" s="263"/>
      <c r="H49" s="263"/>
      <c r="I49" s="263"/>
      <c r="J49" s="263"/>
      <c r="K49" s="263"/>
      <c r="L49" s="263"/>
      <c r="M49" s="263"/>
      <c r="N49" s="441"/>
      <c r="O49" s="263"/>
      <c r="P49" s="263"/>
      <c r="Q49" s="263"/>
      <c r="R49" s="263"/>
      <c r="S49" s="263"/>
      <c r="T49" s="263"/>
      <c r="U49" s="263"/>
      <c r="V49" s="263"/>
      <c r="W49" s="263"/>
      <c r="X49" s="263"/>
      <c r="Y49" s="263"/>
    </row>
    <row r="50" spans="1:25">
      <c r="A50" s="263"/>
      <c r="B50" s="263"/>
      <c r="C50" s="440"/>
      <c r="D50" s="263"/>
      <c r="E50" s="263"/>
      <c r="F50" s="263"/>
      <c r="G50" s="263"/>
      <c r="H50" s="263"/>
      <c r="I50" s="263"/>
      <c r="J50" s="263"/>
      <c r="K50" s="263"/>
      <c r="L50" s="263"/>
      <c r="M50" s="263"/>
      <c r="N50" s="441"/>
      <c r="O50" s="263"/>
      <c r="P50" s="263"/>
      <c r="Q50" s="263"/>
      <c r="R50" s="263"/>
      <c r="S50" s="263"/>
      <c r="T50" s="263"/>
      <c r="U50" s="263"/>
      <c r="V50" s="263"/>
      <c r="W50" s="263"/>
      <c r="X50" s="263"/>
      <c r="Y50" s="263"/>
    </row>
    <row r="51" spans="1:25">
      <c r="A51" s="263"/>
      <c r="B51" s="263"/>
      <c r="C51" s="263"/>
      <c r="D51" s="263"/>
      <c r="E51" s="263"/>
      <c r="F51" s="263"/>
      <c r="G51" s="263"/>
      <c r="H51" s="263"/>
      <c r="I51" s="263"/>
      <c r="J51" s="263"/>
      <c r="K51" s="263"/>
      <c r="L51" s="263"/>
      <c r="M51" s="263"/>
      <c r="N51" s="441"/>
      <c r="O51" s="263"/>
      <c r="P51" s="263"/>
      <c r="Q51" s="263"/>
      <c r="R51" s="263"/>
      <c r="S51" s="263"/>
      <c r="T51" s="263"/>
      <c r="U51" s="263"/>
      <c r="V51" s="263"/>
      <c r="W51" s="263"/>
      <c r="X51" s="263"/>
      <c r="Y51" s="263"/>
    </row>
    <row r="52" spans="1:25">
      <c r="A52" s="263"/>
      <c r="B52" s="263"/>
      <c r="C52" s="263"/>
      <c r="D52" s="263"/>
      <c r="E52" s="263"/>
      <c r="F52" s="263"/>
      <c r="G52" s="263"/>
      <c r="H52" s="263"/>
      <c r="I52" s="263"/>
      <c r="J52" s="263"/>
      <c r="K52" s="263"/>
      <c r="L52" s="263"/>
      <c r="M52" s="263"/>
      <c r="N52" s="441"/>
      <c r="O52" s="263"/>
      <c r="P52" s="263"/>
      <c r="Q52" s="263"/>
      <c r="R52" s="263"/>
      <c r="S52" s="263"/>
      <c r="T52" s="263"/>
      <c r="U52" s="263"/>
      <c r="V52" s="263"/>
      <c r="W52" s="263"/>
      <c r="X52" s="263"/>
      <c r="Y52" s="263"/>
    </row>
    <row r="53" spans="1:25">
      <c r="A53" s="263"/>
      <c r="B53" s="263"/>
      <c r="C53" s="263"/>
      <c r="D53" s="263"/>
      <c r="E53" s="263"/>
      <c r="F53" s="263"/>
      <c r="G53" s="263"/>
      <c r="H53" s="263"/>
      <c r="I53" s="263"/>
      <c r="J53" s="263"/>
      <c r="K53" s="263"/>
      <c r="L53" s="263"/>
      <c r="M53" s="263"/>
      <c r="N53" s="441"/>
      <c r="O53" s="263"/>
      <c r="P53" s="263"/>
      <c r="Q53" s="263"/>
      <c r="R53" s="263"/>
      <c r="S53" s="263"/>
      <c r="T53" s="263"/>
      <c r="U53" s="263"/>
      <c r="V53" s="263"/>
      <c r="W53" s="263"/>
      <c r="X53" s="263"/>
      <c r="Y53" s="263"/>
    </row>
    <row r="54" spans="1:25">
      <c r="A54" s="263"/>
      <c r="B54" s="263"/>
      <c r="C54" s="263"/>
      <c r="D54" s="263"/>
      <c r="E54" s="263"/>
      <c r="F54" s="263"/>
      <c r="G54" s="263"/>
      <c r="H54" s="263"/>
      <c r="I54" s="263"/>
      <c r="J54" s="263"/>
      <c r="K54" s="263"/>
      <c r="L54" s="263"/>
      <c r="M54" s="263"/>
      <c r="N54" s="441"/>
      <c r="O54" s="263"/>
      <c r="P54" s="263"/>
      <c r="Q54" s="263"/>
      <c r="R54" s="263"/>
      <c r="S54" s="263"/>
      <c r="T54" s="263"/>
      <c r="U54" s="263"/>
      <c r="V54" s="263"/>
      <c r="W54" s="263"/>
      <c r="X54" s="263"/>
      <c r="Y54" s="263"/>
    </row>
    <row r="55" spans="1:25">
      <c r="A55" s="263"/>
      <c r="B55" s="263"/>
      <c r="C55" s="263"/>
      <c r="D55" s="263"/>
      <c r="E55" s="263"/>
      <c r="F55" s="263"/>
      <c r="G55" s="263"/>
      <c r="H55" s="263"/>
      <c r="I55" s="263"/>
      <c r="J55" s="263"/>
      <c r="K55" s="263"/>
      <c r="L55" s="263"/>
      <c r="M55" s="263"/>
      <c r="N55" s="441"/>
      <c r="O55" s="263"/>
      <c r="P55" s="263"/>
      <c r="Q55" s="263"/>
      <c r="R55" s="263"/>
      <c r="S55" s="263"/>
      <c r="T55" s="263"/>
      <c r="U55" s="263"/>
      <c r="V55" s="263"/>
      <c r="W55" s="263"/>
      <c r="X55" s="263"/>
      <c r="Y55" s="263"/>
    </row>
    <row r="56" spans="1:25">
      <c r="A56" s="263"/>
      <c r="B56" s="263"/>
      <c r="C56" s="263"/>
      <c r="D56" s="263"/>
      <c r="E56" s="263"/>
      <c r="F56" s="263"/>
      <c r="G56" s="263"/>
      <c r="H56" s="263"/>
      <c r="I56" s="263"/>
      <c r="J56" s="263"/>
      <c r="K56" s="263"/>
      <c r="L56" s="263"/>
      <c r="M56" s="263"/>
      <c r="N56" s="441"/>
      <c r="O56" s="263"/>
      <c r="P56" s="263"/>
      <c r="Q56" s="263"/>
      <c r="R56" s="263"/>
      <c r="S56" s="263"/>
      <c r="T56" s="263"/>
      <c r="U56" s="263"/>
      <c r="V56" s="263"/>
      <c r="W56" s="263"/>
      <c r="X56" s="263"/>
      <c r="Y56" s="263"/>
    </row>
    <row r="57" spans="1:25">
      <c r="A57" s="263"/>
      <c r="B57" s="263"/>
      <c r="C57" s="263"/>
      <c r="D57" s="263"/>
      <c r="E57" s="263"/>
      <c r="F57" s="263"/>
      <c r="G57" s="263"/>
      <c r="H57" s="263"/>
      <c r="I57" s="263"/>
      <c r="J57" s="263"/>
      <c r="K57" s="263"/>
      <c r="L57" s="263"/>
      <c r="M57" s="263"/>
      <c r="N57" s="441"/>
      <c r="O57" s="263"/>
      <c r="P57" s="263"/>
      <c r="Q57" s="263"/>
      <c r="R57" s="263"/>
      <c r="S57" s="263"/>
      <c r="T57" s="263"/>
      <c r="U57" s="263"/>
      <c r="V57" s="263"/>
      <c r="W57" s="263"/>
      <c r="X57" s="263"/>
      <c r="Y57" s="263"/>
    </row>
    <row r="58" spans="1:25">
      <c r="A58" s="263"/>
      <c r="B58" s="263"/>
      <c r="C58" s="263"/>
      <c r="D58" s="263"/>
      <c r="E58" s="263"/>
      <c r="F58" s="263"/>
      <c r="G58" s="263"/>
      <c r="H58" s="263"/>
      <c r="I58" s="263"/>
      <c r="J58" s="263"/>
      <c r="K58" s="263"/>
      <c r="L58" s="263"/>
      <c r="M58" s="263"/>
      <c r="N58" s="441"/>
      <c r="O58" s="263"/>
      <c r="P58" s="263"/>
      <c r="Q58" s="263"/>
      <c r="R58" s="263"/>
      <c r="S58" s="263"/>
      <c r="T58" s="263"/>
      <c r="U58" s="263"/>
      <c r="V58" s="263"/>
      <c r="W58" s="263"/>
      <c r="X58" s="263"/>
      <c r="Y58" s="263"/>
    </row>
    <row r="59" spans="1:25">
      <c r="A59" s="263"/>
      <c r="B59" s="263"/>
      <c r="C59" s="263"/>
      <c r="D59" s="263"/>
      <c r="E59" s="263"/>
      <c r="F59" s="263"/>
      <c r="G59" s="263"/>
      <c r="H59" s="263"/>
      <c r="I59" s="263"/>
      <c r="J59" s="263"/>
      <c r="K59" s="263"/>
      <c r="L59" s="263"/>
      <c r="M59" s="263"/>
      <c r="N59" s="441"/>
      <c r="O59" s="263"/>
      <c r="P59" s="263"/>
      <c r="Q59" s="263"/>
      <c r="R59" s="263"/>
      <c r="S59" s="263"/>
      <c r="T59" s="263"/>
      <c r="U59" s="263"/>
      <c r="V59" s="263"/>
      <c r="W59" s="263"/>
      <c r="X59" s="263"/>
      <c r="Y59" s="263"/>
    </row>
    <row r="60" spans="1:25">
      <c r="A60" s="263"/>
      <c r="B60" s="263"/>
      <c r="C60" s="263"/>
      <c r="D60" s="263"/>
      <c r="E60" s="263"/>
      <c r="F60" s="263"/>
      <c r="G60" s="263"/>
      <c r="H60" s="263"/>
      <c r="I60" s="263"/>
      <c r="J60" s="263"/>
      <c r="K60" s="263"/>
      <c r="L60" s="263"/>
      <c r="M60" s="263"/>
      <c r="N60" s="441"/>
      <c r="O60" s="263"/>
      <c r="P60" s="263"/>
      <c r="Q60" s="263"/>
      <c r="R60" s="263"/>
      <c r="S60" s="263"/>
      <c r="T60" s="263"/>
      <c r="U60" s="263"/>
      <c r="V60" s="263"/>
      <c r="W60" s="263"/>
      <c r="X60" s="263"/>
      <c r="Y60" s="263"/>
    </row>
    <row r="61" spans="1:25">
      <c r="A61" s="263"/>
      <c r="B61" s="263"/>
      <c r="C61" s="263"/>
      <c r="D61" s="263"/>
      <c r="E61" s="263"/>
      <c r="F61" s="263"/>
      <c r="G61" s="263"/>
      <c r="H61" s="263"/>
      <c r="I61" s="263"/>
      <c r="J61" s="263"/>
      <c r="K61" s="263"/>
      <c r="L61" s="263"/>
      <c r="M61" s="263"/>
      <c r="N61" s="441"/>
      <c r="O61" s="263"/>
      <c r="P61" s="263"/>
      <c r="Q61" s="263"/>
      <c r="R61" s="263"/>
      <c r="S61" s="263"/>
      <c r="T61" s="263"/>
      <c r="U61" s="263"/>
      <c r="V61" s="263"/>
      <c r="W61" s="263"/>
      <c r="X61" s="263"/>
      <c r="Y61" s="263"/>
    </row>
    <row r="62" spans="1:25">
      <c r="A62" s="263"/>
      <c r="B62" s="263"/>
      <c r="C62" s="263"/>
      <c r="D62" s="263"/>
      <c r="E62" s="263"/>
      <c r="F62" s="263"/>
      <c r="G62" s="263"/>
      <c r="H62" s="263"/>
      <c r="I62" s="263"/>
      <c r="J62" s="263"/>
      <c r="K62" s="263"/>
      <c r="L62" s="263"/>
      <c r="M62" s="263"/>
      <c r="N62" s="441"/>
      <c r="O62" s="263"/>
      <c r="P62" s="263"/>
      <c r="Q62" s="263"/>
      <c r="R62" s="263"/>
      <c r="S62" s="263"/>
      <c r="T62" s="263"/>
      <c r="U62" s="263"/>
      <c r="V62" s="263"/>
      <c r="W62" s="263"/>
      <c r="X62" s="263"/>
      <c r="Y62" s="263"/>
    </row>
    <row r="63" spans="1:25">
      <c r="A63" s="263"/>
      <c r="B63" s="263"/>
      <c r="C63" s="263"/>
      <c r="D63" s="263"/>
      <c r="E63" s="263"/>
      <c r="F63" s="263"/>
      <c r="G63" s="263"/>
      <c r="H63" s="263"/>
      <c r="I63" s="263"/>
      <c r="J63" s="263"/>
      <c r="K63" s="263"/>
      <c r="L63" s="263"/>
      <c r="M63" s="263"/>
      <c r="N63" s="441"/>
      <c r="O63" s="263"/>
      <c r="P63" s="263"/>
      <c r="Q63" s="263"/>
      <c r="R63" s="263"/>
      <c r="S63" s="263"/>
      <c r="T63" s="263"/>
      <c r="U63" s="263"/>
      <c r="V63" s="263"/>
      <c r="W63" s="263"/>
      <c r="X63" s="263"/>
      <c r="Y63" s="263"/>
    </row>
    <row r="64" spans="1:25">
      <c r="A64" s="263"/>
      <c r="B64" s="263"/>
      <c r="C64" s="263"/>
      <c r="D64" s="263"/>
      <c r="E64" s="263"/>
      <c r="F64" s="263"/>
      <c r="G64" s="263"/>
      <c r="H64" s="263"/>
      <c r="I64" s="263"/>
      <c r="J64" s="263"/>
      <c r="K64" s="263"/>
      <c r="L64" s="263"/>
      <c r="M64" s="263"/>
      <c r="N64" s="441"/>
      <c r="O64" s="263"/>
      <c r="P64" s="263"/>
      <c r="Q64" s="263"/>
      <c r="R64" s="263"/>
      <c r="S64" s="263"/>
      <c r="T64" s="263"/>
      <c r="U64" s="263"/>
      <c r="V64" s="263"/>
      <c r="W64" s="263"/>
      <c r="X64" s="263"/>
      <c r="Y64" s="263"/>
    </row>
    <row r="65" spans="1:25">
      <c r="A65" s="263"/>
      <c r="B65" s="263"/>
      <c r="C65" s="263"/>
      <c r="D65" s="263"/>
      <c r="E65" s="263"/>
      <c r="F65" s="263"/>
      <c r="G65" s="263"/>
      <c r="H65" s="263"/>
      <c r="I65" s="263"/>
      <c r="J65" s="263"/>
      <c r="K65" s="263"/>
      <c r="L65" s="263"/>
      <c r="M65" s="263"/>
      <c r="N65" s="441"/>
      <c r="O65" s="263"/>
      <c r="P65" s="263"/>
      <c r="Q65" s="263"/>
      <c r="R65" s="263"/>
      <c r="S65" s="263"/>
      <c r="T65" s="263"/>
      <c r="U65" s="263"/>
      <c r="V65" s="263"/>
      <c r="W65" s="263"/>
      <c r="X65" s="263"/>
      <c r="Y65" s="263"/>
    </row>
    <row r="66" spans="1:25">
      <c r="A66" s="263"/>
      <c r="B66" s="263"/>
      <c r="C66" s="263"/>
      <c r="D66" s="263"/>
      <c r="E66" s="263"/>
      <c r="F66" s="263"/>
      <c r="G66" s="263"/>
      <c r="H66" s="263"/>
      <c r="I66" s="263"/>
      <c r="J66" s="263"/>
      <c r="K66" s="263"/>
      <c r="L66" s="263"/>
      <c r="M66" s="263"/>
      <c r="N66" s="441"/>
      <c r="O66" s="263"/>
      <c r="P66" s="263"/>
      <c r="Q66" s="263"/>
      <c r="R66" s="263"/>
      <c r="S66" s="263"/>
      <c r="T66" s="263"/>
      <c r="U66" s="263"/>
      <c r="V66" s="263"/>
      <c r="W66" s="263"/>
      <c r="X66" s="263"/>
      <c r="Y66" s="263"/>
    </row>
    <row r="67" spans="1:25">
      <c r="A67" s="263"/>
      <c r="B67" s="263"/>
      <c r="C67" s="263"/>
      <c r="D67" s="263"/>
      <c r="E67" s="263"/>
      <c r="F67" s="263"/>
      <c r="G67" s="263"/>
      <c r="H67" s="263"/>
      <c r="I67" s="263"/>
      <c r="J67" s="263"/>
      <c r="K67" s="263"/>
      <c r="L67" s="263"/>
      <c r="M67" s="263"/>
      <c r="N67" s="441"/>
      <c r="O67" s="263"/>
      <c r="P67" s="263"/>
      <c r="Q67" s="263"/>
      <c r="R67" s="263"/>
      <c r="S67" s="263"/>
      <c r="T67" s="263"/>
      <c r="U67" s="263"/>
      <c r="V67" s="263"/>
      <c r="W67" s="263"/>
      <c r="X67" s="263"/>
      <c r="Y67" s="263"/>
    </row>
    <row r="68" spans="1:25">
      <c r="A68" s="263"/>
      <c r="B68" s="263"/>
      <c r="C68" s="263"/>
      <c r="D68" s="263"/>
      <c r="E68" s="263"/>
      <c r="F68" s="263"/>
      <c r="G68" s="263"/>
      <c r="H68" s="263"/>
      <c r="I68" s="263"/>
      <c r="J68" s="263"/>
      <c r="K68" s="263"/>
      <c r="L68" s="263"/>
      <c r="M68" s="263"/>
      <c r="N68" s="441"/>
      <c r="O68" s="263"/>
      <c r="P68" s="263"/>
      <c r="Q68" s="263"/>
      <c r="R68" s="263"/>
      <c r="S68" s="263"/>
      <c r="T68" s="263"/>
      <c r="U68" s="263"/>
      <c r="V68" s="263"/>
      <c r="W68" s="263"/>
      <c r="X68" s="263"/>
      <c r="Y68" s="263"/>
    </row>
    <row r="69" spans="1:25">
      <c r="A69" s="263"/>
      <c r="B69" s="263"/>
      <c r="C69" s="263"/>
      <c r="D69" s="263"/>
      <c r="E69" s="263"/>
      <c r="F69" s="263"/>
      <c r="G69" s="263"/>
      <c r="H69" s="263"/>
      <c r="I69" s="263"/>
      <c r="J69" s="263"/>
      <c r="K69" s="263"/>
      <c r="L69" s="263"/>
      <c r="M69" s="263"/>
      <c r="N69" s="441"/>
      <c r="O69" s="263"/>
      <c r="P69" s="263"/>
      <c r="Q69" s="263"/>
      <c r="R69" s="263"/>
      <c r="S69" s="263"/>
      <c r="T69" s="263"/>
      <c r="U69" s="263"/>
      <c r="V69" s="263"/>
      <c r="W69" s="263"/>
      <c r="X69" s="263"/>
      <c r="Y69" s="263"/>
    </row>
    <row r="70" spans="1:25">
      <c r="A70" s="263"/>
      <c r="B70" s="263"/>
      <c r="C70" s="263"/>
      <c r="D70" s="263"/>
      <c r="E70" s="263"/>
      <c r="F70" s="263"/>
      <c r="G70" s="263"/>
      <c r="H70" s="263"/>
      <c r="I70" s="263"/>
      <c r="J70" s="263"/>
      <c r="K70" s="263"/>
      <c r="L70" s="263"/>
      <c r="M70" s="263"/>
      <c r="N70" s="441"/>
      <c r="O70" s="263"/>
      <c r="P70" s="263"/>
      <c r="Q70" s="263"/>
      <c r="R70" s="263"/>
      <c r="S70" s="263"/>
      <c r="T70" s="263"/>
      <c r="U70" s="263"/>
      <c r="V70" s="263"/>
      <c r="W70" s="263"/>
      <c r="X70" s="263"/>
      <c r="Y70" s="263"/>
    </row>
    <row r="71" spans="1:25">
      <c r="A71" s="263"/>
      <c r="B71" s="263"/>
      <c r="C71" s="263"/>
      <c r="D71" s="263"/>
      <c r="E71" s="263"/>
      <c r="F71" s="263"/>
      <c r="G71" s="263"/>
      <c r="H71" s="263"/>
      <c r="I71" s="263"/>
      <c r="J71" s="263"/>
      <c r="K71" s="263"/>
      <c r="L71" s="263"/>
      <c r="M71" s="263"/>
      <c r="N71" s="441"/>
      <c r="O71" s="263"/>
      <c r="P71" s="263"/>
      <c r="Q71" s="263"/>
      <c r="R71" s="263"/>
      <c r="S71" s="263"/>
      <c r="T71" s="263"/>
      <c r="U71" s="263"/>
      <c r="V71" s="263"/>
      <c r="W71" s="263"/>
      <c r="X71" s="263"/>
      <c r="Y71" s="263"/>
    </row>
    <row r="72" spans="1:25">
      <c r="A72" s="263"/>
      <c r="B72" s="263"/>
      <c r="C72" s="263"/>
      <c r="D72" s="263"/>
      <c r="E72" s="263"/>
      <c r="F72" s="263"/>
      <c r="G72" s="263"/>
      <c r="H72" s="263"/>
      <c r="I72" s="263"/>
      <c r="J72" s="263"/>
      <c r="K72" s="263"/>
      <c r="L72" s="263"/>
      <c r="M72" s="263"/>
      <c r="N72" s="441"/>
      <c r="O72" s="263"/>
      <c r="P72" s="263"/>
      <c r="Q72" s="263"/>
      <c r="R72" s="263"/>
      <c r="S72" s="263"/>
      <c r="T72" s="263"/>
      <c r="U72" s="263"/>
      <c r="V72" s="263"/>
      <c r="W72" s="263"/>
      <c r="X72" s="263"/>
      <c r="Y72" s="263"/>
    </row>
    <row r="73" spans="1:25">
      <c r="A73" s="263"/>
      <c r="B73" s="263"/>
      <c r="C73" s="263"/>
      <c r="D73" s="263"/>
      <c r="E73" s="263"/>
      <c r="F73" s="263"/>
      <c r="G73" s="263"/>
      <c r="H73" s="263"/>
      <c r="I73" s="263"/>
      <c r="J73" s="263"/>
      <c r="K73" s="263"/>
      <c r="L73" s="263"/>
      <c r="M73" s="263"/>
      <c r="N73" s="441"/>
      <c r="O73" s="263"/>
      <c r="P73" s="263"/>
      <c r="Q73" s="263"/>
      <c r="R73" s="263"/>
      <c r="S73" s="263"/>
      <c r="T73" s="263"/>
      <c r="U73" s="263"/>
      <c r="V73" s="263"/>
      <c r="W73" s="263"/>
      <c r="X73" s="263"/>
      <c r="Y73" s="263"/>
    </row>
    <row r="74" spans="1:25">
      <c r="A74" s="263"/>
      <c r="B74" s="263"/>
      <c r="C74" s="263"/>
      <c r="D74" s="263"/>
      <c r="E74" s="263"/>
      <c r="F74" s="263"/>
      <c r="G74" s="263"/>
      <c r="H74" s="263"/>
      <c r="I74" s="263"/>
      <c r="J74" s="263"/>
      <c r="K74" s="263"/>
      <c r="L74" s="263"/>
      <c r="M74" s="263"/>
      <c r="N74" s="441"/>
      <c r="O74" s="263"/>
      <c r="P74" s="263"/>
      <c r="Q74" s="263"/>
      <c r="R74" s="263"/>
      <c r="S74" s="263"/>
      <c r="T74" s="263"/>
      <c r="U74" s="263"/>
      <c r="V74" s="263"/>
      <c r="W74" s="263"/>
      <c r="X74" s="263"/>
      <c r="Y74" s="263"/>
    </row>
    <row r="75" spans="1:25">
      <c r="A75" s="263"/>
      <c r="B75" s="263"/>
      <c r="C75" s="263"/>
      <c r="D75" s="263"/>
      <c r="E75" s="263"/>
      <c r="F75" s="263"/>
      <c r="G75" s="263"/>
      <c r="H75" s="263"/>
      <c r="I75" s="263"/>
      <c r="J75" s="263"/>
      <c r="K75" s="263"/>
      <c r="L75" s="263"/>
      <c r="M75" s="263"/>
      <c r="N75" s="441"/>
      <c r="O75" s="263"/>
      <c r="P75" s="263"/>
      <c r="Q75" s="263"/>
      <c r="R75" s="263"/>
      <c r="S75" s="263"/>
      <c r="T75" s="263"/>
      <c r="U75" s="263"/>
      <c r="V75" s="263"/>
      <c r="W75" s="263"/>
      <c r="X75" s="263"/>
      <c r="Y75" s="263"/>
    </row>
    <row r="76" spans="1:25">
      <c r="A76" s="263"/>
      <c r="B76" s="263"/>
      <c r="C76" s="263"/>
      <c r="D76" s="263"/>
      <c r="E76" s="263"/>
      <c r="F76" s="263"/>
      <c r="G76" s="263"/>
      <c r="H76" s="263"/>
      <c r="I76" s="263"/>
      <c r="J76" s="263"/>
      <c r="K76" s="263"/>
      <c r="L76" s="263"/>
      <c r="M76" s="263"/>
      <c r="N76" s="441"/>
      <c r="O76" s="263"/>
      <c r="P76" s="263"/>
      <c r="Q76" s="263"/>
      <c r="R76" s="263"/>
      <c r="S76" s="263"/>
      <c r="T76" s="263"/>
      <c r="U76" s="263"/>
      <c r="V76" s="263"/>
      <c r="W76" s="263"/>
      <c r="X76" s="263"/>
      <c r="Y76" s="263"/>
    </row>
    <row r="77" spans="1:25">
      <c r="A77" s="263"/>
      <c r="B77" s="263"/>
      <c r="C77" s="263"/>
      <c r="D77" s="263"/>
      <c r="E77" s="263"/>
      <c r="F77" s="263"/>
      <c r="G77" s="263"/>
      <c r="H77" s="263"/>
      <c r="I77" s="263"/>
      <c r="J77" s="263"/>
      <c r="K77" s="263"/>
      <c r="L77" s="263"/>
      <c r="M77" s="263"/>
      <c r="N77" s="441"/>
      <c r="O77" s="263"/>
      <c r="P77" s="263"/>
      <c r="Q77" s="263"/>
      <c r="R77" s="263"/>
      <c r="S77" s="263"/>
      <c r="T77" s="263"/>
      <c r="U77" s="263"/>
      <c r="V77" s="263"/>
      <c r="W77" s="263"/>
      <c r="X77" s="263"/>
      <c r="Y77" s="263"/>
    </row>
    <row r="78" spans="1:25">
      <c r="A78" s="263"/>
      <c r="B78" s="263"/>
      <c r="C78" s="263"/>
      <c r="D78" s="263"/>
      <c r="E78" s="263"/>
      <c r="F78" s="263"/>
      <c r="G78" s="263"/>
      <c r="H78" s="263"/>
      <c r="I78" s="263"/>
      <c r="J78" s="263"/>
      <c r="K78" s="263"/>
      <c r="L78" s="263"/>
      <c r="M78" s="263"/>
      <c r="N78" s="441"/>
      <c r="O78" s="263"/>
      <c r="P78" s="263"/>
      <c r="Q78" s="263"/>
      <c r="R78" s="263"/>
      <c r="S78" s="263"/>
      <c r="T78" s="263"/>
      <c r="U78" s="263"/>
      <c r="V78" s="263"/>
      <c r="W78" s="263"/>
      <c r="X78" s="263"/>
      <c r="Y78" s="263"/>
    </row>
    <row r="79" spans="1:25">
      <c r="A79" s="263"/>
      <c r="B79" s="263"/>
      <c r="C79" s="263"/>
      <c r="D79" s="263"/>
      <c r="E79" s="263"/>
      <c r="F79" s="263"/>
      <c r="G79" s="263"/>
      <c r="H79" s="263"/>
      <c r="I79" s="263"/>
      <c r="J79" s="263"/>
      <c r="K79" s="263"/>
      <c r="L79" s="263"/>
      <c r="M79" s="263"/>
      <c r="N79" s="441"/>
      <c r="O79" s="263"/>
      <c r="P79" s="263"/>
      <c r="Q79" s="263"/>
      <c r="R79" s="263"/>
      <c r="S79" s="263"/>
      <c r="T79" s="263"/>
      <c r="U79" s="263"/>
      <c r="V79" s="263"/>
      <c r="W79" s="263"/>
      <c r="X79" s="263"/>
      <c r="Y79" s="263"/>
    </row>
    <row r="80" spans="1:25">
      <c r="A80" s="263"/>
      <c r="B80" s="263"/>
      <c r="C80" s="263"/>
      <c r="D80" s="263"/>
      <c r="E80" s="263"/>
      <c r="F80" s="263"/>
      <c r="G80" s="263"/>
      <c r="H80" s="263"/>
      <c r="I80" s="263"/>
      <c r="J80" s="263"/>
      <c r="K80" s="263"/>
      <c r="L80" s="263"/>
      <c r="M80" s="263"/>
      <c r="N80" s="441"/>
      <c r="O80" s="263"/>
      <c r="P80" s="263"/>
      <c r="Q80" s="263"/>
      <c r="R80" s="263"/>
      <c r="S80" s="263"/>
      <c r="T80" s="263"/>
      <c r="U80" s="263"/>
      <c r="V80" s="263"/>
      <c r="W80" s="263"/>
      <c r="X80" s="263"/>
      <c r="Y80" s="263"/>
    </row>
    <row r="81" spans="1:25">
      <c r="A81" s="263"/>
      <c r="B81" s="263"/>
      <c r="C81" s="263"/>
      <c r="D81" s="263"/>
      <c r="E81" s="263"/>
      <c r="F81" s="263"/>
      <c r="G81" s="263"/>
      <c r="H81" s="263"/>
      <c r="I81" s="263"/>
      <c r="J81" s="263"/>
      <c r="K81" s="263"/>
      <c r="L81" s="263"/>
      <c r="M81" s="263"/>
      <c r="N81" s="441"/>
      <c r="O81" s="263"/>
      <c r="P81" s="263"/>
      <c r="Q81" s="263"/>
      <c r="R81" s="263"/>
      <c r="S81" s="263"/>
      <c r="T81" s="263"/>
      <c r="U81" s="263"/>
      <c r="V81" s="263"/>
      <c r="W81" s="263"/>
      <c r="X81" s="263"/>
      <c r="Y81" s="263"/>
    </row>
    <row r="82" spans="1:25">
      <c r="A82" s="263"/>
      <c r="B82" s="263"/>
      <c r="C82" s="263"/>
      <c r="D82" s="263"/>
      <c r="E82" s="263"/>
      <c r="F82" s="263"/>
      <c r="G82" s="263"/>
      <c r="H82" s="263"/>
      <c r="I82" s="263"/>
      <c r="J82" s="263"/>
      <c r="K82" s="263"/>
      <c r="L82" s="263"/>
      <c r="M82" s="263"/>
      <c r="N82" s="441"/>
      <c r="O82" s="263"/>
      <c r="P82" s="263"/>
      <c r="Q82" s="263"/>
      <c r="R82" s="263"/>
      <c r="S82" s="263"/>
      <c r="T82" s="263"/>
      <c r="U82" s="263"/>
      <c r="V82" s="263"/>
      <c r="W82" s="263"/>
      <c r="X82" s="263"/>
      <c r="Y82" s="263"/>
    </row>
    <row r="83" spans="1:25">
      <c r="A83" s="263"/>
      <c r="B83" s="263"/>
      <c r="C83" s="263"/>
      <c r="D83" s="263"/>
      <c r="E83" s="263"/>
      <c r="F83" s="263"/>
      <c r="G83" s="263"/>
      <c r="H83" s="263"/>
      <c r="I83" s="263"/>
      <c r="J83" s="263"/>
      <c r="K83" s="263"/>
      <c r="L83" s="263"/>
      <c r="M83" s="263"/>
      <c r="N83" s="441"/>
      <c r="O83" s="263"/>
      <c r="P83" s="263"/>
      <c r="Q83" s="263"/>
      <c r="R83" s="263"/>
      <c r="S83" s="263"/>
      <c r="T83" s="263"/>
      <c r="U83" s="263"/>
      <c r="V83" s="263"/>
      <c r="W83" s="263"/>
      <c r="X83" s="263"/>
      <c r="Y83" s="263"/>
    </row>
    <row r="84" spans="1:25">
      <c r="A84" s="263"/>
      <c r="B84" s="263"/>
      <c r="C84" s="263"/>
      <c r="D84" s="263"/>
      <c r="E84" s="263"/>
      <c r="F84" s="263"/>
      <c r="G84" s="263"/>
      <c r="H84" s="263"/>
      <c r="I84" s="263"/>
      <c r="J84" s="263"/>
      <c r="K84" s="263"/>
      <c r="L84" s="263"/>
      <c r="M84" s="263"/>
      <c r="N84" s="441"/>
      <c r="O84" s="263"/>
      <c r="P84" s="263"/>
      <c r="Q84" s="263"/>
      <c r="R84" s="263"/>
      <c r="S84" s="263"/>
      <c r="T84" s="263"/>
      <c r="U84" s="263"/>
      <c r="V84" s="263"/>
      <c r="W84" s="263"/>
      <c r="X84" s="263"/>
      <c r="Y84" s="263"/>
    </row>
    <row r="85" spans="1:25">
      <c r="A85" s="263"/>
      <c r="B85" s="263"/>
      <c r="C85" s="263"/>
      <c r="D85" s="263"/>
      <c r="E85" s="263"/>
      <c r="F85" s="263"/>
      <c r="G85" s="263"/>
      <c r="H85" s="263"/>
      <c r="I85" s="263"/>
      <c r="J85" s="263"/>
      <c r="K85" s="263"/>
      <c r="L85" s="263"/>
      <c r="M85" s="263"/>
      <c r="N85" s="441"/>
      <c r="O85" s="263"/>
      <c r="P85" s="263"/>
      <c r="Q85" s="263"/>
      <c r="R85" s="263"/>
      <c r="S85" s="263"/>
      <c r="T85" s="263"/>
      <c r="U85" s="263"/>
      <c r="V85" s="263"/>
      <c r="W85" s="263"/>
      <c r="X85" s="263"/>
      <c r="Y85" s="263"/>
    </row>
    <row r="86" spans="1:25">
      <c r="A86" s="263"/>
      <c r="B86" s="263"/>
      <c r="C86" s="263"/>
      <c r="D86" s="263"/>
      <c r="E86" s="263"/>
      <c r="F86" s="263"/>
      <c r="G86" s="263"/>
      <c r="H86" s="263"/>
      <c r="I86" s="263"/>
      <c r="J86" s="263"/>
      <c r="K86" s="263"/>
      <c r="L86" s="263"/>
      <c r="M86" s="263"/>
      <c r="N86" s="441"/>
      <c r="O86" s="263"/>
      <c r="P86" s="263"/>
      <c r="Q86" s="263"/>
      <c r="R86" s="263"/>
      <c r="S86" s="263"/>
      <c r="T86" s="263"/>
      <c r="U86" s="263"/>
      <c r="V86" s="263"/>
      <c r="W86" s="263"/>
      <c r="X86" s="263"/>
      <c r="Y86" s="263"/>
    </row>
    <row r="87" spans="1:25">
      <c r="A87" s="263"/>
      <c r="B87" s="263"/>
      <c r="C87" s="263"/>
      <c r="D87" s="263"/>
      <c r="E87" s="263"/>
      <c r="F87" s="263"/>
      <c r="G87" s="263"/>
      <c r="H87" s="263"/>
      <c r="I87" s="263"/>
      <c r="J87" s="263"/>
      <c r="K87" s="263"/>
      <c r="L87" s="263"/>
      <c r="M87" s="263"/>
      <c r="N87" s="441"/>
      <c r="O87" s="263"/>
      <c r="P87" s="263"/>
      <c r="Q87" s="263"/>
      <c r="R87" s="263"/>
      <c r="S87" s="263"/>
      <c r="T87" s="263"/>
      <c r="U87" s="263"/>
      <c r="V87" s="263"/>
      <c r="W87" s="263"/>
      <c r="X87" s="263"/>
      <c r="Y87" s="263"/>
    </row>
    <row r="88" spans="1:25">
      <c r="A88" s="263"/>
      <c r="B88" s="263"/>
      <c r="C88" s="263"/>
      <c r="D88" s="263"/>
      <c r="E88" s="263"/>
      <c r="F88" s="263"/>
      <c r="G88" s="263"/>
      <c r="H88" s="263"/>
      <c r="I88" s="263"/>
      <c r="J88" s="263"/>
      <c r="K88" s="263"/>
      <c r="L88" s="263"/>
      <c r="M88" s="263"/>
      <c r="N88" s="441"/>
      <c r="O88" s="263"/>
      <c r="P88" s="263"/>
      <c r="Q88" s="263"/>
      <c r="R88" s="263"/>
      <c r="S88" s="263"/>
      <c r="T88" s="263"/>
      <c r="U88" s="263"/>
      <c r="V88" s="263"/>
      <c r="W88" s="263"/>
      <c r="X88" s="263"/>
      <c r="Y88" s="263"/>
    </row>
    <row r="89" spans="1:25">
      <c r="A89" s="263"/>
      <c r="B89" s="263"/>
      <c r="C89" s="263"/>
      <c r="D89" s="263"/>
      <c r="E89" s="263"/>
      <c r="F89" s="263"/>
      <c r="G89" s="263"/>
      <c r="H89" s="263"/>
      <c r="I89" s="263"/>
      <c r="J89" s="263"/>
      <c r="K89" s="263"/>
      <c r="L89" s="263"/>
      <c r="M89" s="263"/>
      <c r="N89" s="441"/>
      <c r="O89" s="263"/>
      <c r="P89" s="263"/>
      <c r="Q89" s="263"/>
      <c r="R89" s="263"/>
      <c r="S89" s="263"/>
      <c r="T89" s="263"/>
      <c r="U89" s="263"/>
      <c r="V89" s="263"/>
      <c r="W89" s="263"/>
      <c r="X89" s="263"/>
      <c r="Y89" s="263"/>
    </row>
    <row r="90" spans="1:25">
      <c r="A90" s="263"/>
      <c r="B90" s="263"/>
      <c r="C90" s="263"/>
      <c r="D90" s="263"/>
      <c r="E90" s="263"/>
      <c r="F90" s="263"/>
      <c r="G90" s="263"/>
      <c r="H90" s="263"/>
      <c r="I90" s="263"/>
      <c r="J90" s="263"/>
      <c r="K90" s="263"/>
      <c r="L90" s="263"/>
      <c r="M90" s="263"/>
      <c r="N90" s="441"/>
      <c r="O90" s="263"/>
      <c r="P90" s="263"/>
      <c r="Q90" s="263"/>
      <c r="R90" s="263"/>
      <c r="S90" s="263"/>
      <c r="T90" s="263"/>
      <c r="U90" s="263"/>
      <c r="V90" s="263"/>
      <c r="W90" s="263"/>
      <c r="X90" s="263"/>
      <c r="Y90" s="263"/>
    </row>
    <row r="91" spans="1:25">
      <c r="A91" s="263"/>
      <c r="B91" s="263"/>
      <c r="C91" s="263"/>
      <c r="D91" s="263"/>
      <c r="E91" s="263"/>
      <c r="F91" s="263"/>
      <c r="G91" s="263"/>
      <c r="H91" s="263"/>
      <c r="I91" s="263"/>
      <c r="J91" s="263"/>
      <c r="K91" s="263"/>
      <c r="L91" s="263"/>
      <c r="M91" s="263"/>
      <c r="N91" s="441"/>
      <c r="O91" s="263"/>
      <c r="P91" s="263"/>
      <c r="Q91" s="263"/>
      <c r="R91" s="263"/>
      <c r="S91" s="263"/>
      <c r="T91" s="263"/>
      <c r="U91" s="263"/>
      <c r="V91" s="263"/>
      <c r="W91" s="263"/>
      <c r="X91" s="263"/>
      <c r="Y91" s="263"/>
    </row>
    <row r="92" spans="1:25">
      <c r="A92" s="263"/>
      <c r="B92" s="263"/>
      <c r="C92" s="263"/>
      <c r="D92" s="263"/>
      <c r="E92" s="263"/>
      <c r="F92" s="263"/>
      <c r="G92" s="263"/>
      <c r="H92" s="263"/>
      <c r="I92" s="263"/>
      <c r="J92" s="263"/>
      <c r="K92" s="263"/>
      <c r="L92" s="263"/>
      <c r="M92" s="263"/>
      <c r="N92" s="441"/>
      <c r="O92" s="263"/>
      <c r="P92" s="263"/>
      <c r="Q92" s="263"/>
      <c r="R92" s="263"/>
      <c r="S92" s="263"/>
      <c r="T92" s="263"/>
      <c r="U92" s="263"/>
      <c r="V92" s="263"/>
      <c r="W92" s="263"/>
      <c r="X92" s="263"/>
      <c r="Y92" s="263"/>
    </row>
    <row r="93" spans="1:25">
      <c r="A93" s="263"/>
      <c r="B93" s="263"/>
      <c r="C93" s="263"/>
      <c r="D93" s="263"/>
      <c r="E93" s="263"/>
      <c r="F93" s="263"/>
      <c r="G93" s="263"/>
      <c r="H93" s="263"/>
      <c r="I93" s="263"/>
      <c r="J93" s="263"/>
      <c r="K93" s="263"/>
      <c r="L93" s="263"/>
      <c r="M93" s="263"/>
      <c r="N93" s="441"/>
      <c r="O93" s="263"/>
      <c r="P93" s="263"/>
      <c r="Q93" s="263"/>
      <c r="R93" s="263"/>
      <c r="S93" s="263"/>
      <c r="T93" s="263"/>
      <c r="U93" s="263"/>
      <c r="V93" s="263"/>
      <c r="W93" s="263"/>
      <c r="X93" s="263"/>
      <c r="Y93" s="263"/>
    </row>
    <row r="94" spans="1:25">
      <c r="A94" s="263"/>
      <c r="B94" s="263"/>
      <c r="C94" s="263"/>
      <c r="D94" s="263"/>
      <c r="E94" s="263"/>
      <c r="F94" s="263"/>
      <c r="G94" s="263"/>
      <c r="H94" s="263"/>
      <c r="I94" s="263"/>
      <c r="J94" s="263"/>
      <c r="K94" s="263"/>
      <c r="L94" s="263"/>
      <c r="M94" s="263"/>
      <c r="N94" s="441"/>
      <c r="O94" s="263"/>
      <c r="P94" s="263"/>
      <c r="Q94" s="263"/>
      <c r="R94" s="263"/>
      <c r="S94" s="263"/>
      <c r="T94" s="263"/>
      <c r="U94" s="263"/>
      <c r="V94" s="263"/>
      <c r="W94" s="263"/>
      <c r="X94" s="263"/>
      <c r="Y94" s="263"/>
    </row>
    <row r="95" spans="1:25">
      <c r="A95" s="263"/>
      <c r="B95" s="263"/>
      <c r="C95" s="263"/>
      <c r="D95" s="263"/>
      <c r="E95" s="263"/>
      <c r="F95" s="263"/>
      <c r="G95" s="263"/>
      <c r="H95" s="263"/>
      <c r="I95" s="263"/>
      <c r="J95" s="263"/>
      <c r="K95" s="263"/>
      <c r="L95" s="263"/>
      <c r="M95" s="263"/>
      <c r="N95" s="441"/>
      <c r="O95" s="263"/>
      <c r="P95" s="263"/>
      <c r="Q95" s="263"/>
      <c r="R95" s="263"/>
      <c r="S95" s="263"/>
      <c r="T95" s="263"/>
      <c r="U95" s="263"/>
      <c r="V95" s="263"/>
      <c r="W95" s="263"/>
      <c r="X95" s="263"/>
      <c r="Y95" s="263"/>
    </row>
    <row r="96" spans="1:25">
      <c r="A96" s="263"/>
      <c r="B96" s="263"/>
      <c r="C96" s="263"/>
      <c r="D96" s="263"/>
      <c r="E96" s="263"/>
      <c r="F96" s="263"/>
      <c r="G96" s="263"/>
      <c r="H96" s="263"/>
      <c r="I96" s="263"/>
      <c r="J96" s="263"/>
      <c r="K96" s="263"/>
      <c r="L96" s="263"/>
      <c r="M96" s="263"/>
      <c r="N96" s="441"/>
      <c r="O96" s="263"/>
      <c r="P96" s="263"/>
      <c r="Q96" s="263"/>
      <c r="R96" s="263"/>
      <c r="S96" s="263"/>
      <c r="T96" s="263"/>
      <c r="U96" s="263"/>
      <c r="V96" s="263"/>
      <c r="W96" s="263"/>
      <c r="X96" s="263"/>
      <c r="Y96" s="263"/>
    </row>
    <row r="97" spans="1:25">
      <c r="A97" s="263"/>
      <c r="B97" s="263"/>
      <c r="C97" s="263"/>
      <c r="D97" s="263"/>
      <c r="E97" s="263"/>
      <c r="F97" s="263"/>
      <c r="G97" s="263"/>
      <c r="H97" s="263"/>
      <c r="I97" s="263"/>
      <c r="J97" s="263"/>
      <c r="K97" s="263"/>
      <c r="L97" s="263"/>
      <c r="M97" s="263"/>
      <c r="N97" s="441"/>
      <c r="O97" s="263"/>
      <c r="P97" s="263"/>
      <c r="Q97" s="263"/>
      <c r="R97" s="263"/>
      <c r="S97" s="263"/>
      <c r="T97" s="263"/>
      <c r="U97" s="263"/>
      <c r="V97" s="263"/>
      <c r="W97" s="263"/>
      <c r="X97" s="263"/>
      <c r="Y97" s="263"/>
    </row>
    <row r="98" spans="1:25">
      <c r="A98" s="263"/>
      <c r="B98" s="263"/>
      <c r="C98" s="263"/>
      <c r="D98" s="263"/>
      <c r="E98" s="263"/>
      <c r="F98" s="263"/>
      <c r="G98" s="263"/>
      <c r="H98" s="263"/>
      <c r="I98" s="263"/>
      <c r="J98" s="263"/>
      <c r="K98" s="263"/>
      <c r="L98" s="263"/>
      <c r="M98" s="263"/>
      <c r="N98" s="263"/>
      <c r="O98" s="263"/>
      <c r="P98" s="263"/>
      <c r="Q98" s="263"/>
      <c r="R98" s="263"/>
      <c r="S98" s="263"/>
      <c r="T98" s="263"/>
      <c r="U98" s="263"/>
      <c r="V98" s="263"/>
      <c r="W98" s="263"/>
      <c r="X98" s="263"/>
      <c r="Y98" s="263"/>
    </row>
    <row r="99" spans="1:25">
      <c r="A99" s="263"/>
      <c r="B99" s="263"/>
      <c r="C99" s="263"/>
      <c r="D99" s="263"/>
      <c r="E99" s="263"/>
      <c r="F99" s="263"/>
      <c r="G99" s="263"/>
      <c r="H99" s="263"/>
      <c r="I99" s="263"/>
      <c r="J99" s="263"/>
      <c r="K99" s="263"/>
      <c r="L99" s="263"/>
      <c r="M99" s="263"/>
      <c r="N99" s="263"/>
      <c r="O99" s="263"/>
      <c r="P99" s="263"/>
      <c r="Q99" s="263"/>
      <c r="R99" s="263"/>
      <c r="S99" s="263"/>
      <c r="T99" s="263"/>
      <c r="U99" s="263"/>
      <c r="V99" s="263"/>
      <c r="W99" s="263"/>
      <c r="X99" s="263"/>
      <c r="Y99" s="263"/>
    </row>
    <row r="100" spans="1:25">
      <c r="A100" s="263"/>
      <c r="B100" s="263"/>
      <c r="C100" s="263"/>
      <c r="D100" s="263"/>
      <c r="E100" s="263"/>
      <c r="F100" s="263"/>
      <c r="G100" s="263"/>
      <c r="H100" s="263"/>
      <c r="I100" s="263"/>
      <c r="J100" s="263"/>
      <c r="K100" s="263"/>
      <c r="L100" s="263"/>
      <c r="M100" s="263"/>
      <c r="N100" s="263"/>
      <c r="O100" s="263"/>
      <c r="P100" s="263"/>
      <c r="Q100" s="263"/>
      <c r="R100" s="263"/>
      <c r="S100" s="263"/>
      <c r="T100" s="263"/>
      <c r="U100" s="263"/>
      <c r="V100" s="263"/>
      <c r="W100" s="263"/>
      <c r="X100" s="263"/>
      <c r="Y100" s="263"/>
    </row>
    <row r="101" spans="1:25">
      <c r="A101" s="263"/>
      <c r="B101" s="263"/>
      <c r="C101" s="263"/>
      <c r="D101" s="263"/>
      <c r="E101" s="263"/>
      <c r="F101" s="263"/>
      <c r="G101" s="263"/>
      <c r="H101" s="263"/>
      <c r="I101" s="263"/>
      <c r="J101" s="263"/>
      <c r="K101" s="263"/>
      <c r="L101" s="263"/>
      <c r="M101" s="263"/>
      <c r="N101" s="263"/>
      <c r="O101" s="263"/>
      <c r="P101" s="263"/>
      <c r="Q101" s="263"/>
      <c r="R101" s="263"/>
      <c r="S101" s="263"/>
      <c r="T101" s="263"/>
      <c r="U101" s="263"/>
      <c r="V101" s="263"/>
      <c r="W101" s="263"/>
      <c r="X101" s="263"/>
      <c r="Y101" s="263"/>
    </row>
    <row r="102" spans="1:25">
      <c r="A102" s="263"/>
      <c r="B102" s="263"/>
      <c r="C102" s="263"/>
      <c r="D102" s="263"/>
      <c r="E102" s="263"/>
      <c r="F102" s="263"/>
      <c r="G102" s="263"/>
      <c r="H102" s="263"/>
      <c r="I102" s="263"/>
      <c r="J102" s="263"/>
      <c r="K102" s="263"/>
      <c r="L102" s="263"/>
      <c r="M102" s="263"/>
      <c r="N102" s="263"/>
      <c r="O102" s="263"/>
      <c r="P102" s="263"/>
      <c r="Q102" s="263"/>
      <c r="R102" s="263"/>
      <c r="S102" s="263"/>
      <c r="T102" s="263"/>
      <c r="U102" s="263"/>
      <c r="V102" s="263"/>
      <c r="W102" s="263"/>
      <c r="X102" s="263"/>
      <c r="Y102" s="263"/>
    </row>
    <row r="103" spans="1:25">
      <c r="A103" s="263"/>
      <c r="B103" s="263"/>
      <c r="C103" s="263"/>
      <c r="D103" s="263"/>
      <c r="E103" s="263"/>
      <c r="F103" s="263"/>
      <c r="G103" s="263"/>
      <c r="H103" s="263"/>
      <c r="I103" s="263"/>
      <c r="J103" s="263"/>
      <c r="K103" s="263"/>
      <c r="L103" s="263"/>
      <c r="M103" s="263"/>
      <c r="N103" s="263"/>
      <c r="O103" s="263"/>
      <c r="P103" s="263"/>
      <c r="Q103" s="263"/>
      <c r="R103" s="263"/>
      <c r="S103" s="263"/>
      <c r="T103" s="263"/>
      <c r="U103" s="263"/>
      <c r="V103" s="263"/>
      <c r="W103" s="263"/>
      <c r="X103" s="263"/>
      <c r="Y103" s="263"/>
    </row>
    <row r="104" spans="1:25">
      <c r="A104" s="263"/>
      <c r="B104" s="263"/>
      <c r="C104" s="263"/>
      <c r="D104" s="263"/>
      <c r="E104" s="263"/>
      <c r="F104" s="263"/>
      <c r="G104" s="263"/>
      <c r="H104" s="263"/>
      <c r="I104" s="263"/>
      <c r="J104" s="263"/>
      <c r="K104" s="263"/>
      <c r="L104" s="263"/>
      <c r="M104" s="263"/>
      <c r="N104" s="263"/>
      <c r="O104" s="263"/>
      <c r="P104" s="263"/>
      <c r="Q104" s="263"/>
      <c r="R104" s="263"/>
      <c r="S104" s="263"/>
      <c r="T104" s="263"/>
      <c r="U104" s="263"/>
      <c r="V104" s="263"/>
      <c r="W104" s="263"/>
      <c r="X104" s="263"/>
      <c r="Y104" s="263"/>
    </row>
    <row r="105" spans="1:25">
      <c r="A105" s="263"/>
      <c r="B105" s="263"/>
      <c r="C105" s="263"/>
      <c r="D105" s="263"/>
      <c r="E105" s="263"/>
      <c r="F105" s="263"/>
      <c r="G105" s="263"/>
      <c r="H105" s="263"/>
      <c r="I105" s="263"/>
      <c r="J105" s="263"/>
      <c r="K105" s="263"/>
      <c r="L105" s="263"/>
      <c r="M105" s="263"/>
      <c r="N105" s="263"/>
      <c r="O105" s="263"/>
      <c r="P105" s="263"/>
      <c r="Q105" s="263"/>
      <c r="R105" s="263"/>
      <c r="S105" s="263"/>
      <c r="T105" s="263"/>
      <c r="U105" s="263"/>
      <c r="V105" s="263"/>
      <c r="W105" s="263"/>
      <c r="X105" s="263"/>
      <c r="Y105" s="263"/>
    </row>
    <row r="106" spans="1:25">
      <c r="A106" s="263"/>
      <c r="B106" s="263"/>
      <c r="C106" s="263"/>
      <c r="D106" s="263"/>
      <c r="E106" s="263"/>
      <c r="F106" s="263"/>
      <c r="G106" s="263"/>
      <c r="H106" s="263"/>
      <c r="I106" s="263"/>
      <c r="J106" s="263"/>
      <c r="K106" s="263"/>
      <c r="L106" s="263"/>
      <c r="M106" s="263"/>
      <c r="N106" s="263"/>
      <c r="O106" s="263"/>
      <c r="P106" s="263"/>
      <c r="Q106" s="263"/>
      <c r="R106" s="263"/>
      <c r="S106" s="263"/>
      <c r="T106" s="263"/>
      <c r="U106" s="263"/>
      <c r="V106" s="263"/>
      <c r="W106" s="263"/>
      <c r="X106" s="263"/>
      <c r="Y106" s="263"/>
    </row>
    <row r="107" spans="1:25">
      <c r="A107" s="263"/>
      <c r="B107" s="263"/>
      <c r="C107" s="263"/>
      <c r="D107" s="263"/>
      <c r="E107" s="263"/>
      <c r="F107" s="263"/>
      <c r="G107" s="263"/>
      <c r="H107" s="263"/>
      <c r="I107" s="263"/>
      <c r="J107" s="263"/>
      <c r="K107" s="263"/>
      <c r="L107" s="263"/>
      <c r="M107" s="263"/>
      <c r="N107" s="263"/>
      <c r="O107" s="263"/>
      <c r="P107" s="263"/>
      <c r="Q107" s="263"/>
      <c r="R107" s="263"/>
      <c r="S107" s="263"/>
      <c r="T107" s="263"/>
      <c r="U107" s="263"/>
      <c r="V107" s="263"/>
      <c r="W107" s="263"/>
      <c r="X107" s="263"/>
      <c r="Y107" s="263"/>
    </row>
  </sheetData>
  <mergeCells count="1">
    <mergeCell ref="B2:F3"/>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B2:R53"/>
  <sheetViews>
    <sheetView topLeftCell="A8" zoomScale="70" zoomScaleNormal="70" workbookViewId="0">
      <selection activeCell="E34" sqref="E34"/>
    </sheetView>
  </sheetViews>
  <sheetFormatPr baseColWidth="10" defaultColWidth="10.7109375" defaultRowHeight="15"/>
  <cols>
    <col min="2" max="2" width="18.7109375" customWidth="1"/>
    <col min="4" max="4" width="12.5703125" customWidth="1"/>
    <col min="11" max="11" width="11" customWidth="1"/>
    <col min="12" max="12" width="13.7109375" customWidth="1"/>
    <col min="13" max="13" width="10.85546875" customWidth="1"/>
  </cols>
  <sheetData>
    <row r="2" spans="2:11">
      <c r="B2" t="s">
        <v>631</v>
      </c>
    </row>
    <row r="3" spans="2:11">
      <c r="B3" t="s">
        <v>632</v>
      </c>
      <c r="E3">
        <v>0.68</v>
      </c>
    </row>
    <row r="4" spans="2:11">
      <c r="B4" t="s">
        <v>633</v>
      </c>
      <c r="E4" s="1">
        <v>0.33</v>
      </c>
    </row>
    <row r="5" spans="2:11">
      <c r="B5" t="s">
        <v>634</v>
      </c>
      <c r="E5" s="7">
        <f>[4]WACC!D4</f>
        <v>62444.25</v>
      </c>
    </row>
    <row r="6" spans="2:11">
      <c r="B6" t="s">
        <v>635</v>
      </c>
      <c r="E6" s="7">
        <f>[4]WACC!D5</f>
        <v>13587.532915797365</v>
      </c>
      <c r="H6" s="570"/>
    </row>
    <row r="7" spans="2:11">
      <c r="B7" t="s">
        <v>636</v>
      </c>
      <c r="E7">
        <f>E3/(1+(1-E4)*E6/E5)</f>
        <v>0.59347782043403663</v>
      </c>
    </row>
    <row r="8" spans="2:11">
      <c r="B8" t="s">
        <v>637</v>
      </c>
      <c r="E8" s="13">
        <v>9.7900000000000001E-2</v>
      </c>
    </row>
    <row r="9" spans="2:11">
      <c r="B9" t="s">
        <v>541</v>
      </c>
      <c r="E9" s="13">
        <v>3.3599999999999998E-2</v>
      </c>
    </row>
    <row r="11" spans="2:11">
      <c r="B11" t="s">
        <v>638</v>
      </c>
      <c r="H11" t="s">
        <v>639</v>
      </c>
    </row>
    <row r="12" spans="2:11">
      <c r="B12" t="s">
        <v>98</v>
      </c>
      <c r="E12" s="7">
        <f>'[4]Free Cash Flow'!J9</f>
        <v>11350</v>
      </c>
      <c r="H12" t="s">
        <v>640</v>
      </c>
      <c r="K12" s="571">
        <f>E16/E15</f>
        <v>22.138790035587188</v>
      </c>
    </row>
    <row r="13" spans="2:11">
      <c r="B13" t="s">
        <v>641</v>
      </c>
      <c r="E13" s="7">
        <f>'[4]Free Cash Flow'!J11</f>
        <v>-5129</v>
      </c>
      <c r="H13" t="s">
        <v>642</v>
      </c>
      <c r="K13" t="str">
        <f>VLOOKUP(K12,$N$32:$R$46,3,TRUE)</f>
        <v>Aaa/AAA</v>
      </c>
    </row>
    <row r="14" spans="2:11">
      <c r="B14" t="s">
        <v>101</v>
      </c>
      <c r="E14" s="7">
        <f>E12-E13</f>
        <v>16479</v>
      </c>
      <c r="H14" t="s">
        <v>643</v>
      </c>
      <c r="K14" s="570">
        <f>VLOOKUP(K13,P32:R46,2,FALSE)+E9</f>
        <v>3.9599999999999996E-2</v>
      </c>
    </row>
    <row r="15" spans="2:11">
      <c r="B15" t="s">
        <v>644</v>
      </c>
      <c r="E15">
        <v>281</v>
      </c>
      <c r="H15" t="s">
        <v>645</v>
      </c>
      <c r="K15" t="s">
        <v>646</v>
      </c>
    </row>
    <row r="16" spans="2:11">
      <c r="B16" t="s">
        <v>647</v>
      </c>
      <c r="E16" s="7">
        <f>'[4]Free Cash Flow'!H12</f>
        <v>6221</v>
      </c>
      <c r="F16" s="572"/>
      <c r="H16" t="s">
        <v>648</v>
      </c>
      <c r="K16" s="570">
        <f>VLOOKUP(K15,$P$32:$R$46,2,FALSE)+E9</f>
        <v>4.6100000000000002E-2</v>
      </c>
    </row>
    <row r="17" spans="2:18">
      <c r="E17" s="573"/>
      <c r="H17" t="s">
        <v>649</v>
      </c>
      <c r="K17" s="570">
        <f>VLOOKUP(K15,$P$32:$R$46,3,FALSE)</f>
        <v>2.5000000000000001E-2</v>
      </c>
    </row>
    <row r="18" spans="2:18">
      <c r="B18" t="s">
        <v>650</v>
      </c>
      <c r="E18" s="7">
        <f>[4]WACC!D6</f>
        <v>76031.782915797361</v>
      </c>
      <c r="H18" t="s">
        <v>651</v>
      </c>
      <c r="K18" s="574">
        <v>0.25</v>
      </c>
    </row>
    <row r="20" spans="2:18">
      <c r="B20" t="s">
        <v>624</v>
      </c>
    </row>
    <row r="21" spans="2:18">
      <c r="B21" t="s">
        <v>652</v>
      </c>
      <c r="C21" t="s">
        <v>653</v>
      </c>
      <c r="D21" t="s">
        <v>654</v>
      </c>
      <c r="E21" t="s">
        <v>315</v>
      </c>
    </row>
    <row r="22" spans="2:18">
      <c r="B22" s="1">
        <v>0</v>
      </c>
      <c r="C22" s="184">
        <f>B22/(1-B22)</f>
        <v>0</v>
      </c>
      <c r="D22">
        <f>$E$7*(1+(1-$E$4)*C22)</f>
        <v>0.59347782043403663</v>
      </c>
      <c r="E22" s="13">
        <f>$E$9+D22*$E$8</f>
        <v>9.1701478620492188E-2</v>
      </c>
    </row>
    <row r="23" spans="2:18">
      <c r="B23" s="1">
        <v>0.1</v>
      </c>
      <c r="C23" s="184">
        <f t="shared" ref="C23:C31" si="0">B23/(1-B23)</f>
        <v>0.11111111111111112</v>
      </c>
      <c r="D23">
        <f t="shared" ref="D23:D31" si="1">$E$7*(1+(1-$E$4)*C23)</f>
        <v>0.63765894706634829</v>
      </c>
      <c r="E23" s="13">
        <f t="shared" ref="E23:E31" si="2">$E$9+D23*$E$8</f>
        <v>9.6026810917795496E-2</v>
      </c>
    </row>
    <row r="24" spans="2:18">
      <c r="B24" s="1">
        <v>0.2</v>
      </c>
      <c r="C24" s="184">
        <f t="shared" si="0"/>
        <v>0.25</v>
      </c>
      <c r="D24">
        <f t="shared" si="1"/>
        <v>0.69288535535673779</v>
      </c>
      <c r="E24" s="13">
        <f t="shared" si="2"/>
        <v>0.10143347628942462</v>
      </c>
    </row>
    <row r="25" spans="2:18">
      <c r="B25" s="1">
        <v>0.3</v>
      </c>
      <c r="C25" s="184">
        <f t="shared" si="0"/>
        <v>0.4285714285714286</v>
      </c>
      <c r="D25">
        <f t="shared" si="1"/>
        <v>0.76389073744438141</v>
      </c>
      <c r="E25" s="13">
        <f t="shared" si="2"/>
        <v>0.10838490319580493</v>
      </c>
    </row>
    <row r="26" spans="2:18">
      <c r="B26" s="1">
        <v>0.4</v>
      </c>
      <c r="C26" s="184">
        <f t="shared" si="0"/>
        <v>0.66666666666666674</v>
      </c>
      <c r="D26">
        <f t="shared" si="1"/>
        <v>0.85856458022790638</v>
      </c>
      <c r="E26" s="13">
        <f t="shared" si="2"/>
        <v>0.11765347240431204</v>
      </c>
    </row>
    <row r="27" spans="2:18">
      <c r="B27" s="1">
        <v>0.5</v>
      </c>
      <c r="C27" s="184">
        <f t="shared" si="0"/>
        <v>1</v>
      </c>
      <c r="D27">
        <f t="shared" si="1"/>
        <v>0.99110796012484115</v>
      </c>
      <c r="E27" s="13">
        <f t="shared" si="2"/>
        <v>0.13062946929622193</v>
      </c>
    </row>
    <row r="28" spans="2:18">
      <c r="B28" s="1">
        <v>0.6</v>
      </c>
      <c r="C28" s="184">
        <f t="shared" si="0"/>
        <v>1.4999999999999998</v>
      </c>
      <c r="D28">
        <f t="shared" si="1"/>
        <v>1.1899230299702435</v>
      </c>
      <c r="E28" s="13">
        <f t="shared" si="2"/>
        <v>0.15009346463408682</v>
      </c>
    </row>
    <row r="29" spans="2:18">
      <c r="B29" s="1">
        <v>0.7</v>
      </c>
      <c r="C29" s="184">
        <f t="shared" si="0"/>
        <v>2.333333333333333</v>
      </c>
      <c r="D29">
        <f t="shared" si="1"/>
        <v>1.5212814797125804</v>
      </c>
      <c r="E29" s="13">
        <f t="shared" si="2"/>
        <v>0.1825334568638616</v>
      </c>
      <c r="N29" s="575" t="s">
        <v>655</v>
      </c>
      <c r="O29" s="576"/>
      <c r="P29" s="576"/>
      <c r="Q29" s="576"/>
      <c r="R29" s="576"/>
    </row>
    <row r="30" spans="2:18">
      <c r="B30" s="1">
        <v>0.8</v>
      </c>
      <c r="C30" s="184">
        <f t="shared" si="0"/>
        <v>4.0000000000000009</v>
      </c>
      <c r="D30">
        <f t="shared" si="1"/>
        <v>2.1839983791972548</v>
      </c>
      <c r="E30" s="13">
        <f t="shared" si="2"/>
        <v>0.24741344132341123</v>
      </c>
      <c r="N30" s="577" t="s">
        <v>656</v>
      </c>
      <c r="O30" s="578"/>
      <c r="P30" s="579"/>
      <c r="Q30" s="579"/>
      <c r="R30" s="576"/>
    </row>
    <row r="31" spans="2:18">
      <c r="B31" s="1">
        <v>0.9</v>
      </c>
      <c r="C31" s="184">
        <f t="shared" si="0"/>
        <v>9.0000000000000018</v>
      </c>
      <c r="D31">
        <f t="shared" si="1"/>
        <v>4.1721490776512775</v>
      </c>
      <c r="E31" s="13">
        <f t="shared" si="2"/>
        <v>0.44205339470206007</v>
      </c>
      <c r="N31" s="579" t="s">
        <v>657</v>
      </c>
      <c r="O31" s="579" t="s">
        <v>658</v>
      </c>
      <c r="P31" s="579" t="s">
        <v>659</v>
      </c>
      <c r="Q31" s="579" t="s">
        <v>660</v>
      </c>
      <c r="R31" s="580" t="s">
        <v>661</v>
      </c>
    </row>
    <row r="32" spans="2:18">
      <c r="B32" s="1"/>
      <c r="N32" s="579">
        <v>-100000</v>
      </c>
      <c r="O32" s="579">
        <v>0.19999900000000001</v>
      </c>
      <c r="P32" s="581" t="s">
        <v>662</v>
      </c>
      <c r="Q32" s="582">
        <v>0.14000000000000001</v>
      </c>
      <c r="R32" s="583">
        <v>1</v>
      </c>
    </row>
    <row r="33" spans="2:18">
      <c r="B33" t="s">
        <v>625</v>
      </c>
      <c r="N33" s="579">
        <v>0.2</v>
      </c>
      <c r="O33" s="579">
        <v>0.64999899999999999</v>
      </c>
      <c r="P33" s="581" t="s">
        <v>663</v>
      </c>
      <c r="Q33" s="584">
        <v>0.105</v>
      </c>
      <c r="R33" s="583">
        <v>0.85</v>
      </c>
    </row>
    <row r="34" spans="2:18">
      <c r="B34" t="s">
        <v>4</v>
      </c>
      <c r="C34" s="574">
        <v>0</v>
      </c>
      <c r="D34" s="574">
        <v>0.1</v>
      </c>
      <c r="E34" s="574">
        <v>0.2</v>
      </c>
      <c r="F34" s="574">
        <v>0.3</v>
      </c>
      <c r="G34" s="574">
        <v>0.4</v>
      </c>
      <c r="H34" s="574">
        <v>0.5</v>
      </c>
      <c r="I34" s="574">
        <v>0.6</v>
      </c>
      <c r="J34" s="574">
        <v>0.7</v>
      </c>
      <c r="K34" s="574">
        <v>0.8</v>
      </c>
      <c r="L34" s="574">
        <v>0.9</v>
      </c>
      <c r="M34" s="574"/>
      <c r="N34" s="579">
        <v>0.65</v>
      </c>
      <c r="O34" s="579">
        <v>0.79999900000000002</v>
      </c>
      <c r="P34" s="581" t="s">
        <v>664</v>
      </c>
      <c r="Q34" s="584">
        <v>0.08</v>
      </c>
      <c r="R34" s="585">
        <v>0.7</v>
      </c>
    </row>
    <row r="35" spans="2:18">
      <c r="B35" t="s">
        <v>7</v>
      </c>
      <c r="C35" s="1">
        <f>C34/(1-C34)</f>
        <v>0</v>
      </c>
      <c r="D35" s="1">
        <f t="shared" ref="D35:L35" si="3">D34/(1-D34)</f>
        <v>0.11111111111111112</v>
      </c>
      <c r="E35" s="1">
        <f t="shared" si="3"/>
        <v>0.25</v>
      </c>
      <c r="F35" s="1">
        <f t="shared" si="3"/>
        <v>0.4285714285714286</v>
      </c>
      <c r="G35" s="1">
        <f t="shared" si="3"/>
        <v>0.66666666666666674</v>
      </c>
      <c r="H35" s="1">
        <f t="shared" si="3"/>
        <v>1</v>
      </c>
      <c r="I35" s="1">
        <f t="shared" si="3"/>
        <v>1.4999999999999998</v>
      </c>
      <c r="J35" s="1">
        <f t="shared" si="3"/>
        <v>2.333333333333333</v>
      </c>
      <c r="K35" s="1">
        <f t="shared" si="3"/>
        <v>4.0000000000000009</v>
      </c>
      <c r="L35" s="1">
        <f t="shared" si="3"/>
        <v>9.0000000000000018</v>
      </c>
      <c r="M35" s="1"/>
      <c r="N35" s="579">
        <v>0.8</v>
      </c>
      <c r="O35" s="579">
        <v>1.2499990000000001</v>
      </c>
      <c r="P35" s="581" t="s">
        <v>665</v>
      </c>
      <c r="Q35" s="584">
        <v>6.5000000000000002E-2</v>
      </c>
      <c r="R35" s="585">
        <v>0.59009999999999996</v>
      </c>
    </row>
    <row r="36" spans="2:18">
      <c r="B36" t="s">
        <v>666</v>
      </c>
      <c r="C36" s="7">
        <f>C34*$E$18</f>
        <v>0</v>
      </c>
      <c r="D36" s="7">
        <f t="shared" ref="D36:L36" si="4">D34*$E$18</f>
        <v>7603.1782915797367</v>
      </c>
      <c r="E36" s="7">
        <f t="shared" si="4"/>
        <v>15206.356583159473</v>
      </c>
      <c r="F36" s="7">
        <f t="shared" si="4"/>
        <v>22809.534874739209</v>
      </c>
      <c r="G36" s="7">
        <f t="shared" si="4"/>
        <v>30412.713166318947</v>
      </c>
      <c r="H36" s="7">
        <f t="shared" si="4"/>
        <v>38015.891457898681</v>
      </c>
      <c r="I36" s="7">
        <f t="shared" si="4"/>
        <v>45619.069749478418</v>
      </c>
      <c r="J36" s="7">
        <f t="shared" si="4"/>
        <v>53222.248041058148</v>
      </c>
      <c r="K36" s="7">
        <f t="shared" si="4"/>
        <v>60825.426332637893</v>
      </c>
      <c r="L36" s="7">
        <f t="shared" si="4"/>
        <v>68428.604624217623</v>
      </c>
      <c r="M36" s="7"/>
      <c r="N36" s="579">
        <v>1.25</v>
      </c>
      <c r="O36" s="579">
        <v>1.4999990000000001</v>
      </c>
      <c r="P36" s="581" t="s">
        <v>667</v>
      </c>
      <c r="Q36" s="584">
        <v>5.5E-2</v>
      </c>
      <c r="R36" s="585">
        <v>0.45</v>
      </c>
    </row>
    <row r="37" spans="2:18">
      <c r="C37" s="7"/>
      <c r="D37" s="7"/>
      <c r="E37" s="7"/>
      <c r="F37" s="7"/>
      <c r="G37" s="7"/>
      <c r="H37" s="7"/>
      <c r="I37" s="7"/>
      <c r="J37" s="7"/>
      <c r="K37" s="7"/>
      <c r="L37" s="7"/>
      <c r="N37" s="579">
        <v>1.5</v>
      </c>
      <c r="O37" s="579">
        <v>1.7499990000000001</v>
      </c>
      <c r="P37" s="581" t="s">
        <v>668</v>
      </c>
      <c r="Q37" s="584">
        <v>4.4999999999999998E-2</v>
      </c>
      <c r="R37" s="585">
        <v>0.1</v>
      </c>
    </row>
    <row r="38" spans="2:18">
      <c r="B38" t="s">
        <v>98</v>
      </c>
      <c r="C38" s="7">
        <f>$E$12</f>
        <v>11350</v>
      </c>
      <c r="D38" s="7">
        <f t="shared" ref="D38:L38" si="5">$E$12</f>
        <v>11350</v>
      </c>
      <c r="E38" s="7">
        <f t="shared" si="5"/>
        <v>11350</v>
      </c>
      <c r="F38" s="7">
        <f t="shared" si="5"/>
        <v>11350</v>
      </c>
      <c r="G38" s="7">
        <f t="shared" si="5"/>
        <v>11350</v>
      </c>
      <c r="H38" s="7">
        <f t="shared" si="5"/>
        <v>11350</v>
      </c>
      <c r="I38" s="7">
        <f t="shared" si="5"/>
        <v>11350</v>
      </c>
      <c r="J38" s="7">
        <f t="shared" si="5"/>
        <v>11350</v>
      </c>
      <c r="K38" s="7">
        <f t="shared" si="5"/>
        <v>11350</v>
      </c>
      <c r="L38" s="7">
        <f t="shared" si="5"/>
        <v>11350</v>
      </c>
      <c r="M38" s="7"/>
      <c r="N38" s="579">
        <v>1.75</v>
      </c>
      <c r="O38" s="579">
        <v>1.9999990000000001</v>
      </c>
      <c r="P38" s="581" t="s">
        <v>669</v>
      </c>
      <c r="Q38" s="584">
        <v>3.7499999999999999E-2</v>
      </c>
      <c r="R38" s="585">
        <v>0.1663</v>
      </c>
    </row>
    <row r="39" spans="2:18">
      <c r="B39" t="s">
        <v>641</v>
      </c>
      <c r="C39" s="7">
        <f>$E$13</f>
        <v>-5129</v>
      </c>
      <c r="D39" s="7">
        <f t="shared" ref="D39:L39" si="6">$E$13</f>
        <v>-5129</v>
      </c>
      <c r="E39" s="7">
        <f t="shared" si="6"/>
        <v>-5129</v>
      </c>
      <c r="F39" s="7">
        <f t="shared" si="6"/>
        <v>-5129</v>
      </c>
      <c r="G39" s="7">
        <f t="shared" si="6"/>
        <v>-5129</v>
      </c>
      <c r="H39" s="7">
        <f t="shared" si="6"/>
        <v>-5129</v>
      </c>
      <c r="I39" s="7">
        <f t="shared" si="6"/>
        <v>-5129</v>
      </c>
      <c r="J39" s="7">
        <f t="shared" si="6"/>
        <v>-5129</v>
      </c>
      <c r="K39" s="7">
        <f t="shared" si="6"/>
        <v>-5129</v>
      </c>
      <c r="L39" s="7">
        <f t="shared" si="6"/>
        <v>-5129</v>
      </c>
      <c r="M39" s="7"/>
      <c r="N39" s="579">
        <v>2</v>
      </c>
      <c r="O39" s="579">
        <v>2.2499999000000002</v>
      </c>
      <c r="P39" s="581" t="s">
        <v>670</v>
      </c>
      <c r="Q39" s="584">
        <v>0.03</v>
      </c>
      <c r="R39" s="585">
        <v>0.25</v>
      </c>
    </row>
    <row r="40" spans="2:18">
      <c r="B40" t="s">
        <v>671</v>
      </c>
      <c r="C40" s="7">
        <f>$E$16</f>
        <v>6221</v>
      </c>
      <c r="D40" s="7">
        <f t="shared" ref="D40:L40" si="7">$E$16</f>
        <v>6221</v>
      </c>
      <c r="E40" s="7">
        <f t="shared" si="7"/>
        <v>6221</v>
      </c>
      <c r="F40" s="7">
        <f t="shared" si="7"/>
        <v>6221</v>
      </c>
      <c r="G40" s="7">
        <f t="shared" si="7"/>
        <v>6221</v>
      </c>
      <c r="H40" s="7">
        <f t="shared" si="7"/>
        <v>6221</v>
      </c>
      <c r="I40" s="7">
        <f t="shared" si="7"/>
        <v>6221</v>
      </c>
      <c r="J40" s="7">
        <f t="shared" si="7"/>
        <v>6221</v>
      </c>
      <c r="K40" s="7">
        <f t="shared" si="7"/>
        <v>6221</v>
      </c>
      <c r="L40" s="7">
        <f t="shared" si="7"/>
        <v>6221</v>
      </c>
      <c r="M40" s="7"/>
      <c r="N40" s="579">
        <v>2.25</v>
      </c>
      <c r="O40" s="579">
        <v>2.4999899999999999</v>
      </c>
      <c r="P40" s="581" t="s">
        <v>672</v>
      </c>
      <c r="Q40" s="584">
        <v>2.5000000000000001E-2</v>
      </c>
      <c r="R40" s="585">
        <v>0.36799999999999999</v>
      </c>
    </row>
    <row r="41" spans="2:18">
      <c r="B41" t="s">
        <v>673</v>
      </c>
      <c r="C41" s="7">
        <v>0</v>
      </c>
      <c r="D41" s="586">
        <f>D36*3.96%</f>
        <v>301.08586034655752</v>
      </c>
      <c r="E41" s="7">
        <f>E36*3.96%</f>
        <v>602.17172069311505</v>
      </c>
      <c r="F41" s="7">
        <f>F36*4.16%</f>
        <v>948.87665078915109</v>
      </c>
      <c r="G41" s="7">
        <f>G36*4.46%</f>
        <v>1356.4070072178251</v>
      </c>
      <c r="H41" s="7">
        <f>H36*4.61%</f>
        <v>1752.5325962091292</v>
      </c>
      <c r="I41" s="7">
        <f>I36*4.96%</f>
        <v>2262.7058595741296</v>
      </c>
      <c r="J41" s="7">
        <f>J36*8.86%</f>
        <v>4715.4911764377521</v>
      </c>
      <c r="K41" s="7">
        <f>K36*9.86%</f>
        <v>5997.3870363980959</v>
      </c>
      <c r="L41" s="7">
        <f t="shared" ref="L41" si="8">L36*K45</f>
        <v>6747.0604159478571</v>
      </c>
      <c r="M41" s="7"/>
      <c r="N41" s="579">
        <v>2.5</v>
      </c>
      <c r="O41" s="579">
        <v>2.9999989999999999</v>
      </c>
      <c r="P41" s="581" t="s">
        <v>674</v>
      </c>
      <c r="Q41" s="584">
        <v>1.6E-2</v>
      </c>
      <c r="R41" s="585">
        <v>7.5399999999999995E-2</v>
      </c>
    </row>
    <row r="42" spans="2:18">
      <c r="N42" s="579">
        <v>3</v>
      </c>
      <c r="O42" s="579">
        <v>4.2499989999999999</v>
      </c>
      <c r="P42" s="581" t="s">
        <v>646</v>
      </c>
      <c r="Q42" s="584">
        <v>1.2500000000000001E-2</v>
      </c>
      <c r="R42" s="585">
        <v>2.5000000000000001E-2</v>
      </c>
    </row>
    <row r="43" spans="2:18">
      <c r="B43" t="s">
        <v>675</v>
      </c>
      <c r="C43" t="s">
        <v>676</v>
      </c>
      <c r="D43" s="587">
        <f>D40/D41</f>
        <v>20.661880278401217</v>
      </c>
      <c r="E43" s="571">
        <f t="shared" ref="E43:L43" si="9">E40/E41</f>
        <v>10.330940139200608</v>
      </c>
      <c r="F43" s="571">
        <f t="shared" si="9"/>
        <v>6.5561735498773084</v>
      </c>
      <c r="G43" s="571">
        <f t="shared" si="9"/>
        <v>4.5863814967751573</v>
      </c>
      <c r="H43" s="571">
        <f t="shared" si="9"/>
        <v>3.549719995768712</v>
      </c>
      <c r="I43" s="571">
        <f t="shared" si="9"/>
        <v>2.7493631015614519</v>
      </c>
      <c r="J43" s="571">
        <f t="shared" si="9"/>
        <v>1.3192687181952405</v>
      </c>
      <c r="K43" s="571">
        <f t="shared" si="9"/>
        <v>1.0372850646864706</v>
      </c>
      <c r="L43" s="571">
        <f t="shared" si="9"/>
        <v>0.92203116861019629</v>
      </c>
      <c r="M43" s="571"/>
      <c r="N43" s="579">
        <v>4.25</v>
      </c>
      <c r="O43" s="579">
        <v>5.4999989999999999</v>
      </c>
      <c r="P43" s="581" t="s">
        <v>677</v>
      </c>
      <c r="Q43" s="584">
        <v>1.0999999999999999E-2</v>
      </c>
      <c r="R43" s="585">
        <v>6.6E-3</v>
      </c>
    </row>
    <row r="44" spans="2:18">
      <c r="B44" t="s">
        <v>678</v>
      </c>
      <c r="C44" t="s">
        <v>679</v>
      </c>
      <c r="D44" s="570" t="str">
        <f t="shared" ref="D44:L44" si="10">VLOOKUP(D43,$N$32:$R$46,3,TRUE)</f>
        <v>Aaa/AAA</v>
      </c>
      <c r="E44" s="570" t="str">
        <f t="shared" si="10"/>
        <v>Aaa/AAA</v>
      </c>
      <c r="F44" s="570" t="str">
        <f t="shared" si="10"/>
        <v>Aa2/AA</v>
      </c>
      <c r="G44" s="570" t="str">
        <f t="shared" si="10"/>
        <v>A2/A</v>
      </c>
      <c r="H44" s="570" t="str">
        <f t="shared" si="10"/>
        <v>A3/A-</v>
      </c>
      <c r="I44" s="570" t="str">
        <f t="shared" si="10"/>
        <v>Baa2/BBB</v>
      </c>
      <c r="J44" s="570" t="str">
        <f t="shared" si="10"/>
        <v>B3/B-</v>
      </c>
      <c r="K44" s="570" t="str">
        <f t="shared" si="10"/>
        <v>Caa/CCC</v>
      </c>
      <c r="L44" s="570" t="str">
        <f t="shared" si="10"/>
        <v>Caa/CCC</v>
      </c>
      <c r="M44" s="570"/>
      <c r="N44" s="579">
        <v>5.5</v>
      </c>
      <c r="O44" s="579">
        <v>6.4999989999999999</v>
      </c>
      <c r="P44" s="581" t="s">
        <v>680</v>
      </c>
      <c r="Q44" s="584">
        <v>0.01</v>
      </c>
      <c r="R44" s="585">
        <v>6.0000000000000001E-3</v>
      </c>
    </row>
    <row r="45" spans="2:18">
      <c r="B45" t="s">
        <v>681</v>
      </c>
      <c r="C45" s="13">
        <f t="shared" ref="C45" si="11">$E$9+VLOOKUP(C44,$P$32:$Q$46,2,FALSE)</f>
        <v>3.9599999999999996E-2</v>
      </c>
      <c r="D45" s="588">
        <f>$E$9+VLOOKUP(D44,$P$32:$Q$46,2,FALSE)</f>
        <v>3.9599999999999996E-2</v>
      </c>
      <c r="E45" s="13">
        <f>$E$9+VLOOKUP(E44,$P$32:$Q$46,2,FALSE)</f>
        <v>3.9599999999999996E-2</v>
      </c>
      <c r="F45" s="13">
        <f t="shared" ref="F45:L45" si="12">$E$9+VLOOKUP(F44,$P$32:$Q$46,2,FALSE)</f>
        <v>4.1599999999999998E-2</v>
      </c>
      <c r="G45" s="13">
        <f t="shared" si="12"/>
        <v>4.4600000000000001E-2</v>
      </c>
      <c r="H45" s="13">
        <f t="shared" si="12"/>
        <v>4.6100000000000002E-2</v>
      </c>
      <c r="I45" s="13">
        <f t="shared" si="12"/>
        <v>4.9599999999999998E-2</v>
      </c>
      <c r="J45" s="13">
        <f t="shared" si="12"/>
        <v>8.8599999999999998E-2</v>
      </c>
      <c r="K45" s="13">
        <f t="shared" si="12"/>
        <v>9.8599999999999993E-2</v>
      </c>
      <c r="L45" s="13">
        <f t="shared" si="12"/>
        <v>9.8599999999999993E-2</v>
      </c>
      <c r="M45" s="13"/>
      <c r="N45" s="579">
        <v>6.5</v>
      </c>
      <c r="O45" s="579">
        <v>8.4999990000000007</v>
      </c>
      <c r="P45" s="581" t="s">
        <v>682</v>
      </c>
      <c r="Q45" s="584">
        <v>8.0000000000000002E-3</v>
      </c>
      <c r="R45" s="585">
        <v>5.1000000000000004E-3</v>
      </c>
    </row>
    <row r="46" spans="2:18">
      <c r="B46" t="s">
        <v>683</v>
      </c>
      <c r="C46" s="13">
        <f t="shared" ref="C46:L46" si="13">VLOOKUP(C44,$P$32:$R$46,3,FALSE)</f>
        <v>6.9999999999999999E-4</v>
      </c>
      <c r="D46" s="588">
        <f t="shared" si="13"/>
        <v>6.9999999999999999E-4</v>
      </c>
      <c r="E46" s="13">
        <f t="shared" si="13"/>
        <v>6.9999999999999999E-4</v>
      </c>
      <c r="F46" s="13">
        <f t="shared" si="13"/>
        <v>5.1000000000000004E-3</v>
      </c>
      <c r="G46" s="13">
        <f t="shared" si="13"/>
        <v>6.6E-3</v>
      </c>
      <c r="H46" s="13">
        <f t="shared" si="13"/>
        <v>2.5000000000000001E-2</v>
      </c>
      <c r="I46" s="13">
        <f t="shared" si="13"/>
        <v>7.5399999999999995E-2</v>
      </c>
      <c r="J46" s="13">
        <f t="shared" si="13"/>
        <v>0.45</v>
      </c>
      <c r="K46" s="13">
        <f t="shared" si="13"/>
        <v>0.59009999999999996</v>
      </c>
      <c r="L46" s="13">
        <f t="shared" si="13"/>
        <v>0.59009999999999996</v>
      </c>
      <c r="M46" s="13"/>
      <c r="N46" s="579">
        <v>8.5</v>
      </c>
      <c r="O46" s="579">
        <v>100000</v>
      </c>
      <c r="P46" s="581" t="s">
        <v>679</v>
      </c>
      <c r="Q46" s="584">
        <v>6.0000000000000001E-3</v>
      </c>
      <c r="R46" s="585">
        <v>6.9999999999999999E-4</v>
      </c>
    </row>
    <row r="47" spans="2:18">
      <c r="B47" t="s">
        <v>684</v>
      </c>
      <c r="C47" s="13">
        <f>C45*(1-$E$4)</f>
        <v>2.6531999999999993E-2</v>
      </c>
      <c r="D47" s="13">
        <f t="shared" ref="D47:L47" si="14">D45*(1-$E$4)</f>
        <v>2.6531999999999993E-2</v>
      </c>
      <c r="E47" s="13">
        <f t="shared" si="14"/>
        <v>2.6531999999999993E-2</v>
      </c>
      <c r="F47" s="13">
        <f t="shared" si="14"/>
        <v>2.7871999999999997E-2</v>
      </c>
      <c r="G47" s="13">
        <f t="shared" si="14"/>
        <v>2.9881999999999999E-2</v>
      </c>
      <c r="H47" s="13">
        <f t="shared" si="14"/>
        <v>3.0886999999999998E-2</v>
      </c>
      <c r="I47" s="13">
        <f t="shared" si="14"/>
        <v>3.3231999999999998E-2</v>
      </c>
      <c r="J47" s="13">
        <f t="shared" si="14"/>
        <v>5.9361999999999991E-2</v>
      </c>
      <c r="K47" s="13">
        <f t="shared" si="14"/>
        <v>6.6061999999999982E-2</v>
      </c>
      <c r="L47" s="13">
        <f t="shared" si="14"/>
        <v>6.6061999999999982E-2</v>
      </c>
      <c r="M47" s="13"/>
      <c r="N47" s="589"/>
      <c r="O47" s="589"/>
      <c r="P47" s="590"/>
      <c r="Q47" s="591"/>
      <c r="R47" s="591"/>
    </row>
    <row r="48" spans="2:18">
      <c r="B48" t="s">
        <v>685</v>
      </c>
      <c r="C48" s="592">
        <f>$E$5/($E$5+$E$6)*E22+$E$5/($E$5+$E$6)*C47</f>
        <v>9.7104140061059635E-2</v>
      </c>
      <c r="D48" s="592">
        <f>$E$5/($E$5+$E$6)*E23+$E$5/($E$5+$E$6)*D47</f>
        <v>0.10065649831109569</v>
      </c>
      <c r="E48" s="592">
        <f>$E$5/($E$5+$E$6)*E24+$E$5/($E$5+$E$6)*E47</f>
        <v>0.10509694612364072</v>
      </c>
      <c r="F48" s="592">
        <f>$E$5/($E$5+$E$6)*E25+$E$5/($E$5+$E$6)*F47</f>
        <v>0.11190662379714908</v>
      </c>
      <c r="G48" s="592">
        <f>$E$5/($E$5+$E$6)*E26+$E$5/($E$5+$E$6)*G47</f>
        <v>0.12116961577615196</v>
      </c>
      <c r="H48" s="592">
        <f>$E$5/($E$5+$E$6)*E27+$E$5/($E$5+$E$6)*H47</f>
        <v>0.1326520883907229</v>
      </c>
      <c r="I48" s="592">
        <f>$E$5/($E$5+$E$6)*E2824+$E$5/($E$5+$E$6)*I47</f>
        <v>2.7293156051570639E-2</v>
      </c>
      <c r="J48" s="592">
        <f>$E$5/($E$5+$E$6)*E29+$E$5/($E$5+$E$6)*J47</f>
        <v>0.19866666021760196</v>
      </c>
      <c r="K48" s="592">
        <f>$E$5/($E$5+$E$6)*E30+$E$5/($E$5+$E$6)*K47</f>
        <v>0.25745468639789471</v>
      </c>
      <c r="L48" s="592">
        <f>$E$5/($E$5+$E$6)*E31+$E$5/($E$5+$E$6)*L47</f>
        <v>0.41731080764951656</v>
      </c>
      <c r="M48" s="593"/>
      <c r="N48" t="s">
        <v>686</v>
      </c>
    </row>
    <row r="49" spans="2:13">
      <c r="B49" t="s">
        <v>687</v>
      </c>
      <c r="C49" s="7">
        <f>$E$18-$E$6*$E$4+$E$18*$K$17*$K$18</f>
        <v>72023.095696807955</v>
      </c>
      <c r="D49" s="7">
        <f t="shared" ref="D49:L49" si="15">$E$18-$E$6*$E$4+$E$18*$K$17*$K$18</f>
        <v>72023.095696807955</v>
      </c>
      <c r="E49" s="7">
        <f t="shared" si="15"/>
        <v>72023.095696807955</v>
      </c>
      <c r="F49" s="7">
        <f t="shared" si="15"/>
        <v>72023.095696807955</v>
      </c>
      <c r="G49" s="7">
        <f t="shared" si="15"/>
        <v>72023.095696807955</v>
      </c>
      <c r="H49" s="7">
        <f t="shared" si="15"/>
        <v>72023.095696807955</v>
      </c>
      <c r="I49" s="7">
        <f t="shared" si="15"/>
        <v>72023.095696807955</v>
      </c>
      <c r="J49" s="7">
        <f t="shared" si="15"/>
        <v>72023.095696807955</v>
      </c>
      <c r="K49" s="7">
        <f t="shared" si="15"/>
        <v>72023.095696807955</v>
      </c>
      <c r="L49" s="7">
        <f t="shared" si="15"/>
        <v>72023.095696807955</v>
      </c>
      <c r="M49" s="7"/>
    </row>
    <row r="50" spans="2:13">
      <c r="B50" t="s">
        <v>688</v>
      </c>
      <c r="C50" s="1">
        <f>E4</f>
        <v>0.33</v>
      </c>
      <c r="D50" s="1">
        <f>E4</f>
        <v>0.33</v>
      </c>
      <c r="E50" s="1">
        <f>E4</f>
        <v>0.33</v>
      </c>
      <c r="F50" s="1">
        <f>$E$4</f>
        <v>0.33</v>
      </c>
      <c r="G50" s="1">
        <f t="shared" ref="G50:K50" si="16">$E$4</f>
        <v>0.33</v>
      </c>
      <c r="H50" s="1">
        <f t="shared" si="16"/>
        <v>0.33</v>
      </c>
      <c r="I50" s="1">
        <f t="shared" si="16"/>
        <v>0.33</v>
      </c>
      <c r="J50" s="1">
        <f t="shared" si="16"/>
        <v>0.33</v>
      </c>
      <c r="K50" s="1">
        <f t="shared" si="16"/>
        <v>0.33</v>
      </c>
      <c r="L50" s="570">
        <f>L40*E4/L41</f>
        <v>0.30427028564136482</v>
      </c>
      <c r="M50" s="570"/>
    </row>
    <row r="51" spans="2:13">
      <c r="B51" t="s">
        <v>689</v>
      </c>
      <c r="C51" s="7">
        <f>C41*C50</f>
        <v>0</v>
      </c>
      <c r="D51" s="7">
        <f t="shared" ref="D51:K51" si="17">D41*D50</f>
        <v>99.358333914363982</v>
      </c>
      <c r="E51" s="7">
        <f t="shared" si="17"/>
        <v>198.71666782872796</v>
      </c>
      <c r="F51" s="7">
        <f t="shared" si="17"/>
        <v>313.1292947604199</v>
      </c>
      <c r="G51" s="7">
        <f t="shared" si="17"/>
        <v>447.61431238188231</v>
      </c>
      <c r="H51" s="7">
        <f t="shared" si="17"/>
        <v>578.33575674901272</v>
      </c>
      <c r="I51" s="7">
        <f t="shared" si="17"/>
        <v>746.69293365946282</v>
      </c>
      <c r="J51" s="7">
        <f t="shared" si="17"/>
        <v>1556.1120882244581</v>
      </c>
      <c r="K51" s="7">
        <f t="shared" si="17"/>
        <v>1979.1377220113718</v>
      </c>
      <c r="L51" s="7">
        <f>L40*E4</f>
        <v>2052.9300000000003</v>
      </c>
      <c r="M51" s="7"/>
    </row>
    <row r="52" spans="2:13">
      <c r="B52" t="s">
        <v>690</v>
      </c>
      <c r="C52" s="7">
        <f t="shared" ref="C52:K52" si="18">C46*$K$18*(C49+C51)</f>
        <v>12.604041746941393</v>
      </c>
      <c r="D52" s="7">
        <f t="shared" si="18"/>
        <v>12.621429455376406</v>
      </c>
      <c r="E52" s="7">
        <f t="shared" si="18"/>
        <v>12.638817163811421</v>
      </c>
      <c r="F52" s="7">
        <f t="shared" si="18"/>
        <v>92.228686864249696</v>
      </c>
      <c r="G52" s="7">
        <f t="shared" si="18"/>
        <v>119.57667151516323</v>
      </c>
      <c r="H52" s="7">
        <f t="shared" si="18"/>
        <v>453.75894658473112</v>
      </c>
      <c r="I52" s="7">
        <f t="shared" si="18"/>
        <v>1371.7105156843106</v>
      </c>
      <c r="J52" s="7">
        <f t="shared" si="18"/>
        <v>8277.6608758161474</v>
      </c>
      <c r="K52" s="7">
        <f t="shared" si="18"/>
        <v>10917.179485111319</v>
      </c>
      <c r="L52" s="594">
        <f>L46*$K$18*(L49+L50)</f>
        <v>10625.252080145483</v>
      </c>
      <c r="M52" s="595"/>
    </row>
    <row r="53" spans="2:13">
      <c r="B53" t="s">
        <v>691</v>
      </c>
      <c r="C53" s="7">
        <f>C49+C51-C52</f>
        <v>72010.491655061007</v>
      </c>
      <c r="D53" s="7">
        <f t="shared" ref="D53:K53" si="19">D49+D51-D52</f>
        <v>72109.832601266942</v>
      </c>
      <c r="E53" s="7">
        <f t="shared" si="19"/>
        <v>72209.173547472878</v>
      </c>
      <c r="F53" s="7">
        <f t="shared" si="19"/>
        <v>72243.996304704124</v>
      </c>
      <c r="G53" s="7">
        <f t="shared" si="19"/>
        <v>72351.133337674662</v>
      </c>
      <c r="H53" s="7">
        <f t="shared" si="19"/>
        <v>72147.672506972245</v>
      </c>
      <c r="I53" s="7">
        <f t="shared" si="19"/>
        <v>71398.0781147831</v>
      </c>
      <c r="J53" s="7">
        <f t="shared" si="19"/>
        <v>65301.546909216268</v>
      </c>
      <c r="K53" s="7">
        <f t="shared" si="19"/>
        <v>63085.053933707997</v>
      </c>
      <c r="L53" s="7">
        <f>L49+L50-L52</f>
        <v>61398.147886948122</v>
      </c>
      <c r="M53" s="7"/>
    </row>
  </sheetData>
  <conditionalFormatting sqref="C53:M53">
    <cfRule type="top10" dxfId="1" priority="2" rank="1"/>
  </conditionalFormatting>
  <conditionalFormatting sqref="C48:M48">
    <cfRule type="top10" dxfId="0" priority="1" bottom="1" rank="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25</vt:i4>
      </vt:variant>
      <vt:variant>
        <vt:lpstr>Plages nommées</vt:lpstr>
      </vt:variant>
      <vt:variant>
        <vt:i4>1</vt:i4>
      </vt:variant>
    </vt:vector>
  </HeadingPairs>
  <TitlesOfParts>
    <vt:vector size="26" baseType="lpstr">
      <vt:lpstr>DATA &gt;&gt;&gt;&gt;</vt:lpstr>
      <vt:lpstr>Capital structure</vt:lpstr>
      <vt:lpstr>cost of equity(use Fama French)</vt:lpstr>
      <vt:lpstr>LR1</vt:lpstr>
      <vt:lpstr>Raw material</vt:lpstr>
      <vt:lpstr>use 10-year bond</vt:lpstr>
      <vt:lpstr>France 10-Year Bond Yield</vt:lpstr>
      <vt:lpstr>LR2</vt:lpstr>
      <vt:lpstr>cost of equity(use French bond)</vt:lpstr>
      <vt:lpstr>WACC &gt;&gt;&gt;&gt;</vt:lpstr>
      <vt:lpstr>Cost of Equity</vt:lpstr>
      <vt:lpstr>Cost of Debt</vt:lpstr>
      <vt:lpstr>WACC</vt:lpstr>
      <vt:lpstr>FINANCIALS &gt;&gt;&gt;&gt;</vt:lpstr>
      <vt:lpstr>Assumption</vt:lpstr>
      <vt:lpstr>Balance Sheet</vt:lpstr>
      <vt:lpstr>Income Statement</vt:lpstr>
      <vt:lpstr>Cash Flow Statement</vt:lpstr>
      <vt:lpstr>ADJUSTMENTS &gt;&gt;&gt;&gt;</vt:lpstr>
      <vt:lpstr>Operating lease converter</vt:lpstr>
      <vt:lpstr>R&amp;D converter</vt:lpstr>
      <vt:lpstr>Free Cash Flow</vt:lpstr>
      <vt:lpstr>Sensitivity Analysis</vt:lpstr>
      <vt:lpstr>Multiples</vt:lpstr>
      <vt:lpstr>Optimum K structure</vt:lpstr>
      <vt:lpstr>'France 10-Year Bond Yield'!comments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Kalu</dc:creator>
  <cp:lastModifiedBy>Kalu</cp:lastModifiedBy>
  <dcterms:created xsi:type="dcterms:W3CDTF">2017-03-23T10:47:50Z</dcterms:created>
  <dcterms:modified xsi:type="dcterms:W3CDTF">2017-04-27T17:40:34Z</dcterms:modified>
</cp:coreProperties>
</file>