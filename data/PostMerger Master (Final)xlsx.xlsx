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updateLinks="never" defaultThemeVersion="166925"/>
  <mc:AlternateContent xmlns:mc="http://schemas.openxmlformats.org/markup-compatibility/2006">
    <mc:Choice Requires="x15">
      <x15ac:absPath xmlns:x15ac="http://schemas.microsoft.com/office/spreadsheetml/2010/11/ac" url="/Volumes/NO NAME/IB Preparation/Beispiel M&amp;A Valuation/Mrdjan/"/>
    </mc:Choice>
  </mc:AlternateContent>
  <xr:revisionPtr revIDLastSave="0" documentId="13_ncr:1_{3D4ED222-99EC-6D44-AA2A-7EE5E50DA449}" xr6:coauthVersionLast="40" xr6:coauthVersionMax="40" xr10:uidLastSave="{00000000-0000-0000-0000-000000000000}"/>
  <bookViews>
    <workbookView xWindow="0" yWindow="460" windowWidth="28780" windowHeight="13900" tabRatio="822" activeTab="1" xr2:uid="{00000000-000D-0000-FFFF-FFFF00000000}"/>
  </bookViews>
  <sheets>
    <sheet name="K structure" sheetId="1" state="hidden" r:id="rId1"/>
    <sheet name="Project Title" sheetId="49" r:id="rId2"/>
    <sheet name="Overview" sheetId="48" r:id="rId3"/>
    <sheet name="1. DATA" sheetId="38" r:id="rId4"/>
    <sheet name="1.1 Income Statement Pharmacia" sheetId="40" r:id="rId5"/>
    <sheet name="1.2 Balance Sheet Pharmacia" sheetId="44" r:id="rId6"/>
    <sheet name="1.3 Cash Flow Statement " sheetId="43" r:id="rId7"/>
    <sheet name="1.4 Income Statement Pfizer" sheetId="41" r:id="rId8"/>
    <sheet name="1.5 Income Statements PfizerRaw" sheetId="47" r:id="rId9"/>
    <sheet name="1.6 DCF Analysis Pfizer" sheetId="42" r:id="rId10"/>
    <sheet name="2. WACC &gt;&gt;&gt;&gt;" sheetId="24" r:id="rId11"/>
    <sheet name="2.1 Post-WACC" sheetId="19" r:id="rId12"/>
    <sheet name="3. FINANCIALS &gt;&gt;&gt;&gt;" sheetId="25" r:id="rId13"/>
    <sheet name="3.1 Growth Ratio" sheetId="37" r:id="rId14"/>
    <sheet name="3.2 Balance Sheet" sheetId="12" r:id="rId15"/>
    <sheet name="3.3 Income Statement" sheetId="11" r:id="rId16"/>
    <sheet name="3.4 Cash Flow Statement" sheetId="13" r:id="rId17"/>
    <sheet name="4. VALUATION &gt;&gt;&gt;&gt;" sheetId="27" r:id="rId18"/>
    <sheet name="4.1 Combined Free Cash Flow" sheetId="36" r:id="rId19"/>
    <sheet name="4.2 Free Cash Flow + Synergies " sheetId="14" r:id="rId20"/>
    <sheet name="4.3 Synergies Simulator" sheetId="29" r:id="rId21"/>
    <sheet name="4.4 Revenue Synergy" sheetId="34" r:id="rId22"/>
    <sheet name="4.5 Cost of Sale Synergy" sheetId="46" r:id="rId23"/>
    <sheet name="4.6 R&amp;D Synergy" sheetId="35" r:id="rId24"/>
  </sheets>
  <externalReferences>
    <externalReference r:id="rId25"/>
    <externalReference r:id="rId26"/>
    <externalReference r:id="rId27"/>
    <externalReference r:id="rId28"/>
  </externalReferences>
  <definedNames>
    <definedName name="acq">[1]Assumptions!$H$8</definedName>
    <definedName name="acq_fye">[1]Assumptions!$H$32</definedName>
    <definedName name="acq_price">[1]Assumptions!$J$11</definedName>
    <definedName name="assume">[1]Assumptions!$T$11</definedName>
    <definedName name="base_year">[2]Control!$D$11</definedName>
    <definedName name="case">[1]Assumptions!$T$7</definedName>
    <definedName name="cash_rate">[1]Assumptions!$T$20</definedName>
    <definedName name="circ">[2]Control!$D$13</definedName>
    <definedName name="curr">[2]Control!$D$9</definedName>
    <definedName name="debt_rate">[1]Assumptions!$T$16</definedName>
    <definedName name="eps">[1]Assumptions!$T$41</definedName>
    <definedName name="fees">[1]Assumptions!$T$24</definedName>
    <definedName name="libor">[3]LBO!$AF$34</definedName>
    <definedName name="min_cash">[1]Assumptions!$T$21</definedName>
    <definedName name="pct_cash">[1]Assumptions!$T$8</definedName>
    <definedName name="project">[2]Control!$D$5</definedName>
    <definedName name="ScenarioSelection">'[4]Table of Contents'!$J$1:$J$3</definedName>
    <definedName name="sec_338">[1]Assumptions!$T$13</definedName>
    <definedName name="synergies">[1]Assumptions!$T$28</definedName>
    <definedName name="tax_rate">[1]Assumptions!$T$39</definedName>
    <definedName name="tgt">[1]Assumptions!$L$8</definedName>
    <definedName name="tgt_price">[1]Assumptions!$N$11</definedName>
    <definedName name="type">[1]Assumptions!$T$12</definedName>
    <definedName name="year">[1]Assumptions!$T$40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2" i="29" l="1"/>
  <c r="D35" i="29" s="1"/>
  <c r="E32" i="29"/>
  <c r="E35" i="29" s="1"/>
  <c r="F32" i="29"/>
  <c r="F35" i="29" s="1"/>
  <c r="G32" i="29"/>
  <c r="G35" i="29" s="1"/>
  <c r="C32" i="29"/>
  <c r="C35" i="29" s="1"/>
  <c r="D31" i="29"/>
  <c r="D34" i="29" s="1"/>
  <c r="E31" i="29"/>
  <c r="E34" i="29" s="1"/>
  <c r="F31" i="29"/>
  <c r="F34" i="29" s="1"/>
  <c r="G31" i="29"/>
  <c r="G34" i="29" s="1"/>
  <c r="C31" i="29"/>
  <c r="C34" i="29" s="1"/>
  <c r="D30" i="29"/>
  <c r="D33" i="29" s="1"/>
  <c r="E30" i="29"/>
  <c r="E33" i="29" s="1"/>
  <c r="F30" i="29"/>
  <c r="F33" i="29" s="1"/>
  <c r="G30" i="29"/>
  <c r="G33" i="29" s="1"/>
  <c r="C30" i="29"/>
  <c r="C33" i="29" s="1"/>
  <c r="C20" i="29" l="1"/>
  <c r="C22" i="29" s="1"/>
  <c r="C19" i="29"/>
  <c r="K50" i="44" l="1"/>
  <c r="I36" i="44"/>
  <c r="H36" i="44"/>
  <c r="G36" i="44"/>
  <c r="F36" i="44"/>
  <c r="E36" i="44"/>
  <c r="I47" i="44"/>
  <c r="G47" i="44"/>
  <c r="F47" i="44"/>
  <c r="E47" i="44"/>
  <c r="I45" i="44"/>
  <c r="H45" i="44"/>
  <c r="G45" i="44"/>
  <c r="F45" i="44"/>
  <c r="E45" i="44"/>
  <c r="G13" i="44" l="1"/>
  <c r="G18" i="44"/>
  <c r="M50" i="44"/>
  <c r="L50" i="44"/>
  <c r="N50" i="44"/>
  <c r="E28" i="44"/>
  <c r="E32" i="44" s="1"/>
  <c r="E39" i="44" s="1"/>
  <c r="I28" i="44"/>
  <c r="I32" i="44" s="1"/>
  <c r="I39" i="44" s="1"/>
  <c r="H28" i="44"/>
  <c r="H32" i="44" s="1"/>
  <c r="H39" i="44" s="1"/>
  <c r="G28" i="44"/>
  <c r="G46" i="44" s="1"/>
  <c r="F28" i="44"/>
  <c r="F32" i="44" s="1"/>
  <c r="F39" i="44" s="1"/>
  <c r="F18" i="44"/>
  <c r="E18" i="44"/>
  <c r="I18" i="44"/>
  <c r="H18" i="44"/>
  <c r="D48" i="44"/>
  <c r="H13" i="44"/>
  <c r="H47" i="44"/>
  <c r="E13" i="44"/>
  <c r="I13" i="44"/>
  <c r="F13" i="44"/>
  <c r="F46" i="44" l="1"/>
  <c r="E46" i="44"/>
  <c r="G32" i="44"/>
  <c r="G39" i="44" s="1"/>
  <c r="G21" i="44"/>
  <c r="G44" i="44"/>
  <c r="G48" i="44" s="1"/>
  <c r="H46" i="44"/>
  <c r="I46" i="44"/>
  <c r="I21" i="44"/>
  <c r="I40" i="44" s="1"/>
  <c r="I44" i="44"/>
  <c r="H44" i="44"/>
  <c r="H48" i="44" s="1"/>
  <c r="H21" i="44"/>
  <c r="H40" i="44" s="1"/>
  <c r="E21" i="44"/>
  <c r="E40" i="44" s="1"/>
  <c r="E44" i="44"/>
  <c r="E48" i="44" s="1"/>
  <c r="E50" i="44" s="1"/>
  <c r="F44" i="44"/>
  <c r="F48" i="44" s="1"/>
  <c r="F21" i="44"/>
  <c r="F40" i="44" s="1"/>
  <c r="G40" i="44" l="1"/>
  <c r="F50" i="44"/>
  <c r="I48" i="44"/>
  <c r="J50" i="44" s="1"/>
  <c r="H50" i="44"/>
  <c r="G50" i="44"/>
  <c r="I50" i="44" l="1"/>
  <c r="S43" i="42"/>
  <c r="M19" i="42"/>
  <c r="K19" i="42"/>
  <c r="M21" i="42"/>
  <c r="L25" i="42"/>
  <c r="K25" i="42"/>
  <c r="J25" i="42"/>
  <c r="I25" i="42"/>
  <c r="K28" i="42" l="1"/>
  <c r="K15" i="42"/>
  <c r="L10" i="42"/>
  <c r="L19" i="42"/>
  <c r="K10" i="42"/>
  <c r="K21" i="42"/>
  <c r="K22" i="42" s="1"/>
  <c r="I21" i="42"/>
  <c r="N30" i="42"/>
  <c r="R30" i="42" s="1"/>
  <c r="H11" i="13" s="1"/>
  <c r="H25" i="36" s="1"/>
  <c r="H32" i="14" s="1"/>
  <c r="F47" i="42"/>
  <c r="D40" i="36" s="1"/>
  <c r="L28" i="42"/>
  <c r="L21" i="42"/>
  <c r="L22" i="42" s="1"/>
  <c r="I19" i="42"/>
  <c r="I29" i="42"/>
  <c r="M29" i="42"/>
  <c r="D8" i="12"/>
  <c r="K16" i="42"/>
  <c r="J29" i="42"/>
  <c r="I28" i="42"/>
  <c r="J10" i="42"/>
  <c r="K26" i="42"/>
  <c r="L26" i="42"/>
  <c r="M23" i="42"/>
  <c r="J21" i="42"/>
  <c r="K23" i="42" s="1"/>
  <c r="J15" i="42"/>
  <c r="J16" i="42"/>
  <c r="J19" i="42"/>
  <c r="I15" i="42"/>
  <c r="I22" i="42"/>
  <c r="M15" i="42"/>
  <c r="M10" i="42"/>
  <c r="M22" i="42"/>
  <c r="M25" i="42"/>
  <c r="I33" i="42"/>
  <c r="J26" i="42"/>
  <c r="L16" i="42"/>
  <c r="M28" i="42"/>
  <c r="K29" i="42"/>
  <c r="M16" i="42"/>
  <c r="J28" i="42"/>
  <c r="L29" i="42"/>
  <c r="P43" i="42"/>
  <c r="N27" i="42"/>
  <c r="Q43" i="42"/>
  <c r="F49" i="42"/>
  <c r="L15" i="42"/>
  <c r="R43" i="42"/>
  <c r="O43" i="42"/>
  <c r="K33" i="42" l="1"/>
  <c r="L33" i="42"/>
  <c r="S30" i="42"/>
  <c r="I11" i="13" s="1"/>
  <c r="I25" i="36" s="1"/>
  <c r="I32" i="14" s="1"/>
  <c r="P30" i="42"/>
  <c r="F11" i="13" s="1"/>
  <c r="F25" i="36" s="1"/>
  <c r="F32" i="14" s="1"/>
  <c r="Q30" i="42"/>
  <c r="G11" i="13" s="1"/>
  <c r="G25" i="36" s="1"/>
  <c r="G32" i="14" s="1"/>
  <c r="O30" i="42"/>
  <c r="E11" i="13" s="1"/>
  <c r="E25" i="36" s="1"/>
  <c r="E32" i="14" s="1"/>
  <c r="N18" i="42"/>
  <c r="Q19" i="42" s="1"/>
  <c r="L23" i="42"/>
  <c r="M33" i="42"/>
  <c r="D52" i="36"/>
  <c r="D46" i="14"/>
  <c r="D59" i="14" s="1"/>
  <c r="O27" i="42"/>
  <c r="F8" i="12" s="1"/>
  <c r="E8" i="12"/>
  <c r="M26" i="42"/>
  <c r="N25" i="42" s="1"/>
  <c r="O25" i="42" s="1"/>
  <c r="J33" i="42"/>
  <c r="J22" i="42"/>
  <c r="J23" i="42"/>
  <c r="N7" i="42"/>
  <c r="O19" i="42" l="1"/>
  <c r="R19" i="42"/>
  <c r="S19" i="42"/>
  <c r="P19" i="42"/>
  <c r="D60" i="14"/>
  <c r="D61" i="14" s="1"/>
  <c r="D58" i="14"/>
  <c r="D57" i="14" s="1"/>
  <c r="D56" i="14" s="1"/>
  <c r="D51" i="36"/>
  <c r="D50" i="36" s="1"/>
  <c r="D49" i="36" s="1"/>
  <c r="D53" i="36"/>
  <c r="D54" i="36" s="1"/>
  <c r="D55" i="36" s="1"/>
  <c r="P27" i="42"/>
  <c r="G8" i="12" s="1"/>
  <c r="O28" i="42"/>
  <c r="N12" i="42"/>
  <c r="O12" i="42" s="1"/>
  <c r="P12" i="42" s="1"/>
  <c r="Q12" i="42" s="1"/>
  <c r="R12" i="42" s="1"/>
  <c r="S12" i="42" s="1"/>
  <c r="Q10" i="42"/>
  <c r="S10" i="42"/>
  <c r="O10" i="42"/>
  <c r="R10" i="42"/>
  <c r="O9" i="42"/>
  <c r="P9" i="42" s="1"/>
  <c r="Q9" i="42" s="1"/>
  <c r="R9" i="42" s="1"/>
  <c r="S9" i="42" s="1"/>
  <c r="N14" i="42"/>
  <c r="O14" i="42" s="1"/>
  <c r="P10" i="42"/>
  <c r="O7" i="42"/>
  <c r="P7" i="42" s="1"/>
  <c r="Q7" i="42" s="1"/>
  <c r="R7" i="42" s="1"/>
  <c r="S7" i="42" s="1"/>
  <c r="Q27" i="42"/>
  <c r="H8" i="12" s="1"/>
  <c r="O26" i="42"/>
  <c r="P25" i="42"/>
  <c r="P28" i="42" l="1"/>
  <c r="Q28" i="42"/>
  <c r="R27" i="42"/>
  <c r="I8" i="12" s="1"/>
  <c r="O15" i="42"/>
  <c r="P14" i="42"/>
  <c r="O16" i="42"/>
  <c r="O18" i="42"/>
  <c r="O21" i="42" s="1"/>
  <c r="P26" i="42"/>
  <c r="Q25" i="42"/>
  <c r="O33" i="42" l="1"/>
  <c r="G41" i="42" s="1"/>
  <c r="O41" i="42" s="1"/>
  <c r="O22" i="42"/>
  <c r="O23" i="42"/>
  <c r="S27" i="42"/>
  <c r="S28" i="42" s="1"/>
  <c r="R28" i="42"/>
  <c r="Q26" i="42"/>
  <c r="R25" i="42"/>
  <c r="P16" i="42"/>
  <c r="Q14" i="42"/>
  <c r="P15" i="42"/>
  <c r="P18" i="42"/>
  <c r="P21" i="42" s="1"/>
  <c r="P33" i="42" l="1"/>
  <c r="H41" i="42" s="1"/>
  <c r="P41" i="42" s="1"/>
  <c r="P23" i="42"/>
  <c r="P22" i="42"/>
  <c r="R26" i="42"/>
  <c r="S25" i="42"/>
  <c r="S26" i="42" s="1"/>
  <c r="Q15" i="42"/>
  <c r="Q16" i="42"/>
  <c r="R14" i="42"/>
  <c r="Q18" i="42"/>
  <c r="Q21" i="42" s="1"/>
  <c r="Q33" i="42" l="1"/>
  <c r="I41" i="42" s="1"/>
  <c r="Q41" i="42" s="1"/>
  <c r="Q22" i="42"/>
  <c r="Q23" i="42"/>
  <c r="S14" i="42"/>
  <c r="R16" i="42"/>
  <c r="R15" i="42"/>
  <c r="R18" i="42"/>
  <c r="R21" i="42" s="1"/>
  <c r="R23" i="42" l="1"/>
  <c r="R33" i="42"/>
  <c r="J41" i="42" s="1"/>
  <c r="R41" i="42" s="1"/>
  <c r="R22" i="42"/>
  <c r="S15" i="42"/>
  <c r="S16" i="42"/>
  <c r="S18" i="42"/>
  <c r="S21" i="42" s="1"/>
  <c r="S33" i="42" l="1"/>
  <c r="K41" i="42" s="1"/>
  <c r="S22" i="42"/>
  <c r="S23" i="42"/>
  <c r="N14" i="41"/>
  <c r="M14" i="41"/>
  <c r="L14" i="41"/>
  <c r="K14" i="41"/>
  <c r="J14" i="41"/>
  <c r="J15" i="11"/>
  <c r="I15" i="11"/>
  <c r="H15" i="11"/>
  <c r="G15" i="11"/>
  <c r="F15" i="11"/>
  <c r="F8" i="13" s="1"/>
  <c r="E15" i="11"/>
  <c r="E8" i="13" s="1"/>
  <c r="E11" i="11"/>
  <c r="E9" i="11"/>
  <c r="E12" i="40"/>
  <c r="F15" i="41" l="1"/>
  <c r="I8" i="13"/>
  <c r="H24" i="14"/>
  <c r="H16" i="36"/>
  <c r="I24" i="14"/>
  <c r="I16" i="36"/>
  <c r="G8" i="13"/>
  <c r="F24" i="14"/>
  <c r="F16" i="36"/>
  <c r="H8" i="13"/>
  <c r="G24" i="14"/>
  <c r="G16" i="36"/>
  <c r="G14" i="41"/>
  <c r="E16" i="41"/>
  <c r="I16" i="41"/>
  <c r="Y13" i="41"/>
  <c r="Y14" i="41" s="1"/>
  <c r="H14" i="41"/>
  <c r="G15" i="41"/>
  <c r="E10" i="11"/>
  <c r="U13" i="41"/>
  <c r="U14" i="41" s="1"/>
  <c r="E8" i="11"/>
  <c r="F12" i="40"/>
  <c r="F13" i="40" s="1"/>
  <c r="G12" i="40"/>
  <c r="G16" i="40" s="1"/>
  <c r="G17" i="40" s="1"/>
  <c r="H12" i="40"/>
  <c r="H16" i="40" s="1"/>
  <c r="H17" i="40" s="1"/>
  <c r="F44" i="42"/>
  <c r="F48" i="42" s="1"/>
  <c r="F50" i="42" s="1"/>
  <c r="S41" i="42"/>
  <c r="F16" i="41"/>
  <c r="K20" i="41"/>
  <c r="M23" i="41"/>
  <c r="L24" i="41"/>
  <c r="V13" i="41"/>
  <c r="V14" i="41" s="1"/>
  <c r="W13" i="41"/>
  <c r="W17" i="41" s="1"/>
  <c r="W18" i="41" s="1"/>
  <c r="E14" i="41"/>
  <c r="I14" i="41"/>
  <c r="H15" i="41"/>
  <c r="G16" i="41"/>
  <c r="N23" i="41"/>
  <c r="X13" i="41"/>
  <c r="X17" i="41" s="1"/>
  <c r="X18" i="41" s="1"/>
  <c r="F14" i="41"/>
  <c r="E15" i="41"/>
  <c r="I15" i="41"/>
  <c r="H16" i="41"/>
  <c r="L20" i="41"/>
  <c r="K24" i="41"/>
  <c r="M20" i="41"/>
  <c r="K23" i="41"/>
  <c r="M24" i="41"/>
  <c r="J20" i="41"/>
  <c r="N20" i="41"/>
  <c r="L23" i="41"/>
  <c r="J24" i="41"/>
  <c r="N24" i="41"/>
  <c r="J23" i="41"/>
  <c r="E13" i="40"/>
  <c r="E16" i="40"/>
  <c r="E17" i="40" s="1"/>
  <c r="I12" i="40"/>
  <c r="M16" i="41" l="1"/>
  <c r="F52" i="42"/>
  <c r="Y17" i="41"/>
  <c r="Y18" i="41" s="1"/>
  <c r="N16" i="41"/>
  <c r="W14" i="41"/>
  <c r="F16" i="40"/>
  <c r="F17" i="40" s="1"/>
  <c r="V17" i="41"/>
  <c r="V18" i="41" s="1"/>
  <c r="X14" i="41"/>
  <c r="J16" i="41"/>
  <c r="H13" i="40"/>
  <c r="H8" i="11"/>
  <c r="J12" i="40"/>
  <c r="J13" i="40" s="1"/>
  <c r="E12" i="11"/>
  <c r="E16" i="11" s="1"/>
  <c r="E17" i="11" s="1"/>
  <c r="K16" i="41"/>
  <c r="AA13" i="41" s="1"/>
  <c r="U17" i="41"/>
  <c r="U18" i="41" s="1"/>
  <c r="L16" i="41"/>
  <c r="G13" i="40"/>
  <c r="F11" i="11"/>
  <c r="F9" i="11"/>
  <c r="F8" i="11"/>
  <c r="I16" i="40"/>
  <c r="I17" i="40" s="1"/>
  <c r="I13" i="40"/>
  <c r="G9" i="11"/>
  <c r="Z13" i="41" l="1"/>
  <c r="Z17" i="41" s="1"/>
  <c r="Z18" i="41" s="1"/>
  <c r="E13" i="11"/>
  <c r="E15" i="37"/>
  <c r="K12" i="40"/>
  <c r="K16" i="40" s="1"/>
  <c r="J16" i="40"/>
  <c r="F10" i="11"/>
  <c r="E14" i="37" s="1"/>
  <c r="G8" i="11"/>
  <c r="F13" i="37" s="1"/>
  <c r="G11" i="11"/>
  <c r="E13" i="37"/>
  <c r="AB13" i="41"/>
  <c r="AB17" i="41" s="1"/>
  <c r="AB18" i="41" s="1"/>
  <c r="K15" i="41"/>
  <c r="J15" i="41"/>
  <c r="AA17" i="41"/>
  <c r="AA18" i="41" s="1"/>
  <c r="AA14" i="41"/>
  <c r="H11" i="11"/>
  <c r="G15" i="37" s="1"/>
  <c r="H9" i="11"/>
  <c r="G13" i="37" s="1"/>
  <c r="I8" i="11"/>
  <c r="Z14" i="41" l="1"/>
  <c r="G10" i="11"/>
  <c r="F14" i="37" s="1"/>
  <c r="K17" i="40"/>
  <c r="F18" i="36"/>
  <c r="F21" i="36" s="1"/>
  <c r="K13" i="40"/>
  <c r="F15" i="37"/>
  <c r="J17" i="40"/>
  <c r="E18" i="36"/>
  <c r="E21" i="36" s="1"/>
  <c r="F12" i="11"/>
  <c r="G12" i="11"/>
  <c r="AB14" i="41"/>
  <c r="L12" i="40"/>
  <c r="L13" i="40" s="1"/>
  <c r="AC13" i="41"/>
  <c r="L15" i="41"/>
  <c r="H10" i="11"/>
  <c r="J8" i="11"/>
  <c r="I11" i="11"/>
  <c r="H15" i="37" s="1"/>
  <c r="I9" i="11"/>
  <c r="H13" i="37" s="1"/>
  <c r="L16" i="40" l="1"/>
  <c r="AC14" i="41"/>
  <c r="AC17" i="41"/>
  <c r="AC18" i="41" s="1"/>
  <c r="H12" i="11"/>
  <c r="G14" i="37"/>
  <c r="M12" i="40"/>
  <c r="M13" i="40" s="1"/>
  <c r="M15" i="41"/>
  <c r="I10" i="11"/>
  <c r="J11" i="11"/>
  <c r="I15" i="37" s="1"/>
  <c r="J9" i="11"/>
  <c r="I13" i="37" s="1"/>
  <c r="M16" i="40" l="1"/>
  <c r="H18" i="36" s="1"/>
  <c r="H21" i="36" s="1"/>
  <c r="N12" i="40"/>
  <c r="N13" i="40" s="1"/>
  <c r="L17" i="40"/>
  <c r="G18" i="36"/>
  <c r="G21" i="36" s="1"/>
  <c r="I12" i="11"/>
  <c r="H14" i="37"/>
  <c r="N15" i="41"/>
  <c r="J10" i="11"/>
  <c r="AD13" i="41"/>
  <c r="M17" i="40" l="1"/>
  <c r="N16" i="40"/>
  <c r="N17" i="40" s="1"/>
  <c r="J12" i="11"/>
  <c r="I14" i="37"/>
  <c r="AD14" i="41"/>
  <c r="AD17" i="41"/>
  <c r="AD18" i="41" s="1"/>
  <c r="F23" i="37"/>
  <c r="G23" i="37"/>
  <c r="H23" i="37"/>
  <c r="I23" i="37"/>
  <c r="E23" i="37"/>
  <c r="E22" i="37"/>
  <c r="I18" i="36" l="1"/>
  <c r="I21" i="36" s="1"/>
  <c r="D6" i="34"/>
  <c r="E6" i="34"/>
  <c r="F6" i="34"/>
  <c r="G6" i="34"/>
  <c r="C6" i="34"/>
  <c r="F12" i="37"/>
  <c r="G12" i="37"/>
  <c r="H12" i="37"/>
  <c r="I12" i="37"/>
  <c r="E12" i="37"/>
  <c r="C21" i="19" l="1"/>
  <c r="C20" i="19"/>
  <c r="C18" i="19"/>
  <c r="C9" i="19"/>
  <c r="E9" i="19"/>
  <c r="C17" i="19" l="1"/>
  <c r="C19" i="19" s="1"/>
  <c r="C22" i="19"/>
  <c r="C10" i="46" l="1"/>
  <c r="D45" i="14"/>
  <c r="I55" i="14" s="1"/>
  <c r="D39" i="36"/>
  <c r="I48" i="36" s="1"/>
  <c r="C10" i="35"/>
  <c r="C10" i="34"/>
  <c r="G11" i="14"/>
  <c r="H11" i="14"/>
  <c r="H48" i="36" l="1"/>
  <c r="G48" i="36" s="1"/>
  <c r="F48" i="36" s="1"/>
  <c r="E48" i="36" s="1"/>
  <c r="J48" i="36"/>
  <c r="K48" i="36" s="1"/>
  <c r="L48" i="36" s="1"/>
  <c r="M48" i="36" s="1"/>
  <c r="H55" i="14"/>
  <c r="G55" i="14" s="1"/>
  <c r="F55" i="14" s="1"/>
  <c r="E55" i="14" s="1"/>
  <c r="J55" i="14"/>
  <c r="K55" i="14" s="1"/>
  <c r="L55" i="14" s="1"/>
  <c r="M55" i="14" s="1"/>
  <c r="G7" i="34"/>
  <c r="D7" i="34"/>
  <c r="F7" i="34"/>
  <c r="E7" i="34"/>
  <c r="C7" i="34"/>
  <c r="I11" i="14"/>
  <c r="F11" i="14"/>
  <c r="E11" i="14"/>
  <c r="G8" i="34" l="1"/>
  <c r="F12" i="36"/>
  <c r="G12" i="36"/>
  <c r="H12" i="36"/>
  <c r="I12" i="36"/>
  <c r="F13" i="36"/>
  <c r="G13" i="36"/>
  <c r="H13" i="36"/>
  <c r="I13" i="36"/>
  <c r="E12" i="36"/>
  <c r="E13" i="36"/>
  <c r="I23" i="36"/>
  <c r="H23" i="36"/>
  <c r="G23" i="36"/>
  <c r="F23" i="36"/>
  <c r="E23" i="36"/>
  <c r="E16" i="36"/>
  <c r="E10" i="36"/>
  <c r="F30" i="14"/>
  <c r="G30" i="14"/>
  <c r="H30" i="14"/>
  <c r="I30" i="14"/>
  <c r="E24" i="14"/>
  <c r="E30" i="14"/>
  <c r="E10" i="14"/>
  <c r="E12" i="14" s="1"/>
  <c r="M8" i="14" l="1"/>
  <c r="C5" i="35"/>
  <c r="C6" i="35" s="1"/>
  <c r="E19" i="14"/>
  <c r="E13" i="14"/>
  <c r="C5" i="46" s="1"/>
  <c r="C6" i="46" s="1"/>
  <c r="E16" i="14"/>
  <c r="E20" i="14" l="1"/>
  <c r="E14" i="14"/>
  <c r="F19" i="37"/>
  <c r="B9" i="1"/>
  <c r="C9" i="1"/>
  <c r="D9" i="1"/>
  <c r="E9" i="1"/>
  <c r="F9" i="1"/>
  <c r="B10" i="1"/>
  <c r="C10" i="1"/>
  <c r="D10" i="1"/>
  <c r="E10" i="1"/>
  <c r="F10" i="1"/>
  <c r="B11" i="1"/>
  <c r="C11" i="1"/>
  <c r="D11" i="1"/>
  <c r="E11" i="1"/>
  <c r="F11" i="1"/>
  <c r="H11" i="1"/>
  <c r="I11" i="1"/>
  <c r="J11" i="1"/>
  <c r="K11" i="1"/>
  <c r="G11" i="1"/>
  <c r="L11" i="1"/>
  <c r="H10" i="1"/>
  <c r="I10" i="1"/>
  <c r="J10" i="1"/>
  <c r="K10" i="1"/>
  <c r="G10" i="1"/>
  <c r="H9" i="1"/>
  <c r="G9" i="1"/>
  <c r="I9" i="1"/>
  <c r="L9" i="1" s="1"/>
  <c r="J9" i="1"/>
  <c r="K9" i="1"/>
  <c r="L10" i="1" l="1"/>
  <c r="E19" i="37"/>
  <c r="E10" i="12"/>
  <c r="E24" i="36" s="1"/>
  <c r="E31" i="14" s="1"/>
  <c r="E15" i="14"/>
  <c r="E11" i="36"/>
  <c r="F22" i="37"/>
  <c r="E14" i="36" l="1"/>
  <c r="E17" i="36" s="1"/>
  <c r="E27" i="36" s="1"/>
  <c r="E18" i="14"/>
  <c r="E21" i="14" s="1"/>
  <c r="F10" i="14"/>
  <c r="F12" i="14" s="1"/>
  <c r="F10" i="36"/>
  <c r="G22" i="37"/>
  <c r="F13" i="11"/>
  <c r="F16" i="11"/>
  <c r="F17" i="11" s="1"/>
  <c r="H22" i="37"/>
  <c r="D5" i="35" l="1"/>
  <c r="D6" i="35" s="1"/>
  <c r="F13" i="14"/>
  <c r="D5" i="46" s="1"/>
  <c r="D6" i="46" s="1"/>
  <c r="F16" i="14"/>
  <c r="F19" i="14"/>
  <c r="E22" i="14"/>
  <c r="E25" i="14" s="1"/>
  <c r="F10" i="12"/>
  <c r="F24" i="36" s="1"/>
  <c r="F31" i="14" s="1"/>
  <c r="G19" i="37"/>
  <c r="G13" i="11"/>
  <c r="F11" i="36"/>
  <c r="G10" i="14"/>
  <c r="G12" i="14" s="1"/>
  <c r="G10" i="36"/>
  <c r="E29" i="36"/>
  <c r="I22" i="37"/>
  <c r="F20" i="14" l="1"/>
  <c r="F21" i="14" s="1"/>
  <c r="F14" i="14"/>
  <c r="F15" i="14" s="1"/>
  <c r="F18" i="14" s="1"/>
  <c r="E5" i="35"/>
  <c r="E6" i="35" s="1"/>
  <c r="G13" i="14"/>
  <c r="E5" i="46" s="1"/>
  <c r="E6" i="46" s="1"/>
  <c r="G19" i="14"/>
  <c r="G16" i="14"/>
  <c r="F14" i="36"/>
  <c r="F17" i="36" s="1"/>
  <c r="F27" i="36" s="1"/>
  <c r="G16" i="11"/>
  <c r="G17" i="11" s="1"/>
  <c r="G10" i="12"/>
  <c r="G24" i="36" s="1"/>
  <c r="G31" i="14" s="1"/>
  <c r="H19" i="37"/>
  <c r="G11" i="36"/>
  <c r="G14" i="36" s="1"/>
  <c r="G17" i="36" s="1"/>
  <c r="H10" i="14"/>
  <c r="H12" i="14" s="1"/>
  <c r="H10" i="36"/>
  <c r="H16" i="11"/>
  <c r="H13" i="11"/>
  <c r="F22" i="14" l="1"/>
  <c r="F25" i="14" s="1"/>
  <c r="G20" i="14"/>
  <c r="G21" i="14" s="1"/>
  <c r="G27" i="36"/>
  <c r="G29" i="36" s="1"/>
  <c r="G14" i="14"/>
  <c r="G15" i="14" s="1"/>
  <c r="G18" i="14" s="1"/>
  <c r="F5" i="35"/>
  <c r="F6" i="35" s="1"/>
  <c r="H19" i="14"/>
  <c r="H13" i="14"/>
  <c r="F5" i="46" s="1"/>
  <c r="F6" i="46" s="1"/>
  <c r="H16" i="14"/>
  <c r="H10" i="12"/>
  <c r="H24" i="36" s="1"/>
  <c r="H31" i="14" s="1"/>
  <c r="I19" i="37"/>
  <c r="F29" i="36"/>
  <c r="H11" i="36"/>
  <c r="I10" i="36"/>
  <c r="I10" i="14"/>
  <c r="I12" i="14" s="1"/>
  <c r="I10" i="12"/>
  <c r="I24" i="36" s="1"/>
  <c r="I31" i="14" s="1"/>
  <c r="H17" i="11"/>
  <c r="I16" i="11"/>
  <c r="I13" i="11"/>
  <c r="H20" i="14" l="1"/>
  <c r="H21" i="14" s="1"/>
  <c r="G5" i="35"/>
  <c r="I13" i="14"/>
  <c r="G5" i="46" s="1"/>
  <c r="G6" i="46" s="1"/>
  <c r="I19" i="14"/>
  <c r="I16" i="14"/>
  <c r="G22" i="14"/>
  <c r="G25" i="14" s="1"/>
  <c r="H14" i="14"/>
  <c r="H15" i="14" s="1"/>
  <c r="H18" i="14" s="1"/>
  <c r="H14" i="36"/>
  <c r="H17" i="36" s="1"/>
  <c r="H27" i="36" s="1"/>
  <c r="I11" i="36"/>
  <c r="I17" i="11"/>
  <c r="J16" i="11"/>
  <c r="J13" i="11"/>
  <c r="I20" i="14" l="1"/>
  <c r="I21" i="14" s="1"/>
  <c r="G6" i="35"/>
  <c r="H22" i="14"/>
  <c r="H25" i="14" s="1"/>
  <c r="I14" i="14"/>
  <c r="I15" i="14" s="1"/>
  <c r="I18" i="14" s="1"/>
  <c r="H29" i="36"/>
  <c r="I14" i="36"/>
  <c r="I17" i="36" s="1"/>
  <c r="I27" i="36" s="1"/>
  <c r="J17" i="11"/>
  <c r="G7" i="35" l="1"/>
  <c r="M10" i="14" s="1"/>
  <c r="G7" i="46"/>
  <c r="I22" i="14"/>
  <c r="I25" i="14" s="1"/>
  <c r="I28" i="14" s="1"/>
  <c r="I34" i="14" s="1"/>
  <c r="I29" i="36"/>
  <c r="E53" i="36" s="1"/>
  <c r="E28" i="14"/>
  <c r="E34" i="14" s="1"/>
  <c r="G28" i="14"/>
  <c r="G34" i="14" s="1"/>
  <c r="F28" i="14"/>
  <c r="F34" i="14" s="1"/>
  <c r="H28" i="14"/>
  <c r="H34" i="14" s="1"/>
  <c r="M9" i="14" l="1"/>
  <c r="M51" i="36"/>
  <c r="H55" i="36"/>
  <c r="J51" i="36"/>
  <c r="K49" i="36"/>
  <c r="M54" i="36"/>
  <c r="M53" i="36"/>
  <c r="F49" i="36"/>
  <c r="J49" i="36"/>
  <c r="H54" i="36"/>
  <c r="E54" i="36"/>
  <c r="F53" i="36"/>
  <c r="J54" i="36"/>
  <c r="H49" i="36"/>
  <c r="L49" i="36"/>
  <c r="K55" i="36"/>
  <c r="E52" i="36"/>
  <c r="H52" i="36"/>
  <c r="J55" i="36"/>
  <c r="I51" i="36"/>
  <c r="G52" i="36"/>
  <c r="E50" i="36"/>
  <c r="G53" i="36"/>
  <c r="L51" i="36"/>
  <c r="M52" i="36"/>
  <c r="H53" i="36"/>
  <c r="F55" i="36"/>
  <c r="I54" i="36"/>
  <c r="G55" i="36"/>
  <c r="L50" i="36"/>
  <c r="J53" i="36"/>
  <c r="L54" i="36"/>
  <c r="E49" i="36"/>
  <c r="I31" i="36"/>
  <c r="E51" i="36"/>
  <c r="F52" i="36"/>
  <c r="J52" i="36"/>
  <c r="K53" i="36"/>
  <c r="L52" i="36"/>
  <c r="I50" i="36"/>
  <c r="L53" i="36"/>
  <c r="F51" i="36"/>
  <c r="G49" i="36"/>
  <c r="K51" i="36"/>
  <c r="K52" i="36"/>
  <c r="M49" i="36"/>
  <c r="G51" i="36"/>
  <c r="M50" i="36"/>
  <c r="G54" i="36"/>
  <c r="G50" i="36"/>
  <c r="K54" i="36"/>
  <c r="K50" i="36"/>
  <c r="L55" i="36"/>
  <c r="F54" i="36"/>
  <c r="F50" i="36"/>
  <c r="J50" i="36"/>
  <c r="I55" i="36"/>
  <c r="H50" i="36"/>
  <c r="H51" i="36"/>
  <c r="M55" i="36"/>
  <c r="I53" i="36"/>
  <c r="E55" i="36"/>
  <c r="I49" i="36"/>
  <c r="I52" i="36"/>
  <c r="I30" i="36"/>
  <c r="E36" i="14"/>
  <c r="I32" i="36" l="1"/>
  <c r="D48" i="36" s="1"/>
  <c r="F36" i="14"/>
  <c r="G36" i="14" l="1"/>
  <c r="H36" i="14" l="1"/>
  <c r="I36" i="14" l="1"/>
  <c r="G13" i="35"/>
  <c r="I38" i="14" l="1"/>
  <c r="F61" i="14"/>
  <c r="K59" i="14"/>
  <c r="E60" i="14"/>
  <c r="J56" i="14"/>
  <c r="F59" i="14"/>
  <c r="K56" i="14"/>
  <c r="J61" i="14"/>
  <c r="H59" i="14"/>
  <c r="F57" i="14"/>
  <c r="M56" i="14"/>
  <c r="J58" i="14"/>
  <c r="K61" i="14"/>
  <c r="I59" i="14"/>
  <c r="G57" i="14"/>
  <c r="E56" i="14"/>
  <c r="L61" i="14"/>
  <c r="J59" i="14"/>
  <c r="H57" i="14"/>
  <c r="H60" i="14"/>
  <c r="L56" i="14"/>
  <c r="L59" i="14"/>
  <c r="J57" i="14"/>
  <c r="I61" i="14"/>
  <c r="F60" i="14"/>
  <c r="K57" i="14"/>
  <c r="G60" i="14"/>
  <c r="L57" i="14"/>
  <c r="E61" i="14"/>
  <c r="I57" i="14"/>
  <c r="M59" i="14"/>
  <c r="M61" i="14"/>
  <c r="E59" i="14"/>
  <c r="G59" i="14"/>
  <c r="I60" i="14"/>
  <c r="G58" i="14"/>
  <c r="E57" i="14"/>
  <c r="L60" i="14"/>
  <c r="H56" i="14"/>
  <c r="J60" i="14"/>
  <c r="H58" i="14"/>
  <c r="F56" i="14"/>
  <c r="E58" i="14"/>
  <c r="K60" i="14"/>
  <c r="I58" i="14"/>
  <c r="G56" i="14"/>
  <c r="F58" i="14"/>
  <c r="M60" i="14"/>
  <c r="K58" i="14"/>
  <c r="I56" i="14"/>
  <c r="G61" i="14"/>
  <c r="L58" i="14"/>
  <c r="H61" i="14"/>
  <c r="M58" i="14"/>
  <c r="M57" i="14"/>
  <c r="I37" i="14"/>
  <c r="I39" i="14" l="1"/>
  <c r="C5" i="29" s="1"/>
  <c r="C6" i="29" s="1"/>
  <c r="C8" i="29" s="1"/>
  <c r="D55" i="14" l="1"/>
  <c r="C23"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Marc</author>
  </authors>
  <commentList>
    <comment ref="N27" authorId="0" shapeId="0" xr:uid="{8525DF0B-2B11-42FF-A5FD-A364887ECE68}">
      <text>
        <r>
          <rPr>
            <b/>
            <sz val="8"/>
            <color indexed="81"/>
            <rFont val="Tahoma"/>
            <family val="2"/>
          </rPr>
          <t>Marc:</t>
        </r>
        <r>
          <rPr>
            <sz val="8"/>
            <color indexed="81"/>
            <rFont val="Tahoma"/>
            <family val="2"/>
          </rPr>
          <t xml:space="preserve">
Based on the strong and continous volatility in the Net Working Capital, we decided to assume a relatively constant rate for the future, to have a better basis for our analysis</t>
        </r>
      </text>
    </comment>
    <comment ref="J29" authorId="0" shapeId="0" xr:uid="{6375F6A5-C35A-4110-A337-51EC2A0797C9}">
      <text>
        <r>
          <rPr>
            <b/>
            <sz val="8"/>
            <color indexed="81"/>
            <rFont val="Tahoma"/>
            <family val="2"/>
          </rPr>
          <t>Marc:</t>
        </r>
        <r>
          <rPr>
            <sz val="8"/>
            <color indexed="81"/>
            <rFont val="Tahoma"/>
            <family val="2"/>
          </rPr>
          <t xml:space="preserve">
Due to an extraordinary increase in Net Working Capital, we left out the change from 1997-1998 and take the average of the other actual periods and form an average in % to have a more realistic growth rate
</t>
        </r>
      </text>
    </comment>
    <comment ref="I30" authorId="0" shapeId="0" xr:uid="{6F01AE4B-4262-4046-B82F-27DBFA90E0E1}">
      <text>
        <r>
          <rPr>
            <b/>
            <sz val="8"/>
            <color indexed="81"/>
            <rFont val="Tahoma"/>
            <family val="2"/>
          </rPr>
          <t>Marc:</t>
        </r>
        <r>
          <rPr>
            <sz val="8"/>
            <color indexed="81"/>
            <rFont val="Tahoma"/>
            <family val="2"/>
          </rPr>
          <t xml:space="preserve">
Here we took the Property Plant and Equipment Net value; depending on how the values develop, we should potentially change to the normal P&amp;PE values (missing after 1997, therefore we would have to get them again!)</t>
        </r>
      </text>
    </comment>
    <comment ref="N30" authorId="0" shapeId="0" xr:uid="{7208D2D9-290D-45AB-974E-18418925F333}">
      <text>
        <r>
          <rPr>
            <b/>
            <sz val="8"/>
            <color indexed="81"/>
            <rFont val="Tahoma"/>
            <family val="2"/>
          </rPr>
          <t>Marc:</t>
        </r>
        <r>
          <rPr>
            <sz val="8"/>
            <color indexed="81"/>
            <rFont val="Tahoma"/>
            <family val="2"/>
          </rPr>
          <t xml:space="preserve">
Due to an extremely volatile development of CAPX over a historical period, we decided to use the Median, with an adequate value.</t>
        </r>
      </text>
    </comment>
    <comment ref="F47" authorId="0" shapeId="0" xr:uid="{0E5B2F57-21FF-4F86-8393-493E01992A7A}">
      <text>
        <r>
          <rPr>
            <b/>
            <sz val="8"/>
            <color indexed="81"/>
            <rFont val="Tahoma"/>
            <family val="2"/>
          </rPr>
          <t>Marc:</t>
        </r>
        <r>
          <rPr>
            <sz val="8"/>
            <color indexed="81"/>
            <rFont val="Tahoma"/>
            <family val="2"/>
          </rPr>
          <t xml:space="preserve">
Pfizer Inc. has on a historcally basis tendency to outperform the GDP Growth rate, therefore GDP growth rate average is increaingly weighted</t>
        </r>
      </text>
    </comment>
  </commentList>
</comments>
</file>

<file path=xl/sharedStrings.xml><?xml version="1.0" encoding="utf-8"?>
<sst xmlns="http://schemas.openxmlformats.org/spreadsheetml/2006/main" count="893" uniqueCount="419">
  <si>
    <t>Total Assets</t>
  </si>
  <si>
    <t>Equity</t>
  </si>
  <si>
    <t>LT Debt</t>
  </si>
  <si>
    <t>Debt/Assets</t>
  </si>
  <si>
    <t>D/(D+E)</t>
  </si>
  <si>
    <t>(€ million)</t>
  </si>
  <si>
    <t>source Annual reports SANOFI 2011, 2012, 2013, 2014, 2015</t>
  </si>
  <si>
    <t>D/E</t>
  </si>
  <si>
    <t>Income Statement</t>
  </si>
  <si>
    <t>Projections</t>
  </si>
  <si>
    <t>Sales</t>
  </si>
  <si>
    <t>Selling, general &amp; administrative</t>
  </si>
  <si>
    <t>EBITDA</t>
  </si>
  <si>
    <t>% margin</t>
  </si>
  <si>
    <t>Depreciation &amp; amortization</t>
  </si>
  <si>
    <t>EBIT</t>
  </si>
  <si>
    <t>Cost of sales</t>
  </si>
  <si>
    <t>R&amp;D expenses</t>
  </si>
  <si>
    <t>Total current assets</t>
  </si>
  <si>
    <t>Cash Flow Statement</t>
  </si>
  <si>
    <t>Capex</t>
  </si>
  <si>
    <t>Unlevered Free Cash Flow</t>
  </si>
  <si>
    <t>Year (t)</t>
  </si>
  <si>
    <t>EBIT*(1-Tax rate)</t>
  </si>
  <si>
    <t xml:space="preserve">Δ net Working Capital </t>
  </si>
  <si>
    <t>- Cash and Cash equivalents</t>
  </si>
  <si>
    <t xml:space="preserve"> -Total curent liabilities</t>
  </si>
  <si>
    <t xml:space="preserve">NET NON-CASH WORKING CAPITAL </t>
  </si>
  <si>
    <t>Operating Working Capital</t>
  </si>
  <si>
    <t>FCF</t>
  </si>
  <si>
    <t>Effective tax rate</t>
  </si>
  <si>
    <t>EV</t>
  </si>
  <si>
    <t>Sales growth</t>
  </si>
  <si>
    <t>Unleverd FCF</t>
  </si>
  <si>
    <t>PV of UFCF</t>
  </si>
  <si>
    <t xml:space="preserve">Δ NET NON-CASH WORKING CAPITAL </t>
  </si>
  <si>
    <t>+ Short-term debt and current portion of long-term debt</t>
  </si>
  <si>
    <t>TV</t>
  </si>
  <si>
    <t>Depreciation &amp; amortization*</t>
    <phoneticPr fontId="13" type="noConversion"/>
  </si>
  <si>
    <t>Sensitivity Analysis</t>
    <phoneticPr fontId="14" type="noConversion"/>
  </si>
  <si>
    <t>WACC</t>
    <phoneticPr fontId="14" type="noConversion"/>
  </si>
  <si>
    <t>WACC</t>
    <phoneticPr fontId="13" type="noConversion"/>
  </si>
  <si>
    <t>Potential synergies</t>
  </si>
  <si>
    <t>Valuation techniques</t>
  </si>
  <si>
    <t>Net potential synergies</t>
  </si>
  <si>
    <t>Year 1</t>
  </si>
  <si>
    <t>Year 2</t>
  </si>
  <si>
    <t>Year 3</t>
  </si>
  <si>
    <t>Year 4</t>
  </si>
  <si>
    <t>Possible revenues added</t>
  </si>
  <si>
    <t>Discounted revenues</t>
  </si>
  <si>
    <t>Sum of discounted revenues</t>
  </si>
  <si>
    <t>Discounted value</t>
  </si>
  <si>
    <t>Year 5</t>
  </si>
  <si>
    <t xml:space="preserve">Total </t>
  </si>
  <si>
    <t>Terminal Value</t>
  </si>
  <si>
    <t>Revenue</t>
    <phoneticPr fontId="13" type="noConversion"/>
  </si>
  <si>
    <t>Revenue Synergy</t>
    <phoneticPr fontId="13" type="noConversion"/>
  </si>
  <si>
    <t>Adj. Revenue</t>
    <phoneticPr fontId="13" type="noConversion"/>
  </si>
  <si>
    <t xml:space="preserve">  Cost of sales</t>
    <phoneticPr fontId="13" type="noConversion"/>
  </si>
  <si>
    <t xml:space="preserve">  Cost of sales Synergy</t>
    <phoneticPr fontId="13" type="noConversion"/>
  </si>
  <si>
    <t>Adj. Cost of sales</t>
    <phoneticPr fontId="13" type="noConversion"/>
  </si>
  <si>
    <t xml:space="preserve">  SG&amp;A</t>
    <phoneticPr fontId="13" type="noConversion"/>
  </si>
  <si>
    <t>Adj. SG&amp;A</t>
    <phoneticPr fontId="13" type="noConversion"/>
  </si>
  <si>
    <t xml:space="preserve">  R&amp;D</t>
    <phoneticPr fontId="13" type="noConversion"/>
  </si>
  <si>
    <t xml:space="preserve">  R&amp;D Synergy</t>
    <phoneticPr fontId="13" type="noConversion"/>
  </si>
  <si>
    <t>Adj. R&amp;D</t>
    <phoneticPr fontId="13" type="noConversion"/>
  </si>
  <si>
    <t>Adj. EBITDA</t>
    <phoneticPr fontId="13" type="noConversion"/>
  </si>
  <si>
    <t>Adj. EBIT</t>
    <phoneticPr fontId="13" type="noConversion"/>
  </si>
  <si>
    <t>Cost of sales</t>
    <phoneticPr fontId="13" type="noConversion"/>
  </si>
  <si>
    <t>SG&amp;A</t>
    <phoneticPr fontId="13" type="noConversion"/>
  </si>
  <si>
    <t>R&amp;D</t>
    <phoneticPr fontId="13" type="noConversion"/>
  </si>
  <si>
    <t>EBITDA</t>
    <phoneticPr fontId="13" type="noConversion"/>
  </si>
  <si>
    <t>EBIT</t>
    <phoneticPr fontId="13" type="noConversion"/>
  </si>
  <si>
    <t>Adj. EBIT*(1-Tax rate)</t>
    <phoneticPr fontId="13" type="noConversion"/>
  </si>
  <si>
    <t>Cash From Operating Activities</t>
  </si>
  <si>
    <t>Cash From Investing Activities</t>
  </si>
  <si>
    <t>Capital Expenditures</t>
  </si>
  <si>
    <t>2002E</t>
    <phoneticPr fontId="14" type="noConversion"/>
  </si>
  <si>
    <t>2003E</t>
  </si>
  <si>
    <t>2004E</t>
  </si>
  <si>
    <t>2005E</t>
  </si>
  <si>
    <t>2006E</t>
  </si>
  <si>
    <t>WACC</t>
    <phoneticPr fontId="14" type="noConversion"/>
  </si>
  <si>
    <t>Year</t>
    <phoneticPr fontId="14" type="noConversion"/>
  </si>
  <si>
    <t>Source:https://www.sec.gov/Archives/edgar/data/67686/000095012302009108/y64098e425.htm</t>
    <phoneticPr fontId="14" type="noConversion"/>
  </si>
  <si>
    <t xml:space="preserve">            ftp://ftp.zew.de/pub/zew-docs/dp/dp11035.pdf</t>
    <phoneticPr fontId="14" type="noConversion"/>
  </si>
  <si>
    <t>Perpetuity growth rate</t>
    <phoneticPr fontId="14" type="noConversion"/>
  </si>
  <si>
    <t>Pharmacia value of control</t>
    <phoneticPr fontId="14" type="noConversion"/>
  </si>
  <si>
    <t>Source:https://www.sec.gov/Archives/edgar/data/67686/000095012302009108/y64098e425.htm</t>
    <phoneticPr fontId="14" type="noConversion"/>
  </si>
  <si>
    <t xml:space="preserve">            http://money.cnn.com/2002/07/15/news/deals/pfizer/index.htm</t>
    <phoneticPr fontId="14" type="noConversion"/>
  </si>
  <si>
    <t xml:space="preserve">            https://www.tandfonline.com/doi/pdf/10.1517/13543784.12.1.1</t>
    <phoneticPr fontId="14" type="noConversion"/>
  </si>
  <si>
    <t>Pfizer</t>
    <phoneticPr fontId="14" type="noConversion"/>
  </si>
  <si>
    <t>Pharmacia</t>
    <phoneticPr fontId="14" type="noConversion"/>
  </si>
  <si>
    <t>Market consensus</t>
  </si>
  <si>
    <t>Stand alone Pfizer</t>
    <phoneticPr fontId="14" type="noConversion"/>
  </si>
  <si>
    <t>Stand alone Pharmacia</t>
    <phoneticPr fontId="14" type="noConversion"/>
  </si>
  <si>
    <t>Postmerger</t>
    <phoneticPr fontId="14" type="noConversion"/>
  </si>
  <si>
    <t>Year</t>
    <phoneticPr fontId="14" type="noConversion"/>
  </si>
  <si>
    <t>Enterprise Value</t>
    <phoneticPr fontId="14" type="noConversion"/>
  </si>
  <si>
    <t>Debt</t>
    <phoneticPr fontId="14" type="noConversion"/>
  </si>
  <si>
    <t>Equity</t>
    <phoneticPr fontId="14" type="noConversion"/>
  </si>
  <si>
    <t>Postmerger Firm</t>
    <phoneticPr fontId="14" type="noConversion"/>
  </si>
  <si>
    <t>Pfizer</t>
    <phoneticPr fontId="14" type="noConversion"/>
  </si>
  <si>
    <t>Unlevered Beta</t>
    <phoneticPr fontId="14" type="noConversion"/>
  </si>
  <si>
    <t>Levered Beta</t>
    <phoneticPr fontId="14" type="noConversion"/>
  </si>
  <si>
    <t>Unlevered Beta</t>
    <phoneticPr fontId="14" type="noConversion"/>
  </si>
  <si>
    <t>Marginal Tax rate</t>
    <phoneticPr fontId="14" type="noConversion"/>
  </si>
  <si>
    <t>Combined D/E ratio</t>
    <phoneticPr fontId="14" type="noConversion"/>
  </si>
  <si>
    <t>Levered Beta</t>
    <phoneticPr fontId="14" type="noConversion"/>
  </si>
  <si>
    <t>Cost of Equity</t>
    <phoneticPr fontId="14" type="noConversion"/>
  </si>
  <si>
    <t>After Tax Cost of Debt</t>
    <phoneticPr fontId="14" type="noConversion"/>
  </si>
  <si>
    <t>WACC</t>
    <phoneticPr fontId="14" type="noConversion"/>
  </si>
  <si>
    <t>Value of Synergy from Revenue</t>
    <phoneticPr fontId="14" type="noConversion"/>
  </si>
  <si>
    <t>Assumptions</t>
  </si>
  <si>
    <t>Actual</t>
  </si>
  <si>
    <t>Operating assumptions - Stable growth</t>
    <phoneticPr fontId="14" type="noConversion"/>
  </si>
  <si>
    <t>Income statement</t>
  </si>
  <si>
    <t>NA</t>
  </si>
  <si>
    <t>COGS as % of sales</t>
  </si>
  <si>
    <t>SG&amp;A, Others as % of sales</t>
    <phoneticPr fontId="14" type="noConversion"/>
  </si>
  <si>
    <t>R&amp;D as % of sales</t>
  </si>
  <si>
    <t>Balance Sheet</t>
  </si>
  <si>
    <t>NC-WC as % of sales</t>
  </si>
  <si>
    <t>D&amp;A as % of sales</t>
    <phoneticPr fontId="14" type="noConversion"/>
  </si>
  <si>
    <t>Capex as % of sales</t>
    <phoneticPr fontId="14" type="noConversion"/>
  </si>
  <si>
    <t>Projections</t>
    <phoneticPr fontId="14" type="noConversion"/>
  </si>
  <si>
    <t>Projections</t>
    <phoneticPr fontId="13" type="noConversion"/>
  </si>
  <si>
    <t>Actual</t>
    <phoneticPr fontId="13" type="noConversion"/>
  </si>
  <si>
    <t>Pharmacia LLC</t>
    <phoneticPr fontId="14" type="noConversion"/>
  </si>
  <si>
    <t>Selling, general &amp; administrative and others</t>
    <phoneticPr fontId="14" type="noConversion"/>
  </si>
  <si>
    <t>Depreciation &amp; amortization*</t>
  </si>
  <si>
    <t>Pfizer Inc. US</t>
  </si>
  <si>
    <t>Operating assumptions - Stable growth</t>
    <phoneticPr fontId="16" type="noConversion"/>
  </si>
  <si>
    <t>SG&amp;A</t>
  </si>
  <si>
    <t>SG&amp;A, Others as % of sales</t>
    <phoneticPr fontId="16" type="noConversion"/>
  </si>
  <si>
    <t>D&amp;A as % of sales</t>
    <phoneticPr fontId="16" type="noConversion"/>
  </si>
  <si>
    <t>Capex as % of sales</t>
    <phoneticPr fontId="16" type="noConversion"/>
  </si>
  <si>
    <t>FY 1997 A</t>
  </si>
  <si>
    <t>FY 1998 A</t>
  </si>
  <si>
    <t>FY 1999 A</t>
  </si>
  <si>
    <t xml:space="preserve">FY 2000 A </t>
  </si>
  <si>
    <t>FY 2001 A</t>
  </si>
  <si>
    <t>Est. Growth Rates</t>
  </si>
  <si>
    <t>FY 2002 E</t>
  </si>
  <si>
    <t>FY 2003 E</t>
  </si>
  <si>
    <t>FY 2004 E</t>
  </si>
  <si>
    <t>FY 2005 E</t>
  </si>
  <si>
    <t>FY 2006 E</t>
  </si>
  <si>
    <t>Revenues</t>
  </si>
  <si>
    <t>(+) Other Operating Income</t>
  </si>
  <si>
    <t>(-) Operating Expenses</t>
  </si>
  <si>
    <t>Revenue Growth (y-o-y)</t>
  </si>
  <si>
    <t>Depreciation &amp; Amortization</t>
  </si>
  <si>
    <t>Operating Income</t>
  </si>
  <si>
    <t>Operating Income Margin</t>
  </si>
  <si>
    <t>Operating Income Growth</t>
  </si>
  <si>
    <t>Taxes</t>
  </si>
  <si>
    <t>Average Tax Rate</t>
  </si>
  <si>
    <t>Net Income</t>
  </si>
  <si>
    <t>Net Income Margin</t>
  </si>
  <si>
    <t>Net Income Growth</t>
  </si>
  <si>
    <t>(+) Depreciation &amp; Amortization</t>
  </si>
  <si>
    <t>%-Change D&amp;A</t>
  </si>
  <si>
    <t xml:space="preserve">Net Working Capital </t>
  </si>
  <si>
    <t>(-) Change in Net Working Capital</t>
  </si>
  <si>
    <t>%-Change in Net Working Capital</t>
  </si>
  <si>
    <t>(-) CAPEX</t>
  </si>
  <si>
    <t>Free Cash Flow</t>
  </si>
  <si>
    <t>NWC 1996</t>
  </si>
  <si>
    <t>Projected Cash Flows</t>
  </si>
  <si>
    <t>WACC</t>
  </si>
  <si>
    <t>Discounted Cash Flows</t>
  </si>
  <si>
    <t>Present Value of Free Cash Flow</t>
  </si>
  <si>
    <t>Discounting Period</t>
  </si>
  <si>
    <t>Present Value of Pfizer Inc.</t>
  </si>
  <si>
    <t>Discounting Factor</t>
  </si>
  <si>
    <t>Free cash flow terminal year</t>
  </si>
  <si>
    <t>Inflation rate (as of 12/2001)</t>
  </si>
  <si>
    <t>GDP growth rate (as of 12/2001)</t>
  </si>
  <si>
    <t>Perpetuity growth rate</t>
  </si>
  <si>
    <t>Discount Factor</t>
  </si>
  <si>
    <t>PV of Terminal Value</t>
  </si>
  <si>
    <t>Enterprise Value (EV)</t>
  </si>
  <si>
    <t>Share Price (in $)</t>
  </si>
  <si>
    <t>Source: own calculations</t>
  </si>
  <si>
    <t>Cash Flow Statement</t>
    <phoneticPr fontId="14" type="noConversion"/>
  </si>
  <si>
    <t>Capital Expenditures</t>
    <phoneticPr fontId="14" type="noConversion"/>
  </si>
  <si>
    <t>Balance Sheet</t>
    <phoneticPr fontId="14" type="noConversion"/>
  </si>
  <si>
    <t>Assets</t>
  </si>
  <si>
    <t xml:space="preserve">Cash &amp; cash equivalents </t>
    <phoneticPr fontId="14" type="noConversion"/>
  </si>
  <si>
    <t>Short-Term Investments</t>
    <phoneticPr fontId="14" type="noConversion"/>
  </si>
  <si>
    <t>Inventory</t>
  </si>
  <si>
    <t>Accounts receivable</t>
  </si>
  <si>
    <t>Other current assets</t>
  </si>
  <si>
    <t>PP&amp;E</t>
  </si>
  <si>
    <t>Goodwill</t>
  </si>
  <si>
    <t>Other fixed assets</t>
  </si>
  <si>
    <t>Total fixed assets</t>
  </si>
  <si>
    <t>Assets held for sale of exchange</t>
  </si>
  <si>
    <t>Total assets</t>
  </si>
  <si>
    <t>Equity and Liabilities</t>
  </si>
  <si>
    <t>Accounts payable</t>
  </si>
  <si>
    <t>Short-term debt and current portion of long-term debt</t>
  </si>
  <si>
    <t>Other current liabilities</t>
  </si>
  <si>
    <t>Total current libailities</t>
  </si>
  <si>
    <t>Long-term debt</t>
  </si>
  <si>
    <t>Other non-current liabilities</t>
  </si>
  <si>
    <t>Total liabilities</t>
  </si>
  <si>
    <t>Equity attributable to equity holders of the Company</t>
  </si>
  <si>
    <t>Minority interests</t>
  </si>
  <si>
    <t>Total equity</t>
  </si>
  <si>
    <t>Liabilities related to assets held for sale or exchange</t>
  </si>
  <si>
    <t>Total equity and liabilities</t>
  </si>
  <si>
    <t>check</t>
  </si>
  <si>
    <t>NA</t>
    <phoneticPr fontId="13" type="noConversion"/>
  </si>
  <si>
    <t>Announced  Total Purchase Value</t>
    <phoneticPr fontId="14" type="noConversion"/>
  </si>
  <si>
    <t xml:space="preserve">Δ NET NON-CASH WORKING CAPITAL </t>
    <phoneticPr fontId="14" type="noConversion"/>
  </si>
  <si>
    <t>*This figur shows that if the purchase price is "fair". If it is positive, then the target company is underpaid. If it is negative, then the target company is overpaid.</t>
    <phoneticPr fontId="14" type="noConversion"/>
  </si>
  <si>
    <t>Perpetuity growth rate*</t>
    <phoneticPr fontId="14" type="noConversion"/>
  </si>
  <si>
    <t>* It's a little higher than Pfizer standing alone, becaues we believe this case is acrrective.</t>
    <phoneticPr fontId="14" type="noConversion"/>
  </si>
  <si>
    <t>* It's also higher than combined case without synergies, becaues we think throught the synergies the growth rate would also be higher</t>
    <phoneticPr fontId="14" type="noConversion"/>
  </si>
  <si>
    <t>Reality consensus</t>
    <phoneticPr fontId="14" type="noConversion"/>
  </si>
  <si>
    <t>Revenue</t>
  </si>
  <si>
    <t>Cost of Sales as % of sales</t>
    <phoneticPr fontId="14" type="noConversion"/>
  </si>
  <si>
    <t>Cost of Sale as % of Sales</t>
    <phoneticPr fontId="14" type="noConversion"/>
  </si>
  <si>
    <t>2002A</t>
    <phoneticPr fontId="14" type="noConversion"/>
  </si>
  <si>
    <t>2003A</t>
  </si>
  <si>
    <t>2004A</t>
  </si>
  <si>
    <t>2005A</t>
  </si>
  <si>
    <t>2006A</t>
  </si>
  <si>
    <t>Pfizer Inc (PFE US) - Adjusted</t>
  </si>
  <si>
    <t>In Millions of USD except Per Share</t>
  </si>
  <si>
    <t>FY 1997</t>
  </si>
  <si>
    <t>FY 1998</t>
  </si>
  <si>
    <t>FY 1999</t>
  </si>
  <si>
    <t>FY 2000</t>
  </si>
  <si>
    <t>FY 2001</t>
  </si>
  <si>
    <t>FY 2002</t>
  </si>
  <si>
    <t>FY 2003</t>
  </si>
  <si>
    <t>FY 2004</t>
  </si>
  <si>
    <t>FY 2005</t>
  </si>
  <si>
    <t>FY 2006</t>
  </si>
  <si>
    <t>FY 2007</t>
  </si>
  <si>
    <t>FY 2008</t>
  </si>
  <si>
    <t>FY 2009</t>
  </si>
  <si>
    <t>FY 2010</t>
  </si>
  <si>
    <t>FY 2011</t>
  </si>
  <si>
    <t>FY 2012</t>
  </si>
  <si>
    <t>FY 2013</t>
  </si>
  <si>
    <t>FY 2014</t>
  </si>
  <si>
    <t>FY 2015</t>
  </si>
  <si>
    <t>FY 2016</t>
  </si>
  <si>
    <t>FY 2017</t>
  </si>
  <si>
    <t>12 Months Ending</t>
  </si>
  <si>
    <t>12/31/1997</t>
  </si>
  <si>
    <t>12/31/1998</t>
  </si>
  <si>
    <t>12/31/1999</t>
  </si>
  <si>
    <t>12/31/2000</t>
  </si>
  <si>
    <t>12/31/2001</t>
  </si>
  <si>
    <t>12/31/2002</t>
  </si>
  <si>
    <t>12/31/2003</t>
  </si>
  <si>
    <t>12/31/2004</t>
  </si>
  <si>
    <t>12/31/2005</t>
  </si>
  <si>
    <t>12/31/2006</t>
  </si>
  <si>
    <t>12/31/2007</t>
  </si>
  <si>
    <t>12/31/2008</t>
  </si>
  <si>
    <t>12/31/2009</t>
  </si>
  <si>
    <t>12/31/2010</t>
  </si>
  <si>
    <t>12/31/2011</t>
  </si>
  <si>
    <t>12/31/2012</t>
  </si>
  <si>
    <t>12/31/2013</t>
  </si>
  <si>
    <t>12/31/2014</t>
  </si>
  <si>
    <t>12/31/2015</t>
  </si>
  <si>
    <t>12/31/2016</t>
  </si>
  <si>
    <t>12/31/2017</t>
  </si>
  <si>
    <t xml:space="preserve">    + Sales &amp; Services Revenue</t>
  </si>
  <si>
    <t>—</t>
  </si>
  <si>
    <t xml:space="preserve">  - Cost of Revenue</t>
  </si>
  <si>
    <t xml:space="preserve">    + Cost of Goods &amp; Services</t>
  </si>
  <si>
    <t>Gross Profit</t>
  </si>
  <si>
    <t xml:space="preserve">  + Other Operating Income</t>
  </si>
  <si>
    <t xml:space="preserve">  - Operating Expenses</t>
  </si>
  <si>
    <t xml:space="preserve">    + Selling, General &amp; Admin</t>
  </si>
  <si>
    <t xml:space="preserve">    + Research &amp; Development</t>
  </si>
  <si>
    <t xml:space="preserve">    + Other Operating Expense</t>
  </si>
  <si>
    <t>Operating Income (Loss)</t>
  </si>
  <si>
    <t xml:space="preserve">  - Non-Operating (Income) Loss</t>
  </si>
  <si>
    <t xml:space="preserve">    + Interest Expense, Net</t>
  </si>
  <si>
    <t xml:space="preserve">    + Interest Expense</t>
  </si>
  <si>
    <t xml:space="preserve">    - Interest Income</t>
  </si>
  <si>
    <t xml:space="preserve">    + Foreign Exch (Gain) Loss</t>
  </si>
  <si>
    <t xml:space="preserve">    + Other Non-Op (Income) Loss</t>
  </si>
  <si>
    <t>Pretax Income (Loss), Adjusted</t>
  </si>
  <si>
    <t xml:space="preserve">  - Abnormal Losses (Gains)</t>
  </si>
  <si>
    <t xml:space="preserve">    + Acquired In-Process R&amp;D</t>
  </si>
  <si>
    <t xml:space="preserve">    + Merger/Acquisition Expense</t>
  </si>
  <si>
    <t xml:space="preserve">    + Disposal of Assets</t>
  </si>
  <si>
    <t xml:space="preserve">    + Early Extinguishment of Debt</t>
  </si>
  <si>
    <t xml:space="preserve">    + Asset Write-Down</t>
  </si>
  <si>
    <t xml:space="preserve">    + Impairment of Intangibles</t>
  </si>
  <si>
    <t xml:space="preserve">    + Legal Settlement</t>
  </si>
  <si>
    <t xml:space="preserve">    + Restructuring</t>
  </si>
  <si>
    <t xml:space="preserve">    + Other Abnormal Items</t>
  </si>
  <si>
    <t>Pretax Income (Loss), GAAP</t>
  </si>
  <si>
    <t xml:space="preserve">  - Income Tax Expense (Benefit)</t>
  </si>
  <si>
    <t xml:space="preserve">    + Current Income Tax</t>
  </si>
  <si>
    <t xml:space="preserve">    + Deferred Income Tax</t>
  </si>
  <si>
    <t>Income (Loss) from Cont Ops</t>
  </si>
  <si>
    <t xml:space="preserve">  - Net Extraordinary Losses (Gains)</t>
  </si>
  <si>
    <t xml:space="preserve">    + Discontinued Operations</t>
  </si>
  <si>
    <t xml:space="preserve">    + XO &amp; Accounting Changes</t>
  </si>
  <si>
    <t>Income (Loss) Incl. MI</t>
  </si>
  <si>
    <t xml:space="preserve">  - Minority Interest</t>
  </si>
  <si>
    <t>Net Income, GAAP</t>
  </si>
  <si>
    <t xml:space="preserve">  - Preferred Dividends</t>
  </si>
  <si>
    <t xml:space="preserve">  - Other Adjustments</t>
  </si>
  <si>
    <t>Net Income Avail to Common, GAAP</t>
  </si>
  <si>
    <t>Net Income Avail to Common, Adj</t>
  </si>
  <si>
    <t xml:space="preserve">  Net Abnormal Losses (Gains)</t>
  </si>
  <si>
    <t xml:space="preserve">  Net Extraordinary Losses (Gains)</t>
  </si>
  <si>
    <t>Basic Weighted Avg Shares</t>
  </si>
  <si>
    <t>Basic EPS, GAAP</t>
  </si>
  <si>
    <t>Basic EPS from Cont Ops</t>
  </si>
  <si>
    <t>Basic EPS from Cont Ops, Adjusted</t>
  </si>
  <si>
    <t>Diluted Weighted Avg Shares</t>
  </si>
  <si>
    <t>Diluted EPS, GAAP</t>
  </si>
  <si>
    <t>Diluted EPS from Cont Ops</t>
  </si>
  <si>
    <t>Diluted EPS from Cont Ops, Adjusted</t>
  </si>
  <si>
    <t>Reference Items</t>
  </si>
  <si>
    <t>Accounting Standard</t>
  </si>
  <si>
    <t>US GAAP</t>
  </si>
  <si>
    <t>EBITDA Margin (T12M)</t>
  </si>
  <si>
    <t>EBITA</t>
  </si>
  <si>
    <t>Gross Margin</t>
  </si>
  <si>
    <t>Operating Margin</t>
  </si>
  <si>
    <t>Profit Margin</t>
  </si>
  <si>
    <t>Sales per Employee</t>
  </si>
  <si>
    <t>Dividends per Share</t>
  </si>
  <si>
    <t>Total Cash Common Dividends</t>
  </si>
  <si>
    <t>Capitalized Interest Expense</t>
  </si>
  <si>
    <t>Depreciation Expense</t>
  </si>
  <si>
    <t>Rental Expense</t>
  </si>
  <si>
    <t>Source: Bloomberg</t>
  </si>
  <si>
    <t>Revenue Growth</t>
    <phoneticPr fontId="14" type="noConversion"/>
  </si>
  <si>
    <t>Revenue growth</t>
    <phoneticPr fontId="14" type="noConversion"/>
  </si>
  <si>
    <t>R&amp;D as % of Sales</t>
    <phoneticPr fontId="14" type="noConversion"/>
  </si>
  <si>
    <t>Cost of Sale as % of Sales</t>
    <phoneticPr fontId="14" type="noConversion"/>
  </si>
  <si>
    <t>ΔRevenue Growth*</t>
    <phoneticPr fontId="14" type="noConversion"/>
  </si>
  <si>
    <t>ΔCost of Sale as % of Sales*</t>
    <phoneticPr fontId="14" type="noConversion"/>
  </si>
  <si>
    <t>ΔR&amp;D as % of Sales*</t>
    <phoneticPr fontId="14" type="noConversion"/>
  </si>
  <si>
    <t>*If the field is green, then the synergy is achieved. If the field is red, then the synergy is not achieved. The number shows the difference.</t>
    <phoneticPr fontId="14" type="noConversion"/>
  </si>
  <si>
    <t>Stand alone Pfizer</t>
  </si>
  <si>
    <t>Stand alone Pharmacia</t>
  </si>
  <si>
    <t>Postmerger</t>
  </si>
  <si>
    <t>Pharmacia value of control</t>
  </si>
  <si>
    <t>Possible value added</t>
    <phoneticPr fontId="14" type="noConversion"/>
  </si>
  <si>
    <t>$m</t>
  </si>
  <si>
    <t>$million</t>
  </si>
  <si>
    <t>Announced  Total Purchase Value</t>
  </si>
  <si>
    <t>Market Permium (Control Permium)</t>
  </si>
  <si>
    <t>Potential synergies*</t>
    <phoneticPr fontId="14" type="noConversion"/>
  </si>
  <si>
    <t>*including value of control</t>
    <phoneticPr fontId="14" type="noConversion"/>
  </si>
  <si>
    <t>undervalued by 8.7%</t>
  </si>
  <si>
    <t xml:space="preserve">            http://people.stern.nyu.edu/jbilders/Pdf/pfizer2002ar.pdf</t>
    <phoneticPr fontId="14" type="noConversion"/>
  </si>
  <si>
    <t>Adjust. EBIT*</t>
    <phoneticPr fontId="14" type="noConversion"/>
  </si>
  <si>
    <t>* Estimation using the number from the Income Statement - Adjusted of Bloomberg Terminal from 1997A to 2001A</t>
    <phoneticPr fontId="14" type="noConversion"/>
  </si>
  <si>
    <t xml:space="preserve">  SG&amp;A Synergy*</t>
    <phoneticPr fontId="13" type="noConversion"/>
  </si>
  <si>
    <t>*No Adjustments because we don't have enough information for SG&amp;A part, which could be the further study of this case</t>
    <phoneticPr fontId="13" type="noConversion"/>
  </si>
  <si>
    <t xml:space="preserve">            Press Relase:http://www.evaluategroup.com/Universal/View.aspx?type=Story&amp;id=28400</t>
    <phoneticPr fontId="14" type="noConversion"/>
  </si>
  <si>
    <t>Acquiring Firm*</t>
    <phoneticPr fontId="14" type="noConversion"/>
  </si>
  <si>
    <t>Target Firm*</t>
    <phoneticPr fontId="14" type="noConversion"/>
  </si>
  <si>
    <t>*From Bloomberg 2001A</t>
    <phoneticPr fontId="14" type="noConversion"/>
  </si>
  <si>
    <t>*Possible reason for not achieving the synergies:</t>
    <phoneticPr fontId="14" type="noConversion"/>
  </si>
  <si>
    <t xml:space="preserve">Cost of Sale: In the reality, with respect to employment effects, a decrease in the number of employees worldwide after the merger is evident: in 2004 this number has decreased by 18.4% in comparison to 2002. In other studies, it has been stated that employment in the merged company on average reduces by 8-13% after the merger. Therefore, there must be other effect, like due to the influence of ther mergers from Pfizer or due to the increase in the overall costs of raw material or labor costs.
</t>
    <phoneticPr fontId="14" type="noConversion"/>
  </si>
  <si>
    <t>R&amp;D: In the realty, it can be stated that post-merger, Pfizer has not significantly reduced its R&amp;D expenditures. This indicates that the R&amp;D activity remains on a similar level as before the merger. The talks with industry insiders also confirmed this finding: R&amp;D competition has neither strengthened nor weakened due to the merger. The effect that there is one competitor less in the market is countered by the fact that the larger firm can also tackle larger research projects which were not within the realms of possibility for either one of the two firms before the merger.</t>
    <phoneticPr fontId="14" type="noConversion"/>
  </si>
  <si>
    <t>All in all, the cost synergies are easily to achieve. No one in M&amp;A takes revenue syneries seriously because they are so hard to perdict. Cost synergies are taken a bit more seriously because it's more straightforward to see how buildings and locations might be consolidated and how many redundant employees might be eliminated.</t>
    <phoneticPr fontId="14" type="noConversion"/>
  </si>
  <si>
    <t xml:space="preserve">              Overview</t>
    <phoneticPr fontId="14" type="noConversion"/>
  </si>
  <si>
    <t>Income Statement Pharmacia</t>
    <phoneticPr fontId="14" type="noConversion"/>
  </si>
  <si>
    <t>Balance Sheet Pharmacia</t>
    <phoneticPr fontId="14" type="noConversion"/>
  </si>
  <si>
    <t>Balance Sheet Pharmacia</t>
    <phoneticPr fontId="14" type="noConversion"/>
  </si>
  <si>
    <t>Income Statement Pfizer</t>
    <phoneticPr fontId="14" type="noConversion"/>
  </si>
  <si>
    <t>DCF Analysis Pfizer</t>
    <phoneticPr fontId="14" type="noConversion"/>
  </si>
  <si>
    <t>Post-WACC</t>
    <phoneticPr fontId="14" type="noConversion"/>
  </si>
  <si>
    <t>Growth Ratio</t>
    <phoneticPr fontId="14" type="noConversion"/>
  </si>
  <si>
    <t>Balance Sheet</t>
    <phoneticPr fontId="13" type="noConversion"/>
  </si>
  <si>
    <t>Income Statement</t>
    <phoneticPr fontId="13" type="noConversion"/>
  </si>
  <si>
    <t>Cash Flow Statement</t>
    <phoneticPr fontId="13" type="noConversion"/>
  </si>
  <si>
    <t xml:space="preserve"> Combined Free Cash Flow</t>
    <phoneticPr fontId="14" type="noConversion"/>
  </si>
  <si>
    <t xml:space="preserve">Free Cash Flow + Synergies </t>
    <phoneticPr fontId="13" type="noConversion"/>
  </si>
  <si>
    <t>Synergies Simulator</t>
    <phoneticPr fontId="14" type="noConversion"/>
  </si>
  <si>
    <t>Revenue Synergy</t>
    <phoneticPr fontId="14" type="noConversion"/>
  </si>
  <si>
    <t>Cost of Sale Synergy</t>
    <phoneticPr fontId="14" type="noConversion"/>
  </si>
  <si>
    <t>R&amp;D Synergy</t>
    <phoneticPr fontId="14" type="noConversion"/>
  </si>
  <si>
    <t xml:space="preserve">*from Cash Flow Statement  </t>
  </si>
  <si>
    <t>Finance and Economics of M&amp;A</t>
  </si>
  <si>
    <t>Acquisition of Pharmacia Corporation by Pfizer Inc.</t>
  </si>
  <si>
    <t>by</t>
  </si>
  <si>
    <t>Marc Schwarz</t>
  </si>
  <si>
    <t>EBS Universität für Wirtschaft und Recht</t>
  </si>
  <si>
    <t>Spring Term 2018</t>
  </si>
  <si>
    <t>R&amp;D Synergy</t>
    <phoneticPr fontId="13" type="noConversion"/>
  </si>
  <si>
    <t>Cost of sales Synergy</t>
    <phoneticPr fontId="13" type="noConversion"/>
  </si>
  <si>
    <t>Revenue Synergy</t>
    <phoneticPr fontId="13" type="noConversion"/>
  </si>
  <si>
    <t>Post-Merger Valuation</t>
  </si>
  <si>
    <t>mUSD</t>
  </si>
  <si>
    <t>In Millions of USD</t>
  </si>
  <si>
    <t>Possible value added</t>
    <phoneticPr fontId="14" type="noConversion"/>
  </si>
  <si>
    <t>Revenue Synergy</t>
    <phoneticPr fontId="14" type="noConversion"/>
  </si>
  <si>
    <t>Cost of Sale Synergy</t>
    <phoneticPr fontId="14" type="noConversion"/>
  </si>
  <si>
    <t>R&amp;D Synergy</t>
    <phoneticPr fontId="14" type="noConversion"/>
  </si>
  <si>
    <t>EV*</t>
    <phoneticPr fontId="14" type="noConversion"/>
  </si>
  <si>
    <t>*Because this value is much smaller than the sum of two companies stand alone, therefore this result should be discarded. Therefore we use the sum of the two companies stand alone to show the pre-merger value</t>
    <phoneticPr fontId="14" type="noConversion"/>
  </si>
  <si>
    <t>Value of Control</t>
    <phoneticPr fontId="14" type="noConversion"/>
  </si>
  <si>
    <t>Market Premium (Control Premium)</t>
    <phoneticPr fontId="14" type="noConversion"/>
  </si>
  <si>
    <t>2001A</t>
    <phoneticPr fontId="13" type="noConversion"/>
  </si>
  <si>
    <t>Market Premium (Control Premium)</t>
    <phoneticPr fontId="14" type="noConversion"/>
  </si>
  <si>
    <t>ΔPotential Synergies- Market Premium*</t>
    <phoneticPr fontId="14" type="noConversion"/>
  </si>
  <si>
    <t>Perpetuity Growth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</si>
</sst>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 _€_-;\-* #,##0.00\ _€_-;_-* &quot;-&quot;??\ _€_-;_-@_-"/>
    <numFmt numFmtId="164" formatCode="_ * #,##0.00_ ;_ * \-#,##0.00_ ;_ * &quot;-&quot;??_ ;_ @_ "/>
    <numFmt numFmtId="165" formatCode="_(&quot;$&quot;* #,##0.00_);_(&quot;$&quot;* \(#,##0.00\);_(&quot;$&quot;* &quot;-&quot;??_);_(@_)"/>
    <numFmt numFmtId="166" formatCode="0&quot;E&quot;"/>
    <numFmt numFmtId="167" formatCode="0&quot;A&quot;"/>
    <numFmt numFmtId="168" formatCode="#,##0.0_);\ \(#,##0.0\);\-"/>
    <numFmt numFmtId="169" formatCode="#,##0.0%;\ \(#,##0.0\)%;\-"/>
    <numFmt numFmtId="170" formatCode="#,##0.0"/>
    <numFmt numFmtId="171" formatCode="&quot;$&quot;#,##0.00_);[Red]\(&quot;$&quot;#,##0.00\)"/>
    <numFmt numFmtId="172" formatCode="0.0%"/>
    <numFmt numFmtId="173" formatCode="#,##0.00_);\ \(#,##0.00\);\-"/>
    <numFmt numFmtId="174" formatCode="_(* #,##0.00_);_(* \(#,##0.00\);_(* &quot;-&quot;??_);_(@_)"/>
    <numFmt numFmtId="175" formatCode="0.0"/>
    <numFmt numFmtId="176" formatCode="#,##0.0_);\(#,##0.0\)"/>
    <numFmt numFmtId="177" formatCode="0.0000000"/>
    <numFmt numFmtId="178" formatCode="#,##0.0_ "/>
    <numFmt numFmtId="179" formatCode="0.00_);[Red]\(0.00\)"/>
    <numFmt numFmtId="180" formatCode="#,##0_);\ \(#,##0\);\-"/>
    <numFmt numFmtId="181" formatCode="0.0000000000_ "/>
  </numFmts>
  <fonts count="78">
    <font>
      <sz val="11"/>
      <color theme="1"/>
      <name val="Calibri"/>
      <family val="2"/>
      <scheme val="minor"/>
    </font>
    <font>
      <sz val="11"/>
      <color theme="1"/>
      <name val="Calibri"/>
      <family val="2"/>
      <charset val="134"/>
      <scheme val="minor"/>
    </font>
    <font>
      <sz val="11"/>
      <color theme="1"/>
      <name val="Calibri"/>
      <family val="2"/>
      <scheme val="minor"/>
    </font>
    <font>
      <i/>
      <sz val="11"/>
      <color theme="1"/>
      <name val="Calibri"/>
      <family val="2"/>
      <scheme val="minor"/>
    </font>
    <font>
      <sz val="11"/>
      <color theme="4"/>
      <name val="Calibri"/>
      <family val="2"/>
      <scheme val="minor"/>
    </font>
    <font>
      <b/>
      <sz val="11"/>
      <color theme="1"/>
      <name val="Calibri"/>
      <family val="2"/>
      <scheme val="minor"/>
    </font>
    <font>
      <sz val="10"/>
      <name val="Arial"/>
      <family val="2"/>
    </font>
    <font>
      <sz val="10"/>
      <name val="Geneva"/>
    </font>
    <font>
      <b/>
      <sz val="10"/>
      <color indexed="8"/>
      <name val="Arial"/>
      <family val="2"/>
    </font>
    <font>
      <sz val="10"/>
      <color indexed="8"/>
      <name val="Arial"/>
      <family val="2"/>
    </font>
    <font>
      <sz val="10"/>
      <color theme="4"/>
      <name val="Arial"/>
      <family val="2"/>
    </font>
    <font>
      <b/>
      <sz val="10"/>
      <color theme="0"/>
      <name val="Arial"/>
      <family val="2"/>
    </font>
    <font>
      <i/>
      <sz val="10"/>
      <color indexed="8"/>
      <name val="Arial"/>
      <family val="2"/>
    </font>
    <font>
      <sz val="9"/>
      <name val="Calibri"/>
      <family val="2"/>
      <scheme val="minor"/>
    </font>
    <font>
      <sz val="9"/>
      <name val="Calibri"/>
      <family val="3"/>
      <charset val="134"/>
      <scheme val="minor"/>
    </font>
    <font>
      <u/>
      <sz val="11"/>
      <color theme="10"/>
      <name val="Calibri"/>
      <family val="2"/>
      <scheme val="minor"/>
    </font>
    <font>
      <b/>
      <sz val="12"/>
      <color indexed="9"/>
      <name val="Calibri"/>
      <family val="2"/>
      <scheme val="minor"/>
    </font>
    <font>
      <b/>
      <sz val="14"/>
      <color theme="1"/>
      <name val="Calibri"/>
      <family val="2"/>
      <scheme val="minor"/>
    </font>
    <font>
      <b/>
      <sz val="11"/>
      <color theme="0"/>
      <name val="Calibri"/>
      <family val="2"/>
      <scheme val="minor"/>
    </font>
    <font>
      <sz val="11"/>
      <color theme="3" tint="-0.249977111117893"/>
      <name val="Calibri"/>
      <family val="2"/>
      <scheme val="minor"/>
    </font>
    <font>
      <sz val="11"/>
      <color theme="0"/>
      <name val="Calibri"/>
      <family val="2"/>
      <scheme val="minor"/>
    </font>
    <font>
      <b/>
      <sz val="11"/>
      <color theme="3" tint="-0.249977111117893"/>
      <name val="Calibri"/>
      <family val="2"/>
      <scheme val="minor"/>
    </font>
    <font>
      <b/>
      <sz val="10"/>
      <color theme="0"/>
      <name val="Calibri"/>
      <family val="2"/>
      <scheme val="minor"/>
    </font>
    <font>
      <b/>
      <u/>
      <sz val="11"/>
      <color theme="0"/>
      <name val="Calibri"/>
      <family val="2"/>
      <scheme val="minor"/>
    </font>
    <font>
      <u/>
      <sz val="11"/>
      <color theme="0"/>
      <name val="Calibri"/>
      <family val="2"/>
      <scheme val="minor"/>
    </font>
    <font>
      <sz val="10"/>
      <color theme="0"/>
      <name val="Arial"/>
      <family val="2"/>
    </font>
    <font>
      <b/>
      <sz val="10"/>
      <color indexed="9"/>
      <name val="Arial"/>
      <family val="2"/>
    </font>
    <font>
      <b/>
      <sz val="11"/>
      <color rgb="FFFFC000"/>
      <name val="Calibri"/>
      <family val="2"/>
      <scheme val="minor"/>
    </font>
    <font>
      <sz val="10"/>
      <name val="Calibri"/>
      <family val="2"/>
    </font>
    <font>
      <b/>
      <sz val="11"/>
      <color indexed="9"/>
      <name val="Calibri"/>
      <family val="2"/>
    </font>
    <font>
      <sz val="11"/>
      <name val="Calibri"/>
      <family val="2"/>
    </font>
    <font>
      <sz val="10"/>
      <color indexed="63"/>
      <name val="Arial"/>
      <family val="2"/>
    </font>
    <font>
      <b/>
      <sz val="8"/>
      <color indexed="81"/>
      <name val="Tahoma"/>
      <family val="2"/>
    </font>
    <font>
      <sz val="8"/>
      <color indexed="81"/>
      <name val="Tahoma"/>
      <family val="2"/>
    </font>
    <font>
      <b/>
      <sz val="16"/>
      <color indexed="9"/>
      <name val="Arial"/>
      <family val="2"/>
    </font>
    <font>
      <i/>
      <sz val="10"/>
      <color indexed="63"/>
      <name val="Arial"/>
      <family val="2"/>
    </font>
    <font>
      <sz val="11"/>
      <color theme="1"/>
      <name val="Calibri"/>
      <family val="2"/>
    </font>
    <font>
      <b/>
      <sz val="10"/>
      <color theme="0"/>
      <name val="Calibri"/>
      <family val="2"/>
    </font>
    <font>
      <sz val="10"/>
      <color theme="1"/>
      <name val="Calibri"/>
      <family val="2"/>
    </font>
    <font>
      <b/>
      <sz val="10"/>
      <color theme="1"/>
      <name val="Calibri"/>
      <family val="2"/>
    </font>
    <font>
      <u/>
      <sz val="11"/>
      <color theme="10"/>
      <name val="Calibri"/>
      <family val="2"/>
    </font>
    <font>
      <sz val="12"/>
      <color theme="1"/>
      <name val="Calibri"/>
      <family val="2"/>
    </font>
    <font>
      <b/>
      <sz val="12"/>
      <color theme="0"/>
      <name val="Calibri"/>
      <family val="2"/>
    </font>
    <font>
      <b/>
      <sz val="12"/>
      <color theme="1"/>
      <name val="Calibri"/>
      <family val="2"/>
    </font>
    <font>
      <b/>
      <sz val="11"/>
      <color theme="0"/>
      <name val="Calibri"/>
      <family val="2"/>
    </font>
    <font>
      <b/>
      <sz val="11"/>
      <color theme="1"/>
      <name val="Calibri"/>
      <family val="2"/>
    </font>
    <font>
      <sz val="10"/>
      <color indexed="8"/>
      <name val="Calibri"/>
      <family val="2"/>
    </font>
    <font>
      <sz val="9"/>
      <color theme="1"/>
      <name val="Calibri"/>
      <family val="2"/>
    </font>
    <font>
      <b/>
      <sz val="10"/>
      <name val="Calibri"/>
      <family val="2"/>
    </font>
    <font>
      <b/>
      <sz val="14"/>
      <color theme="0"/>
      <name val="Calibri"/>
      <family val="2"/>
    </font>
    <font>
      <b/>
      <sz val="12"/>
      <name val="Calibri"/>
      <family val="2"/>
    </font>
    <font>
      <b/>
      <sz val="10"/>
      <color indexed="8"/>
      <name val="Calibri"/>
      <family val="2"/>
    </font>
    <font>
      <i/>
      <sz val="11"/>
      <color theme="1"/>
      <name val="Calibri"/>
      <family val="2"/>
    </font>
    <font>
      <b/>
      <i/>
      <sz val="10"/>
      <color theme="1"/>
      <name val="Calibri"/>
      <family val="2"/>
    </font>
    <font>
      <i/>
      <sz val="10"/>
      <color theme="1"/>
      <name val="Calibri"/>
      <family val="2"/>
    </font>
    <font>
      <sz val="9"/>
      <color indexed="8"/>
      <name val="Calibri"/>
      <family val="2"/>
    </font>
    <font>
      <i/>
      <sz val="9"/>
      <color indexed="8"/>
      <name val="Calibri"/>
      <family val="2"/>
    </font>
    <font>
      <i/>
      <sz val="10"/>
      <color indexed="8"/>
      <name val="Calibri"/>
      <family val="2"/>
    </font>
    <font>
      <sz val="10"/>
      <color theme="4"/>
      <name val="Calibri"/>
      <family val="2"/>
    </font>
    <font>
      <sz val="9"/>
      <name val="Calibri"/>
      <family val="2"/>
    </font>
    <font>
      <sz val="10"/>
      <color rgb="FF0070C0"/>
      <name val="Calibri"/>
      <family val="2"/>
    </font>
    <font>
      <b/>
      <sz val="10"/>
      <color rgb="FF0070C0"/>
      <name val="Calibri"/>
      <family val="2"/>
    </font>
    <font>
      <sz val="12"/>
      <color theme="0"/>
      <name val="Calibri"/>
      <family val="2"/>
    </font>
    <font>
      <sz val="10"/>
      <color theme="0"/>
      <name val="Calibri"/>
      <family val="2"/>
    </font>
    <font>
      <sz val="9"/>
      <color theme="0"/>
      <name val="Calibri"/>
      <family val="2"/>
    </font>
    <font>
      <i/>
      <sz val="10"/>
      <color theme="0"/>
      <name val="Calibri"/>
      <family val="2"/>
    </font>
    <font>
      <sz val="11"/>
      <color theme="0"/>
      <name val="Calibri"/>
      <family val="2"/>
    </font>
    <font>
      <b/>
      <sz val="18"/>
      <color theme="0"/>
      <name val="Calibri"/>
      <family val="2"/>
      <scheme val="minor"/>
    </font>
    <font>
      <sz val="11"/>
      <color theme="0"/>
      <name val="Calibri"/>
      <family val="3"/>
      <charset val="134"/>
      <scheme val="minor"/>
    </font>
    <font>
      <b/>
      <sz val="13"/>
      <color theme="0"/>
      <name val="Calibri"/>
      <family val="3"/>
      <charset val="134"/>
      <scheme val="minor"/>
    </font>
    <font>
      <b/>
      <sz val="11"/>
      <color theme="0"/>
      <name val="Calibri"/>
      <family val="3"/>
      <charset val="134"/>
      <scheme val="minor"/>
    </font>
    <font>
      <sz val="14"/>
      <color theme="1"/>
      <name val="Calibri"/>
      <family val="2"/>
    </font>
    <font>
      <sz val="14"/>
      <color rgb="FF002060"/>
      <name val="Calibri"/>
      <family val="2"/>
    </font>
    <font>
      <b/>
      <sz val="22"/>
      <color theme="1"/>
      <name val="Calibri"/>
      <family val="2"/>
      <scheme val="minor"/>
    </font>
    <font>
      <sz val="14"/>
      <color theme="1"/>
      <name val="Calibri"/>
      <family val="2"/>
      <scheme val="minor"/>
    </font>
    <font>
      <b/>
      <i/>
      <sz val="11"/>
      <color theme="1"/>
      <name val="Calibri"/>
      <family val="2"/>
      <scheme val="minor"/>
    </font>
    <font>
      <sz val="11"/>
      <color rgb="FFFF0000"/>
      <name val="Calibri"/>
      <family val="2"/>
      <scheme val="minor"/>
    </font>
    <font>
      <b/>
      <u/>
      <sz val="11"/>
      <color theme="1"/>
      <name val="Calibri"/>
      <family val="2"/>
      <scheme val="minor"/>
    </font>
  </fonts>
  <fills count="20">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0"/>
        <bgColor indexed="64"/>
      </patternFill>
    </fill>
    <fill>
      <patternFill patternType="solid">
        <fgColor theme="7"/>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4F81BD"/>
        <bgColor indexed="64"/>
      </patternFill>
    </fill>
    <fill>
      <patternFill patternType="solid">
        <fgColor rgb="FFF2F2F2"/>
        <bgColor indexed="64"/>
      </patternFill>
    </fill>
    <fill>
      <patternFill patternType="solid">
        <fgColor theme="9"/>
        <bgColor indexed="64"/>
      </patternFill>
    </fill>
    <fill>
      <patternFill patternType="solid">
        <fgColor theme="4" tint="0.39997558519241921"/>
        <bgColor indexed="64"/>
      </patternFill>
    </fill>
    <fill>
      <patternFill patternType="solid">
        <fgColor rgb="FF8DB4E2"/>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92D050"/>
        <bgColor indexed="64"/>
      </patternFill>
    </fill>
  </fills>
  <borders count="46">
    <border>
      <left/>
      <right/>
      <top/>
      <bottom/>
      <diagonal/>
    </border>
    <border>
      <left/>
      <right/>
      <top/>
      <bottom style="thin">
        <color auto="1"/>
      </bottom>
      <diagonal/>
    </border>
    <border>
      <left/>
      <right/>
      <top style="thin">
        <color auto="1"/>
      </top>
      <bottom style="thin">
        <color auto="1"/>
      </bottom>
      <diagonal/>
    </border>
    <border>
      <left/>
      <right/>
      <top/>
      <bottom style="thin">
        <color theme="0"/>
      </bottom>
      <diagonal/>
    </border>
    <border>
      <left/>
      <right style="thick">
        <color theme="4"/>
      </right>
      <top/>
      <bottom style="thin">
        <color theme="0"/>
      </bottom>
      <diagonal/>
    </border>
    <border>
      <left style="thin">
        <color auto="1"/>
      </left>
      <right/>
      <top/>
      <bottom/>
      <diagonal/>
    </border>
    <border>
      <left style="hair">
        <color theme="4"/>
      </left>
      <right style="hair">
        <color theme="4"/>
      </right>
      <top style="hair">
        <color theme="4"/>
      </top>
      <bottom style="hair">
        <color theme="4"/>
      </bottom>
      <diagonal/>
    </border>
    <border>
      <left/>
      <right/>
      <top style="thin">
        <color auto="1"/>
      </top>
      <bottom/>
      <diagonal/>
    </border>
    <border>
      <left style="thin">
        <color auto="1"/>
      </left>
      <right/>
      <top/>
      <bottom style="thin">
        <color auto="1"/>
      </bottom>
      <diagonal/>
    </border>
    <border>
      <left/>
      <right style="thin">
        <color auto="1"/>
      </right>
      <top/>
      <bottom/>
      <diagonal/>
    </border>
    <border>
      <left/>
      <right style="thin">
        <color auto="1"/>
      </right>
      <top style="thin">
        <color auto="1"/>
      </top>
      <bottom/>
      <diagonal/>
    </border>
    <border>
      <left style="hair">
        <color auto="1"/>
      </left>
      <right style="hair">
        <color auto="1"/>
      </right>
      <top style="hair">
        <color auto="1"/>
      </top>
      <bottom style="hair">
        <color auto="1"/>
      </bottom>
      <diagonal/>
    </border>
    <border>
      <left/>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bottom/>
      <diagonal/>
    </border>
    <border>
      <left/>
      <right style="medium">
        <color theme="0" tint="-0.34998626667073579"/>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style="medium">
        <color theme="0" tint="-0.34998626667073579"/>
      </left>
      <right style="medium">
        <color theme="0" tint="-0.34998626667073579"/>
      </right>
      <top style="medium">
        <color theme="0" tint="-0.34998626667073579"/>
      </top>
      <bottom/>
      <diagonal/>
    </border>
    <border>
      <left/>
      <right style="medium">
        <color theme="0" tint="-0.499984740745262"/>
      </right>
      <top style="medium">
        <color theme="0" tint="-0.499984740745262"/>
      </top>
      <bottom style="medium">
        <color theme="0" tint="-0.499984740745262"/>
      </bottom>
      <diagonal/>
    </border>
    <border>
      <left/>
      <right style="medium">
        <color theme="0" tint="-0.34998626667073579"/>
      </right>
      <top style="medium">
        <color theme="0" tint="-0.499984740745262"/>
      </top>
      <bottom/>
      <diagonal/>
    </border>
    <border>
      <left style="medium">
        <color theme="0" tint="-0.34998626667073579"/>
      </left>
      <right style="medium">
        <color theme="0" tint="-0.34998626667073579"/>
      </right>
      <top/>
      <bottom/>
      <diagonal/>
    </border>
    <border>
      <left style="medium">
        <color theme="0" tint="-0.499984740745262"/>
      </left>
      <right/>
      <top style="medium">
        <color theme="0" tint="-0.499984740745262"/>
      </top>
      <bottom/>
      <diagonal/>
    </border>
    <border>
      <left style="medium">
        <color theme="0" tint="-0.499984740745262"/>
      </left>
      <right style="medium">
        <color theme="0" tint="-0.499984740745262"/>
      </right>
      <top style="medium">
        <color theme="0" tint="-0.499984740745262"/>
      </top>
      <bottom/>
      <diagonal/>
    </border>
    <border>
      <left style="medium">
        <color theme="0" tint="-0.34998626667073579"/>
      </left>
      <right style="medium">
        <color theme="0" tint="-0.34998626667073579"/>
      </right>
      <top/>
      <bottom style="medium">
        <color theme="0" tint="-0.34998626667073579"/>
      </bottom>
      <diagonal/>
    </border>
    <border>
      <left style="medium">
        <color theme="0" tint="-0.499984740745262"/>
      </left>
      <right style="medium">
        <color theme="0" tint="-0.34998626667073579"/>
      </right>
      <top style="medium">
        <color theme="0" tint="-0.499984740745262"/>
      </top>
      <bottom style="medium">
        <color theme="0" tint="-0.499984740745262"/>
      </bottom>
      <diagonal/>
    </border>
    <border>
      <left style="medium">
        <color theme="0" tint="-0.34998626667073579"/>
      </left>
      <right/>
      <top style="medium">
        <color theme="0" tint="-0.34998626667073579"/>
      </top>
      <bottom/>
      <diagonal/>
    </border>
    <border>
      <left/>
      <right/>
      <top style="medium">
        <color theme="0" tint="-0.499984740745262"/>
      </top>
      <bottom/>
      <diagonal/>
    </border>
    <border>
      <left style="medium">
        <color theme="0" tint="-0.499984740745262"/>
      </left>
      <right style="medium">
        <color theme="0" tint="-0.34998626667073579"/>
      </right>
      <top style="medium">
        <color theme="0" tint="-0.499984740745262"/>
      </top>
      <bottom/>
      <diagonal/>
    </border>
    <border>
      <left/>
      <right/>
      <top style="medium">
        <color indexed="64"/>
      </top>
      <bottom style="thin">
        <color auto="1"/>
      </bottom>
      <diagonal/>
    </border>
    <border>
      <left style="thin">
        <color indexed="64"/>
      </left>
      <right style="thin">
        <color indexed="64"/>
      </right>
      <top style="thin">
        <color indexed="64"/>
      </top>
      <bottom/>
      <diagonal/>
    </border>
    <border>
      <left style="hair">
        <color theme="4"/>
      </left>
      <right style="hair">
        <color theme="4"/>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right style="medium">
        <color theme="0" tint="-0.34998626667073579"/>
      </right>
      <top/>
      <bottom style="thin">
        <color theme="0"/>
      </bottom>
      <diagonal/>
    </border>
    <border>
      <left/>
      <right/>
      <top style="thin">
        <color theme="0"/>
      </top>
      <bottom style="medium">
        <color theme="0" tint="-0.34998626667073579"/>
      </bottom>
      <diagonal/>
    </border>
  </borders>
  <cellStyleXfs count="37">
    <xf numFmtId="0" fontId="0" fillId="0" borderId="0"/>
    <xf numFmtId="9" fontId="2"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165" fontId="7" fillId="0" borderId="0" applyFont="0" applyFill="0" applyBorder="0" applyAlignment="0" applyProtection="0"/>
    <xf numFmtId="168" fontId="10" fillId="3" borderId="6"/>
    <xf numFmtId="168" fontId="12" fillId="4" borderId="11"/>
    <xf numFmtId="171" fontId="7" fillId="0" borderId="0" applyFont="0" applyFill="0" applyBorder="0" applyAlignment="0" applyProtection="0"/>
    <xf numFmtId="172" fontId="10" fillId="3" borderId="6"/>
    <xf numFmtId="9" fontId="2" fillId="0" borderId="0" applyFont="0" applyFill="0" applyBorder="0" applyAlignment="0" applyProtection="0">
      <alignment vertical="center"/>
    </xf>
    <xf numFmtId="174" fontId="6" fillId="0" borderId="0" applyFont="0" applyFill="0" applyBorder="0" applyAlignment="0" applyProtection="0"/>
    <xf numFmtId="0" fontId="1" fillId="0" borderId="0">
      <alignment vertical="center"/>
    </xf>
    <xf numFmtId="9" fontId="2" fillId="0" borderId="0" applyFont="0" applyFill="0" applyBorder="0" applyAlignment="0" applyProtection="0"/>
    <xf numFmtId="9" fontId="1" fillId="0" borderId="0" applyFont="0" applyFill="0" applyBorder="0" applyAlignment="0" applyProtection="0">
      <alignment vertical="center"/>
    </xf>
    <xf numFmtId="0" fontId="1" fillId="0" borderId="0">
      <alignment vertical="center"/>
    </xf>
    <xf numFmtId="0" fontId="15" fillId="0" borderId="0" applyNumberFormat="0" applyFill="0" applyBorder="0" applyAlignment="0" applyProtection="0"/>
    <xf numFmtId="164" fontId="6" fillId="0" borderId="0" applyFont="0" applyFill="0" applyBorder="0" applyAlignment="0" applyProtection="0"/>
    <xf numFmtId="43" fontId="2" fillId="0" borderId="0" applyFont="0" applyFill="0" applyBorder="0" applyAlignment="0" applyProtection="0"/>
    <xf numFmtId="0" fontId="26" fillId="12" borderId="14">
      <alignment horizontal="left"/>
    </xf>
    <xf numFmtId="0" fontId="26" fillId="12" borderId="14">
      <alignment horizontal="right"/>
    </xf>
    <xf numFmtId="0" fontId="26" fillId="12" borderId="35">
      <alignment horizontal="left"/>
    </xf>
    <xf numFmtId="0" fontId="26" fillId="12" borderId="35">
      <alignment horizontal="right"/>
    </xf>
    <xf numFmtId="0" fontId="12" fillId="13" borderId="7" applyNumberFormat="0" applyAlignment="0" applyProtection="0"/>
    <xf numFmtId="0" fontId="28" fillId="8" borderId="0" applyNumberFormat="0" applyBorder="0" applyProtection="0">
      <alignment horizontal="center"/>
    </xf>
    <xf numFmtId="0" fontId="29" fillId="12" borderId="0"/>
    <xf numFmtId="0" fontId="31" fillId="8" borderId="5"/>
    <xf numFmtId="170" fontId="9" fillId="8" borderId="13">
      <alignment horizontal="right"/>
    </xf>
    <xf numFmtId="0" fontId="8" fillId="8" borderId="5"/>
    <xf numFmtId="0" fontId="34" fillId="12" borderId="2" applyNumberFormat="0" applyProtection="0">
      <alignment horizontal="left" vertical="center" readingOrder="1"/>
    </xf>
    <xf numFmtId="170" fontId="8" fillId="8" borderId="13">
      <alignment horizontal="right"/>
    </xf>
    <xf numFmtId="0" fontId="35" fillId="8" borderId="5"/>
    <xf numFmtId="170" fontId="12" fillId="8" borderId="13">
      <alignment horizontal="right"/>
    </xf>
    <xf numFmtId="3" fontId="8" fillId="8" borderId="13">
      <alignment horizontal="right"/>
    </xf>
    <xf numFmtId="4" fontId="8" fillId="8" borderId="13">
      <alignment horizontal="right"/>
    </xf>
    <xf numFmtId="3" fontId="9" fillId="8" borderId="13">
      <alignment horizontal="right"/>
    </xf>
    <xf numFmtId="4" fontId="9" fillId="8" borderId="13">
      <alignment horizontal="right"/>
    </xf>
  </cellStyleXfs>
  <cellXfs count="566">
    <xf numFmtId="0" fontId="0" fillId="0" borderId="0" xfId="0"/>
    <xf numFmtId="9" fontId="0" fillId="0" borderId="0" xfId="1" applyFont="1"/>
    <xf numFmtId="0" fontId="3" fillId="0" borderId="0" xfId="0" applyFont="1"/>
    <xf numFmtId="0" fontId="4" fillId="0" borderId="0" xfId="0" applyFont="1"/>
    <xf numFmtId="9" fontId="4" fillId="0" borderId="0" xfId="1" applyFont="1"/>
    <xf numFmtId="9" fontId="4" fillId="0" borderId="0" xfId="0" applyNumberFormat="1" applyFont="1"/>
    <xf numFmtId="0" fontId="0" fillId="6" borderId="0" xfId="0" applyFill="1"/>
    <xf numFmtId="0" fontId="0" fillId="7" borderId="0" xfId="0" applyFill="1"/>
    <xf numFmtId="0" fontId="0" fillId="0" borderId="0" xfId="0" applyBorder="1"/>
    <xf numFmtId="0" fontId="0" fillId="9" borderId="0" xfId="0" applyFill="1"/>
    <xf numFmtId="0" fontId="0" fillId="0" borderId="0" xfId="0"/>
    <xf numFmtId="0" fontId="0" fillId="10" borderId="0" xfId="0" applyFill="1"/>
    <xf numFmtId="0" fontId="0" fillId="5" borderId="0" xfId="0" applyFill="1"/>
    <xf numFmtId="0" fontId="17" fillId="5" borderId="0" xfId="0" applyFont="1" applyFill="1" applyAlignment="1"/>
    <xf numFmtId="0" fontId="0" fillId="0" borderId="19" xfId="0" applyBorder="1"/>
    <xf numFmtId="0" fontId="0" fillId="0" borderId="20" xfId="0" applyBorder="1"/>
    <xf numFmtId="4" fontId="0" fillId="5" borderId="21" xfId="0" applyNumberFormat="1" applyFill="1" applyBorder="1" applyAlignment="1">
      <alignment horizontal="center" vertical="center"/>
    </xf>
    <xf numFmtId="4" fontId="0" fillId="5" borderId="22" xfId="0" applyNumberFormat="1" applyFill="1" applyBorder="1" applyAlignment="1">
      <alignment horizontal="center" vertical="center"/>
    </xf>
    <xf numFmtId="4" fontId="0" fillId="5" borderId="24" xfId="0" applyNumberFormat="1" applyFill="1" applyBorder="1" applyAlignment="1">
      <alignment horizontal="center" vertical="center"/>
    </xf>
    <xf numFmtId="4" fontId="0" fillId="5" borderId="25" xfId="0" applyNumberFormat="1" applyFill="1" applyBorder="1" applyAlignment="1">
      <alignment horizontal="center" vertical="center"/>
    </xf>
    <xf numFmtId="4" fontId="0" fillId="5" borderId="27" xfId="0" applyNumberFormat="1" applyFill="1" applyBorder="1" applyAlignment="1">
      <alignment horizontal="center" vertical="center"/>
    </xf>
    <xf numFmtId="4" fontId="0" fillId="5" borderId="18" xfId="0" applyNumberFormat="1" applyFill="1" applyBorder="1" applyAlignment="1">
      <alignment horizontal="center" vertical="center"/>
    </xf>
    <xf numFmtId="4" fontId="0" fillId="5" borderId="28" xfId="0" applyNumberFormat="1" applyFill="1" applyBorder="1" applyAlignment="1">
      <alignment horizontal="center" vertical="center"/>
    </xf>
    <xf numFmtId="10" fontId="0" fillId="5" borderId="22" xfId="1" applyNumberFormat="1" applyFont="1" applyFill="1" applyBorder="1" applyAlignment="1">
      <alignment horizontal="center" vertical="center"/>
    </xf>
    <xf numFmtId="10" fontId="0" fillId="0" borderId="18" xfId="1" applyNumberFormat="1" applyFont="1" applyBorder="1"/>
    <xf numFmtId="10" fontId="0" fillId="0" borderId="15" xfId="1" applyNumberFormat="1" applyFont="1" applyBorder="1"/>
    <xf numFmtId="10" fontId="0" fillId="0" borderId="18" xfId="0" applyNumberFormat="1" applyBorder="1"/>
    <xf numFmtId="10" fontId="0" fillId="11" borderId="21" xfId="1" applyNumberFormat="1" applyFont="1" applyFill="1" applyBorder="1" applyAlignment="1">
      <alignment horizontal="center" vertical="center"/>
    </xf>
    <xf numFmtId="4" fontId="0" fillId="5" borderId="30" xfId="0" applyNumberFormat="1" applyFill="1" applyBorder="1" applyAlignment="1">
      <alignment horizontal="center" vertical="center"/>
    </xf>
    <xf numFmtId="4" fontId="0" fillId="5" borderId="32" xfId="0" applyNumberFormat="1" applyFill="1" applyBorder="1" applyAlignment="1">
      <alignment horizontal="center" vertical="center"/>
    </xf>
    <xf numFmtId="4" fontId="0" fillId="5" borderId="33" xfId="0" applyNumberFormat="1" applyFill="1" applyBorder="1" applyAlignment="1">
      <alignment horizontal="center" vertical="center"/>
    </xf>
    <xf numFmtId="10" fontId="0" fillId="0" borderId="18" xfId="1" applyNumberFormat="1" applyFont="1" applyFill="1" applyBorder="1"/>
    <xf numFmtId="0" fontId="0" fillId="0" borderId="18" xfId="0" applyBorder="1"/>
    <xf numFmtId="10" fontId="0" fillId="0" borderId="0" xfId="0" applyNumberFormat="1" applyBorder="1"/>
    <xf numFmtId="4" fontId="0" fillId="0" borderId="18" xfId="0" applyNumberFormat="1" applyBorder="1"/>
    <xf numFmtId="0" fontId="0" fillId="11" borderId="23" xfId="0" applyFill="1" applyBorder="1"/>
    <xf numFmtId="0" fontId="0" fillId="11" borderId="26" xfId="0" applyFill="1" applyBorder="1"/>
    <xf numFmtId="0" fontId="0" fillId="11" borderId="29" xfId="0" applyFill="1" applyBorder="1"/>
    <xf numFmtId="4" fontId="0" fillId="5" borderId="0" xfId="0" applyNumberFormat="1" applyFill="1" applyBorder="1" applyAlignment="1">
      <alignment horizontal="center" vertical="center"/>
    </xf>
    <xf numFmtId="10" fontId="0" fillId="5" borderId="18" xfId="1" applyNumberFormat="1" applyFont="1" applyFill="1" applyBorder="1" applyAlignment="1">
      <alignment horizontal="center" vertical="center"/>
    </xf>
    <xf numFmtId="10" fontId="0" fillId="5" borderId="15" xfId="1" applyNumberFormat="1" applyFont="1" applyFill="1" applyBorder="1" applyAlignment="1">
      <alignment horizontal="center" vertical="center"/>
    </xf>
    <xf numFmtId="4" fontId="0" fillId="0" borderId="15" xfId="0" applyNumberFormat="1" applyBorder="1"/>
    <xf numFmtId="4" fontId="0" fillId="0" borderId="16" xfId="0" applyNumberFormat="1" applyBorder="1"/>
    <xf numFmtId="4" fontId="0" fillId="11" borderId="18" xfId="0" applyNumberFormat="1" applyFill="1" applyBorder="1"/>
    <xf numFmtId="4" fontId="0" fillId="0" borderId="18" xfId="0" applyNumberFormat="1" applyBorder="1" applyAlignment="1">
      <alignment horizontal="center"/>
    </xf>
    <xf numFmtId="0" fontId="0" fillId="11" borderId="18" xfId="0" applyFill="1" applyBorder="1"/>
    <xf numFmtId="4" fontId="0" fillId="0" borderId="18" xfId="0" applyNumberFormat="1" applyBorder="1" applyAlignment="1">
      <alignment horizontal="center" vertical="center"/>
    </xf>
    <xf numFmtId="0" fontId="26" fillId="5" borderId="0" xfId="19" applyFont="1" applyFill="1" applyBorder="1">
      <alignment horizontal="left"/>
    </xf>
    <xf numFmtId="0" fontId="26" fillId="5" borderId="12" xfId="20" applyNumberFormat="1" applyFont="1" applyFill="1" applyBorder="1" applyAlignment="1" applyProtection="1">
      <alignment horizontal="right"/>
    </xf>
    <xf numFmtId="0" fontId="26" fillId="5" borderId="0" xfId="21" applyNumberFormat="1" applyFont="1" applyFill="1" applyBorder="1" applyAlignment="1" applyProtection="1">
      <alignment horizontal="left"/>
    </xf>
    <xf numFmtId="0" fontId="26" fillId="5" borderId="0" xfId="22" applyNumberFormat="1" applyFont="1" applyFill="1" applyBorder="1" applyAlignment="1" applyProtection="1">
      <alignment horizontal="right"/>
    </xf>
    <xf numFmtId="0" fontId="27" fillId="0" borderId="0" xfId="0" applyFont="1"/>
    <xf numFmtId="177" fontId="20" fillId="0" borderId="0" xfId="0" applyNumberFormat="1" applyFont="1"/>
    <xf numFmtId="0" fontId="8" fillId="8" borderId="5" xfId="28" applyNumberFormat="1" applyFont="1" applyFill="1" applyBorder="1" applyAlignment="1" applyProtection="1"/>
    <xf numFmtId="0" fontId="29" fillId="12" borderId="0" xfId="25" applyNumberFormat="1" applyFont="1" applyFill="1" applyBorder="1" applyAlignment="1" applyProtection="1"/>
    <xf numFmtId="0" fontId="34" fillId="12" borderId="2" xfId="29" applyFont="1" applyFill="1" applyBorder="1" applyAlignment="1">
      <alignment horizontal="left" vertical="center" readingOrder="1"/>
    </xf>
    <xf numFmtId="0" fontId="28" fillId="8" borderId="0" xfId="24" applyFont="1" applyFill="1" applyAlignment="1">
      <alignment horizontal="center"/>
    </xf>
    <xf numFmtId="0" fontId="26" fillId="12" borderId="35" xfId="21" applyNumberFormat="1" applyFont="1" applyFill="1" applyBorder="1" applyAlignment="1" applyProtection="1">
      <alignment horizontal="left"/>
    </xf>
    <xf numFmtId="0" fontId="26" fillId="12" borderId="35" xfId="22" applyNumberFormat="1" applyFont="1" applyFill="1" applyBorder="1" applyAlignment="1" applyProtection="1">
      <alignment horizontal="right"/>
    </xf>
    <xf numFmtId="0" fontId="26" fillId="12" borderId="14" xfId="19">
      <alignment horizontal="left"/>
    </xf>
    <xf numFmtId="0" fontId="26" fillId="12" borderId="14" xfId="20" applyNumberFormat="1" applyFont="1" applyFill="1" applyBorder="1" applyAlignment="1" applyProtection="1">
      <alignment horizontal="right"/>
    </xf>
    <xf numFmtId="170" fontId="8" fillId="8" borderId="13" xfId="30" applyNumberFormat="1" applyFont="1" applyFill="1" applyBorder="1" applyAlignment="1" applyProtection="1">
      <alignment horizontal="right"/>
    </xf>
    <xf numFmtId="0" fontId="31" fillId="8" borderId="5" xfId="26" applyNumberFormat="1" applyFont="1" applyFill="1" applyBorder="1" applyAlignment="1" applyProtection="1"/>
    <xf numFmtId="170" fontId="9" fillId="8" borderId="13" xfId="27" applyNumberFormat="1" applyFont="1" applyFill="1" applyBorder="1" applyAlignment="1" applyProtection="1">
      <alignment horizontal="right"/>
    </xf>
    <xf numFmtId="0" fontId="35" fillId="8" borderId="5" xfId="31" applyNumberFormat="1" applyFont="1" applyFill="1" applyBorder="1" applyAlignment="1" applyProtection="1"/>
    <xf numFmtId="170" fontId="12" fillId="8" borderId="13" xfId="32" applyNumberFormat="1" applyFont="1" applyFill="1" applyBorder="1" applyAlignment="1" applyProtection="1">
      <alignment horizontal="right"/>
    </xf>
    <xf numFmtId="3" fontId="8" fillId="8" borderId="13" xfId="33" applyNumberFormat="1" applyFont="1" applyFill="1" applyBorder="1" applyAlignment="1" applyProtection="1">
      <alignment horizontal="right"/>
    </xf>
    <xf numFmtId="4" fontId="8" fillId="8" borderId="13" xfId="34" applyNumberFormat="1" applyFont="1" applyFill="1" applyBorder="1" applyAlignment="1" applyProtection="1">
      <alignment horizontal="right"/>
    </xf>
    <xf numFmtId="3" fontId="9" fillId="8" borderId="13" xfId="35" applyNumberFormat="1" applyFont="1" applyFill="1" applyBorder="1" applyAlignment="1" applyProtection="1">
      <alignment horizontal="right"/>
    </xf>
    <xf numFmtId="4" fontId="9" fillId="8" borderId="13" xfId="36" applyNumberFormat="1" applyFont="1" applyFill="1" applyBorder="1" applyAlignment="1" applyProtection="1">
      <alignment horizontal="right"/>
    </xf>
    <xf numFmtId="0" fontId="12" fillId="13" borderId="7" xfId="23" applyFont="1" applyFill="1" applyBorder="1"/>
    <xf numFmtId="0" fontId="36" fillId="0" borderId="0" xfId="0" applyFont="1"/>
    <xf numFmtId="0" fontId="36" fillId="0" borderId="0" xfId="0" applyFont="1" applyBorder="1"/>
    <xf numFmtId="0" fontId="36" fillId="0" borderId="9" xfId="0" applyFont="1" applyBorder="1"/>
    <xf numFmtId="0" fontId="40" fillId="0" borderId="0" xfId="16" applyFont="1"/>
    <xf numFmtId="175" fontId="45" fillId="0" borderId="1" xfId="0" applyNumberFormat="1" applyFont="1" applyBorder="1"/>
    <xf numFmtId="0" fontId="36" fillId="0" borderId="0" xfId="0" applyFont="1" applyFill="1"/>
    <xf numFmtId="166" fontId="44" fillId="16" borderId="7" xfId="0" applyNumberFormat="1" applyFont="1" applyFill="1" applyBorder="1" applyProtection="1"/>
    <xf numFmtId="166" fontId="44" fillId="16" borderId="10" xfId="0" applyNumberFormat="1" applyFont="1" applyFill="1" applyBorder="1" applyProtection="1"/>
    <xf numFmtId="10" fontId="36" fillId="0" borderId="0" xfId="0" applyNumberFormat="1" applyFont="1"/>
    <xf numFmtId="2" fontId="36" fillId="0" borderId="0" xfId="0" applyNumberFormat="1" applyFont="1"/>
    <xf numFmtId="0" fontId="44" fillId="16" borderId="7" xfId="0" applyNumberFormat="1" applyFont="1" applyFill="1" applyBorder="1" applyAlignment="1">
      <alignment horizontal="right"/>
    </xf>
    <xf numFmtId="167" fontId="44" fillId="16" borderId="7" xfId="0" applyNumberFormat="1" applyFont="1" applyFill="1" applyBorder="1" applyAlignment="1">
      <alignment horizontal="right"/>
    </xf>
    <xf numFmtId="167" fontId="44" fillId="16" borderId="10" xfId="0" applyNumberFormat="1" applyFont="1" applyFill="1" applyBorder="1" applyAlignment="1">
      <alignment horizontal="right"/>
    </xf>
    <xf numFmtId="167" fontId="44" fillId="16" borderId="10" xfId="0" applyNumberFormat="1" applyFont="1" applyFill="1" applyBorder="1" applyAlignment="1" applyProtection="1">
      <alignment horizontal="right"/>
    </xf>
    <xf numFmtId="0" fontId="44" fillId="16" borderId="7" xfId="0" applyNumberFormat="1" applyFont="1" applyFill="1" applyBorder="1" applyAlignment="1" applyProtection="1">
      <alignment horizontal="center"/>
    </xf>
    <xf numFmtId="179" fontId="36" fillId="0" borderId="0" xfId="0" applyNumberFormat="1" applyFont="1" applyAlignment="1">
      <alignment horizontal="center"/>
    </xf>
    <xf numFmtId="0" fontId="36" fillId="0" borderId="0" xfId="0" applyFont="1" applyProtection="1"/>
    <xf numFmtId="168" fontId="46" fillId="0" borderId="0" xfId="0" applyNumberFormat="1" applyFont="1" applyFill="1" applyBorder="1" applyProtection="1"/>
    <xf numFmtId="0" fontId="36" fillId="0" borderId="0" xfId="0" applyFont="1" applyFill="1" applyProtection="1"/>
    <xf numFmtId="10" fontId="36" fillId="0" borderId="0" xfId="0" applyNumberFormat="1" applyFont="1" applyProtection="1"/>
    <xf numFmtId="0" fontId="47" fillId="0" borderId="0" xfId="0" applyFont="1" applyProtection="1"/>
    <xf numFmtId="168" fontId="51" fillId="0" borderId="0" xfId="0" applyNumberFormat="1" applyFont="1" applyFill="1" applyBorder="1" applyProtection="1"/>
    <xf numFmtId="1" fontId="38" fillId="5" borderId="0" xfId="0" applyNumberFormat="1" applyFont="1" applyFill="1" applyAlignment="1">
      <alignment horizontal="center"/>
    </xf>
    <xf numFmtId="0" fontId="45" fillId="5" borderId="0" xfId="0" applyFont="1" applyFill="1" applyAlignment="1">
      <alignment horizontal="center"/>
    </xf>
    <xf numFmtId="0" fontId="44" fillId="16" borderId="0" xfId="0" applyFont="1" applyFill="1" applyBorder="1" applyAlignment="1">
      <alignment horizontal="center"/>
    </xf>
    <xf numFmtId="9" fontId="36" fillId="0" borderId="0" xfId="1" applyFont="1" applyFill="1" applyBorder="1" applyProtection="1"/>
    <xf numFmtId="0" fontId="38" fillId="0" borderId="0" xfId="0" applyFont="1" applyProtection="1"/>
    <xf numFmtId="0" fontId="36" fillId="5" borderId="0" xfId="0" applyFont="1" applyFill="1" applyAlignment="1" applyProtection="1">
      <alignment horizontal="center"/>
    </xf>
    <xf numFmtId="9" fontId="38" fillId="0" borderId="0" xfId="1" applyFont="1" applyProtection="1"/>
    <xf numFmtId="0" fontId="37" fillId="5" borderId="0" xfId="0" applyFont="1" applyFill="1" applyBorder="1" applyProtection="1"/>
    <xf numFmtId="0" fontId="36" fillId="5" borderId="0" xfId="0" applyFont="1" applyFill="1" applyBorder="1" applyProtection="1"/>
    <xf numFmtId="0" fontId="38" fillId="5" borderId="0" xfId="0" applyFont="1" applyFill="1" applyBorder="1" applyProtection="1"/>
    <xf numFmtId="166" fontId="37" fillId="5" borderId="0" xfId="0" applyNumberFormat="1" applyFont="1" applyFill="1" applyBorder="1" applyProtection="1"/>
    <xf numFmtId="173" fontId="38" fillId="5" borderId="0" xfId="0" applyNumberFormat="1" applyFont="1" applyFill="1" applyBorder="1" applyProtection="1"/>
    <xf numFmtId="0" fontId="39" fillId="5" borderId="0" xfId="0" applyFont="1" applyFill="1" applyBorder="1" applyProtection="1"/>
    <xf numFmtId="168" fontId="39" fillId="5" borderId="0" xfId="0" applyNumberFormat="1" applyFont="1" applyFill="1" applyBorder="1" applyProtection="1"/>
    <xf numFmtId="168" fontId="38" fillId="5" borderId="0" xfId="0" applyNumberFormat="1" applyFont="1" applyFill="1" applyBorder="1" applyProtection="1"/>
    <xf numFmtId="2" fontId="39" fillId="5" borderId="0" xfId="0" applyNumberFormat="1" applyFont="1" applyFill="1" applyBorder="1" applyProtection="1"/>
    <xf numFmtId="9" fontId="39" fillId="5" borderId="0" xfId="1" applyFont="1" applyFill="1" applyBorder="1" applyProtection="1"/>
    <xf numFmtId="168" fontId="46" fillId="5" borderId="0" xfId="0" applyNumberFormat="1" applyFont="1" applyFill="1" applyBorder="1" applyProtection="1"/>
    <xf numFmtId="10" fontId="39" fillId="5" borderId="0" xfId="1" applyNumberFormat="1" applyFont="1" applyFill="1" applyBorder="1" applyProtection="1"/>
    <xf numFmtId="0" fontId="52" fillId="5" borderId="0" xfId="0" applyFont="1" applyFill="1" applyBorder="1" applyProtection="1"/>
    <xf numFmtId="9" fontId="45" fillId="5" borderId="0" xfId="1" applyFont="1" applyFill="1" applyBorder="1" applyProtection="1"/>
    <xf numFmtId="9" fontId="45" fillId="0" borderId="0" xfId="1" applyFont="1" applyBorder="1" applyProtection="1"/>
    <xf numFmtId="9" fontId="38" fillId="5" borderId="0" xfId="0" applyNumberFormat="1" applyFont="1" applyFill="1" applyBorder="1" applyProtection="1"/>
    <xf numFmtId="9" fontId="36" fillId="5" borderId="0" xfId="0" applyNumberFormat="1" applyFont="1" applyFill="1" applyBorder="1" applyProtection="1"/>
    <xf numFmtId="9" fontId="36" fillId="0" borderId="0" xfId="0" applyNumberFormat="1" applyFont="1" applyProtection="1"/>
    <xf numFmtId="167" fontId="37" fillId="5" borderId="0" xfId="0" applyNumberFormat="1" applyFont="1" applyFill="1" applyBorder="1"/>
    <xf numFmtId="0" fontId="38" fillId="5" borderId="0" xfId="0" applyFont="1" applyFill="1" applyBorder="1"/>
    <xf numFmtId="166" fontId="53" fillId="5" borderId="0" xfId="0" applyNumberFormat="1" applyFont="1" applyFill="1" applyBorder="1"/>
    <xf numFmtId="0" fontId="39" fillId="5" borderId="0" xfId="0" applyFont="1" applyFill="1" applyBorder="1"/>
    <xf numFmtId="10" fontId="39" fillId="0" borderId="0" xfId="0" applyNumberFormat="1" applyFont="1"/>
    <xf numFmtId="170" fontId="38" fillId="5" borderId="0" xfId="0" applyNumberFormat="1" applyFont="1" applyFill="1" applyBorder="1"/>
    <xf numFmtId="170" fontId="39" fillId="5" borderId="0" xfId="0" applyNumberFormat="1" applyFont="1" applyFill="1" applyBorder="1"/>
    <xf numFmtId="0" fontId="36" fillId="0" borderId="0" xfId="0" applyFont="1" applyBorder="1" applyProtection="1"/>
    <xf numFmtId="9" fontId="36" fillId="5" borderId="0" xfId="0" applyNumberFormat="1" applyFont="1" applyFill="1" applyBorder="1" applyAlignment="1" applyProtection="1">
      <alignment horizontal="center"/>
    </xf>
    <xf numFmtId="0" fontId="54" fillId="5" borderId="0" xfId="0" applyFont="1" applyFill="1" applyBorder="1"/>
    <xf numFmtId="168" fontId="38" fillId="0" borderId="0" xfId="0" applyNumberFormat="1" applyFont="1" applyBorder="1" applyProtection="1"/>
    <xf numFmtId="0" fontId="49" fillId="5" borderId="0" xfId="0" applyFont="1" applyFill="1" applyBorder="1" applyAlignment="1">
      <alignment horizontal="center" wrapText="1"/>
    </xf>
    <xf numFmtId="0" fontId="44" fillId="5" borderId="0" xfId="0" applyFont="1" applyFill="1" applyBorder="1" applyAlignment="1">
      <alignment horizontal="centerContinuous" wrapText="1"/>
    </xf>
    <xf numFmtId="166" fontId="37" fillId="5" borderId="0" xfId="0" applyNumberFormat="1" applyFont="1" applyFill="1" applyBorder="1"/>
    <xf numFmtId="0" fontId="36" fillId="5" borderId="0" xfId="0" applyFont="1" applyFill="1" applyBorder="1"/>
    <xf numFmtId="168" fontId="50" fillId="5" borderId="0" xfId="0" applyNumberFormat="1" applyFont="1" applyFill="1" applyBorder="1" applyAlignment="1">
      <alignment vertical="center"/>
    </xf>
    <xf numFmtId="168" fontId="28" fillId="5" borderId="0" xfId="0" applyNumberFormat="1" applyFont="1" applyFill="1" applyBorder="1" applyAlignment="1">
      <alignment vertical="center"/>
    </xf>
    <xf numFmtId="168" fontId="46" fillId="5" borderId="0" xfId="0" applyNumberFormat="1" applyFont="1" applyFill="1" applyBorder="1"/>
    <xf numFmtId="168" fontId="51" fillId="5" borderId="0" xfId="0" applyNumberFormat="1" applyFont="1" applyFill="1" applyBorder="1"/>
    <xf numFmtId="9" fontId="38" fillId="5" borderId="0" xfId="1" applyFont="1" applyFill="1" applyBorder="1"/>
    <xf numFmtId="2" fontId="39" fillId="5" borderId="0" xfId="0" applyNumberFormat="1" applyFont="1" applyFill="1" applyBorder="1"/>
    <xf numFmtId="168" fontId="38" fillId="5" borderId="0" xfId="0" applyNumberFormat="1" applyFont="1" applyFill="1" applyBorder="1"/>
    <xf numFmtId="3" fontId="38" fillId="5" borderId="0" xfId="0" applyNumberFormat="1" applyFont="1" applyFill="1" applyBorder="1"/>
    <xf numFmtId="168" fontId="46" fillId="0" borderId="0" xfId="0" applyNumberFormat="1" applyFont="1" applyFill="1" applyProtection="1"/>
    <xf numFmtId="168" fontId="50" fillId="0" borderId="0" xfId="0" applyNumberFormat="1" applyFont="1" applyFill="1" applyBorder="1" applyAlignment="1" applyProtection="1">
      <alignment vertical="center"/>
    </xf>
    <xf numFmtId="168" fontId="36" fillId="0" borderId="0" xfId="0" applyNumberFormat="1" applyFont="1" applyProtection="1"/>
    <xf numFmtId="168" fontId="55" fillId="0" borderId="0" xfId="0" applyNumberFormat="1" applyFont="1" applyFill="1" applyBorder="1" applyProtection="1"/>
    <xf numFmtId="169" fontId="55" fillId="0" borderId="0" xfId="1" applyNumberFormat="1" applyFont="1" applyFill="1" applyBorder="1" applyProtection="1"/>
    <xf numFmtId="169" fontId="36" fillId="0" borderId="0" xfId="0" applyNumberFormat="1" applyFont="1" applyProtection="1"/>
    <xf numFmtId="168" fontId="56" fillId="0" borderId="0" xfId="0" applyNumberFormat="1" applyFont="1" applyFill="1" applyBorder="1" applyProtection="1"/>
    <xf numFmtId="0" fontId="28" fillId="0" borderId="0" xfId="0" applyFont="1" applyFill="1" applyBorder="1" applyProtection="1"/>
    <xf numFmtId="0" fontId="36" fillId="0" borderId="9" xfId="0" applyFont="1" applyBorder="1" applyProtection="1"/>
    <xf numFmtId="0" fontId="44" fillId="16" borderId="3" xfId="0" applyFont="1" applyFill="1" applyBorder="1" applyAlignment="1" applyProtection="1">
      <alignment horizontal="centerContinuous" wrapText="1"/>
    </xf>
    <xf numFmtId="0" fontId="44" fillId="16" borderId="0" xfId="0" applyFont="1" applyFill="1" applyBorder="1" applyAlignment="1">
      <alignment horizontal="left"/>
    </xf>
    <xf numFmtId="0" fontId="44" fillId="16" borderId="3" xfId="0" applyFont="1" applyFill="1" applyBorder="1" applyAlignment="1">
      <alignment horizontal="centerContinuous" wrapText="1"/>
    </xf>
    <xf numFmtId="0" fontId="44" fillId="16" borderId="4" xfId="0" applyFont="1" applyFill="1" applyBorder="1" applyAlignment="1">
      <alignment horizontal="centerContinuous" wrapText="1"/>
    </xf>
    <xf numFmtId="166" fontId="37" fillId="16" borderId="0" xfId="0" applyNumberFormat="1" applyFont="1" applyFill="1"/>
    <xf numFmtId="168" fontId="50" fillId="16" borderId="5" xfId="0" applyNumberFormat="1" applyFont="1" applyFill="1" applyBorder="1" applyAlignment="1">
      <alignment vertical="center"/>
    </xf>
    <xf numFmtId="168" fontId="50" fillId="16" borderId="0" xfId="0" applyNumberFormat="1" applyFont="1" applyFill="1" applyBorder="1" applyAlignment="1">
      <alignment vertical="center"/>
    </xf>
    <xf numFmtId="168" fontId="51" fillId="0" borderId="0" xfId="0" applyNumberFormat="1" applyFont="1" applyFill="1" applyBorder="1"/>
    <xf numFmtId="168" fontId="46" fillId="0" borderId="0" xfId="0" applyNumberFormat="1" applyFont="1" applyFill="1" applyBorder="1"/>
    <xf numFmtId="168" fontId="46" fillId="0" borderId="9" xfId="0" applyNumberFormat="1" applyFont="1" applyFill="1" applyBorder="1"/>
    <xf numFmtId="172" fontId="38" fillId="0" borderId="0" xfId="9" applyFont="1" applyFill="1" applyBorder="1"/>
    <xf numFmtId="168" fontId="38" fillId="0" borderId="0" xfId="0" applyNumberFormat="1" applyFont="1" applyFill="1" applyBorder="1"/>
    <xf numFmtId="168" fontId="57" fillId="0" borderId="0" xfId="0" applyNumberFormat="1" applyFont="1" applyFill="1" applyBorder="1"/>
    <xf numFmtId="9" fontId="36" fillId="0" borderId="0" xfId="1" applyFont="1"/>
    <xf numFmtId="0" fontId="39" fillId="0" borderId="0" xfId="0" applyFont="1" applyFill="1" applyAlignment="1">
      <alignment horizontal="center"/>
    </xf>
    <xf numFmtId="0" fontId="38" fillId="0" borderId="0" xfId="0" applyFont="1" applyFill="1" applyAlignment="1">
      <alignment horizontal="center"/>
    </xf>
    <xf numFmtId="168" fontId="46" fillId="0" borderId="0" xfId="0" applyNumberFormat="1" applyFont="1" applyFill="1"/>
    <xf numFmtId="168" fontId="50" fillId="0" borderId="0" xfId="0" applyNumberFormat="1" applyFont="1" applyFill="1" applyBorder="1" applyAlignment="1">
      <alignment vertical="center"/>
    </xf>
    <xf numFmtId="168" fontId="28" fillId="0" borderId="0" xfId="0" applyNumberFormat="1" applyFont="1" applyFill="1" applyBorder="1"/>
    <xf numFmtId="172" fontId="58" fillId="0" borderId="0" xfId="9" applyFont="1" applyFill="1" applyBorder="1"/>
    <xf numFmtId="168" fontId="55" fillId="0" borderId="0" xfId="0" applyNumberFormat="1" applyFont="1" applyFill="1" applyBorder="1"/>
    <xf numFmtId="169" fontId="55" fillId="0" borderId="0" xfId="1" applyNumberFormat="1" applyFont="1" applyFill="1" applyBorder="1"/>
    <xf numFmtId="9" fontId="46" fillId="0" borderId="0" xfId="1" applyFont="1" applyFill="1" applyBorder="1"/>
    <xf numFmtId="168" fontId="56" fillId="0" borderId="0" xfId="0" applyNumberFormat="1" applyFont="1" applyFill="1" applyBorder="1"/>
    <xf numFmtId="168" fontId="36" fillId="0" borderId="0" xfId="0" applyNumberFormat="1" applyFont="1"/>
    <xf numFmtId="168" fontId="61" fillId="0" borderId="0" xfId="0" applyNumberFormat="1" applyFont="1" applyFill="1" applyBorder="1"/>
    <xf numFmtId="168" fontId="60" fillId="0" borderId="0" xfId="0" applyNumberFormat="1" applyFont="1" applyFill="1" applyBorder="1"/>
    <xf numFmtId="168" fontId="60" fillId="0" borderId="0" xfId="0" applyNumberFormat="1" applyFont="1" applyFill="1"/>
    <xf numFmtId="0" fontId="28" fillId="0" borderId="0" xfId="0" applyFont="1" applyFill="1" applyBorder="1"/>
    <xf numFmtId="0" fontId="30" fillId="0" borderId="0" xfId="0" applyFont="1" applyBorder="1"/>
    <xf numFmtId="0" fontId="30" fillId="0" borderId="9" xfId="0" applyFont="1" applyBorder="1"/>
    <xf numFmtId="167" fontId="37" fillId="16" borderId="7" xfId="0" applyNumberFormat="1" applyFont="1" applyFill="1" applyBorder="1"/>
    <xf numFmtId="166" fontId="37" fillId="16" borderId="7" xfId="0" applyNumberFormat="1" applyFont="1" applyFill="1" applyBorder="1"/>
    <xf numFmtId="169" fontId="36" fillId="0" borderId="0" xfId="0" applyNumberFormat="1" applyFont="1"/>
    <xf numFmtId="3" fontId="62" fillId="0" borderId="0" xfId="0" applyNumberFormat="1" applyFont="1" applyBorder="1"/>
    <xf numFmtId="168" fontId="63" fillId="16" borderId="5" xfId="0" applyNumberFormat="1" applyFont="1" applyFill="1" applyBorder="1"/>
    <xf numFmtId="168" fontId="63" fillId="16" borderId="0" xfId="0" applyNumberFormat="1" applyFont="1" applyFill="1" applyBorder="1"/>
    <xf numFmtId="168" fontId="64" fillId="16" borderId="0" xfId="0" applyNumberFormat="1" applyFont="1" applyFill="1" applyBorder="1"/>
    <xf numFmtId="168" fontId="64" fillId="16" borderId="8" xfId="0" applyNumberFormat="1" applyFont="1" applyFill="1" applyBorder="1"/>
    <xf numFmtId="168" fontId="64" fillId="16" borderId="1" xfId="0" applyNumberFormat="1" applyFont="1" applyFill="1" applyBorder="1"/>
    <xf numFmtId="168" fontId="37" fillId="16" borderId="5" xfId="0" applyNumberFormat="1" applyFont="1" applyFill="1" applyBorder="1"/>
    <xf numFmtId="168" fontId="63" fillId="16" borderId="0" xfId="0" applyNumberFormat="1" applyFont="1" applyFill="1"/>
    <xf numFmtId="0" fontId="37" fillId="16" borderId="5" xfId="28" applyNumberFormat="1" applyFont="1" applyFill="1" applyBorder="1" applyAlignment="1" applyProtection="1"/>
    <xf numFmtId="168" fontId="63" fillId="16" borderId="8" xfId="0" applyNumberFormat="1" applyFont="1" applyFill="1" applyBorder="1"/>
    <xf numFmtId="168" fontId="63" fillId="16" borderId="1" xfId="0" applyNumberFormat="1" applyFont="1" applyFill="1" applyBorder="1"/>
    <xf numFmtId="0" fontId="66" fillId="0" borderId="0" xfId="0" applyFont="1"/>
    <xf numFmtId="0" fontId="18" fillId="16" borderId="15" xfId="0" applyFont="1" applyFill="1" applyBorder="1"/>
    <xf numFmtId="0" fontId="18" fillId="16" borderId="16" xfId="0" applyFont="1" applyFill="1" applyBorder="1"/>
    <xf numFmtId="0" fontId="18" fillId="16" borderId="17" xfId="0" applyFont="1" applyFill="1" applyBorder="1"/>
    <xf numFmtId="0" fontId="18" fillId="16" borderId="18" xfId="0" applyFont="1" applyFill="1" applyBorder="1" applyAlignment="1">
      <alignment horizontal="center"/>
    </xf>
    <xf numFmtId="0" fontId="19" fillId="16" borderId="18" xfId="0" applyFont="1" applyFill="1" applyBorder="1" applyAlignment="1">
      <alignment horizontal="center"/>
    </xf>
    <xf numFmtId="0" fontId="20" fillId="16" borderId="15" xfId="0" applyFont="1" applyFill="1" applyBorder="1"/>
    <xf numFmtId="0" fontId="20" fillId="16" borderId="16" xfId="0" applyFont="1" applyFill="1" applyBorder="1"/>
    <xf numFmtId="0" fontId="20" fillId="16" borderId="17" xfId="0" applyFont="1" applyFill="1" applyBorder="1"/>
    <xf numFmtId="0" fontId="5" fillId="16" borderId="16" xfId="0" applyFont="1" applyFill="1" applyBorder="1"/>
    <xf numFmtId="0" fontId="5" fillId="16" borderId="17" xfId="0" applyFont="1" applyFill="1" applyBorder="1"/>
    <xf numFmtId="0" fontId="20" fillId="16" borderId="15" xfId="0" applyFont="1" applyFill="1" applyBorder="1" applyAlignment="1">
      <alignment horizontal="left"/>
    </xf>
    <xf numFmtId="0" fontId="0" fillId="16" borderId="16" xfId="0" applyFont="1" applyFill="1" applyBorder="1" applyAlignment="1">
      <alignment horizontal="left"/>
    </xf>
    <xf numFmtId="0" fontId="0" fillId="16" borderId="17" xfId="0" applyFont="1" applyFill="1" applyBorder="1" applyAlignment="1">
      <alignment horizontal="left"/>
    </xf>
    <xf numFmtId="0" fontId="20" fillId="16" borderId="18" xfId="0" applyFont="1" applyFill="1" applyBorder="1"/>
    <xf numFmtId="0" fontId="21" fillId="16" borderId="15" xfId="0" applyFont="1" applyFill="1" applyBorder="1"/>
    <xf numFmtId="0" fontId="21" fillId="16" borderId="16" xfId="0" applyFont="1" applyFill="1" applyBorder="1"/>
    <xf numFmtId="0" fontId="21" fillId="16" borderId="17" xfId="0" applyFont="1" applyFill="1" applyBorder="1"/>
    <xf numFmtId="0" fontId="70" fillId="16" borderId="16" xfId="0" applyFont="1" applyFill="1" applyBorder="1"/>
    <xf numFmtId="0" fontId="70" fillId="16" borderId="17" xfId="0" applyFont="1" applyFill="1" applyBorder="1"/>
    <xf numFmtId="0" fontId="18" fillId="16" borderId="0" xfId="0" applyFont="1" applyFill="1"/>
    <xf numFmtId="0" fontId="23" fillId="16" borderId="15" xfId="0" applyFont="1" applyFill="1" applyBorder="1"/>
    <xf numFmtId="0" fontId="11" fillId="16" borderId="18" xfId="0" applyFont="1" applyFill="1" applyBorder="1"/>
    <xf numFmtId="0" fontId="18" fillId="16" borderId="18" xfId="0" applyFont="1" applyFill="1" applyBorder="1"/>
    <xf numFmtId="0" fontId="24" fillId="16" borderId="16" xfId="0" applyFont="1" applyFill="1" applyBorder="1"/>
    <xf numFmtId="0" fontId="24" fillId="16" borderId="17" xfId="0" applyFont="1" applyFill="1" applyBorder="1"/>
    <xf numFmtId="4" fontId="20" fillId="16" borderId="18" xfId="0" applyNumberFormat="1" applyFont="1" applyFill="1" applyBorder="1" applyAlignment="1">
      <alignment horizontal="center"/>
    </xf>
    <xf numFmtId="43" fontId="25" fillId="16" borderId="7" xfId="18" applyFont="1" applyFill="1" applyBorder="1" applyAlignment="1">
      <alignment horizontal="right"/>
    </xf>
    <xf numFmtId="10" fontId="25" fillId="16" borderId="0" xfId="1" applyNumberFormat="1" applyFont="1" applyFill="1" applyBorder="1" applyAlignment="1">
      <alignment horizontal="right"/>
    </xf>
    <xf numFmtId="43" fontId="25" fillId="16" borderId="0" xfId="18" applyFont="1" applyFill="1" applyBorder="1" applyAlignment="1">
      <alignment horizontal="right"/>
    </xf>
    <xf numFmtId="0" fontId="11" fillId="16" borderId="34" xfId="0" applyFont="1" applyFill="1" applyBorder="1"/>
    <xf numFmtId="43" fontId="11" fillId="16" borderId="34" xfId="18" applyFont="1" applyFill="1" applyBorder="1" applyAlignment="1">
      <alignment horizontal="right"/>
    </xf>
    <xf numFmtId="0" fontId="12" fillId="16" borderId="7" xfId="23" applyFont="1" applyFill="1" applyBorder="1"/>
    <xf numFmtId="0" fontId="22" fillId="16" borderId="15" xfId="0" applyFont="1" applyFill="1" applyBorder="1"/>
    <xf numFmtId="0" fontId="20" fillId="16" borderId="18" xfId="0" applyFont="1" applyFill="1" applyBorder="1" applyAlignment="1">
      <alignment horizontal="center"/>
    </xf>
    <xf numFmtId="2" fontId="20" fillId="16" borderId="18" xfId="1" applyNumberFormat="1" applyFont="1" applyFill="1" applyBorder="1" applyAlignment="1">
      <alignment horizontal="center"/>
    </xf>
    <xf numFmtId="0" fontId="18" fillId="16" borderId="23" xfId="0" applyFont="1" applyFill="1" applyBorder="1" applyAlignment="1">
      <alignment horizontal="center"/>
    </xf>
    <xf numFmtId="10" fontId="70" fillId="16" borderId="29" xfId="1" applyNumberFormat="1" applyFont="1" applyFill="1" applyBorder="1" applyAlignment="1">
      <alignment horizontal="center"/>
    </xf>
    <xf numFmtId="168" fontId="37" fillId="16" borderId="0" xfId="0" applyNumberFormat="1" applyFont="1" applyFill="1" applyBorder="1"/>
    <xf numFmtId="168" fontId="63" fillId="16" borderId="0" xfId="0" applyNumberFormat="1" applyFont="1" applyFill="1" applyBorder="1" applyProtection="1"/>
    <xf numFmtId="168" fontId="64" fillId="16" borderId="0" xfId="0" applyNumberFormat="1" applyFont="1" applyFill="1" applyBorder="1" applyProtection="1"/>
    <xf numFmtId="168" fontId="37" fillId="16" borderId="0" xfId="0" applyNumberFormat="1" applyFont="1" applyFill="1" applyBorder="1" applyProtection="1"/>
    <xf numFmtId="0" fontId="66" fillId="16" borderId="0" xfId="0" applyFont="1" applyFill="1" applyProtection="1"/>
    <xf numFmtId="0" fontId="66" fillId="16" borderId="1" xfId="0" applyFont="1" applyFill="1" applyBorder="1" applyProtection="1"/>
    <xf numFmtId="0" fontId="66" fillId="16" borderId="0" xfId="0" applyFont="1" applyFill="1" applyBorder="1" applyProtection="1"/>
    <xf numFmtId="0" fontId="63" fillId="16" borderId="0" xfId="0" applyFont="1" applyFill="1" applyProtection="1"/>
    <xf numFmtId="0" fontId="66" fillId="16" borderId="5" xfId="0" applyFont="1" applyFill="1" applyBorder="1"/>
    <xf numFmtId="0" fontId="44" fillId="16" borderId="8" xfId="0" applyFont="1" applyFill="1" applyBorder="1"/>
    <xf numFmtId="0" fontId="36" fillId="0" borderId="0" xfId="0" applyFont="1" applyAlignment="1">
      <alignment wrapText="1"/>
    </xf>
    <xf numFmtId="168" fontId="28" fillId="0" borderId="18" xfId="6" applyNumberFormat="1" applyFont="1" applyFill="1" applyBorder="1"/>
    <xf numFmtId="168" fontId="28" fillId="0" borderId="18" xfId="0" applyNumberFormat="1" applyFont="1" applyFill="1" applyBorder="1"/>
    <xf numFmtId="168" fontId="48" fillId="0" borderId="18" xfId="0" applyNumberFormat="1" applyFont="1" applyFill="1" applyBorder="1"/>
    <xf numFmtId="169" fontId="59" fillId="0" borderId="18" xfId="1" applyNumberFormat="1" applyFont="1" applyFill="1" applyBorder="1"/>
    <xf numFmtId="169" fontId="55" fillId="0" borderId="18" xfId="1" applyNumberFormat="1" applyFont="1" applyFill="1" applyBorder="1"/>
    <xf numFmtId="168" fontId="46" fillId="0" borderId="18" xfId="0" applyNumberFormat="1" applyFont="1" applyFill="1" applyBorder="1"/>
    <xf numFmtId="168" fontId="51" fillId="0" borderId="18" xfId="0" applyNumberFormat="1" applyFont="1" applyFill="1" applyBorder="1"/>
    <xf numFmtId="168" fontId="60" fillId="0" borderId="18" xfId="6" applyFont="1" applyFill="1" applyBorder="1"/>
    <xf numFmtId="168" fontId="61" fillId="0" borderId="18" xfId="0" applyNumberFormat="1" applyFont="1" applyFill="1" applyBorder="1"/>
    <xf numFmtId="168" fontId="60" fillId="0" borderId="18" xfId="0" applyNumberFormat="1" applyFont="1" applyFill="1" applyBorder="1"/>
    <xf numFmtId="168" fontId="60" fillId="0" borderId="36" xfId="6" applyFont="1" applyFill="1" applyBorder="1"/>
    <xf numFmtId="3" fontId="28" fillId="0" borderId="18" xfId="0" applyNumberFormat="1" applyFont="1" applyFill="1" applyBorder="1"/>
    <xf numFmtId="3" fontId="38" fillId="0" borderId="18" xfId="0" applyNumberFormat="1" applyFont="1" applyFill="1" applyBorder="1"/>
    <xf numFmtId="3" fontId="48" fillId="0" borderId="18" xfId="0" applyNumberFormat="1" applyFont="1" applyFill="1" applyBorder="1" applyAlignment="1">
      <alignment horizontal="right"/>
    </xf>
    <xf numFmtId="1" fontId="48" fillId="0" borderId="18" xfId="0" applyNumberFormat="1" applyFont="1" applyBorder="1"/>
    <xf numFmtId="168" fontId="42" fillId="16" borderId="15" xfId="0" applyNumberFormat="1" applyFont="1" applyFill="1" applyBorder="1" applyAlignment="1">
      <alignment vertical="center"/>
    </xf>
    <xf numFmtId="168" fontId="50" fillId="16" borderId="16" xfId="0" applyNumberFormat="1" applyFont="1" applyFill="1" applyBorder="1" applyAlignment="1">
      <alignment vertical="center"/>
    </xf>
    <xf numFmtId="168" fontId="28" fillId="16" borderId="16" xfId="0" applyNumberFormat="1" applyFont="1" applyFill="1" applyBorder="1" applyAlignment="1">
      <alignment vertical="center"/>
    </xf>
    <xf numFmtId="168" fontId="28" fillId="16" borderId="17" xfId="0" applyNumberFormat="1" applyFont="1" applyFill="1" applyBorder="1" applyAlignment="1">
      <alignment vertical="center"/>
    </xf>
    <xf numFmtId="168" fontId="63" fillId="16" borderId="23" xfId="0" applyNumberFormat="1" applyFont="1" applyFill="1" applyBorder="1"/>
    <xf numFmtId="168" fontId="63" fillId="16" borderId="26" xfId="0" applyNumberFormat="1" applyFont="1" applyFill="1" applyBorder="1"/>
    <xf numFmtId="168" fontId="37" fillId="16" borderId="26" xfId="0" applyNumberFormat="1" applyFont="1" applyFill="1" applyBorder="1"/>
    <xf numFmtId="168" fontId="37" fillId="16" borderId="15" xfId="0" applyNumberFormat="1" applyFont="1" applyFill="1" applyBorder="1"/>
    <xf numFmtId="168" fontId="65" fillId="16" borderId="29" xfId="0" applyNumberFormat="1" applyFont="1" applyFill="1" applyBorder="1"/>
    <xf numFmtId="3" fontId="28" fillId="0" borderId="17" xfId="0" applyNumberFormat="1" applyFont="1" applyFill="1" applyBorder="1"/>
    <xf numFmtId="3" fontId="38" fillId="0" borderId="17" xfId="0" applyNumberFormat="1" applyFont="1" applyFill="1" applyBorder="1"/>
    <xf numFmtId="3" fontId="48" fillId="0" borderId="17" xfId="0" applyNumberFormat="1" applyFont="1" applyFill="1" applyBorder="1" applyAlignment="1">
      <alignment horizontal="right"/>
    </xf>
    <xf numFmtId="0" fontId="37" fillId="16" borderId="23" xfId="0" applyFont="1" applyFill="1" applyBorder="1"/>
    <xf numFmtId="0" fontId="63" fillId="16" borderId="26" xfId="0" applyFont="1" applyFill="1" applyBorder="1" applyAlignment="1">
      <alignment horizontal="left"/>
    </xf>
    <xf numFmtId="0" fontId="63" fillId="16" borderId="26" xfId="0" quotePrefix="1" applyFont="1" applyFill="1" applyBorder="1" applyAlignment="1">
      <alignment horizontal="left"/>
    </xf>
    <xf numFmtId="0" fontId="37" fillId="16" borderId="29" xfId="0" applyFont="1" applyFill="1" applyBorder="1"/>
    <xf numFmtId="0" fontId="63" fillId="16" borderId="29" xfId="0" applyFont="1" applyFill="1" applyBorder="1"/>
    <xf numFmtId="168" fontId="42" fillId="16" borderId="16" xfId="0" applyNumberFormat="1" applyFont="1" applyFill="1" applyBorder="1" applyAlignment="1">
      <alignment vertical="center"/>
    </xf>
    <xf numFmtId="0" fontId="37" fillId="16" borderId="31" xfId="28" applyNumberFormat="1" applyFont="1" applyFill="1" applyBorder="1" applyAlignment="1" applyProtection="1"/>
    <xf numFmtId="168" fontId="63" fillId="16" borderId="39" xfId="0" applyNumberFormat="1" applyFont="1" applyFill="1" applyBorder="1"/>
    <xf numFmtId="168" fontId="46" fillId="0" borderId="39" xfId="0" applyNumberFormat="1" applyFont="1" applyFill="1" applyBorder="1"/>
    <xf numFmtId="168" fontId="46" fillId="0" borderId="40" xfId="0" applyNumberFormat="1" applyFont="1" applyFill="1" applyBorder="1"/>
    <xf numFmtId="168" fontId="63" fillId="16" borderId="41" xfId="0" applyNumberFormat="1" applyFont="1" applyFill="1" applyBorder="1"/>
    <xf numFmtId="168" fontId="63" fillId="16" borderId="42" xfId="0" applyNumberFormat="1" applyFont="1" applyFill="1" applyBorder="1"/>
    <xf numFmtId="168" fontId="46" fillId="5" borderId="18" xfId="0" applyNumberFormat="1" applyFont="1" applyFill="1" applyBorder="1"/>
    <xf numFmtId="168" fontId="63" fillId="16" borderId="16" xfId="0" applyNumberFormat="1" applyFont="1" applyFill="1" applyBorder="1" applyAlignment="1">
      <alignment vertical="center"/>
    </xf>
    <xf numFmtId="168" fontId="63" fillId="16" borderId="17" xfId="0" applyNumberFormat="1" applyFont="1" applyFill="1" applyBorder="1" applyAlignment="1">
      <alignment vertical="center"/>
    </xf>
    <xf numFmtId="168" fontId="28" fillId="0" borderId="23" xfId="6" applyNumberFormat="1" applyFont="1" applyFill="1" applyBorder="1"/>
    <xf numFmtId="168" fontId="28" fillId="0" borderId="23" xfId="0" applyNumberFormat="1" applyFont="1" applyFill="1" applyBorder="1"/>
    <xf numFmtId="168" fontId="37" fillId="16" borderId="31" xfId="0" applyNumberFormat="1" applyFont="1" applyFill="1" applyBorder="1"/>
    <xf numFmtId="168" fontId="37" fillId="16" borderId="39" xfId="0" applyNumberFormat="1" applyFont="1" applyFill="1" applyBorder="1"/>
    <xf numFmtId="168" fontId="64" fillId="16" borderId="19" xfId="0" applyNumberFormat="1" applyFont="1" applyFill="1" applyBorder="1"/>
    <xf numFmtId="168" fontId="63" fillId="16" borderId="19" xfId="0" applyNumberFormat="1" applyFont="1" applyFill="1" applyBorder="1"/>
    <xf numFmtId="168" fontId="28" fillId="0" borderId="20" xfId="0" applyNumberFormat="1" applyFont="1" applyFill="1" applyBorder="1"/>
    <xf numFmtId="0" fontId="36" fillId="0" borderId="18" xfId="0" applyFont="1" applyFill="1" applyBorder="1"/>
    <xf numFmtId="9" fontId="36" fillId="0" borderId="18" xfId="0" applyNumberFormat="1" applyFont="1" applyFill="1" applyBorder="1"/>
    <xf numFmtId="10" fontId="36" fillId="0" borderId="18" xfId="0" applyNumberFormat="1" applyFont="1" applyFill="1" applyBorder="1"/>
    <xf numFmtId="9" fontId="36" fillId="0" borderId="18" xfId="1" applyFont="1" applyFill="1" applyBorder="1"/>
    <xf numFmtId="10" fontId="36" fillId="0" borderId="18" xfId="1" applyNumberFormat="1" applyFont="1" applyFill="1" applyBorder="1"/>
    <xf numFmtId="168" fontId="46" fillId="0" borderId="0" xfId="0" applyNumberFormat="1" applyFont="1" applyFill="1" applyBorder="1" applyAlignment="1">
      <alignment horizontal="right"/>
    </xf>
    <xf numFmtId="168" fontId="46" fillId="0" borderId="9" xfId="0" applyNumberFormat="1" applyFont="1" applyFill="1" applyBorder="1" applyAlignment="1">
      <alignment horizontal="right"/>
    </xf>
    <xf numFmtId="172" fontId="38" fillId="0" borderId="0" xfId="9" applyFont="1" applyFill="1" applyBorder="1" applyAlignment="1">
      <alignment horizontal="right"/>
    </xf>
    <xf numFmtId="172" fontId="38" fillId="0" borderId="9" xfId="9" applyFont="1" applyFill="1" applyBorder="1" applyAlignment="1">
      <alignment horizontal="right"/>
    </xf>
    <xf numFmtId="168" fontId="38" fillId="0" borderId="0" xfId="0" applyNumberFormat="1" applyFont="1" applyFill="1" applyBorder="1" applyAlignment="1">
      <alignment horizontal="right"/>
    </xf>
    <xf numFmtId="168" fontId="38" fillId="0" borderId="9" xfId="0" applyNumberFormat="1" applyFont="1" applyFill="1" applyBorder="1" applyAlignment="1">
      <alignment horizontal="right"/>
    </xf>
    <xf numFmtId="172" fontId="38" fillId="0" borderId="18" xfId="9" applyFont="1" applyFill="1" applyBorder="1" applyAlignment="1">
      <alignment horizontal="right"/>
    </xf>
    <xf numFmtId="0" fontId="37" fillId="16" borderId="15" xfId="0" applyFont="1" applyFill="1" applyBorder="1" applyProtection="1"/>
    <xf numFmtId="167" fontId="37" fillId="16" borderId="16" xfId="0" applyNumberFormat="1" applyFont="1" applyFill="1" applyBorder="1" applyProtection="1"/>
    <xf numFmtId="166" fontId="37" fillId="16" borderId="16" xfId="0" applyNumberFormat="1" applyFont="1" applyFill="1" applyBorder="1" applyProtection="1"/>
    <xf numFmtId="166" fontId="37" fillId="16" borderId="17" xfId="0" applyNumberFormat="1" applyFont="1" applyFill="1" applyBorder="1" applyProtection="1"/>
    <xf numFmtId="0" fontId="37" fillId="16" borderId="23" xfId="0" applyFont="1" applyFill="1" applyBorder="1" applyProtection="1"/>
    <xf numFmtId="0" fontId="63" fillId="16" borderId="26" xfId="0" applyFont="1" applyFill="1" applyBorder="1" applyProtection="1"/>
    <xf numFmtId="0" fontId="37" fillId="16" borderId="31" xfId="0" applyFont="1" applyFill="1" applyBorder="1" applyProtection="1"/>
    <xf numFmtId="0" fontId="63" fillId="16" borderId="19" xfId="0" applyFont="1" applyFill="1" applyBorder="1" applyProtection="1"/>
    <xf numFmtId="3" fontId="48" fillId="0" borderId="18" xfId="0" applyNumberFormat="1" applyFont="1" applyFill="1" applyBorder="1" applyAlignment="1" applyProtection="1">
      <alignment horizontal="right"/>
    </xf>
    <xf numFmtId="168" fontId="42" fillId="16" borderId="15" xfId="0" applyNumberFormat="1" applyFont="1" applyFill="1" applyBorder="1" applyAlignment="1" applyProtection="1">
      <alignment vertical="center"/>
    </xf>
    <xf numFmtId="168" fontId="42" fillId="16" borderId="16" xfId="0" applyNumberFormat="1" applyFont="1" applyFill="1" applyBorder="1" applyAlignment="1" applyProtection="1">
      <alignment vertical="center"/>
    </xf>
    <xf numFmtId="168" fontId="63" fillId="16" borderId="16" xfId="0" applyNumberFormat="1" applyFont="1" applyFill="1" applyBorder="1" applyAlignment="1" applyProtection="1">
      <alignment vertical="center"/>
    </xf>
    <xf numFmtId="168" fontId="63" fillId="16" borderId="17" xfId="0" applyNumberFormat="1" applyFont="1" applyFill="1" applyBorder="1" applyAlignment="1" applyProtection="1">
      <alignment vertical="center"/>
    </xf>
    <xf numFmtId="168" fontId="63" fillId="16" borderId="31" xfId="0" applyNumberFormat="1" applyFont="1" applyFill="1" applyBorder="1" applyProtection="1"/>
    <xf numFmtId="168" fontId="63" fillId="16" borderId="39" xfId="0" applyNumberFormat="1" applyFont="1" applyFill="1" applyBorder="1" applyProtection="1"/>
    <xf numFmtId="168" fontId="46" fillId="0" borderId="39" xfId="0" applyNumberFormat="1" applyFont="1" applyFill="1" applyBorder="1" applyProtection="1"/>
    <xf numFmtId="168" fontId="46" fillId="0" borderId="40" xfId="0" applyNumberFormat="1" applyFont="1" applyFill="1" applyBorder="1" applyProtection="1"/>
    <xf numFmtId="168" fontId="63" fillId="16" borderId="19" xfId="0" applyNumberFormat="1" applyFont="1" applyFill="1" applyBorder="1" applyProtection="1"/>
    <xf numFmtId="168" fontId="46" fillId="0" borderId="20" xfId="0" applyNumberFormat="1" applyFont="1" applyFill="1" applyBorder="1" applyProtection="1"/>
    <xf numFmtId="168" fontId="63" fillId="16" borderId="41" xfId="0" applyNumberFormat="1" applyFont="1" applyFill="1" applyBorder="1" applyProtection="1"/>
    <xf numFmtId="168" fontId="63" fillId="16" borderId="42" xfId="0" applyNumberFormat="1" applyFont="1" applyFill="1" applyBorder="1" applyProtection="1"/>
    <xf numFmtId="168" fontId="46" fillId="0" borderId="42" xfId="0" applyNumberFormat="1" applyFont="1" applyFill="1" applyBorder="1" applyProtection="1"/>
    <xf numFmtId="168" fontId="46" fillId="0" borderId="43" xfId="0" applyNumberFormat="1" applyFont="1" applyFill="1" applyBorder="1" applyProtection="1"/>
    <xf numFmtId="168" fontId="37" fillId="16" borderId="31" xfId="0" applyNumberFormat="1" applyFont="1" applyFill="1" applyBorder="1" applyProtection="1"/>
    <xf numFmtId="168" fontId="37" fillId="16" borderId="39" xfId="0" applyNumberFormat="1" applyFont="1" applyFill="1" applyBorder="1" applyProtection="1"/>
    <xf numFmtId="168" fontId="64" fillId="16" borderId="19" xfId="0" applyNumberFormat="1" applyFont="1" applyFill="1" applyBorder="1" applyProtection="1"/>
    <xf numFmtId="168" fontId="64" fillId="16" borderId="41" xfId="0" applyNumberFormat="1" applyFont="1" applyFill="1" applyBorder="1" applyProtection="1"/>
    <xf numFmtId="168" fontId="64" fillId="16" borderId="42" xfId="0" applyNumberFormat="1" applyFont="1" applyFill="1" applyBorder="1" applyProtection="1"/>
    <xf numFmtId="168" fontId="46" fillId="0" borderId="18" xfId="0" applyNumberFormat="1" applyFont="1" applyFill="1" applyBorder="1" applyProtection="1"/>
    <xf numFmtId="168" fontId="48" fillId="0" borderId="18" xfId="0" applyNumberFormat="1" applyFont="1" applyFill="1" applyBorder="1" applyProtection="1"/>
    <xf numFmtId="169" fontId="55" fillId="0" borderId="18" xfId="1" applyNumberFormat="1" applyFont="1" applyFill="1" applyBorder="1" applyProtection="1"/>
    <xf numFmtId="168" fontId="51" fillId="0" borderId="18" xfId="0" applyNumberFormat="1" applyFont="1" applyFill="1" applyBorder="1" applyProtection="1"/>
    <xf numFmtId="0" fontId="36" fillId="0" borderId="42" xfId="0" applyFont="1" applyBorder="1" applyProtection="1"/>
    <xf numFmtId="0" fontId="36" fillId="0" borderId="43" xfId="0" applyFont="1" applyBorder="1" applyProtection="1"/>
    <xf numFmtId="168" fontId="37" fillId="16" borderId="18" xfId="0" applyNumberFormat="1" applyFont="1" applyFill="1" applyBorder="1" applyProtection="1"/>
    <xf numFmtId="168" fontId="37" fillId="16" borderId="41" xfId="0" applyNumberFormat="1" applyFont="1" applyFill="1" applyBorder="1" applyProtection="1"/>
    <xf numFmtId="0" fontId="66" fillId="16" borderId="42" xfId="0" applyFont="1" applyFill="1" applyBorder="1" applyProtection="1"/>
    <xf numFmtId="0" fontId="38" fillId="0" borderId="0" xfId="0" applyFont="1" applyFill="1" applyBorder="1" applyProtection="1"/>
    <xf numFmtId="168" fontId="46" fillId="0" borderId="23" xfId="0" applyNumberFormat="1" applyFont="1" applyFill="1" applyBorder="1" applyProtection="1"/>
    <xf numFmtId="168" fontId="38" fillId="0" borderId="18" xfId="0" applyNumberFormat="1" applyFont="1" applyBorder="1" applyProtection="1"/>
    <xf numFmtId="0" fontId="38" fillId="0" borderId="17" xfId="0" applyFont="1" applyFill="1" applyBorder="1" applyProtection="1"/>
    <xf numFmtId="0" fontId="63" fillId="16" borderId="0" xfId="0" applyFont="1" applyFill="1" applyBorder="1" applyProtection="1"/>
    <xf numFmtId="0" fontId="37" fillId="16" borderId="19" xfId="0" applyFont="1" applyFill="1" applyBorder="1" applyProtection="1"/>
    <xf numFmtId="0" fontId="38" fillId="0" borderId="20" xfId="0" applyFont="1" applyFill="1" applyBorder="1" applyProtection="1"/>
    <xf numFmtId="0" fontId="63" fillId="16" borderId="42" xfId="0" applyFont="1" applyFill="1" applyBorder="1" applyProtection="1"/>
    <xf numFmtId="0" fontId="63" fillId="16" borderId="39" xfId="0" applyFont="1" applyFill="1" applyBorder="1" applyProtection="1"/>
    <xf numFmtId="0" fontId="38" fillId="0" borderId="0" xfId="0" applyFont="1" applyBorder="1" applyProtection="1"/>
    <xf numFmtId="0" fontId="38" fillId="0" borderId="20" xfId="0" applyFont="1" applyBorder="1" applyProtection="1"/>
    <xf numFmtId="0" fontId="63" fillId="16" borderId="41" xfId="0" applyFont="1" applyFill="1" applyBorder="1" applyProtection="1"/>
    <xf numFmtId="0" fontId="38" fillId="0" borderId="42" xfId="0" applyFont="1" applyBorder="1" applyProtection="1"/>
    <xf numFmtId="0" fontId="38" fillId="0" borderId="43" xfId="0" applyFont="1" applyBorder="1" applyProtection="1"/>
    <xf numFmtId="0" fontId="37" fillId="16" borderId="1" xfId="0" applyFont="1" applyFill="1" applyBorder="1" applyProtection="1"/>
    <xf numFmtId="0" fontId="66" fillId="16" borderId="41" xfId="0" applyFont="1" applyFill="1" applyBorder="1" applyProtection="1"/>
    <xf numFmtId="168" fontId="51" fillId="16" borderId="1" xfId="0" applyNumberFormat="1" applyFont="1" applyFill="1" applyBorder="1" applyProtection="1"/>
    <xf numFmtId="0" fontId="66" fillId="16" borderId="16" xfId="0" applyFont="1" applyFill="1" applyBorder="1" applyProtection="1"/>
    <xf numFmtId="168" fontId="51" fillId="0" borderId="16" xfId="0" applyNumberFormat="1" applyFont="1" applyFill="1" applyBorder="1" applyProtection="1"/>
    <xf numFmtId="168" fontId="51" fillId="0" borderId="17" xfId="0" applyNumberFormat="1" applyFont="1" applyFill="1" applyBorder="1" applyProtection="1"/>
    <xf numFmtId="168" fontId="51" fillId="16" borderId="16" xfId="0" applyNumberFormat="1" applyFont="1" applyFill="1" applyBorder="1" applyProtection="1"/>
    <xf numFmtId="178" fontId="39" fillId="0" borderId="18" xfId="0" applyNumberFormat="1" applyFont="1" applyFill="1" applyBorder="1" applyProtection="1"/>
    <xf numFmtId="9" fontId="38" fillId="0" borderId="18" xfId="1" applyFont="1" applyBorder="1" applyProtection="1"/>
    <xf numFmtId="2" fontId="39" fillId="0" borderId="18" xfId="0" applyNumberFormat="1" applyFont="1" applyFill="1" applyBorder="1" applyProtection="1"/>
    <xf numFmtId="3" fontId="38" fillId="0" borderId="18" xfId="0" applyNumberFormat="1" applyFont="1" applyBorder="1" applyProtection="1"/>
    <xf numFmtId="170" fontId="39" fillId="0" borderId="18" xfId="0" applyNumberFormat="1" applyFont="1" applyBorder="1" applyProtection="1"/>
    <xf numFmtId="0" fontId="66" fillId="16" borderId="39" xfId="0" applyFont="1" applyFill="1" applyBorder="1" applyProtection="1"/>
    <xf numFmtId="168" fontId="37" fillId="16" borderId="19" xfId="0" applyNumberFormat="1" applyFont="1" applyFill="1" applyBorder="1" applyProtection="1"/>
    <xf numFmtId="175" fontId="36" fillId="0" borderId="18" xfId="0" applyNumberFormat="1" applyFont="1" applyFill="1" applyBorder="1" applyProtection="1"/>
    <xf numFmtId="176" fontId="36" fillId="0" borderId="18" xfId="0" applyNumberFormat="1" applyFont="1" applyFill="1" applyBorder="1" applyProtection="1"/>
    <xf numFmtId="3" fontId="36" fillId="0" borderId="18" xfId="0" applyNumberFormat="1" applyFont="1" applyBorder="1"/>
    <xf numFmtId="3" fontId="45" fillId="0" borderId="18" xfId="0" applyNumberFormat="1" applyFont="1" applyBorder="1"/>
    <xf numFmtId="3" fontId="36" fillId="0" borderId="17" xfId="0" applyNumberFormat="1" applyFont="1" applyBorder="1"/>
    <xf numFmtId="167" fontId="44" fillId="16" borderId="23" xfId="0" applyNumberFormat="1" applyFont="1" applyFill="1" applyBorder="1" applyProtection="1"/>
    <xf numFmtId="0" fontId="66" fillId="16" borderId="26" xfId="0" applyFont="1" applyFill="1" applyBorder="1"/>
    <xf numFmtId="0" fontId="66" fillId="16" borderId="29" xfId="0" applyFont="1" applyFill="1" applyBorder="1"/>
    <xf numFmtId="0" fontId="44" fillId="16" borderId="18" xfId="0" applyFont="1" applyFill="1" applyBorder="1"/>
    <xf numFmtId="167" fontId="44" fillId="16" borderId="31" xfId="0" applyNumberFormat="1" applyFont="1" applyFill="1" applyBorder="1" applyProtection="1"/>
    <xf numFmtId="0" fontId="66" fillId="16" borderId="19" xfId="0" applyFont="1" applyFill="1" applyBorder="1"/>
    <xf numFmtId="0" fontId="66" fillId="16" borderId="41" xfId="0" applyFont="1" applyFill="1" applyBorder="1"/>
    <xf numFmtId="0" fontId="44" fillId="16" borderId="15" xfId="0" applyFont="1" applyFill="1" applyBorder="1"/>
    <xf numFmtId="167" fontId="44" fillId="16" borderId="18" xfId="0" applyNumberFormat="1" applyFont="1" applyFill="1" applyBorder="1" applyAlignment="1" applyProtection="1">
      <alignment horizontal="right"/>
    </xf>
    <xf numFmtId="0" fontId="44" fillId="16" borderId="26" xfId="0" applyFont="1" applyFill="1" applyBorder="1"/>
    <xf numFmtId="0" fontId="44" fillId="16" borderId="29" xfId="0" applyFont="1" applyFill="1" applyBorder="1"/>
    <xf numFmtId="0" fontId="44" fillId="16" borderId="23" xfId="0" applyFont="1" applyFill="1" applyBorder="1"/>
    <xf numFmtId="9" fontId="36" fillId="0" borderId="18" xfId="1" applyFont="1" applyBorder="1" applyAlignment="1">
      <alignment horizontal="center"/>
    </xf>
    <xf numFmtId="0" fontId="45" fillId="5" borderId="18" xfId="1" applyNumberFormat="1" applyFont="1" applyFill="1" applyBorder="1" applyAlignment="1">
      <alignment horizontal="right"/>
    </xf>
    <xf numFmtId="0" fontId="36" fillId="5" borderId="18" xfId="1" applyNumberFormat="1" applyFont="1" applyFill="1" applyBorder="1" applyAlignment="1">
      <alignment horizontal="right"/>
    </xf>
    <xf numFmtId="172" fontId="36" fillId="5" borderId="18" xfId="1" applyNumberFormat="1" applyFont="1" applyFill="1" applyBorder="1"/>
    <xf numFmtId="0" fontId="30" fillId="5" borderId="18" xfId="1" applyNumberFormat="1" applyFont="1" applyFill="1" applyBorder="1"/>
    <xf numFmtId="0" fontId="36" fillId="5" borderId="18" xfId="0" applyFont="1" applyFill="1" applyBorder="1"/>
    <xf numFmtId="0" fontId="45" fillId="5" borderId="17" xfId="1" applyNumberFormat="1" applyFont="1" applyFill="1" applyBorder="1" applyAlignment="1">
      <alignment horizontal="right"/>
    </xf>
    <xf numFmtId="0" fontId="36" fillId="5" borderId="17" xfId="1" applyNumberFormat="1" applyFont="1" applyFill="1" applyBorder="1" applyAlignment="1">
      <alignment horizontal="right"/>
    </xf>
    <xf numFmtId="172" fontId="36" fillId="5" borderId="17" xfId="1" applyNumberFormat="1" applyFont="1" applyFill="1" applyBorder="1"/>
    <xf numFmtId="167" fontId="44" fillId="16" borderId="23" xfId="0" applyNumberFormat="1" applyFont="1" applyFill="1" applyBorder="1"/>
    <xf numFmtId="168" fontId="66" fillId="16" borderId="26" xfId="0" applyNumberFormat="1" applyFont="1" applyFill="1" applyBorder="1"/>
    <xf numFmtId="168" fontId="44" fillId="16" borderId="23" xfId="0" applyNumberFormat="1" applyFont="1" applyFill="1" applyBorder="1"/>
    <xf numFmtId="0" fontId="36" fillId="5" borderId="16" xfId="0" applyFont="1" applyFill="1" applyBorder="1"/>
    <xf numFmtId="175" fontId="36" fillId="5" borderId="16" xfId="0" applyNumberFormat="1" applyFont="1" applyFill="1" applyBorder="1"/>
    <xf numFmtId="175" fontId="36" fillId="5" borderId="17" xfId="0" applyNumberFormat="1" applyFont="1" applyFill="1" applyBorder="1"/>
    <xf numFmtId="0" fontId="66" fillId="16" borderId="23" xfId="0" applyFont="1" applyFill="1" applyBorder="1"/>
    <xf numFmtId="0" fontId="36" fillId="0" borderId="18" xfId="0" applyFont="1" applyBorder="1"/>
    <xf numFmtId="172" fontId="36" fillId="0" borderId="18" xfId="1" applyNumberFormat="1" applyFont="1" applyBorder="1"/>
    <xf numFmtId="9" fontId="36" fillId="0" borderId="18" xfId="1" applyFont="1" applyBorder="1"/>
    <xf numFmtId="0" fontId="36" fillId="0" borderId="18" xfId="1" applyNumberFormat="1" applyFont="1" applyBorder="1"/>
    <xf numFmtId="175" fontId="36" fillId="0" borderId="18" xfId="0" applyNumberFormat="1" applyFont="1" applyBorder="1"/>
    <xf numFmtId="175" fontId="45" fillId="0" borderId="18" xfId="0" applyNumberFormat="1" applyFont="1" applyBorder="1"/>
    <xf numFmtId="0" fontId="36" fillId="0" borderId="17" xfId="0" applyFont="1" applyBorder="1"/>
    <xf numFmtId="9" fontId="36" fillId="0" borderId="17" xfId="1" applyFont="1" applyBorder="1"/>
    <xf numFmtId="168" fontId="66" fillId="16" borderId="23" xfId="0" applyNumberFormat="1" applyFont="1" applyFill="1" applyBorder="1"/>
    <xf numFmtId="175" fontId="45" fillId="0" borderId="16" xfId="0" applyNumberFormat="1" applyFont="1" applyBorder="1"/>
    <xf numFmtId="175" fontId="45" fillId="0" borderId="17" xfId="0" applyNumberFormat="1" applyFont="1" applyBorder="1"/>
    <xf numFmtId="175" fontId="45" fillId="0" borderId="15" xfId="0" applyNumberFormat="1" applyFont="1" applyBorder="1"/>
    <xf numFmtId="0" fontId="66" fillId="16" borderId="18" xfId="0" applyFont="1" applyFill="1" applyBorder="1"/>
    <xf numFmtId="0" fontId="66" fillId="16" borderId="18" xfId="0" applyFont="1" applyFill="1" applyBorder="1" applyProtection="1"/>
    <xf numFmtId="10" fontId="36" fillId="0" borderId="18" xfId="0" applyNumberFormat="1" applyFont="1" applyBorder="1" applyProtection="1"/>
    <xf numFmtId="175" fontId="36" fillId="5" borderId="18" xfId="0" applyNumberFormat="1" applyFont="1" applyFill="1" applyBorder="1" applyAlignment="1">
      <alignment horizontal="center"/>
    </xf>
    <xf numFmtId="175" fontId="36" fillId="2" borderId="18" xfId="0" applyNumberFormat="1" applyFont="1" applyFill="1" applyBorder="1" applyAlignment="1">
      <alignment horizontal="center"/>
    </xf>
    <xf numFmtId="175" fontId="36" fillId="15" borderId="18" xfId="0" applyNumberFormat="1" applyFont="1" applyFill="1" applyBorder="1" applyAlignment="1">
      <alignment horizontal="center"/>
    </xf>
    <xf numFmtId="0" fontId="36" fillId="5" borderId="18" xfId="0" applyFont="1" applyFill="1" applyBorder="1" applyAlignment="1" applyProtection="1">
      <alignment horizontal="center"/>
    </xf>
    <xf numFmtId="0" fontId="44" fillId="16" borderId="26" xfId="0" applyFont="1" applyFill="1" applyBorder="1" applyAlignment="1">
      <alignment horizontal="center"/>
    </xf>
    <xf numFmtId="0" fontId="44" fillId="16" borderId="29" xfId="0" applyFont="1" applyFill="1" applyBorder="1" applyAlignment="1">
      <alignment horizontal="center"/>
    </xf>
    <xf numFmtId="0" fontId="44" fillId="16" borderId="31" xfId="0" applyFont="1" applyFill="1" applyBorder="1" applyAlignment="1">
      <alignment horizontal="center"/>
    </xf>
    <xf numFmtId="0" fontId="44" fillId="16" borderId="39" xfId="0" applyFont="1" applyFill="1" applyBorder="1" applyAlignment="1">
      <alignment horizontal="center"/>
    </xf>
    <xf numFmtId="0" fontId="44" fillId="16" borderId="40" xfId="0" applyFont="1" applyFill="1" applyBorder="1" applyAlignment="1">
      <alignment horizontal="center"/>
    </xf>
    <xf numFmtId="0" fontId="44" fillId="16" borderId="41" xfId="0" applyFont="1" applyFill="1" applyBorder="1" applyAlignment="1">
      <alignment horizontal="center"/>
    </xf>
    <xf numFmtId="0" fontId="44" fillId="16" borderId="42" xfId="0" applyFont="1" applyFill="1" applyBorder="1" applyAlignment="1">
      <alignment horizontal="center"/>
    </xf>
    <xf numFmtId="0" fontId="44" fillId="16" borderId="43" xfId="0" applyFont="1" applyFill="1" applyBorder="1" applyAlignment="1">
      <alignment horizontal="center"/>
    </xf>
    <xf numFmtId="10" fontId="36" fillId="5" borderId="18" xfId="0" applyNumberFormat="1" applyFont="1" applyFill="1" applyBorder="1" applyAlignment="1">
      <alignment horizontal="center"/>
    </xf>
    <xf numFmtId="175" fontId="36" fillId="3" borderId="18" xfId="0" applyNumberFormat="1" applyFont="1" applyFill="1" applyBorder="1" applyAlignment="1">
      <alignment horizontal="center"/>
    </xf>
    <xf numFmtId="10" fontId="36" fillId="5" borderId="17" xfId="0" applyNumberFormat="1" applyFont="1" applyFill="1" applyBorder="1" applyAlignment="1">
      <alignment horizontal="center"/>
    </xf>
    <xf numFmtId="175" fontId="36" fillId="5" borderId="43" xfId="0" applyNumberFormat="1" applyFont="1" applyFill="1" applyBorder="1" applyAlignment="1">
      <alignment horizontal="center"/>
    </xf>
    <xf numFmtId="10" fontId="36" fillId="5" borderId="29" xfId="0" applyNumberFormat="1" applyFont="1" applyFill="1" applyBorder="1" applyAlignment="1">
      <alignment horizontal="center"/>
    </xf>
    <xf numFmtId="0" fontId="44" fillId="16" borderId="19" xfId="0" applyFont="1" applyFill="1" applyBorder="1" applyAlignment="1">
      <alignment horizontal="center"/>
    </xf>
    <xf numFmtId="0" fontId="72" fillId="0" borderId="0" xfId="0" applyFont="1" applyAlignment="1">
      <alignment horizontal="center" vertical="center"/>
    </xf>
    <xf numFmtId="168" fontId="37" fillId="16" borderId="40" xfId="0" applyNumberFormat="1" applyFont="1" applyFill="1" applyBorder="1"/>
    <xf numFmtId="168" fontId="64" fillId="16" borderId="20" xfId="0" applyNumberFormat="1" applyFont="1" applyFill="1" applyBorder="1"/>
    <xf numFmtId="168" fontId="63" fillId="16" borderId="20" xfId="0" applyNumberFormat="1" applyFont="1" applyFill="1" applyBorder="1"/>
    <xf numFmtId="168" fontId="63" fillId="16" borderId="43" xfId="0" applyNumberFormat="1" applyFont="1" applyFill="1" applyBorder="1"/>
    <xf numFmtId="0" fontId="72" fillId="0" borderId="0" xfId="0" applyFont="1"/>
    <xf numFmtId="0" fontId="72" fillId="0" borderId="0" xfId="0" applyFont="1" applyAlignment="1">
      <alignment horizontal="left" vertical="center"/>
    </xf>
    <xf numFmtId="0" fontId="72" fillId="0" borderId="0" xfId="0" applyFont="1" applyFill="1" applyAlignment="1">
      <alignment vertical="center"/>
    </xf>
    <xf numFmtId="0" fontId="67" fillId="5" borderId="0" xfId="0" applyFont="1" applyFill="1"/>
    <xf numFmtId="0" fontId="68" fillId="5" borderId="0" xfId="0" applyFont="1" applyFill="1"/>
    <xf numFmtId="0" fontId="69" fillId="5" borderId="0" xfId="0" applyFont="1" applyFill="1" applyAlignment="1"/>
    <xf numFmtId="0" fontId="72" fillId="0" borderId="0" xfId="0" applyFont="1" applyFill="1" applyAlignment="1">
      <alignment horizontal="left" vertical="center"/>
    </xf>
    <xf numFmtId="0" fontId="72" fillId="0" borderId="0" xfId="0" applyFont="1" applyAlignment="1">
      <alignment vertical="center"/>
    </xf>
    <xf numFmtId="0" fontId="72" fillId="0" borderId="0" xfId="0" applyFont="1" applyFill="1" applyAlignment="1" applyProtection="1">
      <alignment vertical="center"/>
    </xf>
    <xf numFmtId="0" fontId="72" fillId="0" borderId="0" xfId="0" applyFont="1" applyAlignment="1" applyProtection="1">
      <alignment vertical="center"/>
    </xf>
    <xf numFmtId="0" fontId="71" fillId="0" borderId="0" xfId="0" applyFont="1" applyAlignment="1" applyProtection="1">
      <alignment vertical="center"/>
    </xf>
    <xf numFmtId="0" fontId="71" fillId="0" borderId="0" xfId="0" applyFont="1" applyAlignment="1">
      <alignment vertical="center"/>
    </xf>
    <xf numFmtId="172" fontId="58" fillId="0" borderId="18" xfId="9" applyFont="1" applyFill="1" applyBorder="1" applyAlignment="1">
      <alignment horizontal="right"/>
    </xf>
    <xf numFmtId="172" fontId="58" fillId="0" borderId="18" xfId="9" applyFont="1" applyFill="1" applyBorder="1"/>
    <xf numFmtId="10" fontId="38" fillId="0" borderId="18" xfId="9" applyNumberFormat="1" applyFont="1" applyFill="1" applyBorder="1"/>
    <xf numFmtId="172" fontId="38" fillId="0" borderId="18" xfId="9" applyFont="1" applyFill="1" applyBorder="1"/>
    <xf numFmtId="172" fontId="28" fillId="0" borderId="18" xfId="9" applyFont="1" applyFill="1" applyBorder="1"/>
    <xf numFmtId="168" fontId="60" fillId="0" borderId="0" xfId="0" applyNumberFormat="1" applyFont="1" applyFill="1" applyBorder="1" applyAlignment="1">
      <alignment vertical="center"/>
    </xf>
    <xf numFmtId="168" fontId="28" fillId="0" borderId="0" xfId="0" applyNumberFormat="1" applyFont="1" applyFill="1" applyBorder="1" applyAlignment="1">
      <alignment vertical="center"/>
    </xf>
    <xf numFmtId="168" fontId="57" fillId="5" borderId="37" xfId="7" applyFont="1" applyFill="1" applyBorder="1"/>
    <xf numFmtId="168" fontId="57" fillId="5" borderId="38" xfId="7" applyFont="1" applyFill="1" applyBorder="1"/>
    <xf numFmtId="0" fontId="74" fillId="5" borderId="0" xfId="0" applyFont="1" applyFill="1"/>
    <xf numFmtId="0" fontId="75" fillId="5" borderId="0" xfId="0" applyFont="1" applyFill="1"/>
    <xf numFmtId="0" fontId="76" fillId="5" borderId="0" xfId="0" applyFont="1" applyFill="1"/>
    <xf numFmtId="0" fontId="0" fillId="17" borderId="0" xfId="0" applyFont="1" applyFill="1"/>
    <xf numFmtId="0" fontId="0" fillId="17" borderId="0" xfId="0" applyFill="1"/>
    <xf numFmtId="0" fontId="77" fillId="5" borderId="0" xfId="0" applyFont="1" applyFill="1"/>
    <xf numFmtId="168" fontId="57" fillId="14" borderId="18" xfId="7" applyFont="1" applyFill="1" applyBorder="1" applyAlignment="1">
      <alignment horizontal="center"/>
    </xf>
    <xf numFmtId="3" fontId="36" fillId="0" borderId="0" xfId="0" applyNumberFormat="1" applyFont="1" applyProtection="1"/>
    <xf numFmtId="175" fontId="45" fillId="5" borderId="18" xfId="0" applyNumberFormat="1" applyFont="1" applyFill="1" applyBorder="1"/>
    <xf numFmtId="181" fontId="66" fillId="0" borderId="0" xfId="0" applyNumberFormat="1" applyFont="1"/>
    <xf numFmtId="0" fontId="66" fillId="0" borderId="0" xfId="0" applyFont="1" applyProtection="1"/>
    <xf numFmtId="1" fontId="66" fillId="0" borderId="0" xfId="0" applyNumberFormat="1" applyFont="1" applyProtection="1"/>
    <xf numFmtId="180" fontId="66" fillId="0" borderId="0" xfId="0" applyNumberFormat="1" applyFont="1" applyProtection="1"/>
    <xf numFmtId="1" fontId="66" fillId="0" borderId="0" xfId="0" applyNumberFormat="1" applyFont="1" applyAlignment="1" applyProtection="1">
      <alignment horizontal="left" indent="4"/>
    </xf>
    <xf numFmtId="168" fontId="51" fillId="18" borderId="17" xfId="0" applyNumberFormat="1" applyFont="1" applyFill="1" applyBorder="1" applyProtection="1"/>
    <xf numFmtId="168" fontId="51" fillId="19" borderId="18" xfId="0" applyNumberFormat="1" applyFont="1" applyFill="1" applyBorder="1" applyProtection="1"/>
    <xf numFmtId="0" fontId="20" fillId="0" borderId="0" xfId="0" applyFont="1"/>
    <xf numFmtId="0" fontId="68" fillId="0" borderId="0" xfId="0" applyFont="1"/>
    <xf numFmtId="3" fontId="68" fillId="0" borderId="0" xfId="0" applyNumberFormat="1" applyFont="1"/>
    <xf numFmtId="167" fontId="42" fillId="16" borderId="18" xfId="0" applyNumberFormat="1" applyFont="1" applyFill="1" applyBorder="1" applyProtection="1"/>
    <xf numFmtId="167" fontId="42" fillId="16" borderId="18" xfId="0" applyNumberFormat="1" applyFont="1" applyFill="1" applyBorder="1" applyAlignment="1" applyProtection="1">
      <alignment horizontal="right"/>
    </xf>
    <xf numFmtId="0" fontId="62" fillId="16" borderId="18" xfId="0" applyFont="1" applyFill="1" applyBorder="1"/>
    <xf numFmtId="3" fontId="41" fillId="0" borderId="18" xfId="0" applyNumberFormat="1" applyFont="1" applyBorder="1"/>
    <xf numFmtId="0" fontId="42" fillId="16" borderId="18" xfId="0" applyFont="1" applyFill="1" applyBorder="1"/>
    <xf numFmtId="3" fontId="43" fillId="5" borderId="18" xfId="0" applyNumberFormat="1" applyFont="1" applyFill="1" applyBorder="1"/>
    <xf numFmtId="3" fontId="43" fillId="0" borderId="18" xfId="0" applyNumberFormat="1" applyFont="1" applyBorder="1"/>
    <xf numFmtId="0" fontId="36" fillId="0" borderId="29" xfId="0" applyFont="1" applyFill="1" applyBorder="1"/>
    <xf numFmtId="0" fontId="37" fillId="16" borderId="0" xfId="0" applyFont="1" applyFill="1" applyBorder="1" applyAlignment="1">
      <alignment horizontal="center"/>
    </xf>
    <xf numFmtId="0" fontId="63" fillId="16" borderId="31" xfId="0" applyFont="1" applyFill="1" applyBorder="1" applyAlignment="1">
      <alignment horizontal="left" vertical="top"/>
    </xf>
    <xf numFmtId="0" fontId="37" fillId="16" borderId="39" xfId="0" applyFont="1" applyFill="1" applyBorder="1" applyAlignment="1">
      <alignment horizontal="center"/>
    </xf>
    <xf numFmtId="0" fontId="37" fillId="16" borderId="40" xfId="0" applyFont="1" applyFill="1" applyBorder="1" applyAlignment="1">
      <alignment horizontal="center"/>
    </xf>
    <xf numFmtId="0" fontId="37" fillId="16" borderId="20" xfId="0" applyFont="1" applyFill="1" applyBorder="1" applyAlignment="1">
      <alignment horizontal="center"/>
    </xf>
    <xf numFmtId="0" fontId="37" fillId="16" borderId="42" xfId="0" applyFont="1" applyFill="1" applyBorder="1" applyAlignment="1">
      <alignment horizontal="center"/>
    </xf>
    <xf numFmtId="0" fontId="37" fillId="16" borderId="43" xfId="0" applyFont="1" applyFill="1" applyBorder="1" applyAlignment="1">
      <alignment horizontal="center"/>
    </xf>
    <xf numFmtId="0" fontId="36" fillId="0" borderId="0" xfId="0" applyFont="1" applyFill="1" applyBorder="1"/>
    <xf numFmtId="0" fontId="36" fillId="0" borderId="20" xfId="0" applyFont="1" applyFill="1" applyBorder="1"/>
    <xf numFmtId="0" fontId="44" fillId="16" borderId="0" xfId="0" applyFont="1" applyFill="1" applyBorder="1"/>
    <xf numFmtId="0" fontId="66" fillId="16" borderId="0" xfId="0" applyFont="1" applyFill="1" applyBorder="1"/>
    <xf numFmtId="0" fontId="66" fillId="16" borderId="20" xfId="0" applyFont="1" applyFill="1" applyBorder="1"/>
    <xf numFmtId="0" fontId="36" fillId="0" borderId="42" xfId="0" applyFont="1" applyFill="1" applyBorder="1"/>
    <xf numFmtId="0" fontId="36" fillId="0" borderId="43" xfId="0" applyFont="1" applyFill="1" applyBorder="1"/>
    <xf numFmtId="0" fontId="44" fillId="16" borderId="31" xfId="0" applyFont="1" applyFill="1" applyBorder="1" applyAlignment="1">
      <alignment horizontal="center" wrapText="1"/>
    </xf>
    <xf numFmtId="0" fontId="44" fillId="16" borderId="39" xfId="0" applyFont="1" applyFill="1" applyBorder="1" applyAlignment="1">
      <alignment horizontal="center" wrapText="1"/>
    </xf>
    <xf numFmtId="0" fontId="44" fillId="16" borderId="40" xfId="0" applyFont="1" applyFill="1" applyBorder="1" applyAlignment="1">
      <alignment horizontal="center" wrapText="1"/>
    </xf>
    <xf numFmtId="0" fontId="44" fillId="16" borderId="19" xfId="0" applyFont="1" applyFill="1" applyBorder="1" applyAlignment="1">
      <alignment horizontal="center" wrapText="1"/>
    </xf>
    <xf numFmtId="0" fontId="44" fillId="16" borderId="0" xfId="0" applyFont="1" applyFill="1" applyBorder="1" applyAlignment="1">
      <alignment horizontal="center" wrapText="1"/>
    </xf>
    <xf numFmtId="0" fontId="44" fillId="16" borderId="20" xfId="0" applyFont="1" applyFill="1" applyBorder="1" applyAlignment="1">
      <alignment horizontal="center" wrapText="1"/>
    </xf>
    <xf numFmtId="0" fontId="44" fillId="16" borderId="19" xfId="0" applyFont="1" applyFill="1" applyBorder="1" applyAlignment="1">
      <alignment horizontal="left"/>
    </xf>
    <xf numFmtId="0" fontId="49" fillId="16" borderId="19" xfId="0" applyFont="1" applyFill="1" applyBorder="1" applyAlignment="1">
      <alignment horizontal="left"/>
    </xf>
    <xf numFmtId="0" fontId="49" fillId="16" borderId="0" xfId="0" applyFont="1" applyFill="1" applyBorder="1" applyAlignment="1">
      <alignment horizontal="center" wrapText="1"/>
    </xf>
    <xf numFmtId="0" fontId="37" fillId="16" borderId="0" xfId="0" applyFont="1" applyFill="1" applyBorder="1" applyAlignment="1">
      <alignment horizontal="center" wrapText="1"/>
    </xf>
    <xf numFmtId="0" fontId="44" fillId="16" borderId="44" xfId="0" applyFont="1" applyFill="1" applyBorder="1" applyAlignment="1">
      <alignment horizontal="centerContinuous" wrapText="1"/>
    </xf>
    <xf numFmtId="166" fontId="37" fillId="16" borderId="41" xfId="0" applyNumberFormat="1" applyFont="1" applyFill="1" applyBorder="1" applyAlignment="1">
      <alignment horizontal="left"/>
    </xf>
    <xf numFmtId="166" fontId="37" fillId="16" borderId="42" xfId="0" applyNumberFormat="1" applyFont="1" applyFill="1" applyBorder="1"/>
    <xf numFmtId="166" fontId="37" fillId="16" borderId="45" xfId="0" applyNumberFormat="1" applyFont="1" applyFill="1" applyBorder="1"/>
    <xf numFmtId="166" fontId="37" fillId="16" borderId="43" xfId="0" applyNumberFormat="1" applyFont="1" applyFill="1" applyBorder="1"/>
    <xf numFmtId="0" fontId="44" fillId="16" borderId="31" xfId="0" applyFont="1" applyFill="1" applyBorder="1" applyAlignment="1" applyProtection="1">
      <alignment horizontal="left"/>
    </xf>
    <xf numFmtId="0" fontId="44" fillId="16" borderId="39" xfId="0" applyFont="1" applyFill="1" applyBorder="1" applyAlignment="1" applyProtection="1">
      <alignment horizontal="center" wrapText="1"/>
    </xf>
    <xf numFmtId="0" fontId="44" fillId="16" borderId="40" xfId="0" applyFont="1" applyFill="1" applyBorder="1" applyAlignment="1" applyProtection="1">
      <alignment horizontal="center" wrapText="1"/>
    </xf>
    <xf numFmtId="0" fontId="49" fillId="16" borderId="19" xfId="0" applyFont="1" applyFill="1" applyBorder="1" applyAlignment="1" applyProtection="1">
      <alignment horizontal="left"/>
    </xf>
    <xf numFmtId="0" fontId="49" fillId="16" borderId="0" xfId="0" applyFont="1" applyFill="1" applyBorder="1" applyAlignment="1" applyProtection="1">
      <alignment horizontal="center" wrapText="1"/>
    </xf>
    <xf numFmtId="166" fontId="37" fillId="16" borderId="41" xfId="0" applyNumberFormat="1" applyFont="1" applyFill="1" applyBorder="1" applyAlignment="1" applyProtection="1">
      <alignment horizontal="left"/>
    </xf>
    <xf numFmtId="166" fontId="37" fillId="16" borderId="42" xfId="0" applyNumberFormat="1" applyFont="1" applyFill="1" applyBorder="1" applyProtection="1"/>
    <xf numFmtId="167" fontId="37" fillId="16" borderId="42" xfId="0" applyNumberFormat="1" applyFont="1" applyFill="1" applyBorder="1" applyProtection="1"/>
    <xf numFmtId="166" fontId="37" fillId="16" borderId="43" xfId="0" applyNumberFormat="1" applyFont="1" applyFill="1" applyBorder="1" applyProtection="1"/>
    <xf numFmtId="0" fontId="44" fillId="16" borderId="0" xfId="0" applyFont="1" applyFill="1" applyBorder="1" applyAlignment="1" applyProtection="1">
      <alignment horizontal="right" wrapText="1"/>
    </xf>
    <xf numFmtId="0" fontId="37" fillId="16" borderId="45" xfId="0" applyNumberFormat="1" applyFont="1" applyFill="1" applyBorder="1" applyAlignment="1" applyProtection="1">
      <alignment horizontal="right"/>
    </xf>
    <xf numFmtId="0" fontId="44" fillId="16" borderId="31" xfId="0" applyFont="1" applyFill="1" applyBorder="1" applyAlignment="1">
      <alignment horizontal="left"/>
    </xf>
    <xf numFmtId="167" fontId="37" fillId="16" borderId="42" xfId="0" applyNumberFormat="1" applyFont="1" applyFill="1" applyBorder="1"/>
    <xf numFmtId="168" fontId="50" fillId="16" borderId="19" xfId="0" applyNumberFormat="1" applyFont="1" applyFill="1" applyBorder="1" applyAlignment="1">
      <alignment vertical="center"/>
    </xf>
    <xf numFmtId="167" fontId="37" fillId="16" borderId="0" xfId="0" applyNumberFormat="1" applyFont="1" applyFill="1" applyBorder="1"/>
    <xf numFmtId="166" fontId="37" fillId="16" borderId="0" xfId="0" applyNumberFormat="1" applyFont="1" applyFill="1" applyBorder="1"/>
    <xf numFmtId="166" fontId="37" fillId="16" borderId="20" xfId="0" applyNumberFormat="1" applyFont="1" applyFill="1" applyBorder="1"/>
    <xf numFmtId="168" fontId="37" fillId="16" borderId="19" xfId="0" applyNumberFormat="1" applyFont="1" applyFill="1" applyBorder="1"/>
    <xf numFmtId="168" fontId="46" fillId="0" borderId="20" xfId="0" applyNumberFormat="1" applyFont="1" applyFill="1" applyBorder="1"/>
    <xf numFmtId="168" fontId="38" fillId="0" borderId="20" xfId="0" applyNumberFormat="1" applyFont="1" applyFill="1" applyBorder="1"/>
    <xf numFmtId="172" fontId="38" fillId="0" borderId="20" xfId="9" applyFont="1" applyFill="1" applyBorder="1"/>
    <xf numFmtId="168" fontId="64" fillId="16" borderId="41" xfId="0" applyNumberFormat="1" applyFont="1" applyFill="1" applyBorder="1"/>
    <xf numFmtId="168" fontId="64" fillId="16" borderId="42" xfId="0" applyNumberFormat="1" applyFont="1" applyFill="1" applyBorder="1"/>
    <xf numFmtId="0" fontId="44" fillId="16" borderId="23" xfId="0" applyFont="1" applyFill="1" applyBorder="1" applyAlignment="1">
      <alignment horizontal="center" wrapText="1"/>
    </xf>
    <xf numFmtId="0" fontId="44" fillId="16" borderId="26" xfId="0" applyFont="1" applyFill="1" applyBorder="1" applyAlignment="1">
      <alignment horizontal="center" wrapText="1"/>
    </xf>
    <xf numFmtId="0" fontId="44" fillId="16" borderId="29" xfId="0" applyFont="1" applyFill="1" applyBorder="1" applyAlignment="1">
      <alignment horizontal="center" wrapText="1"/>
    </xf>
    <xf numFmtId="0" fontId="73" fillId="5" borderId="0" xfId="0" applyFont="1" applyFill="1"/>
    <xf numFmtId="0" fontId="18" fillId="16" borderId="15" xfId="0" applyFont="1" applyFill="1" applyBorder="1" applyAlignment="1">
      <alignment horizontal="left"/>
    </xf>
    <xf numFmtId="0" fontId="18" fillId="16" borderId="17" xfId="0" applyFont="1" applyFill="1" applyBorder="1" applyAlignment="1">
      <alignment horizontal="left"/>
    </xf>
    <xf numFmtId="10" fontId="19" fillId="11" borderId="23" xfId="0" applyNumberFormat="1" applyFont="1" applyFill="1" applyBorder="1" applyAlignment="1">
      <alignment horizontal="center" vertical="center"/>
    </xf>
    <xf numFmtId="10" fontId="19" fillId="11" borderId="26" xfId="0" applyNumberFormat="1" applyFont="1" applyFill="1" applyBorder="1" applyAlignment="1">
      <alignment horizontal="center" vertical="center"/>
    </xf>
    <xf numFmtId="10" fontId="19" fillId="11" borderId="19" xfId="0" applyNumberFormat="1" applyFont="1" applyFill="1" applyBorder="1" applyAlignment="1">
      <alignment horizontal="center" vertical="center"/>
    </xf>
    <xf numFmtId="10" fontId="19" fillId="11" borderId="29" xfId="0" applyNumberFormat="1" applyFont="1" applyFill="1" applyBorder="1" applyAlignment="1">
      <alignment horizontal="center" vertical="center"/>
    </xf>
    <xf numFmtId="10" fontId="0" fillId="11" borderId="31" xfId="0" applyNumberFormat="1" applyFill="1" applyBorder="1" applyAlignment="1">
      <alignment horizontal="center" vertical="center"/>
    </xf>
    <xf numFmtId="10" fontId="0" fillId="11" borderId="26" xfId="0" applyNumberFormat="1" applyFill="1" applyBorder="1" applyAlignment="1">
      <alignment horizontal="center" vertical="center"/>
    </xf>
    <xf numFmtId="10" fontId="0" fillId="11" borderId="29" xfId="0" applyNumberFormat="1" applyFill="1" applyBorder="1" applyAlignment="1">
      <alignment horizontal="center" vertical="center"/>
    </xf>
    <xf numFmtId="10" fontId="0" fillId="11" borderId="23" xfId="0" applyNumberFormat="1" applyFill="1" applyBorder="1" applyAlignment="1">
      <alignment horizontal="center" vertical="center"/>
    </xf>
    <xf numFmtId="4" fontId="0" fillId="11" borderId="23" xfId="0" applyNumberFormat="1" applyFill="1" applyBorder="1" applyAlignment="1">
      <alignment horizontal="center" vertical="center"/>
    </xf>
    <xf numFmtId="4" fontId="0" fillId="11" borderId="26" xfId="0" applyNumberFormat="1" applyFill="1" applyBorder="1" applyAlignment="1">
      <alignment horizontal="center" vertical="center"/>
    </xf>
    <xf numFmtId="4" fontId="0" fillId="11" borderId="29" xfId="0" applyNumberFormat="1" applyFill="1" applyBorder="1" applyAlignment="1">
      <alignment horizontal="center" vertical="center"/>
    </xf>
    <xf numFmtId="0" fontId="44" fillId="16" borderId="3" xfId="0" applyFont="1" applyFill="1" applyBorder="1" applyAlignment="1" applyProtection="1">
      <alignment horizontal="center" wrapText="1"/>
    </xf>
    <xf numFmtId="0" fontId="44" fillId="16" borderId="44" xfId="0" applyFont="1" applyFill="1" applyBorder="1" applyAlignment="1" applyProtection="1">
      <alignment horizontal="center" wrapText="1"/>
    </xf>
    <xf numFmtId="0" fontId="44" fillId="16" borderId="3" xfId="0" applyFont="1" applyFill="1" applyBorder="1" applyAlignment="1" applyProtection="1">
      <alignment horizontal="center"/>
    </xf>
    <xf numFmtId="0" fontId="44" fillId="16" borderId="44" xfId="0" applyFont="1" applyFill="1" applyBorder="1" applyAlignment="1" applyProtection="1">
      <alignment horizontal="center"/>
    </xf>
    <xf numFmtId="0" fontId="44" fillId="16" borderId="0" xfId="0" applyFont="1" applyFill="1" applyBorder="1" applyAlignment="1" applyProtection="1">
      <alignment horizontal="center" wrapText="1"/>
    </xf>
    <xf numFmtId="0" fontId="44" fillId="16" borderId="20" xfId="0" applyFont="1" applyFill="1" applyBorder="1" applyAlignment="1" applyProtection="1">
      <alignment horizontal="center" wrapText="1"/>
    </xf>
    <xf numFmtId="0" fontId="44" fillId="16" borderId="26" xfId="0" applyFont="1" applyFill="1" applyBorder="1" applyAlignment="1">
      <alignment horizontal="center" wrapText="1"/>
    </xf>
    <xf numFmtId="0" fontId="36" fillId="0" borderId="0" xfId="0" applyFont="1" applyAlignment="1">
      <alignment wrapText="1"/>
    </xf>
  </cellXfs>
  <cellStyles count="37">
    <cellStyle name="blp_column_header" xfId="25" xr:uid="{1DB49087-6A04-457D-88BA-D9C7C593F954}"/>
    <cellStyle name="blp_title_header_row_left" xfId="29" xr:uid="{4EE25E7F-C059-4469-A811-CF0F496804D8}"/>
    <cellStyle name="Check" xfId="7" xr:uid="{00000000-0005-0000-0000-000000000000}"/>
    <cellStyle name="Comma 2" xfId="11" xr:uid="{00000000-0005-0000-0000-000001000000}"/>
    <cellStyle name="Comma 2 2" xfId="17" xr:uid="{00000000-0005-0000-0000-000001000000}"/>
    <cellStyle name="Comma 3" xfId="18" xr:uid="{CF39BB62-F38B-4216-AA7E-38CEA78343CC}"/>
    <cellStyle name="fa_column_header_bottom" xfId="20" xr:uid="{88477F49-1421-4286-8240-13206D29552A}"/>
    <cellStyle name="fa_column_header_bottom_left" xfId="19" xr:uid="{5C765EC7-B602-4727-80EE-F4241013BA40}"/>
    <cellStyle name="fa_column_header_empty" xfId="24" xr:uid="{50392D4C-7780-4C0E-9878-8BCB2E7A8DFF}"/>
    <cellStyle name="fa_column_header_top" xfId="22" xr:uid="{51887D9E-AD70-48B1-B62F-CE5E63B708BA}"/>
    <cellStyle name="fa_column_header_top_left" xfId="21" xr:uid="{752D8184-B194-42FF-B45A-F545058BF3D9}"/>
    <cellStyle name="fa_data_bold_0_grouped" xfId="33" xr:uid="{960F5B4C-E25D-4827-8B51-4E98E50F9723}"/>
    <cellStyle name="fa_data_bold_1_grouped" xfId="30" xr:uid="{B0703074-17D5-484A-B9D2-D4116A362A97}"/>
    <cellStyle name="fa_data_bold_2_grouped" xfId="34" xr:uid="{C9F3380D-CF97-4E29-8BEF-A4D0DF5A7374}"/>
    <cellStyle name="fa_data_italic_1_grouped" xfId="32" xr:uid="{6CCA21F3-ADB5-430A-8F17-834969B01ED4}"/>
    <cellStyle name="fa_data_standard_0_grouped" xfId="35" xr:uid="{9BBC8059-0216-4698-8941-89C7A948797E}"/>
    <cellStyle name="fa_data_standard_1_grouped" xfId="27" xr:uid="{C53F0931-9BA3-4C08-8F8B-3A916C512517}"/>
    <cellStyle name="fa_data_standard_2_grouped" xfId="36" xr:uid="{280F5C1F-5A46-4E49-8CE2-C9A97A30CC25}"/>
    <cellStyle name="fa_footer_italic" xfId="23" xr:uid="{94D8429A-22E4-4388-8BD4-BEDC93100EB7}"/>
    <cellStyle name="fa_row_header_bold" xfId="28" xr:uid="{A04269EF-35BF-401E-9964-DFCEDD4158E6}"/>
    <cellStyle name="fa_row_header_italic" xfId="31" xr:uid="{06611A19-85DE-4C61-A47F-0DA0FB8D91FF}"/>
    <cellStyle name="fa_row_header_standard 2" xfId="26" xr:uid="{02AA473C-F353-4012-B6C6-81D9329272C3}"/>
    <cellStyle name="Input - comma" xfId="6" xr:uid="{00000000-0005-0000-0000-000004000000}"/>
    <cellStyle name="Input - percentage" xfId="9" xr:uid="{00000000-0005-0000-0000-000005000000}"/>
    <cellStyle name="Link" xfId="16" builtinId="8"/>
    <cellStyle name="Monétaire 2" xfId="5" xr:uid="{00000000-0005-0000-0000-000007000000}"/>
    <cellStyle name="Monétaire 4" xfId="8" xr:uid="{00000000-0005-0000-0000-000008000000}"/>
    <cellStyle name="Normal 2" xfId="3" xr:uid="{00000000-0005-0000-0000-00000A000000}"/>
    <cellStyle name="Normal 3" xfId="12" xr:uid="{00000000-0005-0000-0000-00000B000000}"/>
    <cellStyle name="Percent 2" xfId="13" xr:uid="{00000000-0005-0000-0000-00000C000000}"/>
    <cellStyle name="Percent 3" xfId="14" xr:uid="{00000000-0005-0000-0000-00000D000000}"/>
    <cellStyle name="Pourcentage 2" xfId="4" xr:uid="{00000000-0005-0000-0000-00000F000000}"/>
    <cellStyle name="Prozent" xfId="1" builtinId="5"/>
    <cellStyle name="Standard" xfId="0" builtinId="0"/>
    <cellStyle name="常规 3" xfId="2" xr:uid="{00000000-0005-0000-0000-000010000000}"/>
    <cellStyle name="常规 4" xfId="15" xr:uid="{00000000-0005-0000-0000-000011000000}"/>
    <cellStyle name="百分比 2" xfId="10" xr:uid="{00000000-0005-0000-0000-000012000000}"/>
  </cellStyles>
  <dxfs count="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patternFill>
      </fill>
    </dxf>
  </dxfs>
  <tableStyles count="0" defaultTableStyle="TableStyleMedium2" defaultPivotStyle="PivotStyleLight16"/>
  <colors>
    <mruColors>
      <color rgb="FF8DB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Post- and Pre-merger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04027484517863"/>
          <c:y val="0.20587377730757422"/>
          <c:w val="0.79790889200648074"/>
          <c:h val="0.57492632454902248"/>
        </c:manualLayout>
      </c:layout>
      <c:bar3DChart>
        <c:barDir val="bar"/>
        <c:grouping val="stacked"/>
        <c:varyColors val="0"/>
        <c:ser>
          <c:idx val="0"/>
          <c:order val="0"/>
          <c:tx>
            <c:strRef>
              <c:f>Overview!$D$5</c:f>
              <c:strCache>
                <c:ptCount val="1"/>
                <c:pt idx="0">
                  <c:v>Stand alone Pfizer</c:v>
                </c:pt>
              </c:strCache>
            </c:strRef>
          </c:tx>
          <c:spPr>
            <a:solidFill>
              <a:schemeClr val="accent1"/>
            </a:solidFill>
            <a:ln>
              <a:noFill/>
            </a:ln>
            <a:effectLst/>
            <a:sp3d/>
          </c:spPr>
          <c:invertIfNegative val="0"/>
          <c:dPt>
            <c:idx val="1"/>
            <c:invertIfNegative val="0"/>
            <c:bubble3D val="0"/>
            <c:spPr>
              <a:solidFill>
                <a:srgbClr val="00B0F0"/>
              </a:solidFill>
              <a:ln>
                <a:noFill/>
              </a:ln>
              <a:effectLst/>
              <a:sp3d/>
            </c:spPr>
            <c:extLst>
              <c:ext xmlns:c16="http://schemas.microsoft.com/office/drawing/2014/chart" uri="{C3380CC4-5D6E-409C-BE32-E72D297353CC}">
                <c16:uniqueId val="{00000002-F1F7-4AC8-A78A-951B0F28B447}"/>
              </c:ext>
            </c:extLst>
          </c:dPt>
          <c:val>
            <c:numRef>
              <c:f>Overview!$E$5:$F$5</c:f>
              <c:numCache>
                <c:formatCode>#,##0</c:formatCode>
                <c:ptCount val="2"/>
                <c:pt idx="0">
                  <c:v>275606.2</c:v>
                </c:pt>
                <c:pt idx="1">
                  <c:v>343840.05887112737</c:v>
                </c:pt>
              </c:numCache>
            </c:numRef>
          </c:val>
          <c:extLst>
            <c:ext xmlns:c16="http://schemas.microsoft.com/office/drawing/2014/chart" uri="{C3380CC4-5D6E-409C-BE32-E72D297353CC}">
              <c16:uniqueId val="{00000000-F1F7-4AC8-A78A-951B0F28B447}"/>
            </c:ext>
          </c:extLst>
        </c:ser>
        <c:ser>
          <c:idx val="1"/>
          <c:order val="1"/>
          <c:tx>
            <c:strRef>
              <c:f>Overview!$D$6</c:f>
              <c:strCache>
                <c:ptCount val="1"/>
                <c:pt idx="0">
                  <c:v>Stand alone Pharmacia</c:v>
                </c:pt>
              </c:strCache>
            </c:strRef>
          </c:tx>
          <c:spPr>
            <a:solidFill>
              <a:schemeClr val="accent2"/>
            </a:solidFill>
            <a:ln>
              <a:noFill/>
            </a:ln>
            <a:effectLst/>
            <a:sp3d/>
          </c:spPr>
          <c:invertIfNegative val="0"/>
          <c:val>
            <c:numRef>
              <c:f>Overview!$E$6:$F$6</c:f>
              <c:numCache>
                <c:formatCode>General</c:formatCode>
                <c:ptCount val="2"/>
                <c:pt idx="0" formatCode="#,##0">
                  <c:v>53908.5</c:v>
                </c:pt>
              </c:numCache>
            </c:numRef>
          </c:val>
          <c:extLst>
            <c:ext xmlns:c16="http://schemas.microsoft.com/office/drawing/2014/chart" uri="{C3380CC4-5D6E-409C-BE32-E72D297353CC}">
              <c16:uniqueId val="{00000001-F1F7-4AC8-A78A-951B0F28B447}"/>
            </c:ext>
          </c:extLst>
        </c:ser>
        <c:dLbls>
          <c:showLegendKey val="0"/>
          <c:showVal val="0"/>
          <c:showCatName val="0"/>
          <c:showSerName val="0"/>
          <c:showPercent val="0"/>
          <c:showBubbleSize val="0"/>
        </c:dLbls>
        <c:gapWidth val="150"/>
        <c:shape val="box"/>
        <c:axId val="647297136"/>
        <c:axId val="647302712"/>
        <c:axId val="0"/>
      </c:bar3DChart>
      <c:catAx>
        <c:axId val="647297136"/>
        <c:scaling>
          <c:orientation val="minMax"/>
        </c:scaling>
        <c:delete val="1"/>
        <c:axPos val="l"/>
        <c:majorTickMark val="none"/>
        <c:minorTickMark val="none"/>
        <c:tickLblPos val="nextTo"/>
        <c:crossAx val="647302712"/>
        <c:crosses val="autoZero"/>
        <c:auto val="1"/>
        <c:lblAlgn val="ctr"/>
        <c:lblOffset val="100"/>
        <c:noMultiLvlLbl val="0"/>
      </c:catAx>
      <c:valAx>
        <c:axId val="6473027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4729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733240913764797"/>
          <c:y val="0.16348200855581863"/>
          <c:w val="0.74155171119439667"/>
          <c:h val="0.67310921336584628"/>
        </c:manualLayout>
      </c:layout>
      <c:bar3DChart>
        <c:barDir val="bar"/>
        <c:grouping val="stacked"/>
        <c:varyColors val="0"/>
        <c:ser>
          <c:idx val="0"/>
          <c:order val="0"/>
          <c:tx>
            <c:strRef>
              <c:f>Overview!$L$7</c:f>
              <c:strCache>
                <c:ptCount val="1"/>
                <c:pt idx="0">
                  <c:v>Value of Control</c:v>
                </c:pt>
              </c:strCache>
            </c:strRef>
          </c:tx>
          <c:spPr>
            <a:solidFill>
              <a:schemeClr val="accent1"/>
            </a:solidFill>
            <a:ln>
              <a:noFill/>
            </a:ln>
            <a:effectLst/>
            <a:sp3d/>
          </c:spPr>
          <c:invertIfNegative val="0"/>
          <c:val>
            <c:numRef>
              <c:f>Overview!$M$7:$N$7</c:f>
              <c:numCache>
                <c:formatCode>General</c:formatCode>
                <c:ptCount val="2"/>
                <c:pt idx="1">
                  <c:v>1599</c:v>
                </c:pt>
              </c:numCache>
            </c:numRef>
          </c:val>
          <c:extLst>
            <c:ext xmlns:c16="http://schemas.microsoft.com/office/drawing/2014/chart" uri="{C3380CC4-5D6E-409C-BE32-E72D297353CC}">
              <c16:uniqueId val="{00000000-EB28-4068-9DD8-C57F404BB666}"/>
            </c:ext>
          </c:extLst>
        </c:ser>
        <c:ser>
          <c:idx val="1"/>
          <c:order val="1"/>
          <c:tx>
            <c:strRef>
              <c:f>Overview!$L$6</c:f>
              <c:strCache>
                <c:ptCount val="1"/>
                <c:pt idx="0">
                  <c:v>R&amp;D Synergy</c:v>
                </c:pt>
              </c:strCache>
            </c:strRef>
          </c:tx>
          <c:spPr>
            <a:solidFill>
              <a:schemeClr val="accent2"/>
            </a:solidFill>
            <a:ln>
              <a:noFill/>
            </a:ln>
            <a:effectLst/>
            <a:sp3d/>
          </c:spPr>
          <c:invertIfNegative val="0"/>
          <c:val>
            <c:numRef>
              <c:f>Overview!$M$6:$N$6</c:f>
              <c:numCache>
                <c:formatCode>General</c:formatCode>
                <c:ptCount val="2"/>
                <c:pt idx="1">
                  <c:v>4666.3</c:v>
                </c:pt>
              </c:numCache>
            </c:numRef>
          </c:val>
          <c:extLst>
            <c:ext xmlns:c16="http://schemas.microsoft.com/office/drawing/2014/chart" uri="{C3380CC4-5D6E-409C-BE32-E72D297353CC}">
              <c16:uniqueId val="{00000001-EB28-4068-9DD8-C57F404BB666}"/>
            </c:ext>
          </c:extLst>
        </c:ser>
        <c:ser>
          <c:idx val="2"/>
          <c:order val="2"/>
          <c:tx>
            <c:strRef>
              <c:f>Overview!$L$5</c:f>
              <c:strCache>
                <c:ptCount val="1"/>
                <c:pt idx="0">
                  <c:v>Cost of Sale Synergy</c:v>
                </c:pt>
              </c:strCache>
            </c:strRef>
          </c:tx>
          <c:spPr>
            <a:solidFill>
              <a:schemeClr val="accent3"/>
            </a:solidFill>
            <a:ln>
              <a:noFill/>
            </a:ln>
            <a:effectLst/>
            <a:sp3d/>
          </c:spPr>
          <c:invertIfNegative val="0"/>
          <c:val>
            <c:numRef>
              <c:f>Overview!$M$5:$N$5</c:f>
              <c:numCache>
                <c:formatCode>General</c:formatCode>
                <c:ptCount val="2"/>
                <c:pt idx="1">
                  <c:v>3299.3</c:v>
                </c:pt>
              </c:numCache>
            </c:numRef>
          </c:val>
          <c:extLst>
            <c:ext xmlns:c16="http://schemas.microsoft.com/office/drawing/2014/chart" uri="{C3380CC4-5D6E-409C-BE32-E72D297353CC}">
              <c16:uniqueId val="{00000002-EB28-4068-9DD8-C57F404BB666}"/>
            </c:ext>
          </c:extLst>
        </c:ser>
        <c:ser>
          <c:idx val="3"/>
          <c:order val="3"/>
          <c:tx>
            <c:strRef>
              <c:f>Overview!$L$4</c:f>
              <c:strCache>
                <c:ptCount val="1"/>
                <c:pt idx="0">
                  <c:v>Revenue Synergy</c:v>
                </c:pt>
              </c:strCache>
            </c:strRef>
          </c:tx>
          <c:spPr>
            <a:solidFill>
              <a:schemeClr val="accent4"/>
            </a:solidFill>
            <a:ln>
              <a:noFill/>
            </a:ln>
            <a:effectLst/>
            <a:sp3d/>
          </c:spPr>
          <c:invertIfNegative val="0"/>
          <c:dPt>
            <c:idx val="2"/>
            <c:invertIfNegative val="0"/>
            <c:bubble3D val="0"/>
            <c:spPr>
              <a:solidFill>
                <a:schemeClr val="bg1">
                  <a:lumMod val="95000"/>
                  <a:alpha val="0"/>
                </a:schemeClr>
              </a:solidFill>
              <a:ln>
                <a:noFill/>
              </a:ln>
              <a:effectLst/>
              <a:sp3d/>
            </c:spPr>
            <c:extLst>
              <c:ext xmlns:c16="http://schemas.microsoft.com/office/drawing/2014/chart" uri="{C3380CC4-5D6E-409C-BE32-E72D297353CC}">
                <c16:uniqueId val="{00000004-EB28-4068-9DD8-C57F404BB666}"/>
              </c:ext>
            </c:extLst>
          </c:dPt>
          <c:dPt>
            <c:idx val="3"/>
            <c:invertIfNegative val="0"/>
            <c:bubble3D val="0"/>
            <c:spPr>
              <a:solidFill>
                <a:srgbClr val="00B0F0"/>
              </a:solidFill>
              <a:ln>
                <a:noFill/>
              </a:ln>
              <a:effectLst/>
              <a:sp3d/>
            </c:spPr>
            <c:extLst>
              <c:ext xmlns:c16="http://schemas.microsoft.com/office/drawing/2014/chart" uri="{C3380CC4-5D6E-409C-BE32-E72D297353CC}">
                <c16:uniqueId val="{00000005-EB28-4068-9DD8-C57F404BB666}"/>
              </c:ext>
            </c:extLst>
          </c:dPt>
          <c:val>
            <c:numRef>
              <c:f>Overview!$M$4:$P$4</c:f>
              <c:numCache>
                <c:formatCode>General</c:formatCode>
                <c:ptCount val="4"/>
                <c:pt idx="1">
                  <c:v>4677.8</c:v>
                </c:pt>
                <c:pt idx="2">
                  <c:v>0</c:v>
                </c:pt>
                <c:pt idx="3" formatCode="#,##0">
                  <c:v>10355.36</c:v>
                </c:pt>
              </c:numCache>
            </c:numRef>
          </c:val>
          <c:extLst>
            <c:ext xmlns:c16="http://schemas.microsoft.com/office/drawing/2014/chart" uri="{C3380CC4-5D6E-409C-BE32-E72D297353CC}">
              <c16:uniqueId val="{00000003-EB28-4068-9DD8-C57F404BB666}"/>
            </c:ext>
          </c:extLst>
        </c:ser>
        <c:dLbls>
          <c:showLegendKey val="0"/>
          <c:showVal val="0"/>
          <c:showCatName val="0"/>
          <c:showSerName val="0"/>
          <c:showPercent val="0"/>
          <c:showBubbleSize val="0"/>
        </c:dLbls>
        <c:gapWidth val="150"/>
        <c:shape val="box"/>
        <c:axId val="626632632"/>
        <c:axId val="626639192"/>
        <c:axId val="0"/>
      </c:bar3DChart>
      <c:catAx>
        <c:axId val="626632632"/>
        <c:scaling>
          <c:orientation val="minMax"/>
        </c:scaling>
        <c:delete val="1"/>
        <c:axPos val="l"/>
        <c:majorTickMark val="none"/>
        <c:minorTickMark val="none"/>
        <c:tickLblPos val="nextTo"/>
        <c:crossAx val="626639192"/>
        <c:crosses val="autoZero"/>
        <c:auto val="1"/>
        <c:lblAlgn val="ctr"/>
        <c:lblOffset val="100"/>
        <c:noMultiLvlLbl val="0"/>
      </c:catAx>
      <c:valAx>
        <c:axId val="626639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26632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COGS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yVal>
            <c:numRef>
              <c:f>'1.4 Income Statement Pfizer'!$E$14:$I$14</c:f>
              <c:numCache>
                <c:formatCode>0.0%</c:formatCode>
                <c:ptCount val="5"/>
                <c:pt idx="0">
                  <c:v>0.14203454894433781</c:v>
                </c:pt>
                <c:pt idx="1">
                  <c:v>0.15460720614294152</c:v>
                </c:pt>
                <c:pt idx="2">
                  <c:v>0.19959088252483928</c:v>
                </c:pt>
                <c:pt idx="3">
                  <c:v>0.1705671946857435</c:v>
                </c:pt>
                <c:pt idx="4">
                  <c:v>0.13171857772877618</c:v>
                </c:pt>
              </c:numCache>
            </c:numRef>
          </c:yVal>
          <c:smooth val="0"/>
          <c:extLst>
            <c:ext xmlns:c16="http://schemas.microsoft.com/office/drawing/2014/chart" uri="{C3380CC4-5D6E-409C-BE32-E72D297353CC}">
              <c16:uniqueId val="{00000001-DE23-4902-9335-BEC0FBCE59E2}"/>
            </c:ext>
          </c:extLst>
        </c:ser>
        <c:dLbls>
          <c:showLegendKey val="0"/>
          <c:showVal val="0"/>
          <c:showCatName val="0"/>
          <c:showSerName val="0"/>
          <c:showPercent val="0"/>
          <c:showBubbleSize val="0"/>
        </c:dLbls>
        <c:axId val="432685824"/>
        <c:axId val="432687360"/>
      </c:scatterChart>
      <c:valAx>
        <c:axId val="432685824"/>
        <c:scaling>
          <c:orientation val="minMax"/>
        </c:scaling>
        <c:delete val="0"/>
        <c:axPos val="b"/>
        <c:majorGridlines>
          <c:spPr>
            <a:ln w="9525" cap="flat" cmpd="sng" algn="ctr">
              <a:solidFill>
                <a:schemeClr val="tx1">
                  <a:lumMod val="15000"/>
                  <a:lumOff val="85000"/>
                </a:schemeClr>
              </a:solidFill>
              <a:round/>
            </a:ln>
            <a:effectLst/>
          </c:spPr>
        </c:majorGridlines>
        <c:numFmt formatCode="0&quot;A&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32687360"/>
        <c:crosses val="autoZero"/>
        <c:crossBetween val="midCat"/>
      </c:valAx>
      <c:valAx>
        <c:axId val="4326873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32685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SG&amp;A</a:t>
            </a:r>
            <a:r>
              <a:rPr lang="fr-FR" baseline="0"/>
              <a:t> Regression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yVal>
            <c:numRef>
              <c:f>'3.1 Growth Ratio'!$E$14:$I$14</c:f>
              <c:numCache>
                <c:formatCode>0.0%</c:formatCode>
                <c:ptCount val="5"/>
                <c:pt idx="0">
                  <c:v>0.34198525588724266</c:v>
                </c:pt>
                <c:pt idx="1">
                  <c:v>0.34219398830566067</c:v>
                </c:pt>
                <c:pt idx="2">
                  <c:v>0.34240051378588082</c:v>
                </c:pt>
                <c:pt idx="3">
                  <c:v>0.3426047870857426</c:v>
                </c:pt>
                <c:pt idx="4">
                  <c:v>0.3428067656990384</c:v>
                </c:pt>
              </c:numCache>
            </c:numRef>
          </c:yVal>
          <c:smooth val="0"/>
          <c:extLst>
            <c:ext xmlns:c16="http://schemas.microsoft.com/office/drawing/2014/chart" uri="{C3380CC4-5D6E-409C-BE32-E72D297353CC}">
              <c16:uniqueId val="{00000001-ED6B-4583-A167-D603AE1F2EAA}"/>
            </c:ext>
          </c:extLst>
        </c:ser>
        <c:dLbls>
          <c:showLegendKey val="0"/>
          <c:showVal val="0"/>
          <c:showCatName val="0"/>
          <c:showSerName val="0"/>
          <c:showPercent val="0"/>
          <c:showBubbleSize val="0"/>
        </c:dLbls>
        <c:axId val="433388928"/>
        <c:axId val="432253184"/>
      </c:scatterChart>
      <c:valAx>
        <c:axId val="433388928"/>
        <c:scaling>
          <c:orientation val="minMax"/>
        </c:scaling>
        <c:delete val="0"/>
        <c:axPos val="b"/>
        <c:majorGridlines>
          <c:spPr>
            <a:ln w="9525" cap="flat" cmpd="sng" algn="ctr">
              <a:solidFill>
                <a:schemeClr val="tx1">
                  <a:lumMod val="15000"/>
                  <a:lumOff val="85000"/>
                </a:schemeClr>
              </a:solidFill>
              <a:round/>
            </a:ln>
            <a:effectLst/>
          </c:spPr>
        </c:majorGridlines>
        <c:numFmt formatCode="0&quot;A&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32253184"/>
        <c:crosses val="autoZero"/>
        <c:crossBetween val="midCat"/>
      </c:valAx>
      <c:valAx>
        <c:axId val="4322531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333889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COGS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yVal>
            <c:numRef>
              <c:f>'3.1 Growth Ratio'!$E$13:$I$13</c:f>
              <c:numCache>
                <c:formatCode>0.0%</c:formatCode>
                <c:ptCount val="5"/>
                <c:pt idx="0">
                  <c:v>0.13597713797177349</c:v>
                </c:pt>
                <c:pt idx="1">
                  <c:v>0.11485431193703946</c:v>
                </c:pt>
                <c:pt idx="2">
                  <c:v>0.11159412896160896</c:v>
                </c:pt>
                <c:pt idx="3">
                  <c:v>0.10827244757549076</c:v>
                </c:pt>
                <c:pt idx="4">
                  <c:v>0.10489021971615631</c:v>
                </c:pt>
              </c:numCache>
            </c:numRef>
          </c:yVal>
          <c:smooth val="0"/>
          <c:extLst>
            <c:ext xmlns:c16="http://schemas.microsoft.com/office/drawing/2014/chart" uri="{C3380CC4-5D6E-409C-BE32-E72D297353CC}">
              <c16:uniqueId val="{00000001-4F4C-406D-9301-66B7563D777A}"/>
            </c:ext>
          </c:extLst>
        </c:ser>
        <c:dLbls>
          <c:showLegendKey val="0"/>
          <c:showVal val="0"/>
          <c:showCatName val="0"/>
          <c:showSerName val="0"/>
          <c:showPercent val="0"/>
          <c:showBubbleSize val="0"/>
        </c:dLbls>
        <c:axId val="432685824"/>
        <c:axId val="432687360"/>
      </c:scatterChart>
      <c:valAx>
        <c:axId val="432685824"/>
        <c:scaling>
          <c:orientation val="minMax"/>
        </c:scaling>
        <c:delete val="0"/>
        <c:axPos val="b"/>
        <c:majorGridlines>
          <c:spPr>
            <a:ln w="9525" cap="flat" cmpd="sng" algn="ctr">
              <a:solidFill>
                <a:schemeClr val="tx1">
                  <a:lumMod val="15000"/>
                  <a:lumOff val="85000"/>
                </a:schemeClr>
              </a:solidFill>
              <a:round/>
            </a:ln>
            <a:effectLst/>
          </c:spPr>
        </c:majorGridlines>
        <c:numFmt formatCode="0&quot;A&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32687360"/>
        <c:crosses val="autoZero"/>
        <c:crossBetween val="midCat"/>
      </c:valAx>
      <c:valAx>
        <c:axId val="4326873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32685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NC-WC</a:t>
            </a:r>
          </a:p>
          <a:p>
            <a:pPr>
              <a:defRPr/>
            </a:pPr>
            <a:r>
              <a:rPr lang="fr-FR"/>
              <a:t>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yVal>
            <c:numRef>
              <c:f>'3.1 Growth Ratio'!$E$19:$I$19</c:f>
              <c:numCache>
                <c:formatCode>0.0%</c:formatCode>
                <c:ptCount val="5"/>
                <c:pt idx="0">
                  <c:v>7.0558256271184866E-2</c:v>
                </c:pt>
                <c:pt idx="1">
                  <c:v>9.6036757975942633E-2</c:v>
                </c:pt>
                <c:pt idx="2">
                  <c:v>9.2695974100943754E-2</c:v>
                </c:pt>
                <c:pt idx="3">
                  <c:v>8.9500177609201079E-2</c:v>
                </c:pt>
                <c:pt idx="4">
                  <c:v>8.6441846955906065E-2</c:v>
                </c:pt>
              </c:numCache>
            </c:numRef>
          </c:yVal>
          <c:smooth val="0"/>
          <c:extLst>
            <c:ext xmlns:c16="http://schemas.microsoft.com/office/drawing/2014/chart" uri="{C3380CC4-5D6E-409C-BE32-E72D297353CC}">
              <c16:uniqueId val="{00000001-609A-4C1A-9550-45ED5AA2496B}"/>
            </c:ext>
          </c:extLst>
        </c:ser>
        <c:dLbls>
          <c:showLegendKey val="0"/>
          <c:showVal val="0"/>
          <c:showCatName val="0"/>
          <c:showSerName val="0"/>
          <c:showPercent val="0"/>
          <c:showBubbleSize val="0"/>
        </c:dLbls>
        <c:axId val="432685824"/>
        <c:axId val="432687360"/>
      </c:scatterChart>
      <c:valAx>
        <c:axId val="432685824"/>
        <c:scaling>
          <c:orientation val="minMax"/>
        </c:scaling>
        <c:delete val="0"/>
        <c:axPos val="b"/>
        <c:majorGridlines>
          <c:spPr>
            <a:ln w="9525" cap="flat" cmpd="sng" algn="ctr">
              <a:solidFill>
                <a:schemeClr val="tx1">
                  <a:lumMod val="15000"/>
                  <a:lumOff val="85000"/>
                </a:schemeClr>
              </a:solidFill>
              <a:round/>
            </a:ln>
            <a:effectLst/>
          </c:spPr>
        </c:majorGridlines>
        <c:numFmt formatCode="0&quot;A&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32687360"/>
        <c:crosses val="autoZero"/>
        <c:crossBetween val="midCat"/>
      </c:valAx>
      <c:valAx>
        <c:axId val="4326873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32685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6</xdr:row>
      <xdr:rowOff>114300</xdr:rowOff>
    </xdr:from>
    <xdr:to>
      <xdr:col>4</xdr:col>
      <xdr:colOff>133350</xdr:colOff>
      <xdr:row>12</xdr:row>
      <xdr:rowOff>133350</xdr:rowOff>
    </xdr:to>
    <xdr:pic>
      <xdr:nvPicPr>
        <xdr:cNvPr id="2" name="Picture 1">
          <a:extLst>
            <a:ext uri="{FF2B5EF4-FFF2-40B4-BE49-F238E27FC236}">
              <a16:creationId xmlns:a16="http://schemas.microsoft.com/office/drawing/2014/main" id="{E4B46896-32F5-44C4-A233-D8732DC20B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1376363"/>
          <a:ext cx="22288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247650</xdr:colOff>
      <xdr:row>4</xdr:row>
      <xdr:rowOff>152400</xdr:rowOff>
    </xdr:from>
    <xdr:to>
      <xdr:col>7</xdr:col>
      <xdr:colOff>323850</xdr:colOff>
      <xdr:row>14</xdr:row>
      <xdr:rowOff>104775</xdr:rowOff>
    </xdr:to>
    <xdr:pic>
      <xdr:nvPicPr>
        <xdr:cNvPr id="3" name="Picture 2">
          <a:extLst>
            <a:ext uri="{FF2B5EF4-FFF2-40B4-BE49-F238E27FC236}">
              <a16:creationId xmlns:a16="http://schemas.microsoft.com/office/drawing/2014/main" id="{28C13601-C660-48BB-B5CD-D4DDC8DF57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0" y="1071563"/>
          <a:ext cx="2033588"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290513</xdr:colOff>
      <xdr:row>13</xdr:row>
      <xdr:rowOff>104773</xdr:rowOff>
    </xdr:from>
    <xdr:to>
      <xdr:col>3</xdr:col>
      <xdr:colOff>2483643</xdr:colOff>
      <xdr:row>29</xdr:row>
      <xdr:rowOff>128587</xdr:rowOff>
    </xdr:to>
    <xdr:graphicFrame macro="">
      <xdr:nvGraphicFramePr>
        <xdr:cNvPr id="6" name="Chart 5">
          <a:extLst>
            <a:ext uri="{FF2B5EF4-FFF2-40B4-BE49-F238E27FC236}">
              <a16:creationId xmlns:a16="http://schemas.microsoft.com/office/drawing/2014/main" id="{021AF18B-5891-4134-ACE2-B72A688B3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18</xdr:row>
      <xdr:rowOff>161925</xdr:rowOff>
    </xdr:from>
    <xdr:to>
      <xdr:col>1</xdr:col>
      <xdr:colOff>395287</xdr:colOff>
      <xdr:row>20</xdr:row>
      <xdr:rowOff>95250</xdr:rowOff>
    </xdr:to>
    <xdr:sp macro="" textlink="">
      <xdr:nvSpPr>
        <xdr:cNvPr id="7" name="TextBox 6">
          <a:extLst>
            <a:ext uri="{FF2B5EF4-FFF2-40B4-BE49-F238E27FC236}">
              <a16:creationId xmlns:a16="http://schemas.microsoft.com/office/drawing/2014/main" id="{848981F8-1E31-4C16-9663-0D56D4F1CA0B}"/>
            </a:ext>
          </a:extLst>
        </xdr:cNvPr>
        <xdr:cNvSpPr txBox="1"/>
      </xdr:nvSpPr>
      <xdr:spPr>
        <a:xfrm>
          <a:off x="600075" y="2976563"/>
          <a:ext cx="442912" cy="2857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Post</a:t>
          </a:r>
          <a:endParaRPr lang="zh-CN" altLang="en-US" sz="1100"/>
        </a:p>
      </xdr:txBody>
    </xdr:sp>
    <xdr:clientData/>
  </xdr:twoCellAnchor>
  <xdr:twoCellAnchor>
    <xdr:from>
      <xdr:col>0</xdr:col>
      <xdr:colOff>633413</xdr:colOff>
      <xdr:row>23</xdr:row>
      <xdr:rowOff>52387</xdr:rowOff>
    </xdr:from>
    <xdr:to>
      <xdr:col>1</xdr:col>
      <xdr:colOff>428625</xdr:colOff>
      <xdr:row>24</xdr:row>
      <xdr:rowOff>161925</xdr:rowOff>
    </xdr:to>
    <xdr:sp macro="" textlink="">
      <xdr:nvSpPr>
        <xdr:cNvPr id="8" name="TextBox 7">
          <a:extLst>
            <a:ext uri="{FF2B5EF4-FFF2-40B4-BE49-F238E27FC236}">
              <a16:creationId xmlns:a16="http://schemas.microsoft.com/office/drawing/2014/main" id="{B69C33AD-4CE1-4F8D-92D2-111E2DD1DA9F}"/>
            </a:ext>
          </a:extLst>
        </xdr:cNvPr>
        <xdr:cNvSpPr txBox="1"/>
      </xdr:nvSpPr>
      <xdr:spPr>
        <a:xfrm>
          <a:off x="633413" y="3748087"/>
          <a:ext cx="442912" cy="28575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Pre</a:t>
          </a:r>
          <a:endParaRPr lang="zh-CN" altLang="en-US" sz="1100"/>
        </a:p>
      </xdr:txBody>
    </xdr:sp>
    <xdr:clientData/>
  </xdr:twoCellAnchor>
  <xdr:twoCellAnchor editAs="oneCell">
    <xdr:from>
      <xdr:col>0</xdr:col>
      <xdr:colOff>233362</xdr:colOff>
      <xdr:row>0</xdr:row>
      <xdr:rowOff>147638</xdr:rowOff>
    </xdr:from>
    <xdr:to>
      <xdr:col>2</xdr:col>
      <xdr:colOff>386649</xdr:colOff>
      <xdr:row>3</xdr:row>
      <xdr:rowOff>61913</xdr:rowOff>
    </xdr:to>
    <xdr:pic>
      <xdr:nvPicPr>
        <xdr:cNvPr id="10" name="Picture 9">
          <a:extLst>
            <a:ext uri="{FF2B5EF4-FFF2-40B4-BE49-F238E27FC236}">
              <a16:creationId xmlns:a16="http://schemas.microsoft.com/office/drawing/2014/main" id="{BE761871-4EDD-4052-A77B-0E64254141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3362" y="147638"/>
          <a:ext cx="1448687"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928686</xdr:colOff>
      <xdr:row>13</xdr:row>
      <xdr:rowOff>71437</xdr:rowOff>
    </xdr:from>
    <xdr:to>
      <xdr:col>13</xdr:col>
      <xdr:colOff>410766</xdr:colOff>
      <xdr:row>29</xdr:row>
      <xdr:rowOff>125014</xdr:rowOff>
    </xdr:to>
    <xdr:graphicFrame macro="">
      <xdr:nvGraphicFramePr>
        <xdr:cNvPr id="3" name="Chart 2">
          <a:extLst>
            <a:ext uri="{FF2B5EF4-FFF2-40B4-BE49-F238E27FC236}">
              <a16:creationId xmlns:a16="http://schemas.microsoft.com/office/drawing/2014/main" id="{6C7D246D-3523-423B-AC3B-A963FADB7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35717</xdr:colOff>
      <xdr:row>17</xdr:row>
      <xdr:rowOff>35719</xdr:rowOff>
    </xdr:from>
    <xdr:ext cx="1159613" cy="264560"/>
    <xdr:sp macro="" textlink="">
      <xdr:nvSpPr>
        <xdr:cNvPr id="4" name="TextBox 3">
          <a:extLst>
            <a:ext uri="{FF2B5EF4-FFF2-40B4-BE49-F238E27FC236}">
              <a16:creationId xmlns:a16="http://schemas.microsoft.com/office/drawing/2014/main" id="{25037192-571C-4672-B65D-EFDF0318D73E}"/>
            </a:ext>
          </a:extLst>
        </xdr:cNvPr>
        <xdr:cNvSpPr txBox="1"/>
      </xdr:nvSpPr>
      <xdr:spPr>
        <a:xfrm>
          <a:off x="6602015" y="3774282"/>
          <a:ext cx="11596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Market Premium</a:t>
          </a:r>
          <a:endParaRPr lang="zh-CN" altLang="en-US" sz="1100"/>
        </a:p>
      </xdr:txBody>
    </xdr:sp>
    <xdr:clientData/>
  </xdr:oneCellAnchor>
  <xdr:oneCellAnchor>
    <xdr:from>
      <xdr:col>4</xdr:col>
      <xdr:colOff>956072</xdr:colOff>
      <xdr:row>22</xdr:row>
      <xdr:rowOff>39292</xdr:rowOff>
    </xdr:from>
    <xdr:ext cx="1281376" cy="264560"/>
    <xdr:sp macro="" textlink="">
      <xdr:nvSpPr>
        <xdr:cNvPr id="11" name="TextBox 10">
          <a:extLst>
            <a:ext uri="{FF2B5EF4-FFF2-40B4-BE49-F238E27FC236}">
              <a16:creationId xmlns:a16="http://schemas.microsoft.com/office/drawing/2014/main" id="{82D6AAAE-76FB-4B49-B2C8-B382AF4F34DE}"/>
            </a:ext>
          </a:extLst>
        </xdr:cNvPr>
        <xdr:cNvSpPr txBox="1"/>
      </xdr:nvSpPr>
      <xdr:spPr>
        <a:xfrm>
          <a:off x="6563916" y="4670823"/>
          <a:ext cx="12813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Potential Synergies</a:t>
          </a:r>
          <a:endParaRPr lang="zh-CN" altLang="en-US" sz="1100"/>
        </a:p>
      </xdr:txBody>
    </xdr:sp>
    <xdr:clientData/>
  </xdr:oneCellAnchor>
</xdr:wsDr>
</file>

<file path=xl/drawings/drawing3.xml><?xml version="1.0" encoding="utf-8"?>
<c:userShapes xmlns:c="http://schemas.openxmlformats.org/drawingml/2006/chart">
  <cdr:relSizeAnchor xmlns:cdr="http://schemas.openxmlformats.org/drawingml/2006/chartDrawing">
    <cdr:from>
      <cdr:x>0.33137</cdr:x>
      <cdr:y>0.01928</cdr:y>
    </cdr:from>
    <cdr:to>
      <cdr:x>0.80624</cdr:x>
      <cdr:y>0.10141</cdr:y>
    </cdr:to>
    <cdr:sp macro="" textlink="">
      <cdr:nvSpPr>
        <cdr:cNvPr id="2" name="TextBox 12">
          <a:extLst xmlns:a="http://schemas.openxmlformats.org/drawingml/2006/main">
            <a:ext uri="{FF2B5EF4-FFF2-40B4-BE49-F238E27FC236}">
              <a16:creationId xmlns:a16="http://schemas.microsoft.com/office/drawing/2014/main" id="{10926A14-D634-4A80-ACD9-2BD7FA4B8F42}"/>
            </a:ext>
          </a:extLst>
        </cdr:cNvPr>
        <cdr:cNvSpPr txBox="1"/>
      </cdr:nvSpPr>
      <cdr:spPr>
        <a:xfrm xmlns:a="http://schemas.openxmlformats.org/drawingml/2006/main">
          <a:off x="1601798" y="54331"/>
          <a:ext cx="2295515" cy="231419"/>
        </a:xfrm>
        <a:prstGeom xmlns:a="http://schemas.openxmlformats.org/drawingml/2006/main" prst="rect">
          <a:avLst/>
        </a:prstGeom>
        <a:solidFill xmlns:a="http://schemas.openxmlformats.org/drawingml/2006/main">
          <a:schemeClr val="lt1">
            <a:alpha val="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zh-CN" sz="1400"/>
            <a:t>Premium and Synergies</a:t>
          </a:r>
          <a:endParaRPr lang="zh-CN" altLang="en-US" sz="1400"/>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119063</xdr:colOff>
      <xdr:row>7</xdr:row>
      <xdr:rowOff>95250</xdr:rowOff>
    </xdr:to>
    <xdr:pic>
      <xdr:nvPicPr>
        <xdr:cNvPr id="2" name="Picture 1">
          <a:extLst>
            <a:ext uri="{FF2B5EF4-FFF2-40B4-BE49-F238E27FC236}">
              <a16:creationId xmlns:a16="http://schemas.microsoft.com/office/drawing/2014/main" id="{8518B885-DC14-44D6-9B9B-081C8D855F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062163" cy="1328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214312</xdr:colOff>
      <xdr:row>0</xdr:row>
      <xdr:rowOff>128588</xdr:rowOff>
    </xdr:from>
    <xdr:to>
      <xdr:col>0</xdr:col>
      <xdr:colOff>1662999</xdr:colOff>
      <xdr:row>2</xdr:row>
      <xdr:rowOff>104775</xdr:rowOff>
    </xdr:to>
    <xdr:pic>
      <xdr:nvPicPr>
        <xdr:cNvPr id="2" name="Picture 1">
          <a:extLst>
            <a:ext uri="{FF2B5EF4-FFF2-40B4-BE49-F238E27FC236}">
              <a16:creationId xmlns:a16="http://schemas.microsoft.com/office/drawing/2014/main" id="{9E204695-6955-4579-9882-F8EB309AF1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4312" y="128588"/>
          <a:ext cx="1448687"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47626</xdr:colOff>
      <xdr:row>0</xdr:row>
      <xdr:rowOff>84669</xdr:rowOff>
    </xdr:from>
    <xdr:to>
      <xdr:col>0</xdr:col>
      <xdr:colOff>1253897</xdr:colOff>
      <xdr:row>0</xdr:row>
      <xdr:rowOff>857252</xdr:rowOff>
    </xdr:to>
    <xdr:pic>
      <xdr:nvPicPr>
        <xdr:cNvPr id="2" name="Picture 1">
          <a:extLst>
            <a:ext uri="{FF2B5EF4-FFF2-40B4-BE49-F238E27FC236}">
              <a16:creationId xmlns:a16="http://schemas.microsoft.com/office/drawing/2014/main" id="{5E5C63EC-E66B-4122-8286-E81BEF9261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6" y="84669"/>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57149</xdr:colOff>
      <xdr:row>0</xdr:row>
      <xdr:rowOff>180976</xdr:rowOff>
    </xdr:from>
    <xdr:to>
      <xdr:col>0</xdr:col>
      <xdr:colOff>1263420</xdr:colOff>
      <xdr:row>2</xdr:row>
      <xdr:rowOff>10584</xdr:rowOff>
    </xdr:to>
    <xdr:pic>
      <xdr:nvPicPr>
        <xdr:cNvPr id="2" name="Picture 1">
          <a:extLst>
            <a:ext uri="{FF2B5EF4-FFF2-40B4-BE49-F238E27FC236}">
              <a16:creationId xmlns:a16="http://schemas.microsoft.com/office/drawing/2014/main" id="{97685E79-42A1-426A-BF1F-9466F1ED29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180976"/>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27</xdr:row>
      <xdr:rowOff>0</xdr:rowOff>
    </xdr:from>
    <xdr:to>
      <xdr:col>9</xdr:col>
      <xdr:colOff>580466</xdr:colOff>
      <xdr:row>41</xdr:row>
      <xdr:rowOff>18528</xdr:rowOff>
    </xdr:to>
    <xdr:graphicFrame macro="">
      <xdr:nvGraphicFramePr>
        <xdr:cNvPr id="2" name="Graphique 3">
          <a:extLst>
            <a:ext uri="{FF2B5EF4-FFF2-40B4-BE49-F238E27FC236}">
              <a16:creationId xmlns:a16="http://schemas.microsoft.com/office/drawing/2014/main" id="{8844CD25-BD92-43DC-986E-A14283D9D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128589</xdr:colOff>
      <xdr:row>0</xdr:row>
      <xdr:rowOff>80961</xdr:rowOff>
    </xdr:from>
    <xdr:to>
      <xdr:col>0</xdr:col>
      <xdr:colOff>1334860</xdr:colOff>
      <xdr:row>3</xdr:row>
      <xdr:rowOff>69636</xdr:rowOff>
    </xdr:to>
    <xdr:pic>
      <xdr:nvPicPr>
        <xdr:cNvPr id="3" name="Picture 2">
          <a:extLst>
            <a:ext uri="{FF2B5EF4-FFF2-40B4-BE49-F238E27FC236}">
              <a16:creationId xmlns:a16="http://schemas.microsoft.com/office/drawing/2014/main" id="{200732F1-E06C-4988-9D3E-34CAE257FF6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589" y="80961"/>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347383</xdr:colOff>
      <xdr:row>1</xdr:row>
      <xdr:rowOff>123264</xdr:rowOff>
    </xdr:from>
    <xdr:to>
      <xdr:col>0</xdr:col>
      <xdr:colOff>1553654</xdr:colOff>
      <xdr:row>5</xdr:row>
      <xdr:rowOff>105833</xdr:rowOff>
    </xdr:to>
    <xdr:pic>
      <xdr:nvPicPr>
        <xdr:cNvPr id="2" name="Picture 1">
          <a:extLst>
            <a:ext uri="{FF2B5EF4-FFF2-40B4-BE49-F238E27FC236}">
              <a16:creationId xmlns:a16="http://schemas.microsoft.com/office/drawing/2014/main" id="{A2B40CFC-ACA7-450D-A2D0-7A1492EB4D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7383" y="296956"/>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228601</xdr:colOff>
      <xdr:row>0</xdr:row>
      <xdr:rowOff>166687</xdr:rowOff>
    </xdr:from>
    <xdr:to>
      <xdr:col>2</xdr:col>
      <xdr:colOff>139472</xdr:colOff>
      <xdr:row>4</xdr:row>
      <xdr:rowOff>120120</xdr:rowOff>
    </xdr:to>
    <xdr:pic>
      <xdr:nvPicPr>
        <xdr:cNvPr id="3" name="Picture 2">
          <a:extLst>
            <a:ext uri="{FF2B5EF4-FFF2-40B4-BE49-F238E27FC236}">
              <a16:creationId xmlns:a16="http://schemas.microsoft.com/office/drawing/2014/main" id="{E39B4FBA-D637-4EA1-AF3C-4F04084A33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1" y="166687"/>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4763</xdr:rowOff>
    </xdr:from>
    <xdr:to>
      <xdr:col>1</xdr:col>
      <xdr:colOff>391883</xdr:colOff>
      <xdr:row>4</xdr:row>
      <xdr:rowOff>72496</xdr:rowOff>
    </xdr:to>
    <xdr:pic>
      <xdr:nvPicPr>
        <xdr:cNvPr id="2" name="Picture 1">
          <a:extLst>
            <a:ext uri="{FF2B5EF4-FFF2-40B4-BE49-F238E27FC236}">
              <a16:creationId xmlns:a16="http://schemas.microsoft.com/office/drawing/2014/main" id="{B246B9AA-DA61-459B-9B4B-D786769CB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763"/>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254000</xdr:colOff>
      <xdr:row>0</xdr:row>
      <xdr:rowOff>241301</xdr:rowOff>
    </xdr:from>
    <xdr:to>
      <xdr:col>0</xdr:col>
      <xdr:colOff>1460271</xdr:colOff>
      <xdr:row>0</xdr:row>
      <xdr:rowOff>1013884</xdr:rowOff>
    </xdr:to>
    <xdr:pic>
      <xdr:nvPicPr>
        <xdr:cNvPr id="2" name="Picture 1">
          <a:extLst>
            <a:ext uri="{FF2B5EF4-FFF2-40B4-BE49-F238E27FC236}">
              <a16:creationId xmlns:a16="http://schemas.microsoft.com/office/drawing/2014/main" id="{78BF2F95-2D1B-4C32-897D-4F89BF5B9D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241301"/>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109538</xdr:colOff>
      <xdr:row>0</xdr:row>
      <xdr:rowOff>66675</xdr:rowOff>
    </xdr:from>
    <xdr:to>
      <xdr:col>1</xdr:col>
      <xdr:colOff>501421</xdr:colOff>
      <xdr:row>4</xdr:row>
      <xdr:rowOff>134408</xdr:rowOff>
    </xdr:to>
    <xdr:pic>
      <xdr:nvPicPr>
        <xdr:cNvPr id="3" name="Picture 2">
          <a:extLst>
            <a:ext uri="{FF2B5EF4-FFF2-40B4-BE49-F238E27FC236}">
              <a16:creationId xmlns:a16="http://schemas.microsoft.com/office/drawing/2014/main" id="{E5D0B599-AF33-4C0E-9468-B625CE29AB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538" y="66675"/>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47065</xdr:colOff>
      <xdr:row>41</xdr:row>
      <xdr:rowOff>139517</xdr:rowOff>
    </xdr:from>
    <xdr:to>
      <xdr:col>7</xdr:col>
      <xdr:colOff>613802</xdr:colOff>
      <xdr:row>58</xdr:row>
      <xdr:rowOff>74522</xdr:rowOff>
    </xdr:to>
    <xdr:graphicFrame macro="">
      <xdr:nvGraphicFramePr>
        <xdr:cNvPr id="5" name="Graphique 1">
          <a:extLst>
            <a:ext uri="{FF2B5EF4-FFF2-40B4-BE49-F238E27FC236}">
              <a16:creationId xmlns:a16="http://schemas.microsoft.com/office/drawing/2014/main" id="{2130DDD2-1DEA-49EB-B907-DB5367755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24</xdr:row>
      <xdr:rowOff>120679</xdr:rowOff>
    </xdr:from>
    <xdr:to>
      <xdr:col>9</xdr:col>
      <xdr:colOff>20729</xdr:colOff>
      <xdr:row>39</xdr:row>
      <xdr:rowOff>13197</xdr:rowOff>
    </xdr:to>
    <xdr:graphicFrame macro="">
      <xdr:nvGraphicFramePr>
        <xdr:cNvPr id="6" name="Graphique 3">
          <a:extLst>
            <a:ext uri="{FF2B5EF4-FFF2-40B4-BE49-F238E27FC236}">
              <a16:creationId xmlns:a16="http://schemas.microsoft.com/office/drawing/2014/main" id="{526E4FA7-E12E-4259-AF8C-2C9E270E7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69197</xdr:colOff>
      <xdr:row>61</xdr:row>
      <xdr:rowOff>35017</xdr:rowOff>
    </xdr:from>
    <xdr:to>
      <xdr:col>9</xdr:col>
      <xdr:colOff>42862</xdr:colOff>
      <xdr:row>75</xdr:row>
      <xdr:rowOff>106269</xdr:rowOff>
    </xdr:to>
    <xdr:graphicFrame macro="">
      <xdr:nvGraphicFramePr>
        <xdr:cNvPr id="7" name="Graphique 3">
          <a:extLst>
            <a:ext uri="{FF2B5EF4-FFF2-40B4-BE49-F238E27FC236}">
              <a16:creationId xmlns:a16="http://schemas.microsoft.com/office/drawing/2014/main" id="{0D53C674-D1AA-49CA-B55B-038736B31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138112</xdr:colOff>
      <xdr:row>0</xdr:row>
      <xdr:rowOff>152400</xdr:rowOff>
    </xdr:from>
    <xdr:to>
      <xdr:col>0</xdr:col>
      <xdr:colOff>1344383</xdr:colOff>
      <xdr:row>2</xdr:row>
      <xdr:rowOff>10583</xdr:rowOff>
    </xdr:to>
    <xdr:pic>
      <xdr:nvPicPr>
        <xdr:cNvPr id="8" name="Picture 7">
          <a:extLst>
            <a:ext uri="{FF2B5EF4-FFF2-40B4-BE49-F238E27FC236}">
              <a16:creationId xmlns:a16="http://schemas.microsoft.com/office/drawing/2014/main" id="{4C8A8158-84C0-4159-BA1E-B506DD3383D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8112" y="152400"/>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63500</xdr:colOff>
      <xdr:row>0</xdr:row>
      <xdr:rowOff>174625</xdr:rowOff>
    </xdr:from>
    <xdr:to>
      <xdr:col>0</xdr:col>
      <xdr:colOff>1269771</xdr:colOff>
      <xdr:row>1</xdr:row>
      <xdr:rowOff>10582</xdr:rowOff>
    </xdr:to>
    <xdr:pic>
      <xdr:nvPicPr>
        <xdr:cNvPr id="2" name="Picture 1">
          <a:extLst>
            <a:ext uri="{FF2B5EF4-FFF2-40B4-BE49-F238E27FC236}">
              <a16:creationId xmlns:a16="http://schemas.microsoft.com/office/drawing/2014/main" id="{7E9A8A44-DB73-43A7-BC10-7B70AE84E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174625"/>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100012</xdr:colOff>
      <xdr:row>0</xdr:row>
      <xdr:rowOff>166688</xdr:rowOff>
    </xdr:from>
    <xdr:to>
      <xdr:col>0</xdr:col>
      <xdr:colOff>1306283</xdr:colOff>
      <xdr:row>2</xdr:row>
      <xdr:rowOff>48683</xdr:rowOff>
    </xdr:to>
    <xdr:pic>
      <xdr:nvPicPr>
        <xdr:cNvPr id="2" name="Picture 1">
          <a:extLst>
            <a:ext uri="{FF2B5EF4-FFF2-40B4-BE49-F238E27FC236}">
              <a16:creationId xmlns:a16="http://schemas.microsoft.com/office/drawing/2014/main" id="{897EE145-2FAA-4781-953E-39BF460C1B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2" y="166688"/>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200025</xdr:colOff>
      <xdr:row>0</xdr:row>
      <xdr:rowOff>42863</xdr:rowOff>
    </xdr:from>
    <xdr:to>
      <xdr:col>0</xdr:col>
      <xdr:colOff>1406296</xdr:colOff>
      <xdr:row>1</xdr:row>
      <xdr:rowOff>53446</xdr:rowOff>
    </xdr:to>
    <xdr:pic>
      <xdr:nvPicPr>
        <xdr:cNvPr id="2" name="Picture 1">
          <a:extLst>
            <a:ext uri="{FF2B5EF4-FFF2-40B4-BE49-F238E27FC236}">
              <a16:creationId xmlns:a16="http://schemas.microsoft.com/office/drawing/2014/main" id="{8CB66C91-AA49-45D5-802B-8BB1BC415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42863"/>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47625</xdr:colOff>
      <xdr:row>0</xdr:row>
      <xdr:rowOff>61913</xdr:rowOff>
    </xdr:from>
    <xdr:to>
      <xdr:col>1</xdr:col>
      <xdr:colOff>491896</xdr:colOff>
      <xdr:row>4</xdr:row>
      <xdr:rowOff>129646</xdr:rowOff>
    </xdr:to>
    <xdr:pic>
      <xdr:nvPicPr>
        <xdr:cNvPr id="2" name="Picture 1">
          <a:extLst>
            <a:ext uri="{FF2B5EF4-FFF2-40B4-BE49-F238E27FC236}">
              <a16:creationId xmlns:a16="http://schemas.microsoft.com/office/drawing/2014/main" id="{8E3301E9-AF71-4E73-99B3-350AC1A4A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1913"/>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42333</xdr:colOff>
      <xdr:row>0</xdr:row>
      <xdr:rowOff>174625</xdr:rowOff>
    </xdr:from>
    <xdr:to>
      <xdr:col>0</xdr:col>
      <xdr:colOff>1248604</xdr:colOff>
      <xdr:row>1</xdr:row>
      <xdr:rowOff>15875</xdr:rowOff>
    </xdr:to>
    <xdr:pic>
      <xdr:nvPicPr>
        <xdr:cNvPr id="2" name="Picture 1">
          <a:extLst>
            <a:ext uri="{FF2B5EF4-FFF2-40B4-BE49-F238E27FC236}">
              <a16:creationId xmlns:a16="http://schemas.microsoft.com/office/drawing/2014/main" id="{C1F3A31C-0A5B-4102-9283-F5382FA06E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333" y="174625"/>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68793</xdr:colOff>
      <xdr:row>0</xdr:row>
      <xdr:rowOff>127001</xdr:rowOff>
    </xdr:from>
    <xdr:to>
      <xdr:col>0</xdr:col>
      <xdr:colOff>1275064</xdr:colOff>
      <xdr:row>1</xdr:row>
      <xdr:rowOff>58208</xdr:rowOff>
    </xdr:to>
    <xdr:pic>
      <xdr:nvPicPr>
        <xdr:cNvPr id="2" name="Picture 1">
          <a:extLst>
            <a:ext uri="{FF2B5EF4-FFF2-40B4-BE49-F238E27FC236}">
              <a16:creationId xmlns:a16="http://schemas.microsoft.com/office/drawing/2014/main" id="{3ABC0C98-9154-48F0-8A77-A185346D70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93" y="127001"/>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184547</xdr:colOff>
      <xdr:row>0</xdr:row>
      <xdr:rowOff>184548</xdr:rowOff>
    </xdr:from>
    <xdr:to>
      <xdr:col>0</xdr:col>
      <xdr:colOff>1390818</xdr:colOff>
      <xdr:row>1</xdr:row>
      <xdr:rowOff>171318</xdr:rowOff>
    </xdr:to>
    <xdr:pic>
      <xdr:nvPicPr>
        <xdr:cNvPr id="2" name="Picture 1">
          <a:extLst>
            <a:ext uri="{FF2B5EF4-FFF2-40B4-BE49-F238E27FC236}">
              <a16:creationId xmlns:a16="http://schemas.microsoft.com/office/drawing/2014/main" id="{B35AFAB9-4C00-4F6C-A593-E3D182D509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547" y="184548"/>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38100</xdr:colOff>
      <xdr:row>0</xdr:row>
      <xdr:rowOff>161925</xdr:rowOff>
    </xdr:from>
    <xdr:to>
      <xdr:col>0</xdr:col>
      <xdr:colOff>1244371</xdr:colOff>
      <xdr:row>2</xdr:row>
      <xdr:rowOff>5820</xdr:rowOff>
    </xdr:to>
    <xdr:pic>
      <xdr:nvPicPr>
        <xdr:cNvPr id="2" name="Picture 1">
          <a:extLst>
            <a:ext uri="{FF2B5EF4-FFF2-40B4-BE49-F238E27FC236}">
              <a16:creationId xmlns:a16="http://schemas.microsoft.com/office/drawing/2014/main" id="{C0211A6F-C4A0-41F9-83FD-84FCDCF283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161925"/>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138112</xdr:colOff>
      <xdr:row>0</xdr:row>
      <xdr:rowOff>133350</xdr:rowOff>
    </xdr:from>
    <xdr:to>
      <xdr:col>0</xdr:col>
      <xdr:colOff>1344383</xdr:colOff>
      <xdr:row>2</xdr:row>
      <xdr:rowOff>15345</xdr:rowOff>
    </xdr:to>
    <xdr:pic>
      <xdr:nvPicPr>
        <xdr:cNvPr id="2" name="Picture 1">
          <a:extLst>
            <a:ext uri="{FF2B5EF4-FFF2-40B4-BE49-F238E27FC236}">
              <a16:creationId xmlns:a16="http://schemas.microsoft.com/office/drawing/2014/main" id="{32A3542A-C0D3-402E-8228-184973B38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112" y="133350"/>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123825</xdr:colOff>
      <xdr:row>0</xdr:row>
      <xdr:rowOff>171450</xdr:rowOff>
    </xdr:from>
    <xdr:to>
      <xdr:col>0</xdr:col>
      <xdr:colOff>1330096</xdr:colOff>
      <xdr:row>1</xdr:row>
      <xdr:rowOff>120120</xdr:rowOff>
    </xdr:to>
    <xdr:pic>
      <xdr:nvPicPr>
        <xdr:cNvPr id="2" name="Picture 1">
          <a:extLst>
            <a:ext uri="{FF2B5EF4-FFF2-40B4-BE49-F238E27FC236}">
              <a16:creationId xmlns:a16="http://schemas.microsoft.com/office/drawing/2014/main" id="{89FBFFE4-F711-4C21-BA2B-D0E22FCC9E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71450"/>
          <a:ext cx="1206271"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EVA/terminal-multip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uka%20T/Downloads/170401-EBS-Operating-Model-Lecture-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Documents%20and%20Settings/Administrator/My%20Documents/M&amp;A%20Mode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Nan%20Liu/Downloads/20171023_Nike_Valuation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Acc-Dil"/>
      <sheetName val="Contrib"/>
      <sheetName val="PPR"/>
      <sheetName val="S&amp;U"/>
      <sheetName val="GAAP"/>
      <sheetName val="PF BS"/>
      <sheetName val="PF P&amp;L"/>
      <sheetName val="Buyer P&amp;L"/>
      <sheetName val="Target P&amp;L"/>
      <sheetName val="DCF"/>
    </sheetNames>
    <sheetDataSet>
      <sheetData sheetId="0">
        <row r="7">
          <cell r="T7">
            <v>3</v>
          </cell>
        </row>
        <row r="8">
          <cell r="H8" t="str">
            <v>BuyerCo</v>
          </cell>
          <cell r="L8" t="str">
            <v>TargetCo</v>
          </cell>
          <cell r="T8">
            <v>0.4</v>
          </cell>
        </row>
        <row r="11">
          <cell r="J11">
            <v>31.75</v>
          </cell>
          <cell r="N11">
            <v>12.81</v>
          </cell>
          <cell r="T11">
            <v>1</v>
          </cell>
        </row>
        <row r="12">
          <cell r="T12">
            <v>0</v>
          </cell>
        </row>
        <row r="13">
          <cell r="T13">
            <v>0</v>
          </cell>
        </row>
        <row r="16">
          <cell r="T16">
            <v>0.06</v>
          </cell>
        </row>
        <row r="20">
          <cell r="T20">
            <v>0.02</v>
          </cell>
        </row>
        <row r="21">
          <cell r="T21">
            <v>100</v>
          </cell>
        </row>
        <row r="24">
          <cell r="T24">
            <v>30</v>
          </cell>
        </row>
        <row r="28">
          <cell r="T28">
            <v>1</v>
          </cell>
        </row>
        <row r="32">
          <cell r="H32">
            <v>39355</v>
          </cell>
        </row>
        <row r="39">
          <cell r="T39">
            <v>0.13768115942028988</v>
          </cell>
        </row>
        <row r="40">
          <cell r="T40" t="str">
            <v>FY</v>
          </cell>
        </row>
        <row r="41">
          <cell r="T41" t="str">
            <v>Cash</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Assumptions"/>
      <sheetName val="Income Statement"/>
      <sheetName val="Balance Sheet"/>
      <sheetName val="Cash Flow Statement"/>
      <sheetName val="LBO Control"/>
      <sheetName val="LBO Model"/>
      <sheetName val="DCF Model"/>
    </sheetNames>
    <sheetDataSet>
      <sheetData sheetId="0">
        <row r="5">
          <cell r="D5" t="str">
            <v>Project EBS</v>
          </cell>
        </row>
        <row r="9">
          <cell r="D9" t="str">
            <v>€m</v>
          </cell>
        </row>
        <row r="11">
          <cell r="D11">
            <v>2017</v>
          </cell>
        </row>
        <row r="13">
          <cell r="D13">
            <v>1</v>
          </cell>
        </row>
      </sheetData>
      <sheetData sheetId="1">
        <row r="15">
          <cell r="F15">
            <v>68</v>
          </cell>
        </row>
      </sheetData>
      <sheetData sheetId="2">
        <row r="7">
          <cell r="F7">
            <v>936.47600000000011</v>
          </cell>
        </row>
      </sheetData>
      <sheetData sheetId="3">
        <row r="13">
          <cell r="D13">
            <v>262.8</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Merger --&gt;&gt;"/>
      <sheetName val="Contribution"/>
      <sheetName val="Acc-Dil"/>
      <sheetName val="PPR"/>
      <sheetName val="S&amp;U"/>
      <sheetName val="GAAP"/>
      <sheetName val="Pro Forma --&gt;&gt;"/>
      <sheetName val="BS"/>
      <sheetName val="IS"/>
      <sheetName val="Inputs --&gt;&gt;"/>
      <sheetName val="Acquirer"/>
      <sheetName val="Target"/>
      <sheetName val="Valuation --&gt;&gt;"/>
      <sheetName val="LBO"/>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34">
          <cell r="AF34">
            <v>2.7799999999999998E-2</v>
          </cell>
        </row>
      </sheetData>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Summary"/>
      <sheetName val="Business Opportunity"/>
      <sheetName val="Free Cash Flows"/>
      <sheetName val="Beta Calculation"/>
      <sheetName val="Cost of Equity"/>
      <sheetName val="Cost of Debt"/>
      <sheetName val="WACC"/>
      <sheetName val="DCF"/>
      <sheetName val="APV"/>
      <sheetName val="Trading Multiples"/>
      <sheetName val="Growth Scenarios"/>
      <sheetName val="Marginal Tax Rate"/>
      <sheetName val="Corporate Bond 1"/>
      <sheetName val="Corporate Bond 2"/>
      <sheetName val="Corporate Bond 3"/>
      <sheetName val="Corporate Bond 4"/>
      <sheetName val="Corporate Bond 5"/>
      <sheetName val="Balance Sheet"/>
      <sheetName val="Income Statement"/>
      <sheetName val="Cash Flow Statement "/>
      <sheetName val="Share Prices"/>
      <sheetName val="SPX"/>
      <sheetName val="Trading Multiples Bloomberg"/>
    </sheetNames>
    <sheetDataSet>
      <sheetData sheetId="0">
        <row r="1">
          <cell r="J1" t="str">
            <v>Scenario 1: Base Case</v>
          </cell>
        </row>
        <row r="2">
          <cell r="J2" t="str">
            <v>Scenario 2: Bull Case</v>
          </cell>
        </row>
        <row r="3">
          <cell r="J3" t="str">
            <v>Scenario 3: Bear Case</v>
          </cell>
        </row>
      </sheetData>
      <sheetData sheetId="1"/>
      <sheetData sheetId="2"/>
      <sheetData sheetId="3">
        <row r="21">
          <cell r="D21" t="str">
            <v>FY 2018E</v>
          </cell>
        </row>
      </sheetData>
      <sheetData sheetId="4"/>
      <sheetData sheetId="5"/>
      <sheetData sheetId="6"/>
      <sheetData sheetId="7"/>
      <sheetData sheetId="8">
        <row r="7">
          <cell r="A7" t="str">
            <v>Scenario 1: Base Case</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workbookViewId="0">
      <selection activeCell="A34" sqref="A34"/>
    </sheetView>
  </sheetViews>
  <sheetFormatPr baseColWidth="10" defaultColWidth="10.83203125" defaultRowHeight="15"/>
  <cols>
    <col min="1" max="1" width="11.83203125" bestFit="1" customWidth="1"/>
  </cols>
  <sheetData>
    <row r="1" spans="1:12">
      <c r="A1" s="2" t="s">
        <v>6</v>
      </c>
    </row>
    <row r="4" spans="1:12">
      <c r="A4" t="s">
        <v>5</v>
      </c>
      <c r="B4">
        <v>2006</v>
      </c>
      <c r="C4">
        <v>2007</v>
      </c>
      <c r="D4">
        <v>2008</v>
      </c>
      <c r="E4">
        <v>2009</v>
      </c>
      <c r="F4">
        <v>2010</v>
      </c>
      <c r="G4" s="3">
        <v>2011</v>
      </c>
      <c r="H4" s="3">
        <v>2012</v>
      </c>
      <c r="I4" s="3">
        <v>2013</v>
      </c>
      <c r="J4" s="3">
        <v>2014</v>
      </c>
      <c r="K4" s="3">
        <v>2015</v>
      </c>
      <c r="L4" s="3"/>
    </row>
    <row r="5" spans="1:12">
      <c r="A5" t="s">
        <v>0</v>
      </c>
      <c r="B5">
        <v>77763</v>
      </c>
      <c r="C5">
        <v>71914</v>
      </c>
      <c r="D5">
        <v>71987</v>
      </c>
      <c r="E5">
        <v>80049</v>
      </c>
      <c r="F5">
        <v>85264</v>
      </c>
      <c r="G5" s="3">
        <v>100165</v>
      </c>
      <c r="H5" s="3">
        <v>100407</v>
      </c>
      <c r="I5" s="3">
        <v>96065</v>
      </c>
      <c r="J5" s="3">
        <v>97392</v>
      </c>
      <c r="K5" s="3">
        <v>102321</v>
      </c>
      <c r="L5" s="3"/>
    </row>
    <row r="6" spans="1:12">
      <c r="A6" t="s">
        <v>1</v>
      </c>
      <c r="B6">
        <v>45600</v>
      </c>
      <c r="C6">
        <v>44719</v>
      </c>
      <c r="D6">
        <v>44571</v>
      </c>
      <c r="E6">
        <v>48446</v>
      </c>
      <c r="F6">
        <v>53097</v>
      </c>
      <c r="G6" s="3">
        <v>56219</v>
      </c>
      <c r="H6" s="3">
        <v>57338</v>
      </c>
      <c r="I6" s="3">
        <v>56885</v>
      </c>
      <c r="J6" s="3">
        <v>56120</v>
      </c>
      <c r="K6" s="3">
        <v>58049</v>
      </c>
      <c r="L6" s="3"/>
    </row>
    <row r="7" spans="1:12">
      <c r="A7" t="s">
        <v>2</v>
      </c>
      <c r="B7">
        <v>4499</v>
      </c>
      <c r="C7">
        <v>3734</v>
      </c>
      <c r="D7">
        <v>4173</v>
      </c>
      <c r="E7">
        <v>5961</v>
      </c>
      <c r="F7">
        <v>6695</v>
      </c>
      <c r="G7" s="3">
        <v>12499</v>
      </c>
      <c r="H7" s="3">
        <v>10719</v>
      </c>
      <c r="I7" s="3">
        <v>10414</v>
      </c>
      <c r="J7" s="3">
        <v>13276</v>
      </c>
      <c r="K7" s="3">
        <v>13118</v>
      </c>
      <c r="L7" s="3"/>
    </row>
    <row r="8" spans="1:12">
      <c r="G8" s="3"/>
      <c r="H8" s="3"/>
      <c r="I8" s="3"/>
      <c r="J8" s="3"/>
      <c r="K8" s="3"/>
      <c r="L8" s="3"/>
    </row>
    <row r="9" spans="1:12">
      <c r="A9" t="s">
        <v>3</v>
      </c>
      <c r="B9" s="1">
        <f t="shared" ref="B9:K9" si="0">B7/B5</f>
        <v>5.785527821714697E-2</v>
      </c>
      <c r="C9" s="1">
        <f t="shared" si="0"/>
        <v>5.1923130405762435E-2</v>
      </c>
      <c r="D9" s="1">
        <f t="shared" si="0"/>
        <v>5.7968799922208179E-2</v>
      </c>
      <c r="E9" s="1">
        <f t="shared" si="0"/>
        <v>7.4466889030468844E-2</v>
      </c>
      <c r="F9" s="1">
        <f t="shared" si="0"/>
        <v>7.8520829423906924E-2</v>
      </c>
      <c r="G9" s="4">
        <f t="shared" si="0"/>
        <v>0.1247841062247292</v>
      </c>
      <c r="H9" s="4">
        <f t="shared" si="0"/>
        <v>0.10675550509426633</v>
      </c>
      <c r="I9" s="4">
        <f t="shared" si="0"/>
        <v>0.10840576692864207</v>
      </c>
      <c r="J9" s="4">
        <f t="shared" si="0"/>
        <v>0.13631509774930178</v>
      </c>
      <c r="K9" s="4">
        <f t="shared" si="0"/>
        <v>0.12820437642321714</v>
      </c>
      <c r="L9" s="5">
        <f>AVERAGE(G9:K9)</f>
        <v>0.12089297048403132</v>
      </c>
    </row>
    <row r="10" spans="1:12">
      <c r="A10" t="s">
        <v>4</v>
      </c>
      <c r="B10" s="1">
        <f t="shared" ref="B10:K10" si="1">B7/(B6+B7)</f>
        <v>8.980219166051219E-2</v>
      </c>
      <c r="C10" s="1">
        <f t="shared" si="1"/>
        <v>7.7064371659133588E-2</v>
      </c>
      <c r="D10" s="1">
        <f t="shared" si="1"/>
        <v>8.5610536681437713E-2</v>
      </c>
      <c r="E10" s="1">
        <f t="shared" si="1"/>
        <v>0.10956310768834893</v>
      </c>
      <c r="F10" s="1">
        <f t="shared" si="1"/>
        <v>0.11197150120417447</v>
      </c>
      <c r="G10" s="4">
        <f t="shared" si="1"/>
        <v>0.18188829709828574</v>
      </c>
      <c r="H10" s="4">
        <f t="shared" si="1"/>
        <v>0.15750033060522797</v>
      </c>
      <c r="I10" s="4">
        <f t="shared" si="1"/>
        <v>0.15474226957309917</v>
      </c>
      <c r="J10" s="4">
        <f t="shared" si="1"/>
        <v>0.19130785636059716</v>
      </c>
      <c r="K10" s="4">
        <f t="shared" si="1"/>
        <v>0.18432700549411946</v>
      </c>
      <c r="L10" s="5">
        <f>AVERAGE(G10:K10)</f>
        <v>0.17395315182626589</v>
      </c>
    </row>
    <row r="11" spans="1:12">
      <c r="A11" t="s">
        <v>7</v>
      </c>
      <c r="B11" s="1">
        <f t="shared" ref="B11:K11" si="2">B7/B6</f>
        <v>9.8662280701754382E-2</v>
      </c>
      <c r="C11" s="1">
        <f t="shared" si="2"/>
        <v>8.3499183792124149E-2</v>
      </c>
      <c r="D11" s="1">
        <f t="shared" si="2"/>
        <v>9.3625900249040855E-2</v>
      </c>
      <c r="E11" s="1">
        <f t="shared" si="2"/>
        <v>0.123044214176609</v>
      </c>
      <c r="F11" s="1">
        <f t="shared" si="2"/>
        <v>0.1260899862515773</v>
      </c>
      <c r="G11" s="4">
        <f t="shared" si="2"/>
        <v>0.22232697130863233</v>
      </c>
      <c r="H11" s="4">
        <f t="shared" si="2"/>
        <v>0.18694408594649273</v>
      </c>
      <c r="I11" s="4">
        <f t="shared" si="2"/>
        <v>0.18307110837654919</v>
      </c>
      <c r="J11" s="4">
        <f t="shared" si="2"/>
        <v>0.23656450463292944</v>
      </c>
      <c r="K11" s="4">
        <f t="shared" si="2"/>
        <v>0.2259814983892918</v>
      </c>
      <c r="L11" s="5">
        <f>AVERAGE(G11:K11)</f>
        <v>0.21097763373077907</v>
      </c>
    </row>
  </sheetData>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91B19-F99D-4430-8A86-DA6E23768BC8}">
  <sheetPr>
    <tabColor rgb="FF0070C0"/>
  </sheetPr>
  <dimension ref="B2:O29"/>
  <sheetViews>
    <sheetView tabSelected="1" zoomScale="70" zoomScaleNormal="70" workbookViewId="0">
      <selection activeCell="V14" sqref="V14"/>
    </sheetView>
  </sheetViews>
  <sheetFormatPr baseColWidth="10" defaultColWidth="9.1640625" defaultRowHeight="15"/>
  <cols>
    <col min="1" max="16384" width="9.1640625" style="12"/>
  </cols>
  <sheetData>
    <row r="2" spans="2:11" ht="29">
      <c r="B2" s="544" t="s">
        <v>395</v>
      </c>
      <c r="C2" s="544"/>
      <c r="D2" s="544"/>
      <c r="E2" s="544"/>
      <c r="F2" s="544"/>
      <c r="G2" s="544"/>
      <c r="H2" s="544"/>
      <c r="I2" s="544"/>
      <c r="J2" s="544"/>
      <c r="K2" s="544"/>
    </row>
    <row r="4" spans="2:11" ht="19">
      <c r="B4" s="462" t="s">
        <v>396</v>
      </c>
    </row>
    <row r="5" spans="2:11">
      <c r="B5" s="463" t="s">
        <v>404</v>
      </c>
    </row>
    <row r="6" spans="2:11">
      <c r="B6" s="10"/>
    </row>
    <row r="14" spans="2:11">
      <c r="E14" s="10"/>
    </row>
    <row r="16" spans="2:11">
      <c r="B16" s="12" t="s">
        <v>397</v>
      </c>
    </row>
    <row r="17" spans="2:15">
      <c r="J17" s="464"/>
      <c r="K17" s="464"/>
      <c r="L17" s="464"/>
      <c r="M17" s="464"/>
      <c r="N17" s="464"/>
      <c r="O17" s="464"/>
    </row>
    <row r="18" spans="2:15">
      <c r="B18" s="465" t="s">
        <v>398</v>
      </c>
      <c r="C18" s="465"/>
      <c r="D18" s="466"/>
      <c r="E18" s="466"/>
      <c r="F18" s="466"/>
      <c r="G18" s="466"/>
      <c r="J18" s="464"/>
      <c r="K18" s="464"/>
      <c r="L18" s="464"/>
      <c r="M18" s="464"/>
      <c r="N18" s="464"/>
      <c r="O18" s="464"/>
    </row>
    <row r="19" spans="2:15">
      <c r="B19" s="464"/>
      <c r="C19" s="464"/>
      <c r="D19" s="464"/>
      <c r="E19" s="464"/>
      <c r="F19" s="464"/>
      <c r="G19" s="464"/>
      <c r="J19" s="464"/>
      <c r="K19" s="464"/>
      <c r="L19" s="464"/>
      <c r="M19" s="464"/>
      <c r="N19" s="464"/>
      <c r="O19" s="464"/>
    </row>
    <row r="20" spans="2:15">
      <c r="B20" s="464"/>
      <c r="C20" s="464"/>
      <c r="D20" s="464"/>
      <c r="E20" s="464"/>
      <c r="F20" s="464"/>
      <c r="G20" s="464"/>
      <c r="J20" s="464"/>
      <c r="K20" s="464"/>
      <c r="L20" s="464"/>
      <c r="M20" s="464"/>
      <c r="N20" s="464"/>
      <c r="O20" s="464"/>
    </row>
    <row r="21" spans="2:15">
      <c r="B21" s="464"/>
      <c r="C21" s="464"/>
      <c r="D21" s="464"/>
      <c r="E21" s="464"/>
      <c r="F21" s="464"/>
      <c r="G21" s="464"/>
      <c r="J21" s="464"/>
      <c r="K21" s="464"/>
      <c r="L21" s="464"/>
      <c r="M21" s="464"/>
      <c r="N21" s="464"/>
      <c r="O21" s="464"/>
    </row>
    <row r="22" spans="2:15">
      <c r="B22" s="464"/>
      <c r="C22" s="464"/>
      <c r="D22" s="464"/>
      <c r="E22" s="464"/>
      <c r="F22" s="464"/>
      <c r="G22" s="464"/>
      <c r="J22" s="464"/>
      <c r="K22" s="464"/>
      <c r="L22" s="464"/>
      <c r="M22" s="464"/>
      <c r="N22" s="464"/>
      <c r="O22" s="464"/>
    </row>
    <row r="23" spans="2:15">
      <c r="J23" s="464"/>
      <c r="K23" s="464"/>
      <c r="L23" s="464"/>
      <c r="M23" s="464"/>
      <c r="N23" s="464"/>
      <c r="O23" s="464"/>
    </row>
    <row r="24" spans="2:15">
      <c r="B24" s="12" t="s">
        <v>399</v>
      </c>
      <c r="J24" s="464"/>
      <c r="K24" s="464"/>
      <c r="L24" s="464"/>
      <c r="M24" s="464"/>
      <c r="N24" s="464"/>
      <c r="O24" s="464"/>
    </row>
    <row r="25" spans="2:15">
      <c r="B25" s="12" t="s">
        <v>400</v>
      </c>
      <c r="J25" s="464"/>
      <c r="K25" s="464"/>
      <c r="L25" s="464"/>
      <c r="M25" s="464"/>
      <c r="N25" s="464"/>
      <c r="O25" s="464"/>
    </row>
    <row r="26" spans="2:15">
      <c r="J26" s="464"/>
      <c r="K26" s="464"/>
      <c r="L26" s="464"/>
      <c r="M26" s="464"/>
      <c r="N26" s="464"/>
      <c r="O26" s="464"/>
    </row>
    <row r="27" spans="2:15">
      <c r="J27" s="464"/>
      <c r="K27" s="464"/>
      <c r="L27" s="464"/>
      <c r="M27" s="464"/>
      <c r="N27" s="464"/>
      <c r="O27" s="464"/>
    </row>
    <row r="29" spans="2:15">
      <c r="B29" s="467"/>
    </row>
  </sheetData>
  <mergeCells count="1">
    <mergeCell ref="B2:K2"/>
  </mergeCells>
  <phoneticPr fontId="14" type="noConversion"/>
  <pageMargins left="0.7" right="0.7" top="0.75" bottom="0.75" header="0.3" footer="0.3"/>
  <pageSetup paperSize="9" orientation="portrait"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B62E4-C80D-4E13-AA6E-3D19A58D0A95}">
  <sheetPr>
    <tabColor theme="5"/>
  </sheetPr>
  <dimension ref="C1:P12"/>
  <sheetViews>
    <sheetView showGridLines="0" zoomScale="80" zoomScaleNormal="80" workbookViewId="0">
      <selection activeCell="E10" sqref="E10"/>
    </sheetView>
  </sheetViews>
  <sheetFormatPr baseColWidth="10" defaultColWidth="8.83203125" defaultRowHeight="15"/>
  <cols>
    <col min="3" max="3" width="21.5" customWidth="1"/>
    <col min="4" max="4" width="38.83203125" bestFit="1" customWidth="1"/>
    <col min="5" max="5" width="13.5" bestFit="1" customWidth="1"/>
  </cols>
  <sheetData>
    <row r="1" spans="3:16" s="10" customFormat="1"/>
    <row r="2" spans="3:16" s="10" customFormat="1"/>
    <row r="3" spans="3:16" s="10" customFormat="1" ht="52.5" customHeight="1" thickBot="1">
      <c r="C3" s="436" t="s">
        <v>377</v>
      </c>
    </row>
    <row r="4" spans="3:16" ht="17" thickBot="1">
      <c r="C4" s="71"/>
      <c r="D4" s="481" t="s">
        <v>43</v>
      </c>
      <c r="E4" s="482" t="s">
        <v>405</v>
      </c>
      <c r="F4" s="71"/>
      <c r="L4" s="478" t="s">
        <v>408</v>
      </c>
      <c r="M4" s="478"/>
      <c r="N4" s="478">
        <v>4677.8</v>
      </c>
      <c r="O4" s="479" t="s">
        <v>360</v>
      </c>
      <c r="P4" s="480">
        <v>10355.36</v>
      </c>
    </row>
    <row r="5" spans="3:16" ht="17" thickBot="1">
      <c r="C5" s="71"/>
      <c r="D5" s="483" t="s">
        <v>352</v>
      </c>
      <c r="E5" s="484">
        <v>275606.2</v>
      </c>
      <c r="F5" s="184">
        <v>343840.05887112737</v>
      </c>
      <c r="L5" s="478" t="s">
        <v>409</v>
      </c>
      <c r="M5" s="478"/>
      <c r="N5" s="478">
        <v>3299.3</v>
      </c>
      <c r="O5" s="478"/>
      <c r="P5" s="478"/>
    </row>
    <row r="6" spans="3:16" ht="17" thickBot="1">
      <c r="C6" s="71"/>
      <c r="D6" s="483" t="s">
        <v>353</v>
      </c>
      <c r="E6" s="484">
        <v>53908.5</v>
      </c>
      <c r="F6" s="71"/>
      <c r="L6" s="478" t="s">
        <v>410</v>
      </c>
      <c r="M6" s="478"/>
      <c r="N6" s="478">
        <v>4666.3</v>
      </c>
      <c r="O6" s="478"/>
      <c r="P6" s="478"/>
    </row>
    <row r="7" spans="3:16" ht="17" thickBot="1">
      <c r="C7" s="71"/>
      <c r="D7" s="483" t="s">
        <v>354</v>
      </c>
      <c r="E7" s="484">
        <v>343840.05887112737</v>
      </c>
      <c r="F7" s="71"/>
      <c r="L7" s="478" t="s">
        <v>413</v>
      </c>
      <c r="M7" s="478"/>
      <c r="N7" s="478">
        <v>1599</v>
      </c>
      <c r="O7" s="478"/>
      <c r="P7" s="478"/>
    </row>
    <row r="8" spans="3:16" ht="17" thickBot="1">
      <c r="C8" s="71"/>
      <c r="D8" s="483" t="s">
        <v>42</v>
      </c>
      <c r="E8" s="484">
        <v>14325.358871127362</v>
      </c>
      <c r="F8" s="71"/>
    </row>
    <row r="9" spans="3:16" ht="17" thickBot="1">
      <c r="C9" s="71"/>
      <c r="D9" s="483" t="s">
        <v>355</v>
      </c>
      <c r="E9" s="484">
        <v>1598.9</v>
      </c>
      <c r="F9" s="71"/>
    </row>
    <row r="10" spans="3:16" ht="17" thickBot="1">
      <c r="C10" s="71"/>
      <c r="D10" s="485" t="s">
        <v>44</v>
      </c>
      <c r="E10" s="486">
        <v>12726.458871127363</v>
      </c>
      <c r="F10" s="71"/>
    </row>
    <row r="11" spans="3:16" ht="17" thickBot="1">
      <c r="C11" s="71"/>
      <c r="D11" s="483" t="s">
        <v>359</v>
      </c>
      <c r="E11" s="484">
        <v>64263.86</v>
      </c>
      <c r="F11" s="71"/>
    </row>
    <row r="12" spans="3:16" ht="17" thickBot="1">
      <c r="C12" s="71"/>
      <c r="D12" s="485" t="s">
        <v>414</v>
      </c>
      <c r="E12" s="487">
        <v>10355.36</v>
      </c>
      <c r="F12" s="71"/>
    </row>
  </sheetData>
  <phoneticPr fontId="1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1587F-C0FC-456F-812C-76BA7D5A40E1}">
  <sheetPr>
    <tabColor theme="2" tint="-0.249977111117893"/>
  </sheetPr>
  <dimension ref="A1"/>
  <sheetViews>
    <sheetView workbookViewId="0">
      <selection activeCell="G28" sqref="G28"/>
    </sheetView>
  </sheetViews>
  <sheetFormatPr baseColWidth="10" defaultColWidth="9.1640625" defaultRowHeight="15"/>
  <cols>
    <col min="1" max="16384" width="9.1640625" style="11"/>
  </cols>
  <sheetData/>
  <phoneticPr fontId="1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4D1B-7D58-4C88-B4DB-C65887C3C627}">
  <sheetPr>
    <tabColor theme="2" tint="-0.249977111117893"/>
  </sheetPr>
  <dimension ref="B1:O20"/>
  <sheetViews>
    <sheetView showGridLines="0" zoomScale="85" zoomScaleNormal="85" workbookViewId="0">
      <selection activeCell="K11" sqref="K11"/>
    </sheetView>
  </sheetViews>
  <sheetFormatPr baseColWidth="10" defaultColWidth="10.83203125" defaultRowHeight="15"/>
  <cols>
    <col min="1" max="1" width="27" style="71" customWidth="1"/>
    <col min="2" max="3" width="10.83203125" style="71"/>
    <col min="4" max="4" width="17" style="71" customWidth="1"/>
    <col min="5" max="16384" width="10.83203125" style="71"/>
  </cols>
  <sheetData>
    <row r="1" spans="2:15" ht="61.25" customHeight="1" thickBot="1">
      <c r="B1" s="442" t="s">
        <v>378</v>
      </c>
    </row>
    <row r="2" spans="2:15">
      <c r="B2" s="529" t="s">
        <v>129</v>
      </c>
      <c r="C2" s="504"/>
      <c r="D2" s="504"/>
      <c r="E2" s="504"/>
      <c r="F2" s="504"/>
      <c r="G2" s="504"/>
      <c r="H2" s="504"/>
      <c r="I2" s="504"/>
      <c r="J2" s="504"/>
      <c r="K2" s="504"/>
      <c r="L2" s="504"/>
      <c r="M2" s="504"/>
      <c r="N2" s="505"/>
    </row>
    <row r="3" spans="2:15" ht="19">
      <c r="B3" s="510" t="s">
        <v>8</v>
      </c>
      <c r="C3" s="511"/>
      <c r="D3" s="511"/>
      <c r="E3" s="152" t="s">
        <v>115</v>
      </c>
      <c r="F3" s="152"/>
      <c r="G3" s="152"/>
      <c r="H3" s="152" t="s">
        <v>9</v>
      </c>
      <c r="I3" s="152"/>
      <c r="J3" s="153"/>
      <c r="K3" s="153"/>
      <c r="L3" s="153"/>
      <c r="M3" s="153"/>
      <c r="N3" s="513"/>
      <c r="O3" s="72"/>
    </row>
    <row r="4" spans="2:15" ht="16" thickBot="1">
      <c r="B4" s="514" t="s">
        <v>406</v>
      </c>
      <c r="C4" s="515"/>
      <c r="D4" s="515"/>
      <c r="E4" s="530">
        <v>1997</v>
      </c>
      <c r="F4" s="530">
        <v>1998</v>
      </c>
      <c r="G4" s="530">
        <v>1999</v>
      </c>
      <c r="H4" s="530">
        <v>2000</v>
      </c>
      <c r="I4" s="530">
        <v>2001</v>
      </c>
      <c r="J4" s="515">
        <v>2002</v>
      </c>
      <c r="K4" s="515">
        <v>2003</v>
      </c>
      <c r="L4" s="515">
        <v>2004</v>
      </c>
      <c r="M4" s="515">
        <v>2005</v>
      </c>
      <c r="N4" s="517">
        <v>2006</v>
      </c>
    </row>
    <row r="5" spans="2:15" ht="16" thickBot="1">
      <c r="B5" s="157"/>
      <c r="C5" s="166"/>
      <c r="D5" s="166"/>
      <c r="E5" s="166"/>
      <c r="F5" s="166"/>
      <c r="G5" s="166"/>
      <c r="H5" s="166"/>
      <c r="I5" s="166"/>
      <c r="J5" s="166"/>
      <c r="K5" s="166"/>
      <c r="L5" s="166"/>
      <c r="M5" s="166"/>
      <c r="N5" s="166"/>
    </row>
    <row r="6" spans="2:15" ht="17" thickBot="1">
      <c r="B6" s="167"/>
      <c r="C6" s="259" t="s">
        <v>8</v>
      </c>
      <c r="D6" s="276"/>
      <c r="E6" s="261"/>
      <c r="F6" s="261"/>
      <c r="G6" s="261"/>
      <c r="H6" s="261"/>
      <c r="I6" s="261"/>
      <c r="J6" s="261"/>
      <c r="K6" s="261"/>
      <c r="L6" s="261"/>
      <c r="M6" s="261"/>
      <c r="N6" s="262"/>
    </row>
    <row r="7" spans="2:15" ht="16" thickBot="1">
      <c r="B7" s="157"/>
      <c r="C7" s="185"/>
      <c r="D7" s="186"/>
      <c r="E7" s="158"/>
      <c r="F7" s="158"/>
      <c r="G7" s="158"/>
      <c r="H7" s="158"/>
      <c r="I7" s="158"/>
      <c r="J7" s="158"/>
      <c r="K7" s="158"/>
      <c r="L7" s="158"/>
      <c r="M7" s="158"/>
      <c r="N7" s="159"/>
    </row>
    <row r="8" spans="2:15" ht="16" thickBot="1">
      <c r="B8" s="157"/>
      <c r="C8" s="185" t="s">
        <v>10</v>
      </c>
      <c r="D8" s="186"/>
      <c r="E8" s="244">
        <v>7514</v>
      </c>
      <c r="F8" s="244">
        <v>7237</v>
      </c>
      <c r="G8" s="244">
        <v>16425</v>
      </c>
      <c r="H8" s="244">
        <v>12651</v>
      </c>
      <c r="I8" s="244">
        <v>13835</v>
      </c>
      <c r="J8" s="245">
        <v>14497.6965</v>
      </c>
      <c r="K8" s="245">
        <v>15192.136162350002</v>
      </c>
      <c r="L8" s="245">
        <v>15919.839484526567</v>
      </c>
      <c r="M8" s="245">
        <v>16682.39979583539</v>
      </c>
      <c r="N8" s="245">
        <v>17481.486746055907</v>
      </c>
      <c r="O8" s="174"/>
    </row>
    <row r="9" spans="2:15" ht="16" thickBot="1">
      <c r="B9" s="157"/>
      <c r="C9" s="185" t="s">
        <v>16</v>
      </c>
      <c r="D9" s="186"/>
      <c r="E9" s="244">
        <v>-3091</v>
      </c>
      <c r="F9" s="244">
        <v>-2912</v>
      </c>
      <c r="G9" s="244">
        <v>-5319</v>
      </c>
      <c r="H9" s="244">
        <v>-2886</v>
      </c>
      <c r="I9" s="244">
        <v>-2978</v>
      </c>
      <c r="J9" s="245">
        <v>-2123.9125372499993</v>
      </c>
      <c r="K9" s="245">
        <v>-1365.7730409952649</v>
      </c>
      <c r="L9" s="245">
        <v>-1431.193569658938</v>
      </c>
      <c r="M9" s="245">
        <v>-1499.7477416456013</v>
      </c>
      <c r="N9" s="245">
        <v>-1571.5856584704256</v>
      </c>
      <c r="O9" s="158"/>
    </row>
    <row r="10" spans="2:15" ht="16" thickBot="1">
      <c r="B10" s="157"/>
      <c r="C10" s="185" t="s">
        <v>130</v>
      </c>
      <c r="D10" s="186"/>
      <c r="E10" s="244">
        <v>-1709</v>
      </c>
      <c r="F10" s="244">
        <v>-1967</v>
      </c>
      <c r="G10" s="244">
        <v>-4977</v>
      </c>
      <c r="H10" s="244">
        <v>-4968</v>
      </c>
      <c r="I10" s="244">
        <v>-5492</v>
      </c>
      <c r="J10" s="245">
        <v>-4615.8170998282949</v>
      </c>
      <c r="K10" s="245">
        <v>-4836.9147389100708</v>
      </c>
      <c r="L10" s="245">
        <v>-5068.6029549038631</v>
      </c>
      <c r="M10" s="245">
        <v>-5311.3890364437584</v>
      </c>
      <c r="N10" s="245">
        <v>-5565.8045712894154</v>
      </c>
      <c r="O10" s="158"/>
    </row>
    <row r="11" spans="2:15" ht="16" thickBot="1">
      <c r="B11" s="157"/>
      <c r="C11" s="185" t="s">
        <v>17</v>
      </c>
      <c r="D11" s="186"/>
      <c r="E11" s="244">
        <v>-1044</v>
      </c>
      <c r="F11" s="244">
        <v>-1238</v>
      </c>
      <c r="G11" s="244">
        <v>-2815</v>
      </c>
      <c r="H11" s="244">
        <v>-2165</v>
      </c>
      <c r="I11" s="244">
        <v>-2263</v>
      </c>
      <c r="J11" s="245">
        <v>-2366.2979515641073</v>
      </c>
      <c r="K11" s="245">
        <v>-2479.6436234440284</v>
      </c>
      <c r="L11" s="245">
        <v>-2598.4185530069976</v>
      </c>
      <c r="M11" s="245">
        <v>-2722.8828016960329</v>
      </c>
      <c r="N11" s="245">
        <v>-2853.3088878972731</v>
      </c>
      <c r="O11" s="174"/>
    </row>
    <row r="12" spans="2:15" ht="16" thickBot="1">
      <c r="B12" s="157"/>
      <c r="C12" s="288" t="s">
        <v>12</v>
      </c>
      <c r="D12" s="437"/>
      <c r="E12" s="246">
        <f>SUM(E8,E9,E10,E11)</f>
        <v>1670</v>
      </c>
      <c r="F12" s="246">
        <f t="shared" ref="F12:N12" si="0">SUM(F8,F9,F10,F11)</f>
        <v>1120</v>
      </c>
      <c r="G12" s="246">
        <f t="shared" si="0"/>
        <v>3314</v>
      </c>
      <c r="H12" s="246">
        <f t="shared" si="0"/>
        <v>2632</v>
      </c>
      <c r="I12" s="246">
        <f t="shared" si="0"/>
        <v>3102</v>
      </c>
      <c r="J12" s="246">
        <f t="shared" si="0"/>
        <v>5391.6689113575976</v>
      </c>
      <c r="K12" s="246">
        <f t="shared" si="0"/>
        <v>6509.8047590006372</v>
      </c>
      <c r="L12" s="246">
        <f t="shared" si="0"/>
        <v>6821.6244069567692</v>
      </c>
      <c r="M12" s="246">
        <f t="shared" si="0"/>
        <v>7148.3802160499981</v>
      </c>
      <c r="N12" s="246">
        <f t="shared" si="0"/>
        <v>7490.7876283987944</v>
      </c>
      <c r="O12" s="174"/>
    </row>
    <row r="13" spans="2:15" ht="16" thickBot="1">
      <c r="B13" s="170"/>
      <c r="C13" s="290" t="s">
        <v>13</v>
      </c>
      <c r="D13" s="438"/>
      <c r="E13" s="247">
        <f t="shared" ref="E13:N13" si="1">E12/E8</f>
        <v>0.22225179664626032</v>
      </c>
      <c r="F13" s="247">
        <f t="shared" si="1"/>
        <v>0.15476025977615035</v>
      </c>
      <c r="G13" s="247">
        <f t="shared" si="1"/>
        <v>0.20176560121765602</v>
      </c>
      <c r="H13" s="248">
        <f t="shared" si="1"/>
        <v>0.20804679471978499</v>
      </c>
      <c r="I13" s="248">
        <f t="shared" si="1"/>
        <v>0.22421395012649079</v>
      </c>
      <c r="J13" s="247">
        <f t="shared" si="1"/>
        <v>0.37189831580193428</v>
      </c>
      <c r="K13" s="247">
        <f t="shared" si="1"/>
        <v>0.42849831580193432</v>
      </c>
      <c r="L13" s="247">
        <f t="shared" si="1"/>
        <v>0.42849831580193437</v>
      </c>
      <c r="M13" s="247">
        <f t="shared" si="1"/>
        <v>0.42849831580193437</v>
      </c>
      <c r="N13" s="247">
        <f t="shared" si="1"/>
        <v>0.42849831580193437</v>
      </c>
      <c r="O13" s="183"/>
    </row>
    <row r="14" spans="2:15" ht="16" thickBot="1">
      <c r="B14" s="157"/>
      <c r="C14" s="291"/>
      <c r="D14" s="439"/>
      <c r="E14" s="245"/>
      <c r="F14" s="245"/>
      <c r="G14" s="245"/>
      <c r="H14" s="249"/>
      <c r="I14" s="249"/>
      <c r="J14" s="245"/>
      <c r="K14" s="245"/>
      <c r="L14" s="245"/>
      <c r="M14" s="245"/>
      <c r="N14" s="245"/>
      <c r="O14" s="174"/>
    </row>
    <row r="15" spans="2:15" ht="16" thickBot="1">
      <c r="B15" s="157"/>
      <c r="C15" s="281" t="s">
        <v>131</v>
      </c>
      <c r="D15" s="440"/>
      <c r="E15" s="244">
        <v>-487</v>
      </c>
      <c r="F15" s="244">
        <v>-518</v>
      </c>
      <c r="G15" s="244">
        <v>-1145</v>
      </c>
      <c r="H15" s="244">
        <v>-633</v>
      </c>
      <c r="I15" s="244">
        <v>-611</v>
      </c>
      <c r="J15" s="245">
        <v>-870.72788600317665</v>
      </c>
      <c r="K15" s="245">
        <v>-912.43575174272894</v>
      </c>
      <c r="L15" s="245">
        <v>-956.14142425120565</v>
      </c>
      <c r="M15" s="245">
        <v>-1001.9405984728385</v>
      </c>
      <c r="N15" s="245">
        <v>-1049.9335531396875</v>
      </c>
      <c r="O15" s="174"/>
    </row>
    <row r="16" spans="2:15" ht="16" thickBot="1">
      <c r="B16" s="157"/>
      <c r="C16" s="190" t="s">
        <v>15</v>
      </c>
      <c r="D16" s="233"/>
      <c r="E16" s="246">
        <f>E12+E15</f>
        <v>1183</v>
      </c>
      <c r="F16" s="246">
        <f>F12+F15</f>
        <v>602</v>
      </c>
      <c r="G16" s="246">
        <f>G12+G15</f>
        <v>2169</v>
      </c>
      <c r="H16" s="250">
        <f>H12+H15</f>
        <v>1999</v>
      </c>
      <c r="I16" s="250">
        <f>I12+I15</f>
        <v>2491</v>
      </c>
      <c r="J16" s="246">
        <f t="shared" ref="J16:M16" si="2">J12+J15</f>
        <v>4520.9410253544211</v>
      </c>
      <c r="K16" s="246">
        <f t="shared" si="2"/>
        <v>5597.3690072579084</v>
      </c>
      <c r="L16" s="246">
        <f t="shared" si="2"/>
        <v>5865.4829827055637</v>
      </c>
      <c r="M16" s="246">
        <f t="shared" si="2"/>
        <v>6146.4396175771599</v>
      </c>
      <c r="N16" s="246">
        <f>N12+N15</f>
        <v>6440.854075259107</v>
      </c>
      <c r="O16" s="174"/>
    </row>
    <row r="17" spans="2:15" ht="16" thickBot="1">
      <c r="B17" s="157"/>
      <c r="C17" s="188" t="s">
        <v>13</v>
      </c>
      <c r="D17" s="189"/>
      <c r="E17" s="247">
        <f t="shared" ref="E17:N17" si="3">E16/E8</f>
        <v>0.157439446366782</v>
      </c>
      <c r="F17" s="247">
        <f t="shared" si="3"/>
        <v>8.3183639629680811E-2</v>
      </c>
      <c r="G17" s="247">
        <f t="shared" si="3"/>
        <v>0.13205479452054794</v>
      </c>
      <c r="H17" s="248">
        <f t="shared" si="3"/>
        <v>0.15801122440913762</v>
      </c>
      <c r="I17" s="248">
        <f t="shared" si="3"/>
        <v>0.18005059631369716</v>
      </c>
      <c r="J17" s="247">
        <f t="shared" si="3"/>
        <v>0.31183857555263494</v>
      </c>
      <c r="K17" s="247">
        <f t="shared" si="3"/>
        <v>0.36843857555263493</v>
      </c>
      <c r="L17" s="247">
        <f t="shared" si="3"/>
        <v>0.36843857555263504</v>
      </c>
      <c r="M17" s="247">
        <f t="shared" si="3"/>
        <v>0.36843857555263498</v>
      </c>
      <c r="N17" s="247">
        <f t="shared" si="3"/>
        <v>0.36843857555263504</v>
      </c>
      <c r="O17" s="174"/>
    </row>
    <row r="18" spans="2:15">
      <c r="B18" s="170"/>
      <c r="C18" s="170"/>
      <c r="D18" s="170"/>
      <c r="E18" s="171"/>
      <c r="F18" s="171"/>
      <c r="G18" s="171"/>
      <c r="H18" s="171"/>
      <c r="I18" s="171"/>
      <c r="J18" s="171"/>
      <c r="K18" s="171"/>
      <c r="L18" s="171"/>
      <c r="M18" s="171"/>
      <c r="N18" s="171"/>
      <c r="O18" s="183"/>
    </row>
    <row r="19" spans="2:15">
      <c r="B19" s="170"/>
      <c r="C19" s="170"/>
      <c r="D19" s="170"/>
      <c r="E19" s="171"/>
      <c r="F19" s="171"/>
      <c r="G19" s="171"/>
      <c r="H19" s="171"/>
      <c r="I19" s="171"/>
      <c r="J19" s="171"/>
      <c r="K19" s="171"/>
      <c r="L19" s="171"/>
      <c r="M19" s="171"/>
      <c r="N19" s="171"/>
      <c r="O19" s="183"/>
    </row>
    <row r="20" spans="2:15">
      <c r="C20" s="173" t="s">
        <v>394</v>
      </c>
      <c r="E20" s="163"/>
      <c r="F20" s="163"/>
      <c r="G20" s="163"/>
      <c r="H20" s="163"/>
      <c r="I20" s="163"/>
    </row>
  </sheetData>
  <phoneticPr fontId="1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6D5EA-9286-4D34-ABFF-5209CCFEF16F}">
  <sheetPr>
    <tabColor theme="2" tint="-0.249977111117893"/>
  </sheetPr>
  <dimension ref="B1:O50"/>
  <sheetViews>
    <sheetView showGridLines="0" zoomScale="90" zoomScaleNormal="90" workbookViewId="0">
      <selection activeCell="B2" sqref="B2:N4"/>
    </sheetView>
  </sheetViews>
  <sheetFormatPr baseColWidth="10" defaultColWidth="11.5" defaultRowHeight="15"/>
  <cols>
    <col min="1" max="1" width="18.6640625" style="76" customWidth="1"/>
    <col min="2" max="2" width="9.1640625" style="76" customWidth="1"/>
    <col min="3" max="3" width="45.83203125" style="76" customWidth="1"/>
    <col min="4" max="16384" width="11.5" style="76"/>
  </cols>
  <sheetData>
    <row r="1" spans="2:15" ht="74" customHeight="1" thickBot="1">
      <c r="B1" s="443" t="s">
        <v>379</v>
      </c>
    </row>
    <row r="2" spans="2:15" s="71" customFormat="1">
      <c r="B2" s="529" t="s">
        <v>129</v>
      </c>
      <c r="C2" s="504"/>
      <c r="D2" s="504"/>
      <c r="E2" s="504"/>
      <c r="F2" s="504"/>
      <c r="G2" s="504"/>
      <c r="H2" s="504"/>
      <c r="I2" s="504"/>
      <c r="J2" s="504"/>
      <c r="K2" s="504"/>
      <c r="L2" s="504"/>
      <c r="M2" s="504"/>
      <c r="N2" s="505"/>
    </row>
    <row r="3" spans="2:15" s="71" customFormat="1" ht="19">
      <c r="B3" s="510" t="s">
        <v>188</v>
      </c>
      <c r="C3" s="511"/>
      <c r="D3" s="511"/>
      <c r="E3" s="152" t="s">
        <v>115</v>
      </c>
      <c r="F3" s="152"/>
      <c r="G3" s="152"/>
      <c r="H3" s="152" t="s">
        <v>9</v>
      </c>
      <c r="I3" s="152"/>
      <c r="J3" s="153"/>
      <c r="K3" s="153"/>
      <c r="L3" s="153"/>
      <c r="M3" s="153"/>
      <c r="N3" s="513"/>
      <c r="O3" s="72"/>
    </row>
    <row r="4" spans="2:15" s="71" customFormat="1" ht="16" thickBot="1">
      <c r="B4" s="514" t="s">
        <v>406</v>
      </c>
      <c r="C4" s="515"/>
      <c r="D4" s="515"/>
      <c r="E4" s="530">
        <v>1997</v>
      </c>
      <c r="F4" s="530">
        <v>1998</v>
      </c>
      <c r="G4" s="530">
        <v>1999</v>
      </c>
      <c r="H4" s="530">
        <v>2000</v>
      </c>
      <c r="I4" s="530">
        <v>2001</v>
      </c>
      <c r="J4" s="515">
        <v>2002</v>
      </c>
      <c r="K4" s="515">
        <v>2003</v>
      </c>
      <c r="L4" s="515">
        <v>2004</v>
      </c>
      <c r="M4" s="515">
        <v>2005</v>
      </c>
      <c r="N4" s="517">
        <v>2006</v>
      </c>
    </row>
    <row r="5" spans="2:15" ht="16" thickBot="1">
      <c r="B5" s="157"/>
      <c r="C5" s="166"/>
      <c r="D5" s="166"/>
      <c r="E5" s="166"/>
      <c r="F5" s="166"/>
      <c r="G5" s="166"/>
      <c r="H5" s="166"/>
      <c r="I5" s="166"/>
      <c r="J5" s="166"/>
      <c r="K5" s="166"/>
      <c r="L5" s="166"/>
      <c r="M5" s="166"/>
      <c r="N5" s="166"/>
    </row>
    <row r="6" spans="2:15" ht="17" thickBot="1">
      <c r="B6" s="167"/>
      <c r="C6" s="259" t="s">
        <v>189</v>
      </c>
      <c r="D6" s="260"/>
      <c r="E6" s="260"/>
      <c r="F6" s="261"/>
      <c r="G6" s="261"/>
      <c r="H6" s="261"/>
      <c r="I6" s="261"/>
      <c r="J6" s="261"/>
      <c r="K6" s="261"/>
      <c r="L6" s="261"/>
      <c r="M6" s="261"/>
      <c r="N6" s="262"/>
    </row>
    <row r="7" spans="2:15" ht="16" thickBot="1">
      <c r="B7" s="157"/>
      <c r="C7" s="263"/>
      <c r="D7" s="158"/>
      <c r="E7" s="158"/>
      <c r="F7" s="158"/>
      <c r="G7" s="158"/>
      <c r="H7" s="158"/>
      <c r="I7" s="158"/>
      <c r="J7" s="158"/>
      <c r="K7" s="158"/>
      <c r="L7" s="158"/>
      <c r="M7" s="158"/>
      <c r="N7" s="158"/>
    </row>
    <row r="8" spans="2:15" ht="16" thickBot="1">
      <c r="B8" s="157"/>
      <c r="C8" s="264" t="s">
        <v>190</v>
      </c>
      <c r="D8" s="158"/>
      <c r="E8" s="251">
        <v>134</v>
      </c>
      <c r="F8" s="251">
        <v>89</v>
      </c>
      <c r="G8" s="251">
        <v>1600</v>
      </c>
      <c r="H8" s="251">
        <v>2035</v>
      </c>
      <c r="I8" s="251">
        <v>1276</v>
      </c>
      <c r="J8" s="158"/>
      <c r="K8" s="158"/>
      <c r="L8" s="158"/>
      <c r="M8" s="158"/>
      <c r="N8" s="158"/>
    </row>
    <row r="9" spans="2:15" ht="16" thickBot="1">
      <c r="B9" s="157"/>
      <c r="C9" s="264" t="s">
        <v>191</v>
      </c>
      <c r="D9" s="158"/>
      <c r="E9" s="251">
        <v>0</v>
      </c>
      <c r="F9" s="251">
        <v>0</v>
      </c>
      <c r="G9" s="251">
        <v>138</v>
      </c>
      <c r="H9" s="251">
        <v>35</v>
      </c>
      <c r="I9" s="251">
        <v>119</v>
      </c>
      <c r="J9" s="158"/>
      <c r="K9" s="158"/>
      <c r="L9" s="158"/>
      <c r="M9" s="158"/>
      <c r="N9" s="158"/>
    </row>
    <row r="10" spans="2:15" ht="16" thickBot="1">
      <c r="B10" s="157"/>
      <c r="C10" s="264" t="s">
        <v>192</v>
      </c>
      <c r="D10" s="158"/>
      <c r="E10" s="251">
        <v>1374</v>
      </c>
      <c r="F10" s="251">
        <v>1722</v>
      </c>
      <c r="G10" s="251">
        <v>2905</v>
      </c>
      <c r="H10" s="251">
        <v>1519</v>
      </c>
      <c r="I10" s="251">
        <v>1683</v>
      </c>
      <c r="J10" s="158"/>
      <c r="K10" s="158"/>
      <c r="L10" s="158"/>
      <c r="M10" s="158"/>
      <c r="N10" s="158"/>
    </row>
    <row r="11" spans="2:15" ht="16" thickBot="1">
      <c r="B11" s="157"/>
      <c r="C11" s="264" t="s">
        <v>193</v>
      </c>
      <c r="D11" s="158"/>
      <c r="E11" s="251">
        <v>1823</v>
      </c>
      <c r="F11" s="251">
        <v>2119</v>
      </c>
      <c r="G11" s="251">
        <v>4131</v>
      </c>
      <c r="H11" s="251">
        <v>2510</v>
      </c>
      <c r="I11" s="251">
        <v>2433</v>
      </c>
      <c r="J11" s="158"/>
      <c r="K11" s="158"/>
      <c r="L11" s="158"/>
      <c r="M11" s="158"/>
      <c r="N11" s="158"/>
    </row>
    <row r="12" spans="2:15" ht="16" thickBot="1">
      <c r="B12" s="157"/>
      <c r="C12" s="264" t="s">
        <v>194</v>
      </c>
      <c r="D12" s="158"/>
      <c r="E12" s="251">
        <v>935</v>
      </c>
      <c r="F12" s="251">
        <v>1265</v>
      </c>
      <c r="G12" s="251">
        <v>1908</v>
      </c>
      <c r="H12" s="251">
        <v>2139</v>
      </c>
      <c r="I12" s="251">
        <v>2152</v>
      </c>
      <c r="J12" s="158"/>
      <c r="K12" s="158"/>
      <c r="L12" s="158"/>
      <c r="M12" s="158"/>
      <c r="N12" s="158"/>
    </row>
    <row r="13" spans="2:15" ht="16" thickBot="1">
      <c r="B13" s="157"/>
      <c r="C13" s="265" t="s">
        <v>18</v>
      </c>
      <c r="D13" s="157"/>
      <c r="E13" s="252">
        <f>SUM(E8:E12)</f>
        <v>4266</v>
      </c>
      <c r="F13" s="252">
        <f>SUM(F8:F12)</f>
        <v>5195</v>
      </c>
      <c r="G13" s="252">
        <f t="shared" ref="G13:I13" si="0">SUM(G8:G12)</f>
        <v>10682</v>
      </c>
      <c r="H13" s="252">
        <f t="shared" si="0"/>
        <v>8238</v>
      </c>
      <c r="I13" s="252">
        <f t="shared" si="0"/>
        <v>7663</v>
      </c>
      <c r="J13" s="157"/>
      <c r="K13" s="157"/>
      <c r="L13" s="157"/>
      <c r="M13" s="157"/>
      <c r="N13" s="157"/>
    </row>
    <row r="14" spans="2:15" ht="16" thickBot="1">
      <c r="B14" s="157"/>
      <c r="C14" s="264"/>
      <c r="D14" s="158"/>
      <c r="E14" s="253"/>
      <c r="F14" s="253"/>
      <c r="G14" s="253"/>
      <c r="H14" s="253"/>
      <c r="I14" s="253"/>
      <c r="J14" s="158"/>
      <c r="K14" s="158"/>
      <c r="L14" s="158"/>
      <c r="M14" s="158"/>
      <c r="N14" s="158"/>
    </row>
    <row r="15" spans="2:15" ht="16" thickBot="1">
      <c r="B15" s="157"/>
      <c r="C15" s="264" t="s">
        <v>195</v>
      </c>
      <c r="D15" s="158"/>
      <c r="E15" s="251">
        <v>2400</v>
      </c>
      <c r="F15" s="251">
        <v>2865</v>
      </c>
      <c r="G15" s="251">
        <v>6825</v>
      </c>
      <c r="H15" s="251">
        <v>4512</v>
      </c>
      <c r="I15" s="251">
        <v>4856</v>
      </c>
      <c r="J15" s="158"/>
      <c r="K15" s="158"/>
      <c r="L15" s="158"/>
      <c r="M15" s="158"/>
      <c r="N15" s="158"/>
    </row>
    <row r="16" spans="2:15" ht="16" thickBot="1">
      <c r="B16" s="157"/>
      <c r="C16" s="264" t="s">
        <v>196</v>
      </c>
      <c r="D16" s="158"/>
      <c r="E16" s="251">
        <v>0</v>
      </c>
      <c r="F16" s="251">
        <v>0</v>
      </c>
      <c r="G16" s="251">
        <v>4402</v>
      </c>
      <c r="H16" s="251">
        <v>1279</v>
      </c>
      <c r="I16" s="251">
        <v>1059</v>
      </c>
      <c r="J16" s="158"/>
      <c r="K16" s="158"/>
      <c r="L16" s="158"/>
      <c r="M16" s="158"/>
      <c r="N16" s="158"/>
    </row>
    <row r="17" spans="2:14" ht="16" thickBot="1">
      <c r="B17" s="157"/>
      <c r="C17" s="264" t="s">
        <v>197</v>
      </c>
      <c r="D17" s="158"/>
      <c r="E17" s="251">
        <v>4108</v>
      </c>
      <c r="F17" s="251">
        <v>8325</v>
      </c>
      <c r="G17" s="251">
        <v>5285</v>
      </c>
      <c r="H17" s="251">
        <v>8748</v>
      </c>
      <c r="I17" s="251">
        <v>8799</v>
      </c>
      <c r="J17" s="158"/>
      <c r="K17" s="158"/>
      <c r="L17" s="158"/>
      <c r="M17" s="158"/>
      <c r="N17" s="158"/>
    </row>
    <row r="18" spans="2:14" ht="16" thickBot="1">
      <c r="B18" s="157"/>
      <c r="C18" s="265" t="s">
        <v>198</v>
      </c>
      <c r="D18" s="157"/>
      <c r="E18" s="252">
        <f>SUM(E15:E17)</f>
        <v>6508</v>
      </c>
      <c r="F18" s="252">
        <f>SUM(F15:F17)</f>
        <v>11190</v>
      </c>
      <c r="G18" s="252">
        <f t="shared" ref="G18:I18" si="1">SUM(G15:G17)</f>
        <v>16512</v>
      </c>
      <c r="H18" s="252">
        <f t="shared" si="1"/>
        <v>14539</v>
      </c>
      <c r="I18" s="252">
        <f t="shared" si="1"/>
        <v>14714</v>
      </c>
      <c r="J18" s="157"/>
      <c r="K18" s="157"/>
      <c r="L18" s="157"/>
      <c r="M18" s="157"/>
      <c r="N18" s="157"/>
    </row>
    <row r="19" spans="2:14" ht="16" thickBot="1">
      <c r="B19" s="157"/>
      <c r="C19" s="265"/>
      <c r="D19" s="157"/>
      <c r="E19" s="175"/>
      <c r="F19" s="175"/>
      <c r="G19" s="175"/>
      <c r="H19" s="175"/>
      <c r="I19" s="175"/>
      <c r="J19" s="157"/>
      <c r="K19" s="157"/>
      <c r="L19" s="157"/>
      <c r="M19" s="157"/>
      <c r="N19" s="157"/>
    </row>
    <row r="20" spans="2:14" ht="16" thickBot="1">
      <c r="B20" s="158"/>
      <c r="C20" s="264" t="s">
        <v>199</v>
      </c>
      <c r="D20" s="158"/>
      <c r="E20" s="253">
        <v>0</v>
      </c>
      <c r="F20" s="253">
        <v>0</v>
      </c>
      <c r="G20" s="253">
        <v>0</v>
      </c>
      <c r="H20" s="253">
        <v>0</v>
      </c>
      <c r="I20" s="253">
        <v>0</v>
      </c>
      <c r="J20" s="158"/>
      <c r="K20" s="158"/>
      <c r="L20" s="158"/>
      <c r="M20" s="158"/>
      <c r="N20" s="158"/>
    </row>
    <row r="21" spans="2:14" ht="16" thickBot="1">
      <c r="B21" s="157"/>
      <c r="C21" s="266" t="s">
        <v>200</v>
      </c>
      <c r="D21" s="250"/>
      <c r="E21" s="252">
        <f t="shared" ref="E21:H21" si="2">E13+E18+E20</f>
        <v>10774</v>
      </c>
      <c r="F21" s="252">
        <f t="shared" si="2"/>
        <v>16385</v>
      </c>
      <c r="G21" s="252">
        <f t="shared" si="2"/>
        <v>27194</v>
      </c>
      <c r="H21" s="252">
        <f t="shared" si="2"/>
        <v>22777</v>
      </c>
      <c r="I21" s="252">
        <f>I13+I18+I20</f>
        <v>22377</v>
      </c>
      <c r="J21" s="157"/>
      <c r="K21" s="157"/>
      <c r="L21" s="157"/>
      <c r="M21" s="157"/>
      <c r="N21" s="157"/>
    </row>
    <row r="22" spans="2:14" ht="16" thickBot="1">
      <c r="B22" s="157"/>
      <c r="C22" s="191"/>
      <c r="D22" s="166"/>
      <c r="E22" s="166"/>
      <c r="F22" s="177"/>
      <c r="G22" s="177"/>
      <c r="H22" s="177"/>
      <c r="I22" s="177"/>
      <c r="J22" s="166"/>
      <c r="K22" s="166"/>
      <c r="L22" s="166"/>
      <c r="M22" s="166"/>
      <c r="N22" s="166"/>
    </row>
    <row r="23" spans="2:14" ht="17" thickBot="1">
      <c r="B23" s="167"/>
      <c r="C23" s="259" t="s">
        <v>201</v>
      </c>
      <c r="D23" s="167"/>
      <c r="E23" s="167"/>
      <c r="F23" s="458"/>
      <c r="G23" s="458"/>
      <c r="H23" s="458"/>
      <c r="I23" s="458"/>
      <c r="J23" s="459"/>
      <c r="K23" s="459"/>
      <c r="L23" s="459"/>
      <c r="M23" s="459"/>
      <c r="N23" s="459"/>
    </row>
    <row r="24" spans="2:14" ht="16" thickBot="1">
      <c r="B24" s="157"/>
      <c r="C24" s="263"/>
      <c r="D24" s="158"/>
      <c r="E24" s="158"/>
      <c r="F24" s="176"/>
      <c r="G24" s="176"/>
      <c r="H24" s="176"/>
      <c r="I24" s="176"/>
      <c r="J24" s="158"/>
      <c r="K24" s="158"/>
      <c r="L24" s="158"/>
      <c r="M24" s="158"/>
      <c r="N24" s="158"/>
    </row>
    <row r="25" spans="2:14" ht="16" thickBot="1">
      <c r="B25" s="157"/>
      <c r="C25" s="264" t="s">
        <v>202</v>
      </c>
      <c r="D25" s="158"/>
      <c r="E25" s="251">
        <v>480</v>
      </c>
      <c r="F25" s="251">
        <v>823</v>
      </c>
      <c r="G25" s="251">
        <v>1272</v>
      </c>
      <c r="H25" s="251">
        <v>836</v>
      </c>
      <c r="I25" s="251">
        <v>1048</v>
      </c>
      <c r="J25" s="158"/>
      <c r="K25" s="158"/>
      <c r="L25" s="158"/>
      <c r="M25" s="158"/>
      <c r="N25" s="158"/>
    </row>
    <row r="26" spans="2:14" ht="16" thickBot="1">
      <c r="B26" s="157"/>
      <c r="C26" s="264" t="s">
        <v>203</v>
      </c>
      <c r="D26" s="158"/>
      <c r="E26" s="251">
        <v>1726</v>
      </c>
      <c r="F26" s="251">
        <v>1069</v>
      </c>
      <c r="G26" s="251">
        <v>1992</v>
      </c>
      <c r="H26" s="251">
        <v>675</v>
      </c>
      <c r="I26" s="251">
        <v>470</v>
      </c>
      <c r="J26" s="158"/>
      <c r="K26" s="158"/>
      <c r="L26" s="158"/>
      <c r="M26" s="158"/>
      <c r="N26" s="158"/>
    </row>
    <row r="27" spans="2:14" ht="16" thickBot="1">
      <c r="B27" s="157"/>
      <c r="C27" s="264" t="s">
        <v>204</v>
      </c>
      <c r="D27" s="158"/>
      <c r="E27" s="251">
        <v>1333</v>
      </c>
      <c r="F27" s="251">
        <v>1888</v>
      </c>
      <c r="G27" s="251">
        <v>3910</v>
      </c>
      <c r="H27" s="251">
        <v>3555</v>
      </c>
      <c r="I27" s="251">
        <v>3471</v>
      </c>
      <c r="J27" s="158"/>
      <c r="K27" s="158"/>
      <c r="L27" s="158"/>
      <c r="M27" s="158"/>
      <c r="N27" s="158"/>
    </row>
    <row r="28" spans="2:14" ht="16" thickBot="1">
      <c r="B28" s="157"/>
      <c r="C28" s="265" t="s">
        <v>205</v>
      </c>
      <c r="D28" s="158"/>
      <c r="E28" s="251">
        <f>SUM(E25:E27)</f>
        <v>3539</v>
      </c>
      <c r="F28" s="251">
        <f>SUM(F25:F27)</f>
        <v>3780</v>
      </c>
      <c r="G28" s="251">
        <f t="shared" ref="G28:I28" si="3">SUM(G25:G27)</f>
        <v>7174</v>
      </c>
      <c r="H28" s="251">
        <f t="shared" si="3"/>
        <v>5066</v>
      </c>
      <c r="I28" s="251">
        <f t="shared" si="3"/>
        <v>4989</v>
      </c>
      <c r="J28" s="158"/>
      <c r="K28" s="158"/>
      <c r="L28" s="158"/>
      <c r="M28" s="158"/>
      <c r="N28" s="158"/>
    </row>
    <row r="29" spans="2:14" ht="16" thickBot="1">
      <c r="B29" s="157"/>
      <c r="C29" s="264"/>
      <c r="D29" s="158"/>
      <c r="E29" s="254"/>
      <c r="F29" s="254"/>
      <c r="G29" s="254"/>
      <c r="H29" s="176"/>
      <c r="I29" s="176"/>
      <c r="J29" s="158"/>
      <c r="K29" s="158"/>
      <c r="L29" s="158"/>
      <c r="M29" s="158"/>
      <c r="N29" s="158"/>
    </row>
    <row r="30" spans="2:14" ht="16" thickBot="1">
      <c r="B30" s="157"/>
      <c r="C30" s="264" t="s">
        <v>206</v>
      </c>
      <c r="D30" s="158"/>
      <c r="E30" s="251">
        <v>1979</v>
      </c>
      <c r="F30" s="251">
        <v>6259</v>
      </c>
      <c r="G30" s="251">
        <v>6236</v>
      </c>
      <c r="H30" s="251">
        <v>3624</v>
      </c>
      <c r="I30" s="251">
        <v>2612</v>
      </c>
      <c r="J30" s="158"/>
      <c r="K30" s="158"/>
      <c r="L30" s="158"/>
      <c r="M30" s="158"/>
      <c r="N30" s="158"/>
    </row>
    <row r="31" spans="2:14" ht="16" thickBot="1">
      <c r="B31" s="157"/>
      <c r="C31" s="264" t="s">
        <v>207</v>
      </c>
      <c r="D31" s="158"/>
      <c r="E31" s="251">
        <v>1152</v>
      </c>
      <c r="F31" s="251">
        <v>1360</v>
      </c>
      <c r="G31" s="251">
        <v>2873</v>
      </c>
      <c r="H31" s="251">
        <v>2166</v>
      </c>
      <c r="I31" s="251">
        <v>2386</v>
      </c>
      <c r="J31" s="158"/>
      <c r="K31" s="158"/>
      <c r="L31" s="158"/>
      <c r="M31" s="158"/>
      <c r="N31" s="158"/>
    </row>
    <row r="32" spans="2:14" ht="16" thickBot="1">
      <c r="B32" s="157"/>
      <c r="C32" s="265" t="s">
        <v>208</v>
      </c>
      <c r="D32" s="157"/>
      <c r="E32" s="252">
        <f>E28+SUM(E30:E31)</f>
        <v>6670</v>
      </c>
      <c r="F32" s="252">
        <f>F28+SUM(F30:F31)</f>
        <v>11399</v>
      </c>
      <c r="G32" s="252">
        <f>G28+SUM(G30:G31)</f>
        <v>16283</v>
      </c>
      <c r="H32" s="252">
        <f>H28+SUM(H30:H31)</f>
        <v>10856</v>
      </c>
      <c r="I32" s="252">
        <f>I28+SUM(I30:I31)</f>
        <v>9987</v>
      </c>
      <c r="J32" s="157"/>
      <c r="K32" s="157"/>
      <c r="L32" s="157"/>
      <c r="M32" s="157"/>
      <c r="N32" s="157"/>
    </row>
    <row r="33" spans="2:14" ht="16" thickBot="1">
      <c r="B33" s="157"/>
      <c r="C33" s="264"/>
      <c r="D33" s="158"/>
      <c r="E33" s="176"/>
      <c r="F33" s="176"/>
      <c r="G33" s="176"/>
      <c r="H33" s="176"/>
      <c r="I33" s="176"/>
      <c r="J33" s="158"/>
      <c r="K33" s="158"/>
      <c r="L33" s="158"/>
      <c r="M33" s="158"/>
      <c r="N33" s="158"/>
    </row>
    <row r="34" spans="2:14" ht="16" thickBot="1">
      <c r="B34" s="157"/>
      <c r="C34" s="264" t="s">
        <v>209</v>
      </c>
      <c r="D34" s="158"/>
      <c r="E34" s="251">
        <v>4104</v>
      </c>
      <c r="F34" s="251">
        <v>4986</v>
      </c>
      <c r="G34" s="251">
        <v>10911</v>
      </c>
      <c r="H34" s="251">
        <v>11921</v>
      </c>
      <c r="I34" s="251">
        <v>12390</v>
      </c>
      <c r="J34" s="158"/>
      <c r="K34" s="158"/>
      <c r="L34" s="158"/>
      <c r="M34" s="158"/>
      <c r="N34" s="158"/>
    </row>
    <row r="35" spans="2:14" ht="16" thickBot="1">
      <c r="B35" s="157"/>
      <c r="C35" s="264" t="s">
        <v>210</v>
      </c>
      <c r="D35" s="158"/>
      <c r="E35" s="251">
        <v>0</v>
      </c>
      <c r="F35" s="251">
        <v>0</v>
      </c>
      <c r="G35" s="251">
        <v>0</v>
      </c>
      <c r="H35" s="253">
        <v>0</v>
      </c>
      <c r="I35" s="253">
        <v>0</v>
      </c>
      <c r="J35" s="158"/>
      <c r="K35" s="158"/>
      <c r="L35" s="158"/>
      <c r="M35" s="158"/>
      <c r="N35" s="158"/>
    </row>
    <row r="36" spans="2:14" ht="16" thickBot="1">
      <c r="B36" s="157"/>
      <c r="C36" s="265" t="s">
        <v>211</v>
      </c>
      <c r="D36" s="157"/>
      <c r="E36" s="252">
        <f>SUM(E34:E35)</f>
        <v>4104</v>
      </c>
      <c r="F36" s="252">
        <f>SUM(F34:F35)</f>
        <v>4986</v>
      </c>
      <c r="G36" s="252">
        <f t="shared" ref="G36:H36" si="4">SUM(G34:G35)</f>
        <v>10911</v>
      </c>
      <c r="H36" s="252">
        <f t="shared" si="4"/>
        <v>11921</v>
      </c>
      <c r="I36" s="252">
        <f>SUM(I34:I35)</f>
        <v>12390</v>
      </c>
      <c r="J36" s="157"/>
      <c r="K36" s="157"/>
      <c r="L36" s="157"/>
      <c r="M36" s="157"/>
      <c r="N36" s="157"/>
    </row>
    <row r="37" spans="2:14" ht="16" thickBot="1">
      <c r="B37" s="157"/>
      <c r="C37" s="265"/>
      <c r="D37" s="157"/>
      <c r="E37" s="175"/>
      <c r="F37" s="175"/>
      <c r="G37" s="175"/>
      <c r="H37" s="175"/>
      <c r="I37" s="175"/>
      <c r="J37" s="157"/>
      <c r="K37" s="157"/>
      <c r="L37" s="157"/>
      <c r="M37" s="157"/>
      <c r="N37" s="157"/>
    </row>
    <row r="38" spans="2:14" ht="16" thickBot="1">
      <c r="B38" s="158"/>
      <c r="C38" s="264" t="s">
        <v>212</v>
      </c>
      <c r="D38" s="158"/>
      <c r="E38" s="253">
        <v>0</v>
      </c>
      <c r="F38" s="253">
        <v>0</v>
      </c>
      <c r="G38" s="253">
        <v>0</v>
      </c>
      <c r="H38" s="253">
        <v>0</v>
      </c>
      <c r="I38" s="253">
        <v>0</v>
      </c>
      <c r="J38" s="158"/>
      <c r="K38" s="158"/>
      <c r="L38" s="158"/>
      <c r="M38" s="158"/>
      <c r="N38" s="158"/>
    </row>
    <row r="39" spans="2:14" ht="16" thickBot="1">
      <c r="B39" s="157"/>
      <c r="C39" s="266" t="s">
        <v>213</v>
      </c>
      <c r="D39" s="157"/>
      <c r="E39" s="252">
        <f t="shared" ref="E39:H39" si="5">E32+E36+E38</f>
        <v>10774</v>
      </c>
      <c r="F39" s="252">
        <f t="shared" si="5"/>
        <v>16385</v>
      </c>
      <c r="G39" s="252">
        <f t="shared" si="5"/>
        <v>27194</v>
      </c>
      <c r="H39" s="252">
        <f t="shared" si="5"/>
        <v>22777</v>
      </c>
      <c r="I39" s="252">
        <f>I32+I36+I38</f>
        <v>22377</v>
      </c>
      <c r="J39" s="157"/>
      <c r="K39" s="157"/>
      <c r="L39" s="157"/>
      <c r="M39" s="157"/>
      <c r="N39" s="157"/>
    </row>
    <row r="40" spans="2:14" ht="16" thickBot="1">
      <c r="B40" s="162"/>
      <c r="C40" s="267" t="s">
        <v>214</v>
      </c>
      <c r="D40" s="162"/>
      <c r="E40" s="468" t="str">
        <f>IF(ROUND(E39-E21,1)=0,"ok!",E39-E21)</f>
        <v>ok!</v>
      </c>
      <c r="F40" s="468" t="str">
        <f>IF(ROUND(F39-F21,1)=0,"ok!",F39-F21)</f>
        <v>ok!</v>
      </c>
      <c r="G40" s="468" t="str">
        <f>IF(ROUND(G39-G21,1)=0,"ok!",G39-G21)</f>
        <v>ok!</v>
      </c>
      <c r="H40" s="468" t="str">
        <f>IF(ROUND(H39-H21,1)=0,"ok!",H39-H21)</f>
        <v>ok!</v>
      </c>
      <c r="I40" s="468" t="str">
        <f>IF(ROUND(I39-I21,1)=0,"ok!",I39-I21)</f>
        <v>ok!</v>
      </c>
      <c r="J40" s="460"/>
      <c r="K40" s="461"/>
      <c r="L40" s="461"/>
      <c r="M40" s="461"/>
      <c r="N40" s="461"/>
    </row>
    <row r="41" spans="2:14">
      <c r="B41" s="157"/>
      <c r="C41" s="166"/>
      <c r="D41" s="166"/>
      <c r="E41" s="166"/>
      <c r="F41" s="166"/>
      <c r="G41" s="166"/>
      <c r="H41" s="166"/>
      <c r="I41" s="166"/>
      <c r="J41" s="166"/>
      <c r="K41" s="166"/>
      <c r="L41" s="166"/>
      <c r="M41" s="166"/>
      <c r="N41" s="166"/>
    </row>
    <row r="42" spans="2:14" ht="16" thickBot="1"/>
    <row r="43" spans="2:14" ht="16" thickBot="1">
      <c r="C43" s="271" t="s">
        <v>28</v>
      </c>
      <c r="D43" s="181">
        <v>1996</v>
      </c>
      <c r="E43" s="181">
        <v>1997</v>
      </c>
      <c r="F43" s="181">
        <v>1998</v>
      </c>
      <c r="G43" s="181">
        <v>1999</v>
      </c>
      <c r="H43" s="181">
        <v>2000</v>
      </c>
      <c r="I43" s="181">
        <v>2001</v>
      </c>
      <c r="J43" s="182">
        <v>2002</v>
      </c>
      <c r="K43" s="182">
        <v>2003</v>
      </c>
      <c r="L43" s="182">
        <v>2004</v>
      </c>
      <c r="M43" s="182">
        <v>2005</v>
      </c>
      <c r="N43" s="182">
        <v>2006</v>
      </c>
    </row>
    <row r="44" spans="2:14" ht="16" thickBot="1">
      <c r="C44" s="272" t="s">
        <v>18</v>
      </c>
      <c r="D44" s="268">
        <v>4340</v>
      </c>
      <c r="E44" s="255">
        <f>E13</f>
        <v>4266</v>
      </c>
      <c r="F44" s="255">
        <f>F13</f>
        <v>5195</v>
      </c>
      <c r="G44" s="255">
        <f>G13</f>
        <v>10682</v>
      </c>
      <c r="H44" s="255">
        <f>H13</f>
        <v>8238</v>
      </c>
      <c r="I44" s="255">
        <f>I13</f>
        <v>7663</v>
      </c>
      <c r="J44" s="72"/>
      <c r="K44" s="72"/>
      <c r="L44" s="72"/>
      <c r="M44" s="72"/>
      <c r="N44" s="73"/>
    </row>
    <row r="45" spans="2:14" ht="16" thickBot="1">
      <c r="C45" s="272" t="s">
        <v>25</v>
      </c>
      <c r="D45" s="269">
        <v>166</v>
      </c>
      <c r="E45" s="256">
        <f>E8</f>
        <v>134</v>
      </c>
      <c r="F45" s="256">
        <f>F8</f>
        <v>89</v>
      </c>
      <c r="G45" s="256">
        <f>G8</f>
        <v>1600</v>
      </c>
      <c r="H45" s="256">
        <f>H8</f>
        <v>2035</v>
      </c>
      <c r="I45" s="256">
        <f>I8</f>
        <v>1276</v>
      </c>
      <c r="J45" s="72"/>
      <c r="K45" s="72"/>
      <c r="L45" s="72"/>
      <c r="M45" s="72"/>
      <c r="N45" s="73"/>
    </row>
    <row r="46" spans="2:14" ht="16" thickBot="1">
      <c r="C46" s="272" t="s">
        <v>26</v>
      </c>
      <c r="D46" s="268">
        <v>3401</v>
      </c>
      <c r="E46" s="255">
        <f>E28</f>
        <v>3539</v>
      </c>
      <c r="F46" s="255">
        <f>F28</f>
        <v>3780</v>
      </c>
      <c r="G46" s="255">
        <f>G28</f>
        <v>7174</v>
      </c>
      <c r="H46" s="255">
        <f>H28</f>
        <v>5066</v>
      </c>
      <c r="I46" s="255">
        <f>I28</f>
        <v>4989</v>
      </c>
      <c r="J46" s="72"/>
      <c r="K46" s="72"/>
      <c r="L46" s="72"/>
      <c r="M46" s="72"/>
      <c r="N46" s="73"/>
    </row>
    <row r="47" spans="2:14" ht="16" thickBot="1">
      <c r="C47" s="273" t="s">
        <v>36</v>
      </c>
      <c r="D47" s="268">
        <v>654</v>
      </c>
      <c r="E47" s="255">
        <f>E26</f>
        <v>1726</v>
      </c>
      <c r="F47" s="255">
        <f>F26</f>
        <v>1069</v>
      </c>
      <c r="G47" s="255">
        <f>G26</f>
        <v>1992</v>
      </c>
      <c r="H47" s="255">
        <f>H26</f>
        <v>675</v>
      </c>
      <c r="I47" s="255">
        <f>I26</f>
        <v>470</v>
      </c>
      <c r="J47" s="72"/>
      <c r="K47" s="72"/>
      <c r="L47" s="72"/>
      <c r="M47" s="72"/>
      <c r="N47" s="73"/>
    </row>
    <row r="48" spans="2:14" ht="16" thickBot="1">
      <c r="C48" s="271" t="s">
        <v>27</v>
      </c>
      <c r="D48" s="270">
        <f t="shared" ref="D48:I48" si="6">D44-D45-D46+D47</f>
        <v>1427</v>
      </c>
      <c r="E48" s="257">
        <f t="shared" si="6"/>
        <v>2319</v>
      </c>
      <c r="F48" s="257">
        <f t="shared" si="6"/>
        <v>2395</v>
      </c>
      <c r="G48" s="257">
        <f t="shared" si="6"/>
        <v>3900</v>
      </c>
      <c r="H48" s="257">
        <f t="shared" si="6"/>
        <v>1812</v>
      </c>
      <c r="I48" s="257">
        <f t="shared" si="6"/>
        <v>1868</v>
      </c>
      <c r="J48" s="258">
        <v>3068.5491609279275</v>
      </c>
      <c r="K48" s="258">
        <v>3215.5326657363753</v>
      </c>
      <c r="L48" s="258">
        <v>3369.5566804251475</v>
      </c>
      <c r="M48" s="258">
        <v>3530.9584454175124</v>
      </c>
      <c r="N48" s="258">
        <v>3700.0913549530119</v>
      </c>
    </row>
    <row r="49" spans="3:14" ht="16" thickBot="1">
      <c r="C49" s="275"/>
      <c r="D49" s="178"/>
      <c r="E49" s="178"/>
      <c r="F49" s="178"/>
      <c r="G49" s="178"/>
      <c r="H49" s="178"/>
      <c r="I49" s="178"/>
      <c r="J49" s="179"/>
      <c r="K49" s="179"/>
      <c r="L49" s="179"/>
      <c r="M49" s="179"/>
      <c r="N49" s="180"/>
    </row>
    <row r="50" spans="3:14" ht="16" thickBot="1">
      <c r="C50" s="274" t="s">
        <v>217</v>
      </c>
      <c r="D50" s="270"/>
      <c r="E50" s="257">
        <f>E48-D48</f>
        <v>892</v>
      </c>
      <c r="F50" s="257">
        <f>F48-E48</f>
        <v>76</v>
      </c>
      <c r="G50" s="257">
        <f t="shared" ref="G50:N50" si="7">G48-F48</f>
        <v>1505</v>
      </c>
      <c r="H50" s="257">
        <f t="shared" si="7"/>
        <v>-2088</v>
      </c>
      <c r="I50" s="257">
        <f t="shared" si="7"/>
        <v>56</v>
      </c>
      <c r="J50" s="257">
        <f>J48-I48</f>
        <v>1200.5491609279275</v>
      </c>
      <c r="K50" s="257">
        <f t="shared" si="7"/>
        <v>146.98350480844783</v>
      </c>
      <c r="L50" s="257">
        <f t="shared" si="7"/>
        <v>154.02401468877224</v>
      </c>
      <c r="M50" s="257">
        <f t="shared" si="7"/>
        <v>161.40176499236486</v>
      </c>
      <c r="N50" s="257">
        <f t="shared" si="7"/>
        <v>169.13290953549949</v>
      </c>
    </row>
  </sheetData>
  <phoneticPr fontId="14" type="noConversion"/>
  <conditionalFormatting sqref="E40:N40">
    <cfRule type="cellIs" dxfId="4" priority="1" stopIfTrue="1" operator="notEqual">
      <formula>"ok!"</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7751A-7D0A-40D0-8853-5A68ABF52548}">
  <sheetPr>
    <tabColor theme="2" tint="-0.249977111117893"/>
  </sheetPr>
  <dimension ref="B1:O16"/>
  <sheetViews>
    <sheetView showGridLines="0" workbookViewId="0">
      <selection activeCell="N10" sqref="N10"/>
    </sheetView>
  </sheetViews>
  <sheetFormatPr baseColWidth="10" defaultColWidth="10.83203125" defaultRowHeight="15"/>
  <cols>
    <col min="1" max="1" width="18.5" style="71" customWidth="1"/>
    <col min="2" max="3" width="10.83203125" style="71"/>
    <col min="4" max="4" width="54" style="71" customWidth="1"/>
    <col min="5" max="16384" width="10.83203125" style="71"/>
  </cols>
  <sheetData>
    <row r="1" spans="2:15" ht="60" customHeight="1" thickBot="1">
      <c r="B1" s="442" t="s">
        <v>380</v>
      </c>
    </row>
    <row r="2" spans="2:15">
      <c r="B2" s="529" t="s">
        <v>129</v>
      </c>
      <c r="C2" s="504"/>
      <c r="D2" s="504"/>
      <c r="E2" s="504"/>
      <c r="F2" s="504"/>
      <c r="G2" s="504"/>
      <c r="H2" s="504"/>
      <c r="I2" s="504"/>
      <c r="J2" s="504"/>
      <c r="K2" s="504"/>
      <c r="L2" s="504"/>
      <c r="M2" s="504"/>
      <c r="N2" s="505"/>
    </row>
    <row r="3" spans="2:15" ht="19">
      <c r="B3" s="510" t="s">
        <v>186</v>
      </c>
      <c r="C3" s="511"/>
      <c r="D3" s="511"/>
      <c r="E3" s="152" t="s">
        <v>115</v>
      </c>
      <c r="F3" s="152"/>
      <c r="G3" s="152"/>
      <c r="H3" s="152" t="s">
        <v>9</v>
      </c>
      <c r="I3" s="152"/>
      <c r="J3" s="153"/>
      <c r="K3" s="153"/>
      <c r="L3" s="153"/>
      <c r="M3" s="153"/>
      <c r="N3" s="513"/>
      <c r="O3" s="72"/>
    </row>
    <row r="4" spans="2:15" ht="16" thickBot="1">
      <c r="B4" s="514" t="s">
        <v>406</v>
      </c>
      <c r="C4" s="515"/>
      <c r="D4" s="515"/>
      <c r="E4" s="530">
        <v>1997</v>
      </c>
      <c r="F4" s="530">
        <v>1998</v>
      </c>
      <c r="G4" s="530">
        <v>1999</v>
      </c>
      <c r="H4" s="530">
        <v>2000</v>
      </c>
      <c r="I4" s="530">
        <v>2001</v>
      </c>
      <c r="J4" s="515">
        <v>2002</v>
      </c>
      <c r="K4" s="515">
        <v>2003</v>
      </c>
      <c r="L4" s="515">
        <v>2004</v>
      </c>
      <c r="M4" s="515">
        <v>2005</v>
      </c>
      <c r="N4" s="517">
        <v>2006</v>
      </c>
    </row>
    <row r="5" spans="2:15" ht="16" thickBot="1">
      <c r="B5" s="157"/>
      <c r="C5" s="166"/>
      <c r="D5" s="166"/>
      <c r="E5" s="166"/>
      <c r="F5" s="166"/>
      <c r="G5" s="166"/>
      <c r="H5" s="166"/>
      <c r="I5" s="166"/>
      <c r="J5" s="166"/>
      <c r="K5" s="166"/>
      <c r="L5" s="166"/>
      <c r="M5" s="166"/>
      <c r="N5" s="166"/>
    </row>
    <row r="6" spans="2:15" ht="17" thickBot="1">
      <c r="B6" s="167"/>
      <c r="C6" s="259" t="s">
        <v>19</v>
      </c>
      <c r="D6" s="276"/>
      <c r="E6" s="261"/>
      <c r="F6" s="261"/>
      <c r="G6" s="261"/>
      <c r="H6" s="261"/>
      <c r="I6" s="261"/>
      <c r="J6" s="261"/>
      <c r="K6" s="261"/>
      <c r="L6" s="261"/>
      <c r="M6" s="261"/>
      <c r="N6" s="262"/>
    </row>
    <row r="7" spans="2:15" ht="16" thickBot="1">
      <c r="B7" s="157"/>
      <c r="C7" s="192" t="s">
        <v>75</v>
      </c>
      <c r="D7" s="186"/>
      <c r="E7" s="158"/>
      <c r="F7" s="158"/>
      <c r="G7" s="158"/>
      <c r="H7" s="158"/>
      <c r="I7" s="158"/>
      <c r="J7" s="158"/>
      <c r="K7" s="158"/>
      <c r="L7" s="158"/>
      <c r="M7" s="158"/>
      <c r="N7" s="159"/>
    </row>
    <row r="8" spans="2:15" ht="16" thickBot="1">
      <c r="B8" s="157"/>
      <c r="C8" s="185" t="s">
        <v>14</v>
      </c>
      <c r="D8" s="186"/>
      <c r="E8" s="249">
        <v>487</v>
      </c>
      <c r="F8" s="249">
        <v>518</v>
      </c>
      <c r="G8" s="249">
        <v>1145</v>
      </c>
      <c r="H8" s="249">
        <v>633</v>
      </c>
      <c r="I8" s="249">
        <v>611</v>
      </c>
      <c r="J8" s="249">
        <v>870.72788600317665</v>
      </c>
      <c r="K8" s="249">
        <v>912.43575174272894</v>
      </c>
      <c r="L8" s="249">
        <v>956.14142425120565</v>
      </c>
      <c r="M8" s="249">
        <v>1001.9405984728385</v>
      </c>
      <c r="N8" s="249">
        <v>1049.9335531396875</v>
      </c>
    </row>
    <row r="9" spans="2:15" ht="16" thickBot="1">
      <c r="B9" s="157"/>
      <c r="C9" s="277" t="s">
        <v>76</v>
      </c>
      <c r="D9" s="278"/>
      <c r="E9" s="279"/>
      <c r="F9" s="279"/>
      <c r="G9" s="279"/>
      <c r="H9" s="279"/>
      <c r="I9" s="279"/>
      <c r="J9" s="279"/>
      <c r="K9" s="279"/>
      <c r="L9" s="279"/>
      <c r="M9" s="279"/>
      <c r="N9" s="280"/>
    </row>
    <row r="10" spans="2:15" ht="16" thickBot="1">
      <c r="B10" s="157"/>
      <c r="C10" s="281" t="s">
        <v>187</v>
      </c>
      <c r="D10" s="282"/>
      <c r="E10" s="249">
        <v>-644</v>
      </c>
      <c r="F10" s="249">
        <v>-859</v>
      </c>
      <c r="G10" s="249">
        <v>-1678</v>
      </c>
      <c r="H10" s="249">
        <v>-774</v>
      </c>
      <c r="I10" s="249">
        <v>-1020</v>
      </c>
      <c r="J10" s="283">
        <v>-1289.4393450824002</v>
      </c>
      <c r="K10" s="283">
        <v>-1351.2034897118474</v>
      </c>
      <c r="L10" s="283">
        <v>-1415.9261368690447</v>
      </c>
      <c r="M10" s="283">
        <v>-1483.7489988250722</v>
      </c>
      <c r="N10" s="283">
        <v>-1554.8205758687932</v>
      </c>
    </row>
    <row r="11" spans="2:15">
      <c r="B11" s="157"/>
      <c r="C11" s="157"/>
      <c r="D11" s="157"/>
      <c r="E11" s="157"/>
      <c r="F11" s="157"/>
      <c r="G11" s="157"/>
      <c r="H11" s="157"/>
      <c r="I11" s="157"/>
      <c r="J11" s="157"/>
      <c r="K11" s="157"/>
      <c r="L11" s="157"/>
      <c r="M11" s="157"/>
      <c r="N11" s="157"/>
    </row>
    <row r="15" spans="2:15">
      <c r="E15" s="163"/>
      <c r="F15" s="163"/>
      <c r="G15" s="163"/>
      <c r="H15" s="163"/>
      <c r="I15" s="163"/>
    </row>
    <row r="16" spans="2:15">
      <c r="E16" s="174"/>
      <c r="F16" s="174"/>
      <c r="G16" s="174"/>
      <c r="H16" s="174"/>
      <c r="I16" s="174"/>
      <c r="J16" s="174"/>
      <c r="K16" s="174"/>
      <c r="L16" s="174"/>
      <c r="M16" s="174"/>
      <c r="N16" s="174"/>
    </row>
  </sheetData>
  <phoneticPr fontId="1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0549-D656-432B-AEA0-05D02A5CC2EA}">
  <sheetPr>
    <tabColor theme="2" tint="-0.249977111117893"/>
  </sheetPr>
  <dimension ref="B1:AD24"/>
  <sheetViews>
    <sheetView showGridLines="0" topLeftCell="F1" workbookViewId="0">
      <selection activeCell="Y33" sqref="Y33"/>
    </sheetView>
  </sheetViews>
  <sheetFormatPr baseColWidth="10" defaultColWidth="9.1640625" defaultRowHeight="15"/>
  <cols>
    <col min="1" max="1" width="22.5" style="71" customWidth="1"/>
    <col min="2" max="3" width="9.1640625" style="71"/>
    <col min="4" max="4" width="16.1640625" style="71" customWidth="1"/>
    <col min="5" max="18" width="9.1640625" style="71"/>
    <col min="19" max="19" width="5.5" style="71" customWidth="1"/>
    <col min="20" max="20" width="18.1640625" style="71" customWidth="1"/>
    <col min="21" max="21" width="18" style="71" customWidth="1"/>
    <col min="22" max="22" width="9.1640625" style="71"/>
    <col min="23" max="24" width="10" style="71" bestFit="1" customWidth="1"/>
    <col min="25" max="25" width="9.1640625" style="71"/>
    <col min="26" max="30" width="10" style="71" bestFit="1" customWidth="1"/>
    <col min="31" max="16384" width="9.1640625" style="71"/>
  </cols>
  <sheetData>
    <row r="1" spans="2:30" ht="32.75" customHeight="1">
      <c r="B1" s="441" t="s">
        <v>381</v>
      </c>
    </row>
    <row r="2" spans="2:30" ht="16" thickBot="1"/>
    <row r="3" spans="2:30">
      <c r="B3" s="503"/>
      <c r="C3" s="504"/>
      <c r="D3" s="504"/>
      <c r="E3" s="504"/>
      <c r="F3" s="504"/>
      <c r="G3" s="504"/>
      <c r="H3" s="504"/>
      <c r="I3" s="504"/>
      <c r="J3" s="504"/>
      <c r="K3" s="504"/>
      <c r="L3" s="504"/>
      <c r="M3" s="504"/>
      <c r="N3" s="505"/>
      <c r="R3" s="529" t="s">
        <v>132</v>
      </c>
      <c r="S3" s="504"/>
      <c r="T3" s="504"/>
      <c r="U3" s="504"/>
      <c r="V3" s="504"/>
      <c r="W3" s="504"/>
      <c r="X3" s="504"/>
      <c r="Y3" s="504"/>
      <c r="Z3" s="504"/>
      <c r="AA3" s="504"/>
      <c r="AB3" s="504"/>
      <c r="AC3" s="504"/>
      <c r="AD3" s="505"/>
    </row>
    <row r="4" spans="2:30" ht="19">
      <c r="B4" s="506"/>
      <c r="C4" s="507"/>
      <c r="D4" s="507"/>
      <c r="E4" s="507"/>
      <c r="F4" s="507"/>
      <c r="G4" s="151"/>
      <c r="H4" s="507"/>
      <c r="I4" s="507"/>
      <c r="J4" s="507"/>
      <c r="K4" s="507"/>
      <c r="L4" s="507"/>
      <c r="M4" s="507"/>
      <c r="N4" s="508"/>
      <c r="R4" s="510" t="s">
        <v>8</v>
      </c>
      <c r="S4" s="511"/>
      <c r="T4" s="511"/>
      <c r="U4" s="152" t="s">
        <v>115</v>
      </c>
      <c r="V4" s="152"/>
      <c r="W4" s="152"/>
      <c r="X4" s="152" t="s">
        <v>9</v>
      </c>
      <c r="Y4" s="152"/>
      <c r="Z4" s="153"/>
      <c r="AA4" s="153"/>
      <c r="AB4" s="153"/>
      <c r="AC4" s="153"/>
      <c r="AD4" s="513"/>
    </row>
    <row r="5" spans="2:30" ht="16" thickBot="1">
      <c r="B5" s="506"/>
      <c r="C5" s="507"/>
      <c r="D5" s="507"/>
      <c r="E5" s="507"/>
      <c r="F5" s="507"/>
      <c r="G5" s="507"/>
      <c r="H5" s="507"/>
      <c r="I5" s="507"/>
      <c r="J5" s="507"/>
      <c r="K5" s="507"/>
      <c r="L5" s="507"/>
      <c r="M5" s="507"/>
      <c r="N5" s="508"/>
      <c r="R5" s="514" t="s">
        <v>357</v>
      </c>
      <c r="S5" s="515"/>
      <c r="T5" s="515"/>
      <c r="U5" s="530">
        <v>1997</v>
      </c>
      <c r="V5" s="530">
        <v>1998</v>
      </c>
      <c r="W5" s="530">
        <v>1999</v>
      </c>
      <c r="X5" s="530">
        <v>2000</v>
      </c>
      <c r="Y5" s="530">
        <v>2001</v>
      </c>
      <c r="Z5" s="515">
        <v>2002</v>
      </c>
      <c r="AA5" s="515">
        <v>2003</v>
      </c>
      <c r="AB5" s="515">
        <v>2004</v>
      </c>
      <c r="AC5" s="515">
        <v>2005</v>
      </c>
      <c r="AD5" s="517">
        <v>2006</v>
      </c>
    </row>
    <row r="6" spans="2:30" ht="16" thickBot="1">
      <c r="B6" s="509"/>
      <c r="C6" s="507"/>
      <c r="D6" s="507"/>
      <c r="E6" s="507"/>
      <c r="F6" s="507"/>
      <c r="G6" s="507"/>
      <c r="H6" s="507"/>
      <c r="I6" s="507"/>
      <c r="J6" s="507"/>
      <c r="K6" s="507"/>
      <c r="L6" s="507"/>
      <c r="M6" s="507"/>
      <c r="N6" s="508"/>
      <c r="R6" s="157"/>
      <c r="S6" s="166"/>
      <c r="T6" s="166"/>
      <c r="U6" s="166"/>
      <c r="V6" s="166"/>
      <c r="W6" s="166"/>
      <c r="X6" s="166"/>
      <c r="Y6" s="166"/>
      <c r="Z6" s="166"/>
      <c r="AA6" s="166"/>
      <c r="AB6" s="166"/>
      <c r="AC6" s="166"/>
      <c r="AD6" s="166"/>
    </row>
    <row r="7" spans="2:30" ht="20" thickBot="1">
      <c r="B7" s="510" t="s">
        <v>114</v>
      </c>
      <c r="C7" s="511"/>
      <c r="D7" s="511"/>
      <c r="E7" s="152" t="s">
        <v>115</v>
      </c>
      <c r="F7" s="152"/>
      <c r="G7" s="152"/>
      <c r="H7" s="152" t="s">
        <v>9</v>
      </c>
      <c r="I7" s="152"/>
      <c r="J7" s="153"/>
      <c r="K7" s="153"/>
      <c r="L7" s="153"/>
      <c r="M7" s="153"/>
      <c r="N7" s="513"/>
      <c r="O7" s="72"/>
      <c r="R7" s="167"/>
      <c r="S7" s="259" t="s">
        <v>8</v>
      </c>
      <c r="T7" s="276"/>
      <c r="U7" s="284"/>
      <c r="V7" s="284"/>
      <c r="W7" s="284"/>
      <c r="X7" s="284"/>
      <c r="Y7" s="284"/>
      <c r="Z7" s="284"/>
      <c r="AA7" s="284"/>
      <c r="AB7" s="284"/>
      <c r="AC7" s="284"/>
      <c r="AD7" s="285"/>
    </row>
    <row r="8" spans="2:30" ht="16" thickBot="1">
      <c r="B8" s="514" t="s">
        <v>406</v>
      </c>
      <c r="C8" s="515"/>
      <c r="D8" s="515"/>
      <c r="E8" s="530">
        <v>1997</v>
      </c>
      <c r="F8" s="530">
        <v>1998</v>
      </c>
      <c r="G8" s="530">
        <v>1999</v>
      </c>
      <c r="H8" s="530">
        <v>2000</v>
      </c>
      <c r="I8" s="530">
        <v>2001</v>
      </c>
      <c r="J8" s="515">
        <v>2002</v>
      </c>
      <c r="K8" s="515">
        <v>2003</v>
      </c>
      <c r="L8" s="515">
        <v>2004</v>
      </c>
      <c r="M8" s="515">
        <v>2005</v>
      </c>
      <c r="N8" s="517">
        <v>2006</v>
      </c>
      <c r="R8" s="157"/>
      <c r="S8" s="291"/>
      <c r="T8" s="186"/>
      <c r="U8" s="158"/>
      <c r="V8" s="158"/>
      <c r="W8" s="158"/>
      <c r="X8" s="158"/>
      <c r="Y8" s="158"/>
      <c r="Z8" s="158"/>
      <c r="AA8" s="158"/>
      <c r="AB8" s="158"/>
      <c r="AC8" s="158"/>
      <c r="AD8" s="536"/>
    </row>
    <row r="9" spans="2:30" ht="16" thickBot="1">
      <c r="R9" s="157"/>
      <c r="S9" s="291" t="s">
        <v>10</v>
      </c>
      <c r="T9" s="186"/>
      <c r="U9" s="244">
        <v>12504</v>
      </c>
      <c r="V9" s="244">
        <v>13544</v>
      </c>
      <c r="W9" s="244">
        <v>27376</v>
      </c>
      <c r="X9" s="244">
        <v>29355</v>
      </c>
      <c r="Y9" s="244">
        <v>29024</v>
      </c>
      <c r="Z9" s="244">
        <v>31280.078783813144</v>
      </c>
      <c r="AA9" s="244">
        <v>33711.525934452773</v>
      </c>
      <c r="AB9" s="244">
        <v>36331.973096480251</v>
      </c>
      <c r="AC9" s="244">
        <v>39156.111522508334</v>
      </c>
      <c r="AD9" s="244">
        <v>42199.774438114466</v>
      </c>
    </row>
    <row r="10" spans="2:30" ht="17" thickBot="1">
      <c r="C10" s="259" t="s">
        <v>133</v>
      </c>
      <c r="D10" s="276"/>
      <c r="E10" s="276"/>
      <c r="F10" s="284"/>
      <c r="G10" s="284"/>
      <c r="H10" s="284"/>
      <c r="I10" s="284"/>
      <c r="J10" s="284"/>
      <c r="K10" s="284"/>
      <c r="L10" s="284"/>
      <c r="M10" s="284"/>
      <c r="N10" s="285"/>
      <c r="R10" s="157"/>
      <c r="S10" s="291" t="s">
        <v>16</v>
      </c>
      <c r="T10" s="186"/>
      <c r="U10" s="244">
        <v>-1776</v>
      </c>
      <c r="V10" s="244">
        <v>-2094</v>
      </c>
      <c r="W10" s="244">
        <v>-5464</v>
      </c>
      <c r="X10" s="244">
        <v>-5007</v>
      </c>
      <c r="Y10" s="244">
        <v>-3823</v>
      </c>
      <c r="Z10" s="245">
        <v>-4100.8183285579025</v>
      </c>
      <c r="AA10" s="245">
        <v>-4251.0234203344944</v>
      </c>
      <c r="AB10" s="245">
        <v>-4399.8019419837583</v>
      </c>
      <c r="AC10" s="245">
        <v>-4546.024547763217</v>
      </c>
      <c r="AD10" s="245">
        <v>-4688.3949400745169</v>
      </c>
    </row>
    <row r="11" spans="2:30" ht="17" thickBot="1">
      <c r="C11" s="531"/>
      <c r="D11" s="156"/>
      <c r="E11" s="532">
        <v>1997</v>
      </c>
      <c r="F11" s="532">
        <v>1998</v>
      </c>
      <c r="G11" s="532">
        <v>1999</v>
      </c>
      <c r="H11" s="532">
        <v>2000</v>
      </c>
      <c r="I11" s="532">
        <v>2001</v>
      </c>
      <c r="J11" s="533">
        <v>2002</v>
      </c>
      <c r="K11" s="533">
        <v>2003</v>
      </c>
      <c r="L11" s="533">
        <v>2004</v>
      </c>
      <c r="M11" s="533">
        <v>2005</v>
      </c>
      <c r="N11" s="534">
        <v>2006</v>
      </c>
      <c r="R11" s="157"/>
      <c r="S11" s="291" t="s">
        <v>134</v>
      </c>
      <c r="T11" s="186"/>
      <c r="U11" s="244">
        <v>-4401</v>
      </c>
      <c r="V11" s="244">
        <v>-6577</v>
      </c>
      <c r="W11" s="244">
        <v>-12070</v>
      </c>
      <c r="X11" s="244">
        <v>-11223</v>
      </c>
      <c r="Y11" s="244">
        <v>-9646</v>
      </c>
      <c r="Z11" s="245">
        <v>-11039.507094555234</v>
      </c>
      <c r="AA11" s="245">
        <v>-11897.624436747239</v>
      </c>
      <c r="AB11" s="245">
        <v>-12822.444519076422</v>
      </c>
      <c r="AC11" s="245">
        <v>-13819.152244962221</v>
      </c>
      <c r="AD11" s="245">
        <v>-14893.335548095594</v>
      </c>
    </row>
    <row r="12" spans="2:30" ht="16" thickBot="1">
      <c r="C12" s="535" t="s">
        <v>117</v>
      </c>
      <c r="D12" s="233"/>
      <c r="E12" s="157"/>
      <c r="F12" s="158"/>
      <c r="G12" s="158"/>
      <c r="H12" s="158"/>
      <c r="I12" s="158"/>
      <c r="J12" s="158"/>
      <c r="K12" s="158"/>
      <c r="L12" s="158"/>
      <c r="M12" s="158"/>
      <c r="N12" s="536"/>
      <c r="R12" s="157"/>
      <c r="S12" s="291" t="s">
        <v>17</v>
      </c>
      <c r="T12" s="186"/>
      <c r="U12" s="286">
        <v>-1805</v>
      </c>
      <c r="V12" s="286">
        <v>-2279</v>
      </c>
      <c r="W12" s="286">
        <v>-2776</v>
      </c>
      <c r="X12" s="286">
        <v>-4435</v>
      </c>
      <c r="Y12" s="286">
        <v>-4847</v>
      </c>
      <c r="Z12" s="287">
        <v>-4580.0553990295193</v>
      </c>
      <c r="AA12" s="287">
        <v>-4936.0699323274575</v>
      </c>
      <c r="AB12" s="287">
        <v>-5319.7580059817428</v>
      </c>
      <c r="AC12" s="287">
        <v>-5733.2707255350615</v>
      </c>
      <c r="AD12" s="287">
        <v>-6178.9264051704204</v>
      </c>
    </row>
    <row r="13" spans="2:30" ht="16" thickBot="1">
      <c r="C13" s="291" t="s">
        <v>32</v>
      </c>
      <c r="D13" s="186"/>
      <c r="E13" s="453" t="s">
        <v>118</v>
      </c>
      <c r="F13" s="454">
        <v>8.3173384516954663E-2</v>
      </c>
      <c r="G13" s="454">
        <v>1.021264028352038</v>
      </c>
      <c r="H13" s="454">
        <v>7.2289596727060257E-2</v>
      </c>
      <c r="I13" s="454">
        <v>-1.1275762221086727E-2</v>
      </c>
      <c r="J13" s="455">
        <v>7.773149062200746E-2</v>
      </c>
      <c r="K13" s="455">
        <v>7.773149062200746E-2</v>
      </c>
      <c r="L13" s="455">
        <v>7.773149062200746E-2</v>
      </c>
      <c r="M13" s="455">
        <v>7.773149062200746E-2</v>
      </c>
      <c r="N13" s="455">
        <v>7.773149062200746E-2</v>
      </c>
      <c r="R13" s="157"/>
      <c r="S13" s="288" t="s">
        <v>12</v>
      </c>
      <c r="T13" s="289"/>
      <c r="U13" s="246">
        <f>SUM(U9,U10,U11,U12)</f>
        <v>4522</v>
      </c>
      <c r="V13" s="246">
        <f t="shared" ref="V13:AD13" si="0">SUM(V9,V10,V11,V12)</f>
        <v>2594</v>
      </c>
      <c r="W13" s="246">
        <f t="shared" si="0"/>
        <v>7066</v>
      </c>
      <c r="X13" s="246">
        <f t="shared" si="0"/>
        <v>8690</v>
      </c>
      <c r="Y13" s="246">
        <f t="shared" si="0"/>
        <v>10708</v>
      </c>
      <c r="Z13" s="246">
        <f t="shared" si="0"/>
        <v>11559.697961670487</v>
      </c>
      <c r="AA13" s="246">
        <f t="shared" si="0"/>
        <v>12626.808145043582</v>
      </c>
      <c r="AB13" s="246">
        <f t="shared" si="0"/>
        <v>13789.968629438326</v>
      </c>
      <c r="AC13" s="246">
        <f t="shared" si="0"/>
        <v>15057.664004247832</v>
      </c>
      <c r="AD13" s="246">
        <f t="shared" si="0"/>
        <v>16439.117544773933</v>
      </c>
    </row>
    <row r="14" spans="2:30" ht="16" thickBot="1">
      <c r="C14" s="291" t="s">
        <v>119</v>
      </c>
      <c r="D14" s="186"/>
      <c r="E14" s="454">
        <f>-U10/U9</f>
        <v>0.14203454894433781</v>
      </c>
      <c r="F14" s="454">
        <f t="shared" ref="F14:I14" si="1">-V10/V9</f>
        <v>0.15460720614294152</v>
      </c>
      <c r="G14" s="454">
        <f t="shared" si="1"/>
        <v>0.19959088252483928</v>
      </c>
      <c r="H14" s="454">
        <f t="shared" si="1"/>
        <v>0.1705671946857435</v>
      </c>
      <c r="I14" s="454">
        <f t="shared" si="1"/>
        <v>0.13171857772877618</v>
      </c>
      <c r="J14" s="456">
        <f>6*-0.005+0.1611</f>
        <v>0.13109999999999999</v>
      </c>
      <c r="K14" s="456">
        <f>7*-0.005+0.1611</f>
        <v>0.12609999999999999</v>
      </c>
      <c r="L14" s="456">
        <f>8*-0.005+0.1611</f>
        <v>0.12109999999999999</v>
      </c>
      <c r="M14" s="456">
        <f>9*-0.005+0.1611</f>
        <v>0.11609999999999999</v>
      </c>
      <c r="N14" s="456">
        <f>10*-0.005+0.1611</f>
        <v>0.11109999999999999</v>
      </c>
      <c r="R14" s="170"/>
      <c r="S14" s="290" t="s">
        <v>13</v>
      </c>
      <c r="T14" s="187"/>
      <c r="U14" s="247">
        <f t="shared" ref="U14:AD14" si="2">U13/U9</f>
        <v>0.36164427383237363</v>
      </c>
      <c r="V14" s="247">
        <f t="shared" si="2"/>
        <v>0.19152392203189605</v>
      </c>
      <c r="W14" s="247">
        <f t="shared" si="2"/>
        <v>0.25810929281122152</v>
      </c>
      <c r="X14" s="248">
        <f t="shared" si="2"/>
        <v>0.29603134048714019</v>
      </c>
      <c r="Y14" s="248">
        <f t="shared" si="2"/>
        <v>0.36893605292171994</v>
      </c>
      <c r="Z14" s="247">
        <f t="shared" si="2"/>
        <v>0.36955463065049615</v>
      </c>
      <c r="AA14" s="247">
        <f t="shared" si="2"/>
        <v>0.37455463065049621</v>
      </c>
      <c r="AB14" s="247">
        <f t="shared" si="2"/>
        <v>0.37955463065049622</v>
      </c>
      <c r="AC14" s="247">
        <f t="shared" si="2"/>
        <v>0.38455463065049622</v>
      </c>
      <c r="AD14" s="247">
        <f t="shared" si="2"/>
        <v>0.38955463065049623</v>
      </c>
    </row>
    <row r="15" spans="2:30" ht="16" thickBot="1">
      <c r="C15" s="291" t="s">
        <v>135</v>
      </c>
      <c r="D15" s="186"/>
      <c r="E15" s="454">
        <f>-U11/U9</f>
        <v>0.35196737044145876</v>
      </c>
      <c r="F15" s="454">
        <f t="shared" ref="F15:I15" si="3">-V11/V9</f>
        <v>0.48560248080330776</v>
      </c>
      <c r="G15" s="454">
        <f t="shared" si="3"/>
        <v>0.4408971361776739</v>
      </c>
      <c r="H15" s="454">
        <f t="shared" si="3"/>
        <v>0.38231987736331119</v>
      </c>
      <c r="I15" s="454">
        <f t="shared" si="3"/>
        <v>0.33234564498346197</v>
      </c>
      <c r="J15" s="457">
        <f>-Z11/Z9</f>
        <v>0.35292452972554444</v>
      </c>
      <c r="K15" s="457">
        <f t="shared" ref="K15:N15" si="4">-AA11/AA9</f>
        <v>0.35292452972554439</v>
      </c>
      <c r="L15" s="457">
        <f t="shared" si="4"/>
        <v>0.35292452972554433</v>
      </c>
      <c r="M15" s="457">
        <f t="shared" si="4"/>
        <v>0.35292452972554433</v>
      </c>
      <c r="N15" s="457">
        <f t="shared" si="4"/>
        <v>0.35292452972554433</v>
      </c>
      <c r="R15" s="157"/>
      <c r="S15" s="291"/>
      <c r="T15" s="186"/>
      <c r="U15" s="168"/>
      <c r="V15" s="168"/>
      <c r="W15" s="168"/>
      <c r="X15" s="158"/>
      <c r="Y15" s="158"/>
      <c r="Z15" s="168"/>
      <c r="AA15" s="168"/>
      <c r="AB15" s="168"/>
      <c r="AC15" s="168"/>
      <c r="AD15" s="292"/>
    </row>
    <row r="16" spans="2:30" ht="16" thickBot="1">
      <c r="C16" s="291" t="s">
        <v>121</v>
      </c>
      <c r="D16" s="186"/>
      <c r="E16" s="453">
        <f>-(U12/U9)</f>
        <v>0.14435380678182982</v>
      </c>
      <c r="F16" s="453">
        <f t="shared" ref="F16:I16" si="5">-(V12/V9)</f>
        <v>0.1682663910218547</v>
      </c>
      <c r="G16" s="453">
        <f t="shared" si="5"/>
        <v>0.10140268848626534</v>
      </c>
      <c r="H16" s="453">
        <f t="shared" si="5"/>
        <v>0.15108158746380515</v>
      </c>
      <c r="I16" s="453">
        <f t="shared" si="5"/>
        <v>0.16699972436604191</v>
      </c>
      <c r="J16" s="456">
        <f>AVERAGE($E$16,$F$16,$G$16,$H$16,$I$16)</f>
        <v>0.14642083962395941</v>
      </c>
      <c r="K16" s="456">
        <f t="shared" ref="K16:N16" si="6">AVERAGE($E$16,$F$16,$G$16,$H$16,$I$16)</f>
        <v>0.14642083962395941</v>
      </c>
      <c r="L16" s="456">
        <f t="shared" si="6"/>
        <v>0.14642083962395941</v>
      </c>
      <c r="M16" s="456">
        <f t="shared" si="6"/>
        <v>0.14642083962395941</v>
      </c>
      <c r="N16" s="456">
        <f t="shared" si="6"/>
        <v>0.14642083962395941</v>
      </c>
      <c r="R16" s="157"/>
      <c r="S16" s="281" t="s">
        <v>131</v>
      </c>
      <c r="T16" s="282"/>
      <c r="U16" s="244">
        <v>-428</v>
      </c>
      <c r="V16" s="244">
        <v>-489</v>
      </c>
      <c r="W16" s="244">
        <v>-905</v>
      </c>
      <c r="X16" s="244">
        <v>-968</v>
      </c>
      <c r="Y16" s="244">
        <v>-1068</v>
      </c>
      <c r="Z16" s="245">
        <v>-1151.0172319843</v>
      </c>
      <c r="AA16" s="245">
        <v>-1240.48751715806</v>
      </c>
      <c r="AB16" s="245">
        <v>-1336.9124609647499</v>
      </c>
      <c r="AC16" s="245">
        <v>-1440.83265938668</v>
      </c>
      <c r="AD16" s="245">
        <v>-1552.83072973767</v>
      </c>
    </row>
    <row r="17" spans="3:30" ht="16" thickBot="1">
      <c r="C17" s="291" t="s">
        <v>30</v>
      </c>
      <c r="D17" s="186"/>
      <c r="E17" s="454">
        <v>0.19670000000000001</v>
      </c>
      <c r="F17" s="454">
        <v>0.19670000000000001</v>
      </c>
      <c r="G17" s="454">
        <v>0.31190000000000001</v>
      </c>
      <c r="H17" s="454">
        <v>0.22689999999999999</v>
      </c>
      <c r="I17" s="454">
        <v>0.18729999999999999</v>
      </c>
      <c r="J17" s="456">
        <v>0.4</v>
      </c>
      <c r="K17" s="456">
        <v>0.4</v>
      </c>
      <c r="L17" s="456">
        <v>0.4</v>
      </c>
      <c r="M17" s="456">
        <v>0.4</v>
      </c>
      <c r="N17" s="456">
        <v>0.4</v>
      </c>
      <c r="R17" s="157"/>
      <c r="S17" s="535" t="s">
        <v>15</v>
      </c>
      <c r="T17" s="233"/>
      <c r="U17" s="246">
        <f>U13+U16</f>
        <v>4094</v>
      </c>
      <c r="V17" s="246">
        <f>V13+V16</f>
        <v>2105</v>
      </c>
      <c r="W17" s="246">
        <f>W13+W16</f>
        <v>6161</v>
      </c>
      <c r="X17" s="250">
        <f>X13+X16</f>
        <v>7722</v>
      </c>
      <c r="Y17" s="250">
        <f>Y13+Y16</f>
        <v>9640</v>
      </c>
      <c r="Z17" s="246">
        <f t="shared" ref="Z17:AC17" si="7">Z13+Z16</f>
        <v>10408.680729686186</v>
      </c>
      <c r="AA17" s="246">
        <f t="shared" si="7"/>
        <v>11386.320627885521</v>
      </c>
      <c r="AB17" s="246">
        <f t="shared" si="7"/>
        <v>12453.056168473577</v>
      </c>
      <c r="AC17" s="246">
        <f t="shared" si="7"/>
        <v>13616.831344861152</v>
      </c>
      <c r="AD17" s="246">
        <f>AD13+AD16</f>
        <v>14886.286815036263</v>
      </c>
    </row>
    <row r="18" spans="3:30" ht="16" thickBot="1">
      <c r="C18" s="291"/>
      <c r="D18" s="186"/>
      <c r="E18" s="172"/>
      <c r="F18" s="172"/>
      <c r="G18" s="172"/>
      <c r="H18" s="172"/>
      <c r="I18" s="172"/>
      <c r="J18" s="161"/>
      <c r="K18" s="161"/>
      <c r="L18" s="161"/>
      <c r="M18" s="161"/>
      <c r="N18" s="537"/>
      <c r="R18" s="157"/>
      <c r="S18" s="539" t="s">
        <v>13</v>
      </c>
      <c r="T18" s="540"/>
      <c r="U18" s="247">
        <f t="shared" ref="U18:AD18" si="8">U17/U9</f>
        <v>0.32741522712731924</v>
      </c>
      <c r="V18" s="247">
        <f t="shared" si="8"/>
        <v>0.15541937389249852</v>
      </c>
      <c r="W18" s="247">
        <f t="shared" si="8"/>
        <v>0.22505113968439508</v>
      </c>
      <c r="X18" s="248">
        <f t="shared" si="8"/>
        <v>0.26305569749616758</v>
      </c>
      <c r="Y18" s="248">
        <f t="shared" si="8"/>
        <v>0.33213891951488422</v>
      </c>
      <c r="Z18" s="247">
        <f t="shared" si="8"/>
        <v>0.33275749724366055</v>
      </c>
      <c r="AA18" s="247">
        <f t="shared" si="8"/>
        <v>0.3377574972436605</v>
      </c>
      <c r="AB18" s="247">
        <f t="shared" si="8"/>
        <v>0.3427574972436605</v>
      </c>
      <c r="AC18" s="247">
        <f t="shared" si="8"/>
        <v>0.3477574972436604</v>
      </c>
      <c r="AD18" s="247">
        <f t="shared" si="8"/>
        <v>0.35275749724366062</v>
      </c>
    </row>
    <row r="19" spans="3:30" ht="16" thickBot="1">
      <c r="C19" s="535" t="s">
        <v>122</v>
      </c>
      <c r="D19" s="233"/>
      <c r="E19" s="158"/>
      <c r="F19" s="158"/>
      <c r="G19" s="158"/>
      <c r="H19" s="158"/>
      <c r="I19" s="158"/>
      <c r="J19" s="161"/>
      <c r="K19" s="161"/>
      <c r="L19" s="161"/>
      <c r="M19" s="161"/>
      <c r="N19" s="537"/>
      <c r="R19" s="170"/>
      <c r="S19" s="170"/>
      <c r="T19" s="170"/>
      <c r="U19" s="171"/>
      <c r="V19" s="171"/>
      <c r="W19" s="171"/>
      <c r="X19" s="171"/>
      <c r="Y19" s="171"/>
      <c r="Z19" s="171"/>
      <c r="AA19" s="171"/>
      <c r="AB19" s="171"/>
      <c r="AC19" s="171"/>
      <c r="AD19" s="171"/>
    </row>
    <row r="20" spans="3:30" ht="16" thickBot="1">
      <c r="C20" s="291" t="s">
        <v>123</v>
      </c>
      <c r="D20" s="233"/>
      <c r="E20" s="454">
        <v>0.30862390204950757</v>
      </c>
      <c r="F20" s="454">
        <v>0.33093823407489292</v>
      </c>
      <c r="G20" s="454">
        <v>0.23744292237442921</v>
      </c>
      <c r="H20" s="454">
        <v>0.14322978420678206</v>
      </c>
      <c r="I20" s="454">
        <v>0.13501987712323815</v>
      </c>
      <c r="J20" s="456">
        <f>AVERAGE($F$20:$I$20)</f>
        <v>0.21165770444483559</v>
      </c>
      <c r="K20" s="456">
        <f>AVERAGE($F$20:$I$20)</f>
        <v>0.21165770444483559</v>
      </c>
      <c r="L20" s="456">
        <f>AVERAGE($F$20:$I$20)</f>
        <v>0.21165770444483559</v>
      </c>
      <c r="M20" s="456">
        <f>AVERAGE($F$20:$I$20)</f>
        <v>0.21165770444483559</v>
      </c>
      <c r="N20" s="456">
        <f>AVERAGE($F$20:$I$20)</f>
        <v>0.21165770444483559</v>
      </c>
      <c r="R20" s="170"/>
      <c r="S20" s="170"/>
      <c r="T20" s="170"/>
      <c r="U20" s="171"/>
      <c r="V20" s="171"/>
      <c r="W20" s="171"/>
      <c r="X20" s="171"/>
      <c r="Y20" s="171"/>
      <c r="Z20" s="171"/>
      <c r="AA20" s="171"/>
      <c r="AB20" s="171"/>
      <c r="AC20" s="171"/>
      <c r="AD20" s="171"/>
    </row>
    <row r="21" spans="3:30">
      <c r="C21" s="291"/>
      <c r="D21" s="233"/>
      <c r="E21" s="169"/>
      <c r="F21" s="169"/>
      <c r="G21" s="169"/>
      <c r="H21" s="169"/>
      <c r="I21" s="169"/>
      <c r="J21" s="160"/>
      <c r="K21" s="160"/>
      <c r="L21" s="160"/>
      <c r="M21" s="160"/>
      <c r="N21" s="538"/>
      <c r="S21" s="173" t="s">
        <v>394</v>
      </c>
      <c r="U21" s="163"/>
      <c r="V21" s="163"/>
      <c r="W21" s="163"/>
      <c r="X21" s="163"/>
      <c r="Y21" s="163"/>
    </row>
    <row r="22" spans="3:30" ht="16" thickBot="1">
      <c r="C22" s="535" t="s">
        <v>19</v>
      </c>
      <c r="D22" s="233"/>
      <c r="E22" s="169"/>
      <c r="F22" s="169"/>
      <c r="G22" s="169"/>
      <c r="H22" s="169"/>
      <c r="I22" s="169"/>
      <c r="J22" s="160"/>
      <c r="K22" s="160"/>
      <c r="L22" s="160"/>
      <c r="M22" s="160"/>
      <c r="N22" s="538"/>
    </row>
    <row r="23" spans="3:30" ht="16" thickBot="1">
      <c r="C23" s="291" t="s">
        <v>136</v>
      </c>
      <c r="D23" s="186"/>
      <c r="E23" s="453">
        <v>6.4812350279478306E-2</v>
      </c>
      <c r="F23" s="453">
        <v>7.1576620146469538E-2</v>
      </c>
      <c r="G23" s="453">
        <v>6.9710806697108066E-2</v>
      </c>
      <c r="H23" s="453">
        <v>5.0035570310647377E-2</v>
      </c>
      <c r="I23" s="453">
        <v>4.416335381279364E-2</v>
      </c>
      <c r="J23" s="456">
        <f>AVERAGE($E$23:$I$23)</f>
        <v>6.0059740249299373E-2</v>
      </c>
      <c r="K23" s="456">
        <f t="shared" ref="K23:N23" si="9">AVERAGE($E$23:$I$23)</f>
        <v>6.0059740249299373E-2</v>
      </c>
      <c r="L23" s="456">
        <f t="shared" si="9"/>
        <v>6.0059740249299373E-2</v>
      </c>
      <c r="M23" s="456">
        <f t="shared" si="9"/>
        <v>6.0059740249299373E-2</v>
      </c>
      <c r="N23" s="456">
        <f t="shared" si="9"/>
        <v>6.0059740249299373E-2</v>
      </c>
    </row>
    <row r="24" spans="3:30" ht="16" thickBot="1">
      <c r="C24" s="281" t="s">
        <v>137</v>
      </c>
      <c r="D24" s="282"/>
      <c r="E24" s="454">
        <v>8.5706680862390208E-2</v>
      </c>
      <c r="F24" s="454">
        <v>0.11869559209617245</v>
      </c>
      <c r="G24" s="454">
        <v>0.1021613394216134</v>
      </c>
      <c r="H24" s="454">
        <v>6.1180934313493002E-2</v>
      </c>
      <c r="I24" s="454">
        <v>7.3726057101554027E-2</v>
      </c>
      <c r="J24" s="456">
        <f>AVERAGE($F$24:$I$24)</f>
        <v>8.8940980733208219E-2</v>
      </c>
      <c r="K24" s="456">
        <f>AVERAGE($F$24:$I$24)</f>
        <v>8.8940980733208219E-2</v>
      </c>
      <c r="L24" s="456">
        <f>AVERAGE($F$24:$I$24)</f>
        <v>8.8940980733208219E-2</v>
      </c>
      <c r="M24" s="456">
        <f>AVERAGE($F$24:$I$24)</f>
        <v>8.8940980733208219E-2</v>
      </c>
      <c r="N24" s="456">
        <f>AVERAGE($F$24:$I$24)</f>
        <v>8.8940980733208219E-2</v>
      </c>
      <c r="U24" s="195"/>
    </row>
  </sheetData>
  <phoneticPr fontId="14"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0A7B-AF91-434F-A441-99A0570084F5}">
  <sheetPr>
    <tabColor theme="2" tint="-0.249977111117893"/>
  </sheetPr>
  <dimension ref="B2:W79"/>
  <sheetViews>
    <sheetView zoomScale="70" zoomScaleNormal="70" workbookViewId="0">
      <selection activeCell="A17" sqref="A17"/>
    </sheetView>
  </sheetViews>
  <sheetFormatPr baseColWidth="10" defaultColWidth="9.1640625" defaultRowHeight="15"/>
  <cols>
    <col min="1" max="1" width="28.83203125" style="12" customWidth="1"/>
    <col min="2" max="2" width="44.83203125" style="12" bestFit="1" customWidth="1"/>
    <col min="3" max="16384" width="9.1640625" style="12"/>
  </cols>
  <sheetData>
    <row r="2" spans="2:23">
      <c r="B2" s="54"/>
      <c r="C2" s="54"/>
      <c r="D2" s="54"/>
      <c r="E2" s="54"/>
      <c r="F2" s="54"/>
      <c r="G2" s="54"/>
      <c r="H2" s="54"/>
      <c r="I2" s="54"/>
      <c r="J2" s="54"/>
      <c r="K2" s="54"/>
      <c r="L2" s="54"/>
      <c r="M2" s="54"/>
      <c r="N2" s="54"/>
      <c r="O2" s="54"/>
      <c r="P2" s="54"/>
      <c r="Q2" s="54"/>
      <c r="R2" s="54"/>
      <c r="S2" s="54"/>
      <c r="T2" s="54"/>
      <c r="U2" s="54"/>
      <c r="V2" s="54"/>
      <c r="W2" s="54"/>
    </row>
    <row r="3" spans="2:23" ht="20">
      <c r="B3" s="55" t="s">
        <v>231</v>
      </c>
      <c r="C3" s="55"/>
      <c r="D3" s="55"/>
      <c r="E3" s="55"/>
      <c r="F3" s="55"/>
      <c r="G3" s="55"/>
      <c r="H3" s="55"/>
      <c r="I3" s="55"/>
      <c r="J3" s="55"/>
      <c r="K3" s="55"/>
      <c r="L3" s="55"/>
      <c r="M3" s="55"/>
      <c r="N3" s="55"/>
      <c r="O3" s="55"/>
      <c r="P3" s="55"/>
      <c r="Q3" s="55"/>
      <c r="R3" s="55"/>
      <c r="S3" s="55"/>
      <c r="T3" s="55"/>
      <c r="U3" s="55"/>
      <c r="V3" s="55"/>
      <c r="W3" s="55"/>
    </row>
    <row r="4" spans="2:23">
      <c r="B4" s="56"/>
      <c r="C4" s="56"/>
      <c r="D4" s="56"/>
      <c r="E4" s="56"/>
      <c r="F4" s="56"/>
      <c r="G4" s="56"/>
      <c r="H4" s="56"/>
      <c r="I4" s="56"/>
      <c r="J4" s="56"/>
      <c r="K4" s="56"/>
      <c r="L4" s="56"/>
      <c r="M4" s="56"/>
      <c r="N4" s="56"/>
      <c r="O4" s="56"/>
      <c r="P4" s="56"/>
      <c r="Q4" s="56"/>
      <c r="R4" s="56"/>
      <c r="S4" s="56"/>
      <c r="T4" s="56"/>
      <c r="U4" s="56"/>
      <c r="V4" s="56"/>
      <c r="W4" s="56"/>
    </row>
    <row r="5" spans="2:23">
      <c r="B5" s="57" t="s">
        <v>232</v>
      </c>
      <c r="C5" s="58" t="s">
        <v>233</v>
      </c>
      <c r="D5" s="58" t="s">
        <v>234</v>
      </c>
      <c r="E5" s="58" t="s">
        <v>235</v>
      </c>
      <c r="F5" s="58" t="s">
        <v>236</v>
      </c>
      <c r="G5" s="58" t="s">
        <v>237</v>
      </c>
      <c r="H5" s="58" t="s">
        <v>238</v>
      </c>
      <c r="I5" s="58" t="s">
        <v>239</v>
      </c>
      <c r="J5" s="58" t="s">
        <v>240</v>
      </c>
      <c r="K5" s="58" t="s">
        <v>241</v>
      </c>
      <c r="L5" s="58" t="s">
        <v>242</v>
      </c>
      <c r="M5" s="58" t="s">
        <v>243</v>
      </c>
      <c r="N5" s="58" t="s">
        <v>244</v>
      </c>
      <c r="O5" s="58" t="s">
        <v>245</v>
      </c>
      <c r="P5" s="58" t="s">
        <v>246</v>
      </c>
      <c r="Q5" s="58" t="s">
        <v>247</v>
      </c>
      <c r="R5" s="58" t="s">
        <v>248</v>
      </c>
      <c r="S5" s="58" t="s">
        <v>249</v>
      </c>
      <c r="T5" s="58" t="s">
        <v>250</v>
      </c>
      <c r="U5" s="58" t="s">
        <v>251</v>
      </c>
      <c r="V5" s="58" t="s">
        <v>252</v>
      </c>
      <c r="W5" s="58" t="s">
        <v>253</v>
      </c>
    </row>
    <row r="6" spans="2:23">
      <c r="B6" s="59" t="s">
        <v>254</v>
      </c>
      <c r="C6" s="60" t="s">
        <v>255</v>
      </c>
      <c r="D6" s="60" t="s">
        <v>256</v>
      </c>
      <c r="E6" s="60" t="s">
        <v>257</v>
      </c>
      <c r="F6" s="60" t="s">
        <v>258</v>
      </c>
      <c r="G6" s="60" t="s">
        <v>259</v>
      </c>
      <c r="H6" s="60" t="s">
        <v>260</v>
      </c>
      <c r="I6" s="60" t="s">
        <v>261</v>
      </c>
      <c r="J6" s="60" t="s">
        <v>262</v>
      </c>
      <c r="K6" s="60" t="s">
        <v>263</v>
      </c>
      <c r="L6" s="60" t="s">
        <v>264</v>
      </c>
      <c r="M6" s="60" t="s">
        <v>265</v>
      </c>
      <c r="N6" s="60" t="s">
        <v>266</v>
      </c>
      <c r="O6" s="60" t="s">
        <v>267</v>
      </c>
      <c r="P6" s="60" t="s">
        <v>268</v>
      </c>
      <c r="Q6" s="60" t="s">
        <v>269</v>
      </c>
      <c r="R6" s="60" t="s">
        <v>270</v>
      </c>
      <c r="S6" s="60" t="s">
        <v>271</v>
      </c>
      <c r="T6" s="60" t="s">
        <v>272</v>
      </c>
      <c r="U6" s="60" t="s">
        <v>273</v>
      </c>
      <c r="V6" s="60" t="s">
        <v>274</v>
      </c>
      <c r="W6" s="60" t="s">
        <v>275</v>
      </c>
    </row>
    <row r="7" spans="2:23">
      <c r="B7" s="53" t="s">
        <v>223</v>
      </c>
      <c r="C7" s="61">
        <v>12504</v>
      </c>
      <c r="D7" s="61">
        <v>13544</v>
      </c>
      <c r="E7" s="61">
        <v>27376</v>
      </c>
      <c r="F7" s="61">
        <v>29355</v>
      </c>
      <c r="G7" s="61">
        <v>29024</v>
      </c>
      <c r="H7" s="61">
        <v>32373</v>
      </c>
      <c r="I7" s="61">
        <v>45188</v>
      </c>
      <c r="J7" s="61">
        <v>52516</v>
      </c>
      <c r="K7" s="61">
        <v>47405</v>
      </c>
      <c r="L7" s="61">
        <v>48371</v>
      </c>
      <c r="M7" s="61">
        <v>48418</v>
      </c>
      <c r="N7" s="61">
        <v>48296</v>
      </c>
      <c r="O7" s="61">
        <v>49934</v>
      </c>
      <c r="P7" s="61">
        <v>67039</v>
      </c>
      <c r="Q7" s="61">
        <v>65259</v>
      </c>
      <c r="R7" s="61">
        <v>54657</v>
      </c>
      <c r="S7" s="61">
        <v>51452</v>
      </c>
      <c r="T7" s="61">
        <v>49605</v>
      </c>
      <c r="U7" s="61">
        <v>48851</v>
      </c>
      <c r="V7" s="61">
        <v>52824</v>
      </c>
      <c r="W7" s="61">
        <v>52546</v>
      </c>
    </row>
    <row r="8" spans="2:23">
      <c r="B8" s="62" t="s">
        <v>276</v>
      </c>
      <c r="C8" s="63" t="s">
        <v>277</v>
      </c>
      <c r="D8" s="63" t="s">
        <v>277</v>
      </c>
      <c r="E8" s="63" t="s">
        <v>277</v>
      </c>
      <c r="F8" s="63" t="s">
        <v>277</v>
      </c>
      <c r="G8" s="63" t="s">
        <v>277</v>
      </c>
      <c r="H8" s="63" t="s">
        <v>277</v>
      </c>
      <c r="I8" s="63" t="s">
        <v>277</v>
      </c>
      <c r="J8" s="63" t="s">
        <v>277</v>
      </c>
      <c r="K8" s="63" t="s">
        <v>277</v>
      </c>
      <c r="L8" s="63" t="s">
        <v>277</v>
      </c>
      <c r="M8" s="63" t="s">
        <v>277</v>
      </c>
      <c r="N8" s="63" t="s">
        <v>277</v>
      </c>
      <c r="O8" s="63">
        <v>49934</v>
      </c>
      <c r="P8" s="63">
        <v>67039</v>
      </c>
      <c r="Q8" s="63">
        <v>65259</v>
      </c>
      <c r="R8" s="63">
        <v>54657</v>
      </c>
      <c r="S8" s="63">
        <v>51452</v>
      </c>
      <c r="T8" s="63">
        <v>49605</v>
      </c>
      <c r="U8" s="63">
        <v>48851</v>
      </c>
      <c r="V8" s="63">
        <v>52824</v>
      </c>
      <c r="W8" s="63">
        <v>52546</v>
      </c>
    </row>
    <row r="9" spans="2:23">
      <c r="B9" s="62" t="s">
        <v>278</v>
      </c>
      <c r="C9" s="63">
        <v>1776</v>
      </c>
      <c r="D9" s="63">
        <v>2094</v>
      </c>
      <c r="E9" s="63">
        <v>5464</v>
      </c>
      <c r="F9" s="63">
        <v>5007</v>
      </c>
      <c r="G9" s="63">
        <v>3823</v>
      </c>
      <c r="H9" s="63">
        <v>4045</v>
      </c>
      <c r="I9" s="63">
        <v>6932</v>
      </c>
      <c r="J9" s="63">
        <v>7541</v>
      </c>
      <c r="K9" s="63">
        <v>7232</v>
      </c>
      <c r="L9" s="63">
        <v>7640</v>
      </c>
      <c r="M9" s="63">
        <v>7745</v>
      </c>
      <c r="N9" s="63">
        <v>7040</v>
      </c>
      <c r="O9" s="63">
        <v>8649</v>
      </c>
      <c r="P9" s="63">
        <v>15083</v>
      </c>
      <c r="Q9" s="63">
        <v>13264</v>
      </c>
      <c r="R9" s="63">
        <v>9493</v>
      </c>
      <c r="S9" s="63">
        <v>9250</v>
      </c>
      <c r="T9" s="63">
        <v>9139</v>
      </c>
      <c r="U9" s="63">
        <v>9433</v>
      </c>
      <c r="V9" s="63">
        <v>11630</v>
      </c>
      <c r="W9" s="63">
        <v>11154</v>
      </c>
    </row>
    <row r="10" spans="2:23">
      <c r="B10" s="62" t="s">
        <v>279</v>
      </c>
      <c r="C10" s="63" t="s">
        <v>277</v>
      </c>
      <c r="D10" s="63" t="s">
        <v>277</v>
      </c>
      <c r="E10" s="63" t="s">
        <v>277</v>
      </c>
      <c r="F10" s="63" t="s">
        <v>277</v>
      </c>
      <c r="G10" s="63" t="s">
        <v>277</v>
      </c>
      <c r="H10" s="63" t="s">
        <v>277</v>
      </c>
      <c r="I10" s="63" t="s">
        <v>277</v>
      </c>
      <c r="J10" s="63" t="s">
        <v>277</v>
      </c>
      <c r="K10" s="63" t="s">
        <v>277</v>
      </c>
      <c r="L10" s="63" t="s">
        <v>277</v>
      </c>
      <c r="M10" s="63" t="s">
        <v>277</v>
      </c>
      <c r="N10" s="63" t="s">
        <v>277</v>
      </c>
      <c r="O10" s="63">
        <v>8649</v>
      </c>
      <c r="P10" s="63">
        <v>15083</v>
      </c>
      <c r="Q10" s="63">
        <v>13264</v>
      </c>
      <c r="R10" s="63">
        <v>9493</v>
      </c>
      <c r="S10" s="63">
        <v>9250</v>
      </c>
      <c r="T10" s="63">
        <v>9139</v>
      </c>
      <c r="U10" s="63">
        <v>9433</v>
      </c>
      <c r="V10" s="63">
        <v>11630</v>
      </c>
      <c r="W10" s="63">
        <v>11154</v>
      </c>
    </row>
    <row r="11" spans="2:23">
      <c r="B11" s="53" t="s">
        <v>280</v>
      </c>
      <c r="C11" s="61">
        <v>10728</v>
      </c>
      <c r="D11" s="61">
        <v>11450</v>
      </c>
      <c r="E11" s="61">
        <v>21912</v>
      </c>
      <c r="F11" s="61">
        <v>24348</v>
      </c>
      <c r="G11" s="61">
        <v>25201</v>
      </c>
      <c r="H11" s="61">
        <v>28328</v>
      </c>
      <c r="I11" s="61">
        <v>38256</v>
      </c>
      <c r="J11" s="61">
        <v>44975</v>
      </c>
      <c r="K11" s="61">
        <v>40173</v>
      </c>
      <c r="L11" s="61">
        <v>40731</v>
      </c>
      <c r="M11" s="61">
        <v>40673</v>
      </c>
      <c r="N11" s="61">
        <v>41256</v>
      </c>
      <c r="O11" s="61">
        <v>41285</v>
      </c>
      <c r="P11" s="61">
        <v>51956</v>
      </c>
      <c r="Q11" s="61">
        <v>51995</v>
      </c>
      <c r="R11" s="61">
        <v>45164</v>
      </c>
      <c r="S11" s="61">
        <v>42202</v>
      </c>
      <c r="T11" s="61">
        <v>40466</v>
      </c>
      <c r="U11" s="61">
        <v>39418</v>
      </c>
      <c r="V11" s="61">
        <v>41194</v>
      </c>
      <c r="W11" s="61">
        <v>41392</v>
      </c>
    </row>
    <row r="12" spans="2:23">
      <c r="B12" s="62" t="s">
        <v>281</v>
      </c>
      <c r="C12" s="63" t="s">
        <v>277</v>
      </c>
      <c r="D12" s="63" t="s">
        <v>277</v>
      </c>
      <c r="E12" s="63" t="s">
        <v>277</v>
      </c>
      <c r="F12" s="63" t="s">
        <v>277</v>
      </c>
      <c r="G12" s="63" t="s">
        <v>277</v>
      </c>
      <c r="H12" s="63" t="s">
        <v>277</v>
      </c>
      <c r="I12" s="63" t="s">
        <v>277</v>
      </c>
      <c r="J12" s="63" t="s">
        <v>277</v>
      </c>
      <c r="K12" s="63" t="s">
        <v>277</v>
      </c>
      <c r="L12" s="63" t="s">
        <v>277</v>
      </c>
      <c r="M12" s="63" t="s">
        <v>277</v>
      </c>
      <c r="N12" s="63">
        <v>0</v>
      </c>
      <c r="O12" s="63">
        <v>0</v>
      </c>
      <c r="P12" s="63">
        <v>0</v>
      </c>
      <c r="Q12" s="63">
        <v>0</v>
      </c>
      <c r="R12" s="63">
        <v>0</v>
      </c>
      <c r="S12" s="63">
        <v>0</v>
      </c>
      <c r="T12" s="63">
        <v>0</v>
      </c>
      <c r="U12" s="63">
        <v>0</v>
      </c>
      <c r="V12" s="63">
        <v>0</v>
      </c>
      <c r="W12" s="63">
        <v>0</v>
      </c>
    </row>
    <row r="13" spans="2:23">
      <c r="B13" s="62" t="s">
        <v>282</v>
      </c>
      <c r="C13" s="63">
        <v>6206</v>
      </c>
      <c r="D13" s="63">
        <v>8856</v>
      </c>
      <c r="E13" s="63">
        <v>14846</v>
      </c>
      <c r="F13" s="63">
        <v>15658</v>
      </c>
      <c r="G13" s="63">
        <v>14493</v>
      </c>
      <c r="H13" s="63">
        <v>16012</v>
      </c>
      <c r="I13" s="63">
        <v>22166</v>
      </c>
      <c r="J13" s="63">
        <v>27887</v>
      </c>
      <c r="K13" s="63">
        <v>25968</v>
      </c>
      <c r="L13" s="63">
        <v>26449</v>
      </c>
      <c r="M13" s="63">
        <v>25893</v>
      </c>
      <c r="N13" s="63">
        <v>24200</v>
      </c>
      <c r="O13" s="63">
        <v>25270</v>
      </c>
      <c r="P13" s="63">
        <v>34045</v>
      </c>
      <c r="Q13" s="63">
        <v>32673</v>
      </c>
      <c r="R13" s="63">
        <v>27082</v>
      </c>
      <c r="S13" s="63">
        <v>25314</v>
      </c>
      <c r="T13" s="63">
        <v>25001</v>
      </c>
      <c r="U13" s="63">
        <v>24009</v>
      </c>
      <c r="V13" s="63">
        <v>22703</v>
      </c>
      <c r="W13" s="63">
        <v>25476</v>
      </c>
    </row>
    <row r="14" spans="2:23">
      <c r="B14" s="62" t="s">
        <v>283</v>
      </c>
      <c r="C14" s="63" t="s">
        <v>277</v>
      </c>
      <c r="D14" s="63">
        <v>5568</v>
      </c>
      <c r="E14" s="63">
        <v>10810</v>
      </c>
      <c r="F14" s="63">
        <v>11223</v>
      </c>
      <c r="G14" s="63" t="s">
        <v>277</v>
      </c>
      <c r="H14" s="63" t="s">
        <v>277</v>
      </c>
      <c r="I14" s="63" t="s">
        <v>277</v>
      </c>
      <c r="J14" s="63">
        <v>16903</v>
      </c>
      <c r="K14" s="63">
        <v>15313</v>
      </c>
      <c r="L14" s="63">
        <v>15589</v>
      </c>
      <c r="M14" s="63">
        <v>15626</v>
      </c>
      <c r="N14" s="63">
        <v>14537</v>
      </c>
      <c r="O14" s="63">
        <v>14637</v>
      </c>
      <c r="P14" s="63">
        <v>19302</v>
      </c>
      <c r="Q14" s="63">
        <v>18733</v>
      </c>
      <c r="R14" s="63">
        <v>15018</v>
      </c>
      <c r="S14" s="63">
        <v>14164</v>
      </c>
      <c r="T14" s="63">
        <v>13720</v>
      </c>
      <c r="U14" s="63">
        <v>14325</v>
      </c>
      <c r="V14" s="63">
        <v>14745</v>
      </c>
      <c r="W14" s="63">
        <v>14768</v>
      </c>
    </row>
    <row r="15" spans="2:23">
      <c r="B15" s="62" t="s">
        <v>284</v>
      </c>
      <c r="C15" s="63">
        <v>1805</v>
      </c>
      <c r="D15" s="63">
        <v>2279</v>
      </c>
      <c r="E15" s="63">
        <v>2776</v>
      </c>
      <c r="F15" s="63">
        <v>4435</v>
      </c>
      <c r="G15" s="63">
        <v>4847</v>
      </c>
      <c r="H15" s="63">
        <v>5176</v>
      </c>
      <c r="I15" s="63">
        <v>7131</v>
      </c>
      <c r="J15" s="63">
        <v>7684</v>
      </c>
      <c r="K15" s="63">
        <v>7256</v>
      </c>
      <c r="L15" s="63">
        <v>7599</v>
      </c>
      <c r="M15" s="63" t="s">
        <v>277</v>
      </c>
      <c r="N15" s="63" t="s">
        <v>277</v>
      </c>
      <c r="O15" s="63">
        <v>7776</v>
      </c>
      <c r="P15" s="63">
        <v>9340</v>
      </c>
      <c r="Q15" s="63">
        <v>8396</v>
      </c>
      <c r="R15" s="63">
        <v>6955</v>
      </c>
      <c r="S15" s="63">
        <v>6551</v>
      </c>
      <c r="T15" s="63">
        <v>7150</v>
      </c>
      <c r="U15" s="63">
        <v>7646</v>
      </c>
      <c r="V15" s="63">
        <v>7841</v>
      </c>
      <c r="W15" s="63">
        <v>7596</v>
      </c>
    </row>
    <row r="16" spans="2:23">
      <c r="B16" s="62" t="s">
        <v>285</v>
      </c>
      <c r="C16" s="63" t="s">
        <v>277</v>
      </c>
      <c r="D16" s="63" t="s">
        <v>277</v>
      </c>
      <c r="E16" s="63" t="s">
        <v>277</v>
      </c>
      <c r="F16" s="63" t="s">
        <v>277</v>
      </c>
      <c r="G16" s="63" t="s">
        <v>277</v>
      </c>
      <c r="H16" s="63" t="s">
        <v>277</v>
      </c>
      <c r="I16" s="63" t="s">
        <v>277</v>
      </c>
      <c r="J16" s="63" t="s">
        <v>277</v>
      </c>
      <c r="K16" s="63" t="s">
        <v>277</v>
      </c>
      <c r="L16" s="63" t="s">
        <v>277</v>
      </c>
      <c r="M16" s="63" t="s">
        <v>277</v>
      </c>
      <c r="N16" s="63" t="s">
        <v>277</v>
      </c>
      <c r="O16" s="63">
        <v>2857</v>
      </c>
      <c r="P16" s="63">
        <v>5403</v>
      </c>
      <c r="Q16" s="63">
        <v>5544</v>
      </c>
      <c r="R16" s="63">
        <v>5109</v>
      </c>
      <c r="S16" s="63">
        <v>4599</v>
      </c>
      <c r="T16" s="63">
        <v>4131</v>
      </c>
      <c r="U16" s="63">
        <v>2038</v>
      </c>
      <c r="V16" s="63">
        <v>117</v>
      </c>
      <c r="W16" s="63">
        <v>3112</v>
      </c>
    </row>
    <row r="17" spans="2:23">
      <c r="B17" s="53" t="s">
        <v>286</v>
      </c>
      <c r="C17" s="61">
        <v>3073</v>
      </c>
      <c r="D17" s="61">
        <v>2594</v>
      </c>
      <c r="E17" s="61">
        <v>7066</v>
      </c>
      <c r="F17" s="61">
        <v>8690</v>
      </c>
      <c r="G17" s="61">
        <v>10708</v>
      </c>
      <c r="H17" s="61">
        <v>12316</v>
      </c>
      <c r="I17" s="61">
        <v>16090</v>
      </c>
      <c r="J17" s="61">
        <v>17088</v>
      </c>
      <c r="K17" s="61">
        <v>14205</v>
      </c>
      <c r="L17" s="61">
        <v>14282</v>
      </c>
      <c r="M17" s="61">
        <v>14780</v>
      </c>
      <c r="N17" s="61">
        <v>17056</v>
      </c>
      <c r="O17" s="61">
        <v>16015</v>
      </c>
      <c r="P17" s="61">
        <v>17911</v>
      </c>
      <c r="Q17" s="61">
        <v>19322</v>
      </c>
      <c r="R17" s="61">
        <v>18082</v>
      </c>
      <c r="S17" s="61">
        <v>16888</v>
      </c>
      <c r="T17" s="61">
        <v>15465</v>
      </c>
      <c r="U17" s="61">
        <v>15409</v>
      </c>
      <c r="V17" s="61">
        <v>18491</v>
      </c>
      <c r="W17" s="61">
        <v>15916</v>
      </c>
    </row>
    <row r="18" spans="2:23">
      <c r="B18" s="62" t="s">
        <v>287</v>
      </c>
      <c r="C18" s="63" t="s">
        <v>277</v>
      </c>
      <c r="D18" s="63" t="s">
        <v>277</v>
      </c>
      <c r="E18" s="63" t="s">
        <v>277</v>
      </c>
      <c r="F18" s="63" t="s">
        <v>277</v>
      </c>
      <c r="G18" s="63" t="s">
        <v>277</v>
      </c>
      <c r="H18" s="63" t="s">
        <v>277</v>
      </c>
      <c r="I18" s="63" t="s">
        <v>277</v>
      </c>
      <c r="J18" s="63" t="s">
        <v>277</v>
      </c>
      <c r="K18" s="63" t="s">
        <v>277</v>
      </c>
      <c r="L18" s="63" t="s">
        <v>277</v>
      </c>
      <c r="M18" s="63" t="s">
        <v>277</v>
      </c>
      <c r="N18" s="63" t="s">
        <v>277</v>
      </c>
      <c r="O18" s="63">
        <v>-771</v>
      </c>
      <c r="P18" s="63">
        <v>551</v>
      </c>
      <c r="Q18" s="63">
        <v>692</v>
      </c>
      <c r="R18" s="63">
        <v>855</v>
      </c>
      <c r="S18" s="63">
        <v>66</v>
      </c>
      <c r="T18" s="63">
        <v>-393</v>
      </c>
      <c r="U18" s="63">
        <v>1075</v>
      </c>
      <c r="V18" s="63">
        <v>1351</v>
      </c>
      <c r="W18" s="63">
        <v>316</v>
      </c>
    </row>
    <row r="19" spans="2:23">
      <c r="B19" s="62" t="s">
        <v>288</v>
      </c>
      <c r="C19" s="63" t="s">
        <v>277</v>
      </c>
      <c r="D19" s="63">
        <v>-42</v>
      </c>
      <c r="E19" s="63">
        <v>-64</v>
      </c>
      <c r="F19" s="63">
        <v>-126</v>
      </c>
      <c r="G19" s="63">
        <v>-273</v>
      </c>
      <c r="H19" s="63">
        <v>-131</v>
      </c>
      <c r="I19" s="63">
        <v>-76</v>
      </c>
      <c r="J19" s="63">
        <v>1</v>
      </c>
      <c r="K19" s="63">
        <v>-269</v>
      </c>
      <c r="L19" s="63">
        <v>-408</v>
      </c>
      <c r="M19" s="63">
        <v>-1099</v>
      </c>
      <c r="N19" s="63">
        <v>-726</v>
      </c>
      <c r="O19" s="63">
        <v>487</v>
      </c>
      <c r="P19" s="63">
        <v>1395</v>
      </c>
      <c r="Q19" s="63">
        <v>1225</v>
      </c>
      <c r="R19" s="63">
        <v>1140</v>
      </c>
      <c r="S19" s="63">
        <v>1011</v>
      </c>
      <c r="T19" s="63">
        <v>935</v>
      </c>
      <c r="U19" s="63">
        <v>728</v>
      </c>
      <c r="V19" s="63">
        <v>716</v>
      </c>
      <c r="W19" s="63">
        <v>879</v>
      </c>
    </row>
    <row r="20" spans="2:23">
      <c r="B20" s="64" t="s">
        <v>289</v>
      </c>
      <c r="C20" s="65">
        <v>147</v>
      </c>
      <c r="D20" s="65">
        <v>143</v>
      </c>
      <c r="E20" s="65">
        <v>363</v>
      </c>
      <c r="F20" s="65">
        <v>432</v>
      </c>
      <c r="G20" s="65">
        <v>266</v>
      </c>
      <c r="H20" s="65">
        <v>251</v>
      </c>
      <c r="I20" s="65">
        <v>270</v>
      </c>
      <c r="J20" s="65">
        <v>347</v>
      </c>
      <c r="K20" s="65">
        <v>471</v>
      </c>
      <c r="L20" s="65">
        <v>517</v>
      </c>
      <c r="M20" s="65">
        <v>397</v>
      </c>
      <c r="N20" s="65">
        <v>562</v>
      </c>
      <c r="O20" s="65">
        <v>1233</v>
      </c>
      <c r="P20" s="65">
        <v>1797</v>
      </c>
      <c r="Q20" s="65">
        <v>1681</v>
      </c>
      <c r="R20" s="65">
        <v>1522</v>
      </c>
      <c r="S20" s="65">
        <v>1414</v>
      </c>
      <c r="T20" s="65">
        <v>1360</v>
      </c>
      <c r="U20" s="65">
        <v>1199</v>
      </c>
      <c r="V20" s="65">
        <v>1186</v>
      </c>
      <c r="W20" s="65">
        <v>1270</v>
      </c>
    </row>
    <row r="21" spans="2:23">
      <c r="B21" s="64" t="s">
        <v>290</v>
      </c>
      <c r="C21" s="65" t="s">
        <v>277</v>
      </c>
      <c r="D21" s="65">
        <v>185</v>
      </c>
      <c r="E21" s="65">
        <v>427</v>
      </c>
      <c r="F21" s="65">
        <v>558</v>
      </c>
      <c r="G21" s="65">
        <v>539</v>
      </c>
      <c r="H21" s="65">
        <v>382</v>
      </c>
      <c r="I21" s="65">
        <v>346</v>
      </c>
      <c r="J21" s="65">
        <v>346</v>
      </c>
      <c r="K21" s="65">
        <v>740</v>
      </c>
      <c r="L21" s="65">
        <v>925</v>
      </c>
      <c r="M21" s="65">
        <v>1496</v>
      </c>
      <c r="N21" s="65">
        <v>1288</v>
      </c>
      <c r="O21" s="65">
        <v>746</v>
      </c>
      <c r="P21" s="65">
        <v>402</v>
      </c>
      <c r="Q21" s="65">
        <v>456</v>
      </c>
      <c r="R21" s="65">
        <v>382</v>
      </c>
      <c r="S21" s="65">
        <v>403</v>
      </c>
      <c r="T21" s="65">
        <v>425</v>
      </c>
      <c r="U21" s="65">
        <v>471</v>
      </c>
      <c r="V21" s="65">
        <v>470</v>
      </c>
      <c r="W21" s="65">
        <v>391</v>
      </c>
    </row>
    <row r="22" spans="2:23">
      <c r="B22" s="62" t="s">
        <v>291</v>
      </c>
      <c r="C22" s="63">
        <v>26</v>
      </c>
      <c r="D22" s="63" t="s">
        <v>277</v>
      </c>
      <c r="E22" s="63">
        <v>11</v>
      </c>
      <c r="F22" s="63">
        <v>59</v>
      </c>
      <c r="G22" s="63">
        <v>0</v>
      </c>
      <c r="H22" s="63">
        <v>40</v>
      </c>
      <c r="I22" s="63">
        <v>1</v>
      </c>
      <c r="J22" s="63">
        <v>81</v>
      </c>
      <c r="K22" s="63">
        <v>8</v>
      </c>
      <c r="L22" s="63" t="s">
        <v>277</v>
      </c>
      <c r="M22" s="63">
        <v>0</v>
      </c>
      <c r="N22" s="63">
        <v>0</v>
      </c>
      <c r="O22" s="63">
        <v>0</v>
      </c>
      <c r="P22" s="63">
        <v>0</v>
      </c>
      <c r="Q22" s="63">
        <v>0</v>
      </c>
      <c r="R22" s="63">
        <v>0</v>
      </c>
      <c r="S22" s="63">
        <v>0</v>
      </c>
      <c r="T22" s="63">
        <v>0</v>
      </c>
      <c r="U22" s="63">
        <v>806</v>
      </c>
      <c r="V22" s="63">
        <v>0</v>
      </c>
      <c r="W22" s="63">
        <v>0</v>
      </c>
    </row>
    <row r="23" spans="2:23">
      <c r="B23" s="62" t="s">
        <v>292</v>
      </c>
      <c r="C23" s="63" t="s">
        <v>277</v>
      </c>
      <c r="D23" s="63" t="s">
        <v>277</v>
      </c>
      <c r="E23" s="63" t="s">
        <v>277</v>
      </c>
      <c r="F23" s="63" t="s">
        <v>277</v>
      </c>
      <c r="G23" s="63" t="s">
        <v>277</v>
      </c>
      <c r="H23" s="63" t="s">
        <v>277</v>
      </c>
      <c r="I23" s="63" t="s">
        <v>277</v>
      </c>
      <c r="J23" s="63" t="s">
        <v>277</v>
      </c>
      <c r="K23" s="63" t="s">
        <v>277</v>
      </c>
      <c r="L23" s="63" t="s">
        <v>277</v>
      </c>
      <c r="M23" s="63" t="s">
        <v>277</v>
      </c>
      <c r="N23" s="63" t="s">
        <v>277</v>
      </c>
      <c r="O23" s="63">
        <v>-1258</v>
      </c>
      <c r="P23" s="63">
        <v>-844</v>
      </c>
      <c r="Q23" s="63">
        <v>-533</v>
      </c>
      <c r="R23" s="63">
        <v>-285</v>
      </c>
      <c r="S23" s="63">
        <v>-945</v>
      </c>
      <c r="T23" s="63">
        <v>-1328</v>
      </c>
      <c r="U23" s="63">
        <v>-459</v>
      </c>
      <c r="V23" s="63">
        <v>635</v>
      </c>
      <c r="W23" s="63">
        <v>-563</v>
      </c>
    </row>
    <row r="24" spans="2:23">
      <c r="B24" s="53" t="s">
        <v>293</v>
      </c>
      <c r="C24" s="61">
        <v>2867</v>
      </c>
      <c r="D24" s="61">
        <v>2594</v>
      </c>
      <c r="E24" s="61">
        <v>6945</v>
      </c>
      <c r="F24" s="61">
        <v>5781</v>
      </c>
      <c r="G24" s="61">
        <v>9984</v>
      </c>
      <c r="H24" s="61">
        <v>11796</v>
      </c>
      <c r="I24" s="61">
        <v>3263</v>
      </c>
      <c r="J24" s="61">
        <v>14007</v>
      </c>
      <c r="K24" s="61">
        <v>10800</v>
      </c>
      <c r="L24" s="61">
        <v>13028</v>
      </c>
      <c r="M24" s="61">
        <v>9278</v>
      </c>
      <c r="N24" s="61">
        <v>9694</v>
      </c>
      <c r="O24" s="61">
        <v>16786</v>
      </c>
      <c r="P24" s="61">
        <v>17360</v>
      </c>
      <c r="Q24" s="61">
        <v>18630</v>
      </c>
      <c r="R24" s="61">
        <v>17227</v>
      </c>
      <c r="S24" s="61">
        <v>16822</v>
      </c>
      <c r="T24" s="61">
        <v>15858</v>
      </c>
      <c r="U24" s="61">
        <v>14334</v>
      </c>
      <c r="V24" s="61">
        <v>17140</v>
      </c>
      <c r="W24" s="61">
        <v>15600</v>
      </c>
    </row>
    <row r="25" spans="2:23">
      <c r="B25" s="62" t="s">
        <v>294</v>
      </c>
      <c r="C25" s="63">
        <v>-10</v>
      </c>
      <c r="D25" s="63">
        <v>2156.7689999999998</v>
      </c>
      <c r="E25" s="63">
        <v>343</v>
      </c>
      <c r="F25" s="63">
        <v>3257</v>
      </c>
      <c r="G25" s="63">
        <v>853</v>
      </c>
      <c r="H25" s="63">
        <v>716</v>
      </c>
      <c r="I25" s="63">
        <v>13108</v>
      </c>
      <c r="J25" s="63">
        <v>4018</v>
      </c>
      <c r="K25" s="63">
        <v>9867</v>
      </c>
      <c r="L25" s="63">
        <v>6116</v>
      </c>
      <c r="M25" s="63">
        <v>6890</v>
      </c>
      <c r="N25" s="63">
        <v>3308</v>
      </c>
      <c r="O25" s="63">
        <v>5959</v>
      </c>
      <c r="P25" s="63">
        <v>8078</v>
      </c>
      <c r="Q25" s="63">
        <v>6326</v>
      </c>
      <c r="R25" s="63">
        <v>5985</v>
      </c>
      <c r="S25" s="63">
        <v>1106</v>
      </c>
      <c r="T25" s="63">
        <v>3618</v>
      </c>
      <c r="U25" s="63">
        <v>5369</v>
      </c>
      <c r="V25" s="63">
        <v>8789</v>
      </c>
      <c r="W25" s="63">
        <v>3295</v>
      </c>
    </row>
    <row r="26" spans="2:23">
      <c r="B26" s="62" t="s">
        <v>295</v>
      </c>
      <c r="C26" s="63" t="s">
        <v>277</v>
      </c>
      <c r="D26" s="63" t="s">
        <v>277</v>
      </c>
      <c r="E26" s="63" t="s">
        <v>277</v>
      </c>
      <c r="F26" s="63" t="s">
        <v>277</v>
      </c>
      <c r="G26" s="63" t="s">
        <v>277</v>
      </c>
      <c r="H26" s="63" t="s">
        <v>277</v>
      </c>
      <c r="I26" s="63" t="s">
        <v>277</v>
      </c>
      <c r="J26" s="63" t="s">
        <v>277</v>
      </c>
      <c r="K26" s="63" t="s">
        <v>277</v>
      </c>
      <c r="L26" s="63" t="s">
        <v>277</v>
      </c>
      <c r="M26" s="63" t="s">
        <v>277</v>
      </c>
      <c r="N26" s="63" t="s">
        <v>277</v>
      </c>
      <c r="O26" s="63">
        <v>20</v>
      </c>
      <c r="P26" s="63">
        <v>125</v>
      </c>
      <c r="Q26" s="63" t="s">
        <v>277</v>
      </c>
      <c r="R26" s="63" t="s">
        <v>277</v>
      </c>
      <c r="S26" s="63" t="s">
        <v>277</v>
      </c>
      <c r="T26" s="63" t="s">
        <v>277</v>
      </c>
      <c r="U26" s="63" t="s">
        <v>277</v>
      </c>
      <c r="V26" s="63" t="s">
        <v>277</v>
      </c>
      <c r="W26" s="63" t="s">
        <v>277</v>
      </c>
    </row>
    <row r="27" spans="2:23">
      <c r="B27" s="62" t="s">
        <v>296</v>
      </c>
      <c r="C27" s="63" t="s">
        <v>277</v>
      </c>
      <c r="D27" s="63" t="s">
        <v>277</v>
      </c>
      <c r="E27" s="63" t="s">
        <v>277</v>
      </c>
      <c r="F27" s="63" t="s">
        <v>277</v>
      </c>
      <c r="G27" s="63" t="s">
        <v>277</v>
      </c>
      <c r="H27" s="63" t="s">
        <v>277</v>
      </c>
      <c r="I27" s="63" t="s">
        <v>277</v>
      </c>
      <c r="J27" s="63" t="s">
        <v>277</v>
      </c>
      <c r="K27" s="63" t="s">
        <v>277</v>
      </c>
      <c r="L27" s="63" t="s">
        <v>277</v>
      </c>
      <c r="M27" s="63" t="s">
        <v>277</v>
      </c>
      <c r="N27" s="63" t="s">
        <v>277</v>
      </c>
      <c r="O27" s="63">
        <v>4026</v>
      </c>
      <c r="P27" s="63">
        <v>3989</v>
      </c>
      <c r="Q27" s="63">
        <v>1979</v>
      </c>
      <c r="R27" s="63">
        <v>946</v>
      </c>
      <c r="S27" s="63">
        <v>376</v>
      </c>
      <c r="T27" s="63">
        <v>183</v>
      </c>
      <c r="U27" s="63">
        <v>909</v>
      </c>
      <c r="V27" s="63">
        <v>1364</v>
      </c>
      <c r="W27" s="63">
        <v>502</v>
      </c>
    </row>
    <row r="28" spans="2:23">
      <c r="B28" s="62" t="s">
        <v>297</v>
      </c>
      <c r="C28" s="63" t="s">
        <v>277</v>
      </c>
      <c r="D28" s="63" t="s">
        <v>277</v>
      </c>
      <c r="E28" s="63" t="s">
        <v>277</v>
      </c>
      <c r="F28" s="63" t="s">
        <v>277</v>
      </c>
      <c r="G28" s="63" t="s">
        <v>277</v>
      </c>
      <c r="H28" s="63" t="s">
        <v>277</v>
      </c>
      <c r="I28" s="63" t="s">
        <v>277</v>
      </c>
      <c r="J28" s="63" t="s">
        <v>277</v>
      </c>
      <c r="K28" s="63" t="s">
        <v>277</v>
      </c>
      <c r="L28" s="63" t="s">
        <v>277</v>
      </c>
      <c r="M28" s="63" t="s">
        <v>277</v>
      </c>
      <c r="N28" s="63" t="s">
        <v>277</v>
      </c>
      <c r="O28" s="63" t="s">
        <v>277</v>
      </c>
      <c r="P28" s="63" t="s">
        <v>277</v>
      </c>
      <c r="Q28" s="63" t="s">
        <v>277</v>
      </c>
      <c r="R28" s="63" t="s">
        <v>277</v>
      </c>
      <c r="S28" s="63" t="s">
        <v>277</v>
      </c>
      <c r="T28" s="63">
        <v>-288</v>
      </c>
      <c r="U28" s="63">
        <v>-232</v>
      </c>
      <c r="V28" s="63">
        <v>-171</v>
      </c>
      <c r="W28" s="63" t="s">
        <v>277</v>
      </c>
    </row>
    <row r="29" spans="2:23">
      <c r="B29" s="62" t="s">
        <v>298</v>
      </c>
      <c r="C29" s="63" t="s">
        <v>277</v>
      </c>
      <c r="D29" s="63" t="s">
        <v>277</v>
      </c>
      <c r="E29" s="63" t="s">
        <v>277</v>
      </c>
      <c r="F29" s="63" t="s">
        <v>277</v>
      </c>
      <c r="G29" s="63" t="s">
        <v>277</v>
      </c>
      <c r="H29" s="63" t="s">
        <v>277</v>
      </c>
      <c r="I29" s="63" t="s">
        <v>277</v>
      </c>
      <c r="J29" s="63" t="s">
        <v>277</v>
      </c>
      <c r="K29" s="63" t="s">
        <v>277</v>
      </c>
      <c r="L29" s="63" t="s">
        <v>277</v>
      </c>
      <c r="M29" s="63" t="s">
        <v>277</v>
      </c>
      <c r="N29" s="63" t="s">
        <v>277</v>
      </c>
      <c r="O29" s="63" t="s">
        <v>277</v>
      </c>
      <c r="P29" s="63" t="s">
        <v>277</v>
      </c>
      <c r="Q29" s="63" t="s">
        <v>277</v>
      </c>
      <c r="R29" s="63" t="s">
        <v>277</v>
      </c>
      <c r="S29" s="63" t="s">
        <v>277</v>
      </c>
      <c r="T29" s="63" t="s">
        <v>277</v>
      </c>
      <c r="U29" s="63" t="s">
        <v>277</v>
      </c>
      <c r="V29" s="63">
        <v>162</v>
      </c>
      <c r="W29" s="63">
        <v>999</v>
      </c>
    </row>
    <row r="30" spans="2:23">
      <c r="B30" s="62" t="s">
        <v>299</v>
      </c>
      <c r="C30" s="63" t="s">
        <v>277</v>
      </c>
      <c r="D30" s="63">
        <v>213</v>
      </c>
      <c r="E30" s="63" t="s">
        <v>277</v>
      </c>
      <c r="F30" s="63" t="s">
        <v>277</v>
      </c>
      <c r="G30" s="63" t="s">
        <v>277</v>
      </c>
      <c r="H30" s="63" t="s">
        <v>277</v>
      </c>
      <c r="I30" s="63" t="s">
        <v>277</v>
      </c>
      <c r="J30" s="63" t="s">
        <v>277</v>
      </c>
      <c r="K30" s="63" t="s">
        <v>277</v>
      </c>
      <c r="L30" s="63" t="s">
        <v>277</v>
      </c>
      <c r="M30" s="63">
        <v>2798</v>
      </c>
      <c r="N30" s="63" t="s">
        <v>277</v>
      </c>
      <c r="O30" s="63" t="s">
        <v>277</v>
      </c>
      <c r="P30" s="63" t="s">
        <v>277</v>
      </c>
      <c r="Q30" s="63" t="s">
        <v>277</v>
      </c>
      <c r="R30" s="63" t="s">
        <v>277</v>
      </c>
      <c r="S30" s="63" t="s">
        <v>277</v>
      </c>
      <c r="T30" s="63">
        <v>469</v>
      </c>
      <c r="U30" s="63">
        <v>1282</v>
      </c>
      <c r="V30" s="63">
        <v>3716</v>
      </c>
      <c r="W30" s="63">
        <v>434</v>
      </c>
    </row>
    <row r="31" spans="2:23">
      <c r="B31" s="62" t="s">
        <v>300</v>
      </c>
      <c r="C31" s="63" t="s">
        <v>277</v>
      </c>
      <c r="D31" s="63" t="s">
        <v>277</v>
      </c>
      <c r="E31" s="63" t="s">
        <v>277</v>
      </c>
      <c r="F31" s="63" t="s">
        <v>277</v>
      </c>
      <c r="G31" s="63" t="s">
        <v>277</v>
      </c>
      <c r="H31" s="63" t="s">
        <v>277</v>
      </c>
      <c r="I31" s="63" t="s">
        <v>277</v>
      </c>
      <c r="J31" s="63" t="s">
        <v>277</v>
      </c>
      <c r="K31" s="63" t="s">
        <v>277</v>
      </c>
      <c r="L31" s="63" t="s">
        <v>277</v>
      </c>
      <c r="M31" s="63" t="s">
        <v>277</v>
      </c>
      <c r="N31" s="63" t="s">
        <v>277</v>
      </c>
      <c r="O31" s="63" t="s">
        <v>277</v>
      </c>
      <c r="P31" s="63" t="s">
        <v>277</v>
      </c>
      <c r="Q31" s="63" t="s">
        <v>277</v>
      </c>
      <c r="R31" s="63" t="s">
        <v>277</v>
      </c>
      <c r="S31" s="63" t="s">
        <v>277</v>
      </c>
      <c r="T31" s="63" t="s">
        <v>277</v>
      </c>
      <c r="U31" s="63">
        <v>323</v>
      </c>
      <c r="V31" s="63">
        <v>869</v>
      </c>
      <c r="W31" s="63" t="s">
        <v>277</v>
      </c>
    </row>
    <row r="32" spans="2:23">
      <c r="B32" s="62" t="s">
        <v>301</v>
      </c>
      <c r="C32" s="63" t="s">
        <v>277</v>
      </c>
      <c r="D32" s="63" t="s">
        <v>277</v>
      </c>
      <c r="E32" s="63" t="s">
        <v>277</v>
      </c>
      <c r="F32" s="63" t="s">
        <v>277</v>
      </c>
      <c r="G32" s="63" t="s">
        <v>277</v>
      </c>
      <c r="H32" s="63" t="s">
        <v>277</v>
      </c>
      <c r="I32" s="63" t="s">
        <v>277</v>
      </c>
      <c r="J32" s="63" t="s">
        <v>277</v>
      </c>
      <c r="K32" s="63" t="s">
        <v>277</v>
      </c>
      <c r="L32" s="63" t="s">
        <v>277</v>
      </c>
      <c r="M32" s="63" t="s">
        <v>277</v>
      </c>
      <c r="N32" s="63" t="s">
        <v>277</v>
      </c>
      <c r="O32" s="63" t="s">
        <v>277</v>
      </c>
      <c r="P32" s="63" t="s">
        <v>277</v>
      </c>
      <c r="Q32" s="63" t="s">
        <v>277</v>
      </c>
      <c r="R32" s="63" t="s">
        <v>277</v>
      </c>
      <c r="S32" s="63" t="s">
        <v>277</v>
      </c>
      <c r="T32" s="63">
        <v>993</v>
      </c>
      <c r="U32" s="63">
        <v>968</v>
      </c>
      <c r="V32" s="63">
        <v>494</v>
      </c>
      <c r="W32" s="63">
        <v>237</v>
      </c>
    </row>
    <row r="33" spans="2:23">
      <c r="B33" s="62" t="s">
        <v>302</v>
      </c>
      <c r="C33" s="63" t="s">
        <v>277</v>
      </c>
      <c r="D33" s="63" t="s">
        <v>277</v>
      </c>
      <c r="E33" s="63" t="s">
        <v>277</v>
      </c>
      <c r="F33" s="63" t="s">
        <v>277</v>
      </c>
      <c r="G33" s="63" t="s">
        <v>277</v>
      </c>
      <c r="H33" s="63" t="s">
        <v>277</v>
      </c>
      <c r="I33" s="63" t="s">
        <v>277</v>
      </c>
      <c r="J33" s="63" t="s">
        <v>277</v>
      </c>
      <c r="K33" s="63" t="s">
        <v>277</v>
      </c>
      <c r="L33" s="63" t="s">
        <v>277</v>
      </c>
      <c r="M33" s="63" t="s">
        <v>277</v>
      </c>
      <c r="N33" s="63" t="s">
        <v>277</v>
      </c>
      <c r="O33" s="63" t="s">
        <v>277</v>
      </c>
      <c r="P33" s="63" t="s">
        <v>277</v>
      </c>
      <c r="Q33" s="63" t="s">
        <v>277</v>
      </c>
      <c r="R33" s="63" t="s">
        <v>277</v>
      </c>
      <c r="S33" s="63" t="s">
        <v>277</v>
      </c>
      <c r="T33" s="63">
        <v>168</v>
      </c>
      <c r="U33" s="63">
        <v>1451</v>
      </c>
      <c r="V33" s="63">
        <v>1685</v>
      </c>
      <c r="W33" s="63">
        <v>567</v>
      </c>
    </row>
    <row r="34" spans="2:23">
      <c r="B34" s="62" t="s">
        <v>303</v>
      </c>
      <c r="C34" s="63" t="s">
        <v>277</v>
      </c>
      <c r="D34" s="63" t="s">
        <v>277</v>
      </c>
      <c r="E34" s="63" t="s">
        <v>277</v>
      </c>
      <c r="F34" s="63" t="s">
        <v>277</v>
      </c>
      <c r="G34" s="63" t="s">
        <v>277</v>
      </c>
      <c r="H34" s="63" t="s">
        <v>277</v>
      </c>
      <c r="I34" s="63" t="s">
        <v>277</v>
      </c>
      <c r="J34" s="63" t="s">
        <v>277</v>
      </c>
      <c r="K34" s="63" t="s">
        <v>277</v>
      </c>
      <c r="L34" s="63" t="s">
        <v>277</v>
      </c>
      <c r="M34" s="63" t="s">
        <v>277</v>
      </c>
      <c r="N34" s="63" t="s">
        <v>277</v>
      </c>
      <c r="O34" s="63">
        <v>1913</v>
      </c>
      <c r="P34" s="63">
        <v>3964</v>
      </c>
      <c r="Q34" s="63">
        <v>4347</v>
      </c>
      <c r="R34" s="63">
        <v>5039</v>
      </c>
      <c r="S34" s="63">
        <v>730</v>
      </c>
      <c r="T34" s="63">
        <v>2093</v>
      </c>
      <c r="U34" s="63">
        <v>668</v>
      </c>
      <c r="V34" s="63">
        <v>670</v>
      </c>
      <c r="W34" s="63">
        <v>556</v>
      </c>
    </row>
    <row r="35" spans="2:23">
      <c r="B35" s="53" t="s">
        <v>304</v>
      </c>
      <c r="C35" s="61">
        <v>2867</v>
      </c>
      <c r="D35" s="61">
        <v>2594</v>
      </c>
      <c r="E35" s="61">
        <v>6945</v>
      </c>
      <c r="F35" s="61">
        <v>5781</v>
      </c>
      <c r="G35" s="61">
        <v>9984</v>
      </c>
      <c r="H35" s="61">
        <v>11796</v>
      </c>
      <c r="I35" s="61">
        <v>3263</v>
      </c>
      <c r="J35" s="61">
        <v>14007</v>
      </c>
      <c r="K35" s="61">
        <v>10800</v>
      </c>
      <c r="L35" s="61">
        <v>13028</v>
      </c>
      <c r="M35" s="61">
        <v>9278</v>
      </c>
      <c r="N35" s="61">
        <v>9694</v>
      </c>
      <c r="O35" s="61">
        <v>10827</v>
      </c>
      <c r="P35" s="61">
        <v>9282</v>
      </c>
      <c r="Q35" s="61">
        <v>12304</v>
      </c>
      <c r="R35" s="61">
        <v>11242</v>
      </c>
      <c r="S35" s="61">
        <v>15716</v>
      </c>
      <c r="T35" s="61">
        <v>12240</v>
      </c>
      <c r="U35" s="61">
        <v>8965</v>
      </c>
      <c r="V35" s="61">
        <v>8351</v>
      </c>
      <c r="W35" s="61">
        <v>12305</v>
      </c>
    </row>
    <row r="36" spans="2:23">
      <c r="B36" s="62" t="s">
        <v>305</v>
      </c>
      <c r="C36" s="63">
        <v>775</v>
      </c>
      <c r="D36" s="63">
        <v>642</v>
      </c>
      <c r="E36" s="63">
        <v>1968</v>
      </c>
      <c r="F36" s="63">
        <v>2049</v>
      </c>
      <c r="G36" s="63">
        <v>2433</v>
      </c>
      <c r="H36" s="63">
        <v>2609</v>
      </c>
      <c r="I36" s="63">
        <v>1621</v>
      </c>
      <c r="J36" s="63">
        <v>2665</v>
      </c>
      <c r="K36" s="63">
        <v>3178</v>
      </c>
      <c r="L36" s="63">
        <v>1992</v>
      </c>
      <c r="M36" s="63">
        <v>1023</v>
      </c>
      <c r="N36" s="63">
        <v>1645</v>
      </c>
      <c r="O36" s="63">
        <v>2197</v>
      </c>
      <c r="P36" s="63">
        <v>1071</v>
      </c>
      <c r="Q36" s="63">
        <v>3909</v>
      </c>
      <c r="R36" s="63">
        <v>2221</v>
      </c>
      <c r="S36" s="63">
        <v>4306</v>
      </c>
      <c r="T36" s="63">
        <v>3120</v>
      </c>
      <c r="U36" s="63">
        <v>1990</v>
      </c>
      <c r="V36" s="63">
        <v>1123</v>
      </c>
      <c r="W36" s="63">
        <v>-9048</v>
      </c>
    </row>
    <row r="37" spans="2:23">
      <c r="B37" s="62" t="s">
        <v>306</v>
      </c>
      <c r="C37" s="63" t="s">
        <v>277</v>
      </c>
      <c r="D37" s="63" t="s">
        <v>277</v>
      </c>
      <c r="E37" s="63" t="s">
        <v>277</v>
      </c>
      <c r="F37" s="63" t="s">
        <v>277</v>
      </c>
      <c r="G37" s="63" t="s">
        <v>277</v>
      </c>
      <c r="H37" s="63" t="s">
        <v>277</v>
      </c>
      <c r="I37" s="63" t="s">
        <v>277</v>
      </c>
      <c r="J37" s="63" t="s">
        <v>277</v>
      </c>
      <c r="K37" s="63" t="s">
        <v>277</v>
      </c>
      <c r="L37" s="63" t="s">
        <v>277</v>
      </c>
      <c r="M37" s="63" t="s">
        <v>277</v>
      </c>
      <c r="N37" s="63" t="s">
        <v>277</v>
      </c>
      <c r="O37" s="63">
        <v>11779</v>
      </c>
      <c r="P37" s="63">
        <v>-866</v>
      </c>
      <c r="Q37" s="63">
        <v>3602</v>
      </c>
      <c r="R37" s="63">
        <v>1435</v>
      </c>
      <c r="S37" s="63">
        <v>2580</v>
      </c>
      <c r="T37" s="63">
        <v>2800</v>
      </c>
      <c r="U37" s="63">
        <v>2010</v>
      </c>
      <c r="V37" s="63">
        <v>1823</v>
      </c>
      <c r="W37" s="63">
        <v>17156</v>
      </c>
    </row>
    <row r="38" spans="2:23">
      <c r="B38" s="62" t="s">
        <v>307</v>
      </c>
      <c r="C38" s="63" t="s">
        <v>277</v>
      </c>
      <c r="D38" s="63" t="s">
        <v>277</v>
      </c>
      <c r="E38" s="63" t="s">
        <v>277</v>
      </c>
      <c r="F38" s="63" t="s">
        <v>277</v>
      </c>
      <c r="G38" s="63" t="s">
        <v>277</v>
      </c>
      <c r="H38" s="63" t="s">
        <v>277</v>
      </c>
      <c r="I38" s="63" t="s">
        <v>277</v>
      </c>
      <c r="J38" s="63" t="s">
        <v>277</v>
      </c>
      <c r="K38" s="63" t="s">
        <v>277</v>
      </c>
      <c r="L38" s="63" t="s">
        <v>277</v>
      </c>
      <c r="M38" s="63" t="s">
        <v>277</v>
      </c>
      <c r="N38" s="63" t="s">
        <v>277</v>
      </c>
      <c r="O38" s="63">
        <v>-9582</v>
      </c>
      <c r="P38" s="63">
        <v>1937</v>
      </c>
      <c r="Q38" s="63">
        <v>307</v>
      </c>
      <c r="R38" s="63">
        <v>786</v>
      </c>
      <c r="S38" s="63">
        <v>1726</v>
      </c>
      <c r="T38" s="63">
        <v>320</v>
      </c>
      <c r="U38" s="63">
        <v>-20</v>
      </c>
      <c r="V38" s="63">
        <v>-700</v>
      </c>
      <c r="W38" s="63">
        <v>-26204</v>
      </c>
    </row>
    <row r="39" spans="2:23">
      <c r="B39" s="53" t="s">
        <v>308</v>
      </c>
      <c r="C39" s="61">
        <v>2092</v>
      </c>
      <c r="D39" s="61">
        <v>1952</v>
      </c>
      <c r="E39" s="61">
        <v>4977</v>
      </c>
      <c r="F39" s="61">
        <v>3732</v>
      </c>
      <c r="G39" s="61">
        <v>7551</v>
      </c>
      <c r="H39" s="61">
        <v>9187</v>
      </c>
      <c r="I39" s="61">
        <v>1642</v>
      </c>
      <c r="J39" s="61">
        <v>11342</v>
      </c>
      <c r="K39" s="61">
        <v>7622</v>
      </c>
      <c r="L39" s="61">
        <v>11036</v>
      </c>
      <c r="M39" s="61">
        <v>8255</v>
      </c>
      <c r="N39" s="61">
        <v>8049</v>
      </c>
      <c r="O39" s="61">
        <v>8630</v>
      </c>
      <c r="P39" s="61">
        <v>8211</v>
      </c>
      <c r="Q39" s="61">
        <v>8395</v>
      </c>
      <c r="R39" s="61">
        <v>9021</v>
      </c>
      <c r="S39" s="61">
        <v>11410</v>
      </c>
      <c r="T39" s="61">
        <v>9120</v>
      </c>
      <c r="U39" s="61">
        <v>6975</v>
      </c>
      <c r="V39" s="61">
        <v>7228</v>
      </c>
      <c r="W39" s="61">
        <v>21353</v>
      </c>
    </row>
    <row r="40" spans="2:23">
      <c r="B40" s="62" t="s">
        <v>309</v>
      </c>
      <c r="C40" s="63">
        <v>-131</v>
      </c>
      <c r="D40" s="63">
        <v>-1401</v>
      </c>
      <c r="E40" s="63">
        <v>20</v>
      </c>
      <c r="F40" s="63">
        <v>-8</v>
      </c>
      <c r="G40" s="63">
        <v>-251</v>
      </c>
      <c r="H40" s="63">
        <v>55</v>
      </c>
      <c r="I40" s="63">
        <v>-2271</v>
      </c>
      <c r="J40" s="63">
        <v>-29</v>
      </c>
      <c r="K40" s="63">
        <v>-475</v>
      </c>
      <c r="L40" s="63">
        <v>-8313</v>
      </c>
      <c r="M40" s="63">
        <v>69</v>
      </c>
      <c r="N40" s="63">
        <v>-78</v>
      </c>
      <c r="O40" s="63">
        <v>-14</v>
      </c>
      <c r="P40" s="63">
        <v>-77</v>
      </c>
      <c r="Q40" s="63">
        <v>-1654</v>
      </c>
      <c r="R40" s="63">
        <v>-5577</v>
      </c>
      <c r="S40" s="63">
        <v>-10662</v>
      </c>
      <c r="T40" s="63">
        <v>-48</v>
      </c>
      <c r="U40" s="63">
        <v>-11</v>
      </c>
      <c r="V40" s="63">
        <v>-18</v>
      </c>
      <c r="W40" s="63">
        <v>-2</v>
      </c>
    </row>
    <row r="41" spans="2:23">
      <c r="B41" s="62" t="s">
        <v>310</v>
      </c>
      <c r="C41" s="63" t="s">
        <v>277</v>
      </c>
      <c r="D41" s="63">
        <v>-1401</v>
      </c>
      <c r="E41" s="63">
        <v>20</v>
      </c>
      <c r="F41" s="63" t="s">
        <v>277</v>
      </c>
      <c r="G41" s="63" t="s">
        <v>277</v>
      </c>
      <c r="H41" s="63" t="s">
        <v>277</v>
      </c>
      <c r="I41" s="63" t="s">
        <v>277</v>
      </c>
      <c r="J41" s="63" t="s">
        <v>277</v>
      </c>
      <c r="K41" s="63">
        <v>-498</v>
      </c>
      <c r="L41" s="63">
        <v>-8313</v>
      </c>
      <c r="M41" s="63">
        <v>69</v>
      </c>
      <c r="N41" s="63" t="s">
        <v>277</v>
      </c>
      <c r="O41" s="63">
        <v>-14</v>
      </c>
      <c r="P41" s="63">
        <v>-77</v>
      </c>
      <c r="Q41" s="63">
        <v>-1654</v>
      </c>
      <c r="R41" s="63">
        <v>-5577</v>
      </c>
      <c r="S41" s="63">
        <v>-10662</v>
      </c>
      <c r="T41" s="63">
        <v>-48</v>
      </c>
      <c r="U41" s="63">
        <v>-11</v>
      </c>
      <c r="V41" s="63">
        <v>-18</v>
      </c>
      <c r="W41" s="63">
        <v>-2</v>
      </c>
    </row>
    <row r="42" spans="2:23">
      <c r="B42" s="62" t="s">
        <v>311</v>
      </c>
      <c r="C42" s="63" t="s">
        <v>277</v>
      </c>
      <c r="D42" s="63" t="s">
        <v>277</v>
      </c>
      <c r="E42" s="63" t="s">
        <v>277</v>
      </c>
      <c r="F42" s="63" t="s">
        <v>277</v>
      </c>
      <c r="G42" s="63" t="s">
        <v>277</v>
      </c>
      <c r="H42" s="63" t="s">
        <v>277</v>
      </c>
      <c r="I42" s="63" t="s">
        <v>277</v>
      </c>
      <c r="J42" s="63" t="s">
        <v>277</v>
      </c>
      <c r="K42" s="63">
        <v>23</v>
      </c>
      <c r="L42" s="63" t="s">
        <v>277</v>
      </c>
      <c r="M42" s="63" t="s">
        <v>277</v>
      </c>
      <c r="N42" s="63" t="s">
        <v>277</v>
      </c>
      <c r="O42" s="63">
        <v>0</v>
      </c>
      <c r="P42" s="63">
        <v>0</v>
      </c>
      <c r="Q42" s="63">
        <v>0</v>
      </c>
      <c r="R42" s="63">
        <v>0</v>
      </c>
      <c r="S42" s="63">
        <v>0</v>
      </c>
      <c r="T42" s="63">
        <v>0</v>
      </c>
      <c r="U42" s="63">
        <v>0</v>
      </c>
      <c r="V42" s="63">
        <v>0</v>
      </c>
      <c r="W42" s="63">
        <v>0</v>
      </c>
    </row>
    <row r="43" spans="2:23">
      <c r="B43" s="53" t="s">
        <v>312</v>
      </c>
      <c r="C43" s="61">
        <v>2223</v>
      </c>
      <c r="D43" s="61">
        <v>3353</v>
      </c>
      <c r="E43" s="61">
        <v>4957</v>
      </c>
      <c r="F43" s="61">
        <v>3740</v>
      </c>
      <c r="G43" s="61">
        <v>7802</v>
      </c>
      <c r="H43" s="61">
        <v>9132</v>
      </c>
      <c r="I43" s="61">
        <v>3913</v>
      </c>
      <c r="J43" s="61">
        <v>11371</v>
      </c>
      <c r="K43" s="61">
        <v>8097</v>
      </c>
      <c r="L43" s="61">
        <v>19349</v>
      </c>
      <c r="M43" s="61">
        <v>8186</v>
      </c>
      <c r="N43" s="61">
        <v>8127</v>
      </c>
      <c r="O43" s="61">
        <v>8644</v>
      </c>
      <c r="P43" s="61">
        <v>8288</v>
      </c>
      <c r="Q43" s="61">
        <v>10049</v>
      </c>
      <c r="R43" s="61">
        <v>14598</v>
      </c>
      <c r="S43" s="61">
        <v>22072</v>
      </c>
      <c r="T43" s="61">
        <v>9168</v>
      </c>
      <c r="U43" s="61">
        <v>6986</v>
      </c>
      <c r="V43" s="61">
        <v>7246</v>
      </c>
      <c r="W43" s="61">
        <v>21355</v>
      </c>
    </row>
    <row r="44" spans="2:23">
      <c r="B44" s="62" t="s">
        <v>313</v>
      </c>
      <c r="C44" s="63">
        <v>10</v>
      </c>
      <c r="D44" s="63">
        <v>2</v>
      </c>
      <c r="E44" s="63">
        <v>5</v>
      </c>
      <c r="F44" s="63">
        <v>14</v>
      </c>
      <c r="G44" s="63">
        <v>14</v>
      </c>
      <c r="H44" s="63">
        <v>6</v>
      </c>
      <c r="I44" s="63">
        <v>3</v>
      </c>
      <c r="J44" s="63">
        <v>10</v>
      </c>
      <c r="K44" s="63">
        <v>12</v>
      </c>
      <c r="L44" s="63">
        <v>12</v>
      </c>
      <c r="M44" s="63">
        <v>42</v>
      </c>
      <c r="N44" s="63">
        <v>23</v>
      </c>
      <c r="O44" s="63">
        <v>9</v>
      </c>
      <c r="P44" s="63">
        <v>31</v>
      </c>
      <c r="Q44" s="63">
        <v>40</v>
      </c>
      <c r="R44" s="63">
        <v>28</v>
      </c>
      <c r="S44" s="63">
        <v>69</v>
      </c>
      <c r="T44" s="63">
        <v>33</v>
      </c>
      <c r="U44" s="63">
        <v>26</v>
      </c>
      <c r="V44" s="63">
        <v>31</v>
      </c>
      <c r="W44" s="63">
        <v>47</v>
      </c>
    </row>
    <row r="45" spans="2:23">
      <c r="B45" s="53" t="s">
        <v>314</v>
      </c>
      <c r="C45" s="61">
        <v>2213</v>
      </c>
      <c r="D45" s="61">
        <v>3351</v>
      </c>
      <c r="E45" s="61">
        <v>4952</v>
      </c>
      <c r="F45" s="61">
        <v>3726</v>
      </c>
      <c r="G45" s="61">
        <v>7788</v>
      </c>
      <c r="H45" s="61">
        <v>9126</v>
      </c>
      <c r="I45" s="61">
        <v>3910</v>
      </c>
      <c r="J45" s="61">
        <v>11361</v>
      </c>
      <c r="K45" s="61">
        <v>8085</v>
      </c>
      <c r="L45" s="61">
        <v>19337</v>
      </c>
      <c r="M45" s="61">
        <v>8144</v>
      </c>
      <c r="N45" s="61">
        <v>8104</v>
      </c>
      <c r="O45" s="61">
        <v>8635</v>
      </c>
      <c r="P45" s="61">
        <v>8257</v>
      </c>
      <c r="Q45" s="61">
        <v>10009</v>
      </c>
      <c r="R45" s="61">
        <v>14570</v>
      </c>
      <c r="S45" s="61">
        <v>22003</v>
      </c>
      <c r="T45" s="61">
        <v>9135</v>
      </c>
      <c r="U45" s="61">
        <v>6960</v>
      </c>
      <c r="V45" s="61">
        <v>7215</v>
      </c>
      <c r="W45" s="61">
        <v>21308</v>
      </c>
    </row>
    <row r="46" spans="2:23">
      <c r="B46" s="62" t="s">
        <v>315</v>
      </c>
      <c r="C46" s="63">
        <v>0</v>
      </c>
      <c r="D46" s="63" t="s">
        <v>277</v>
      </c>
      <c r="E46" s="63">
        <v>0</v>
      </c>
      <c r="F46" s="63">
        <v>0</v>
      </c>
      <c r="G46" s="63">
        <v>0</v>
      </c>
      <c r="H46" s="63">
        <v>0</v>
      </c>
      <c r="I46" s="63">
        <v>0</v>
      </c>
      <c r="J46" s="63">
        <v>4</v>
      </c>
      <c r="K46" s="63">
        <v>6</v>
      </c>
      <c r="L46" s="63">
        <v>5</v>
      </c>
      <c r="M46" s="63">
        <v>4</v>
      </c>
      <c r="N46" s="63">
        <v>3</v>
      </c>
      <c r="O46" s="63">
        <v>5</v>
      </c>
      <c r="P46" s="63">
        <v>3</v>
      </c>
      <c r="Q46" s="63">
        <v>3</v>
      </c>
      <c r="R46" s="63">
        <v>2</v>
      </c>
      <c r="S46" s="63">
        <v>2</v>
      </c>
      <c r="T46" s="63">
        <v>0</v>
      </c>
      <c r="U46" s="63">
        <v>2</v>
      </c>
      <c r="V46" s="63">
        <v>2</v>
      </c>
      <c r="W46" s="63">
        <v>1</v>
      </c>
    </row>
    <row r="47" spans="2:23">
      <c r="B47" s="62" t="s">
        <v>316</v>
      </c>
      <c r="C47" s="63" t="s">
        <v>277</v>
      </c>
      <c r="D47" s="63" t="s">
        <v>277</v>
      </c>
      <c r="E47" s="63" t="s">
        <v>277</v>
      </c>
      <c r="F47" s="63">
        <v>0</v>
      </c>
      <c r="G47" s="63">
        <v>0</v>
      </c>
      <c r="H47" s="63">
        <v>0</v>
      </c>
      <c r="I47" s="63">
        <v>0</v>
      </c>
      <c r="J47" s="63">
        <v>0</v>
      </c>
      <c r="K47" s="63" t="s">
        <v>277</v>
      </c>
      <c r="L47" s="63">
        <v>0</v>
      </c>
      <c r="M47" s="63">
        <v>0</v>
      </c>
      <c r="N47" s="63">
        <v>0</v>
      </c>
      <c r="O47" s="63">
        <v>0</v>
      </c>
      <c r="P47" s="63">
        <v>0</v>
      </c>
      <c r="Q47" s="63">
        <v>0</v>
      </c>
      <c r="R47" s="63">
        <v>0</v>
      </c>
      <c r="S47" s="63">
        <v>0</v>
      </c>
      <c r="T47" s="63">
        <v>0</v>
      </c>
      <c r="U47" s="63">
        <v>0</v>
      </c>
      <c r="V47" s="63">
        <v>0</v>
      </c>
      <c r="W47" s="63">
        <v>0</v>
      </c>
    </row>
    <row r="48" spans="2:23">
      <c r="B48" s="53" t="s">
        <v>317</v>
      </c>
      <c r="C48" s="61">
        <v>2213</v>
      </c>
      <c r="D48" s="61">
        <v>3351</v>
      </c>
      <c r="E48" s="61">
        <v>4952</v>
      </c>
      <c r="F48" s="61">
        <v>3726</v>
      </c>
      <c r="G48" s="61">
        <v>7788</v>
      </c>
      <c r="H48" s="61">
        <v>9126</v>
      </c>
      <c r="I48" s="61">
        <v>3910</v>
      </c>
      <c r="J48" s="61">
        <v>11357</v>
      </c>
      <c r="K48" s="61">
        <v>8079</v>
      </c>
      <c r="L48" s="61">
        <v>19332</v>
      </c>
      <c r="M48" s="61">
        <v>8140</v>
      </c>
      <c r="N48" s="61">
        <v>8101</v>
      </c>
      <c r="O48" s="61">
        <v>8630</v>
      </c>
      <c r="P48" s="61">
        <v>8254</v>
      </c>
      <c r="Q48" s="61">
        <v>10006</v>
      </c>
      <c r="R48" s="61">
        <v>14568</v>
      </c>
      <c r="S48" s="61">
        <v>22001</v>
      </c>
      <c r="T48" s="61">
        <v>9135</v>
      </c>
      <c r="U48" s="61">
        <v>6958</v>
      </c>
      <c r="V48" s="61">
        <v>7213</v>
      </c>
      <c r="W48" s="61">
        <v>21307</v>
      </c>
    </row>
    <row r="49" spans="2:23">
      <c r="B49" s="53"/>
      <c r="C49" s="66"/>
      <c r="D49" s="66"/>
      <c r="E49" s="66"/>
      <c r="F49" s="66"/>
      <c r="G49" s="66"/>
      <c r="H49" s="66"/>
      <c r="I49" s="66"/>
      <c r="J49" s="66"/>
      <c r="K49" s="66"/>
      <c r="L49" s="66"/>
      <c r="M49" s="66"/>
      <c r="N49" s="66"/>
      <c r="O49" s="66"/>
      <c r="P49" s="66"/>
      <c r="Q49" s="66"/>
      <c r="R49" s="66"/>
      <c r="S49" s="66"/>
      <c r="T49" s="66"/>
      <c r="U49" s="66"/>
      <c r="V49" s="66"/>
      <c r="W49" s="66"/>
    </row>
    <row r="50" spans="2:23">
      <c r="B50" s="53" t="s">
        <v>318</v>
      </c>
      <c r="C50" s="61">
        <v>2213</v>
      </c>
      <c r="D50" s="61">
        <v>3351</v>
      </c>
      <c r="E50" s="61">
        <v>4952</v>
      </c>
      <c r="F50" s="61">
        <v>3726</v>
      </c>
      <c r="G50" s="61">
        <v>7788</v>
      </c>
      <c r="H50" s="61">
        <v>9126</v>
      </c>
      <c r="I50" s="61">
        <v>3910</v>
      </c>
      <c r="J50" s="61">
        <v>11357</v>
      </c>
      <c r="K50" s="61">
        <v>8079</v>
      </c>
      <c r="L50" s="61">
        <v>19332</v>
      </c>
      <c r="M50" s="61">
        <v>8140</v>
      </c>
      <c r="N50" s="61">
        <v>8101</v>
      </c>
      <c r="O50" s="61">
        <v>11577</v>
      </c>
      <c r="P50" s="61">
        <v>11854.25</v>
      </c>
      <c r="Q50" s="61">
        <v>12836</v>
      </c>
      <c r="R50" s="61">
        <v>12185</v>
      </c>
      <c r="S50" s="61">
        <v>12101</v>
      </c>
      <c r="T50" s="61">
        <v>11438.7</v>
      </c>
      <c r="U50" s="61">
        <v>10436.85</v>
      </c>
      <c r="V50" s="61">
        <v>12907.85</v>
      </c>
      <c r="W50" s="61">
        <v>12901.858829999999</v>
      </c>
    </row>
    <row r="51" spans="2:23">
      <c r="B51" s="62" t="s">
        <v>319</v>
      </c>
      <c r="C51" s="63" t="s">
        <v>277</v>
      </c>
      <c r="D51" s="63" t="s">
        <v>277</v>
      </c>
      <c r="E51" s="63" t="s">
        <v>277</v>
      </c>
      <c r="F51" s="63" t="s">
        <v>277</v>
      </c>
      <c r="G51" s="63">
        <v>563</v>
      </c>
      <c r="H51" s="63">
        <v>716</v>
      </c>
      <c r="I51" s="63">
        <v>11083</v>
      </c>
      <c r="J51" s="63" t="s">
        <v>277</v>
      </c>
      <c r="K51" s="63" t="s">
        <v>277</v>
      </c>
      <c r="L51" s="63" t="s">
        <v>277</v>
      </c>
      <c r="M51" s="63" t="s">
        <v>277</v>
      </c>
      <c r="N51" s="63">
        <v>2150.1999999999998</v>
      </c>
      <c r="O51" s="63">
        <v>2961</v>
      </c>
      <c r="P51" s="63">
        <v>3677.25</v>
      </c>
      <c r="Q51" s="63">
        <v>4484</v>
      </c>
      <c r="R51" s="63">
        <v>3194</v>
      </c>
      <c r="S51" s="63">
        <v>762</v>
      </c>
      <c r="T51" s="63">
        <v>2351.6999999999998</v>
      </c>
      <c r="U51" s="63">
        <v>3489.85</v>
      </c>
      <c r="V51" s="63">
        <v>5712.85</v>
      </c>
      <c r="W51" s="63">
        <v>-8403.1411700000008</v>
      </c>
    </row>
    <row r="52" spans="2:23">
      <c r="B52" s="62" t="s">
        <v>320</v>
      </c>
      <c r="C52" s="63">
        <v>-131</v>
      </c>
      <c r="D52" s="63">
        <v>-1401</v>
      </c>
      <c r="E52" s="63">
        <v>20</v>
      </c>
      <c r="F52" s="63">
        <v>-8</v>
      </c>
      <c r="G52" s="63">
        <v>-251</v>
      </c>
      <c r="H52" s="63">
        <v>55</v>
      </c>
      <c r="I52" s="63">
        <v>-2271</v>
      </c>
      <c r="J52" s="63">
        <v>-29</v>
      </c>
      <c r="K52" s="63">
        <v>-475</v>
      </c>
      <c r="L52" s="63">
        <v>-8313</v>
      </c>
      <c r="M52" s="63">
        <v>69</v>
      </c>
      <c r="N52" s="63">
        <v>-78</v>
      </c>
      <c r="O52" s="63">
        <v>-14</v>
      </c>
      <c r="P52" s="63">
        <v>-77</v>
      </c>
      <c r="Q52" s="63">
        <v>-1654</v>
      </c>
      <c r="R52" s="63">
        <v>-5577</v>
      </c>
      <c r="S52" s="63">
        <v>-10662</v>
      </c>
      <c r="T52" s="63">
        <v>-48</v>
      </c>
      <c r="U52" s="63">
        <v>-11</v>
      </c>
      <c r="V52" s="63">
        <v>-18</v>
      </c>
      <c r="W52" s="63">
        <v>-2</v>
      </c>
    </row>
    <row r="53" spans="2:23">
      <c r="B53" s="53"/>
      <c r="C53" s="66"/>
      <c r="D53" s="66"/>
      <c r="E53" s="66"/>
      <c r="F53" s="66"/>
      <c r="G53" s="66"/>
      <c r="H53" s="66"/>
      <c r="I53" s="66"/>
      <c r="J53" s="66"/>
      <c r="K53" s="66"/>
      <c r="L53" s="66"/>
      <c r="M53" s="66"/>
      <c r="N53" s="66"/>
      <c r="O53" s="66"/>
      <c r="P53" s="66"/>
      <c r="Q53" s="66"/>
      <c r="R53" s="66"/>
      <c r="S53" s="66"/>
      <c r="T53" s="66"/>
      <c r="U53" s="66"/>
      <c r="V53" s="66"/>
      <c r="W53" s="66"/>
    </row>
    <row r="54" spans="2:23">
      <c r="B54" s="62" t="s">
        <v>321</v>
      </c>
      <c r="C54" s="63">
        <v>3771</v>
      </c>
      <c r="D54" s="63">
        <v>3789</v>
      </c>
      <c r="E54" s="63">
        <v>6126</v>
      </c>
      <c r="F54" s="63">
        <v>6210</v>
      </c>
      <c r="G54" s="63">
        <v>6239.1</v>
      </c>
      <c r="H54" s="63">
        <v>6156</v>
      </c>
      <c r="I54" s="63">
        <v>7213</v>
      </c>
      <c r="J54" s="63">
        <v>7531</v>
      </c>
      <c r="K54" s="63">
        <v>7361</v>
      </c>
      <c r="L54" s="63">
        <v>7242</v>
      </c>
      <c r="M54" s="63">
        <v>6917</v>
      </c>
      <c r="N54" s="63">
        <v>6727</v>
      </c>
      <c r="O54" s="63">
        <v>7007</v>
      </c>
      <c r="P54" s="63">
        <v>8036</v>
      </c>
      <c r="Q54" s="63">
        <v>7817</v>
      </c>
      <c r="R54" s="63">
        <v>7442</v>
      </c>
      <c r="S54" s="63">
        <v>6813</v>
      </c>
      <c r="T54" s="63">
        <v>6346</v>
      </c>
      <c r="U54" s="63">
        <v>6176</v>
      </c>
      <c r="V54" s="63">
        <v>6089</v>
      </c>
      <c r="W54" s="63">
        <v>5970</v>
      </c>
    </row>
    <row r="55" spans="2:23">
      <c r="B55" s="53" t="s">
        <v>322</v>
      </c>
      <c r="C55" s="67">
        <v>0.58666700000000005</v>
      </c>
      <c r="D55" s="67">
        <v>0.88333300000000003</v>
      </c>
      <c r="E55" s="67">
        <v>0.81</v>
      </c>
      <c r="F55" s="67">
        <v>0.6</v>
      </c>
      <c r="G55" s="67">
        <v>1.25</v>
      </c>
      <c r="H55" s="67">
        <v>1.48</v>
      </c>
      <c r="I55" s="67">
        <v>0.54</v>
      </c>
      <c r="J55" s="67">
        <v>1.51</v>
      </c>
      <c r="K55" s="67">
        <v>1.1000000000000001</v>
      </c>
      <c r="L55" s="67">
        <v>2.67</v>
      </c>
      <c r="M55" s="67">
        <v>1.18</v>
      </c>
      <c r="N55" s="67">
        <v>1.2</v>
      </c>
      <c r="O55" s="67">
        <v>1.23</v>
      </c>
      <c r="P55" s="67">
        <v>1.03</v>
      </c>
      <c r="Q55" s="67">
        <v>1.28</v>
      </c>
      <c r="R55" s="67">
        <v>1.96</v>
      </c>
      <c r="S55" s="67">
        <v>3.23</v>
      </c>
      <c r="T55" s="67">
        <v>1.44</v>
      </c>
      <c r="U55" s="67">
        <v>1.1299999999999999</v>
      </c>
      <c r="V55" s="67">
        <v>1.18</v>
      </c>
      <c r="W55" s="67">
        <v>3.57</v>
      </c>
    </row>
    <row r="56" spans="2:23">
      <c r="B56" s="53" t="s">
        <v>323</v>
      </c>
      <c r="C56" s="67">
        <v>0.55333299999999996</v>
      </c>
      <c r="D56" s="67">
        <v>0.51333300000000004</v>
      </c>
      <c r="E56" s="67">
        <v>0.81</v>
      </c>
      <c r="F56" s="67">
        <v>0.6</v>
      </c>
      <c r="G56" s="67">
        <v>1.21</v>
      </c>
      <c r="H56" s="67">
        <v>1.49</v>
      </c>
      <c r="I56" s="67">
        <v>0.22</v>
      </c>
      <c r="J56" s="67">
        <v>1.51</v>
      </c>
      <c r="K56" s="67">
        <v>1.03</v>
      </c>
      <c r="L56" s="67">
        <v>1.52</v>
      </c>
      <c r="M56" s="67">
        <v>1.19</v>
      </c>
      <c r="N56" s="67">
        <v>1.19</v>
      </c>
      <c r="O56" s="67">
        <v>1.23</v>
      </c>
      <c r="P56" s="67">
        <v>1.02</v>
      </c>
      <c r="Q56" s="67">
        <v>1.07</v>
      </c>
      <c r="R56" s="67">
        <v>1.21</v>
      </c>
      <c r="S56" s="67">
        <v>1.67</v>
      </c>
      <c r="T56" s="67">
        <v>1.431926</v>
      </c>
      <c r="U56" s="67">
        <v>1.1299999999999999</v>
      </c>
      <c r="V56" s="67">
        <v>1.18</v>
      </c>
      <c r="W56" s="67">
        <v>3.57</v>
      </c>
    </row>
    <row r="57" spans="2:23">
      <c r="B57" s="53" t="s">
        <v>324</v>
      </c>
      <c r="C57" s="67">
        <v>0.55000000000000004</v>
      </c>
      <c r="D57" s="67">
        <v>0.51333300000000004</v>
      </c>
      <c r="E57" s="67">
        <v>0.84</v>
      </c>
      <c r="F57" s="67">
        <v>1.05</v>
      </c>
      <c r="G57" s="67">
        <v>1.3</v>
      </c>
      <c r="H57" s="67">
        <v>1.61</v>
      </c>
      <c r="I57" s="67">
        <v>1.75</v>
      </c>
      <c r="J57" s="67">
        <v>1.8</v>
      </c>
      <c r="K57" s="67">
        <v>1.96</v>
      </c>
      <c r="L57" s="67">
        <v>2.0699999999999998</v>
      </c>
      <c r="M57" s="67">
        <v>2.19</v>
      </c>
      <c r="N57" s="67">
        <v>1.51</v>
      </c>
      <c r="O57" s="67">
        <v>1.6522049999999999</v>
      </c>
      <c r="P57" s="67">
        <v>1.4751430000000001</v>
      </c>
      <c r="Q57" s="67">
        <v>1.6420619999999999</v>
      </c>
      <c r="R57" s="67">
        <v>1.637329</v>
      </c>
      <c r="S57" s="67">
        <v>1.7761629999999999</v>
      </c>
      <c r="T57" s="67">
        <v>1.8025059999999999</v>
      </c>
      <c r="U57" s="67">
        <v>1.6899040000000001</v>
      </c>
      <c r="V57" s="67">
        <v>2.1198640000000002</v>
      </c>
      <c r="W57" s="67">
        <v>2.1611150000000001</v>
      </c>
    </row>
    <row r="58" spans="2:23">
      <c r="B58" s="53"/>
      <c r="C58" s="66"/>
      <c r="D58" s="66"/>
      <c r="E58" s="66"/>
      <c r="F58" s="66"/>
      <c r="G58" s="66"/>
      <c r="H58" s="66"/>
      <c r="I58" s="66"/>
      <c r="J58" s="66"/>
      <c r="K58" s="66"/>
      <c r="L58" s="66"/>
      <c r="M58" s="66"/>
      <c r="N58" s="66"/>
      <c r="O58" s="66"/>
      <c r="P58" s="66"/>
      <c r="Q58" s="66"/>
      <c r="R58" s="66"/>
      <c r="S58" s="66"/>
      <c r="T58" s="66"/>
      <c r="U58" s="66"/>
      <c r="V58" s="66"/>
      <c r="W58" s="66"/>
    </row>
    <row r="59" spans="2:23">
      <c r="B59" s="62" t="s">
        <v>325</v>
      </c>
      <c r="C59" s="63">
        <v>3909</v>
      </c>
      <c r="D59" s="63">
        <v>3945</v>
      </c>
      <c r="E59" s="63">
        <v>6317</v>
      </c>
      <c r="F59" s="63">
        <v>6368</v>
      </c>
      <c r="G59" s="63">
        <v>6361.4</v>
      </c>
      <c r="H59" s="63">
        <v>6241</v>
      </c>
      <c r="I59" s="63">
        <v>7286</v>
      </c>
      <c r="J59" s="63">
        <v>7614</v>
      </c>
      <c r="K59" s="63">
        <v>7411</v>
      </c>
      <c r="L59" s="63">
        <v>7274</v>
      </c>
      <c r="M59" s="63">
        <v>6939</v>
      </c>
      <c r="N59" s="63">
        <v>6750</v>
      </c>
      <c r="O59" s="63">
        <v>7045</v>
      </c>
      <c r="P59" s="63">
        <v>8074</v>
      </c>
      <c r="Q59" s="63">
        <v>7870</v>
      </c>
      <c r="R59" s="63">
        <v>7508</v>
      </c>
      <c r="S59" s="63">
        <v>6895</v>
      </c>
      <c r="T59" s="63">
        <v>6424</v>
      </c>
      <c r="U59" s="63">
        <v>6257</v>
      </c>
      <c r="V59" s="63">
        <v>6159</v>
      </c>
      <c r="W59" s="63">
        <v>6058</v>
      </c>
    </row>
    <row r="60" spans="2:23">
      <c r="B60" s="53" t="s">
        <v>326</v>
      </c>
      <c r="C60" s="67">
        <v>0.56666700000000003</v>
      </c>
      <c r="D60" s="67">
        <v>0.85</v>
      </c>
      <c r="E60" s="67">
        <v>0.78</v>
      </c>
      <c r="F60" s="67">
        <v>0.59</v>
      </c>
      <c r="G60" s="67">
        <v>1.22</v>
      </c>
      <c r="H60" s="67">
        <v>1.46</v>
      </c>
      <c r="I60" s="67">
        <v>0.54</v>
      </c>
      <c r="J60" s="67">
        <v>1.49</v>
      </c>
      <c r="K60" s="67">
        <v>1.0900000000000001</v>
      </c>
      <c r="L60" s="67">
        <v>2.66</v>
      </c>
      <c r="M60" s="67">
        <v>1.17</v>
      </c>
      <c r="N60" s="67">
        <v>1.2</v>
      </c>
      <c r="O60" s="67">
        <v>1.23</v>
      </c>
      <c r="P60" s="67">
        <v>1.02</v>
      </c>
      <c r="Q60" s="67">
        <v>1.27</v>
      </c>
      <c r="R60" s="67">
        <v>1.94</v>
      </c>
      <c r="S60" s="67">
        <v>3.19</v>
      </c>
      <c r="T60" s="67">
        <v>1.42</v>
      </c>
      <c r="U60" s="67">
        <v>1.1100000000000001</v>
      </c>
      <c r="V60" s="67">
        <v>1.17</v>
      </c>
      <c r="W60" s="67">
        <v>3.52</v>
      </c>
    </row>
    <row r="61" spans="2:23">
      <c r="B61" s="53" t="s">
        <v>327</v>
      </c>
      <c r="C61" s="67">
        <v>0.53333299999999995</v>
      </c>
      <c r="D61" s="67">
        <v>0.49333300000000002</v>
      </c>
      <c r="E61" s="67">
        <v>0.79</v>
      </c>
      <c r="F61" s="67">
        <v>0.59</v>
      </c>
      <c r="G61" s="67">
        <v>1.18</v>
      </c>
      <c r="H61" s="67">
        <v>1.47</v>
      </c>
      <c r="I61" s="67">
        <v>0.22</v>
      </c>
      <c r="J61" s="67">
        <v>1.49</v>
      </c>
      <c r="K61" s="67">
        <v>1.02</v>
      </c>
      <c r="L61" s="67">
        <v>1.52</v>
      </c>
      <c r="M61" s="67">
        <v>1.18</v>
      </c>
      <c r="N61" s="67">
        <v>1.19</v>
      </c>
      <c r="O61" s="67">
        <v>1.23</v>
      </c>
      <c r="P61" s="67">
        <v>1.01</v>
      </c>
      <c r="Q61" s="67">
        <v>1.06</v>
      </c>
      <c r="R61" s="67">
        <v>1.2</v>
      </c>
      <c r="S61" s="67">
        <v>1.65</v>
      </c>
      <c r="T61" s="67">
        <v>1.412528</v>
      </c>
      <c r="U61" s="67">
        <v>1.1100000000000001</v>
      </c>
      <c r="V61" s="67">
        <v>1.17</v>
      </c>
      <c r="W61" s="67">
        <v>3.52</v>
      </c>
    </row>
    <row r="62" spans="2:23">
      <c r="B62" s="53" t="s">
        <v>328</v>
      </c>
      <c r="C62" s="67">
        <v>0.53</v>
      </c>
      <c r="D62" s="67">
        <v>0.49333300000000002</v>
      </c>
      <c r="E62" s="67">
        <v>0.82</v>
      </c>
      <c r="F62" s="67">
        <v>1.02</v>
      </c>
      <c r="G62" s="67">
        <v>1.27</v>
      </c>
      <c r="H62" s="67">
        <v>1.59</v>
      </c>
      <c r="I62" s="67">
        <v>1.75</v>
      </c>
      <c r="J62" s="67">
        <v>1.78</v>
      </c>
      <c r="K62" s="67">
        <v>1.95</v>
      </c>
      <c r="L62" s="67">
        <v>2.0699999999999998</v>
      </c>
      <c r="M62" s="67">
        <v>2.17</v>
      </c>
      <c r="N62" s="67">
        <v>1.51</v>
      </c>
      <c r="O62" s="67">
        <v>1.650298</v>
      </c>
      <c r="P62" s="67">
        <v>1.4654430000000001</v>
      </c>
      <c r="Q62" s="67">
        <v>1.629759</v>
      </c>
      <c r="R62" s="67">
        <v>1.625413</v>
      </c>
      <c r="S62" s="67">
        <v>1.7605150000000001</v>
      </c>
      <c r="T62" s="67">
        <v>1.778608</v>
      </c>
      <c r="U62" s="67">
        <v>1.667751</v>
      </c>
      <c r="V62" s="67">
        <v>2.0975609999999998</v>
      </c>
      <c r="W62" s="67">
        <v>2.1328849999999999</v>
      </c>
    </row>
    <row r="63" spans="2:23">
      <c r="B63" s="53"/>
      <c r="C63" s="66"/>
      <c r="D63" s="66"/>
      <c r="E63" s="66"/>
      <c r="F63" s="66"/>
      <c r="G63" s="66"/>
      <c r="H63" s="66"/>
      <c r="I63" s="66"/>
      <c r="J63" s="66"/>
      <c r="K63" s="66"/>
      <c r="L63" s="66"/>
      <c r="M63" s="66"/>
      <c r="N63" s="66"/>
      <c r="O63" s="66"/>
      <c r="P63" s="66"/>
      <c r="Q63" s="66"/>
      <c r="R63" s="66"/>
      <c r="S63" s="66"/>
      <c r="T63" s="66"/>
      <c r="U63" s="66"/>
      <c r="V63" s="66"/>
      <c r="W63" s="66"/>
    </row>
    <row r="64" spans="2:23">
      <c r="B64" s="53" t="s">
        <v>329</v>
      </c>
      <c r="C64" s="66"/>
      <c r="D64" s="66"/>
      <c r="E64" s="66"/>
      <c r="F64" s="66"/>
      <c r="G64" s="66"/>
      <c r="H64" s="66"/>
      <c r="I64" s="66"/>
      <c r="J64" s="66"/>
      <c r="K64" s="66"/>
      <c r="L64" s="66"/>
      <c r="M64" s="66"/>
      <c r="N64" s="66"/>
      <c r="O64" s="66"/>
      <c r="P64" s="66"/>
      <c r="Q64" s="66"/>
      <c r="R64" s="66"/>
      <c r="S64" s="66"/>
      <c r="T64" s="66"/>
      <c r="U64" s="66"/>
      <c r="V64" s="66"/>
      <c r="W64" s="66"/>
    </row>
    <row r="65" spans="2:23">
      <c r="B65" s="62" t="s">
        <v>330</v>
      </c>
      <c r="C65" s="68" t="s">
        <v>331</v>
      </c>
      <c r="D65" s="68" t="s">
        <v>331</v>
      </c>
      <c r="E65" s="68" t="s">
        <v>331</v>
      </c>
      <c r="F65" s="68" t="s">
        <v>331</v>
      </c>
      <c r="G65" s="68" t="s">
        <v>331</v>
      </c>
      <c r="H65" s="68" t="s">
        <v>331</v>
      </c>
      <c r="I65" s="68" t="s">
        <v>331</v>
      </c>
      <c r="J65" s="68" t="s">
        <v>331</v>
      </c>
      <c r="K65" s="68" t="s">
        <v>331</v>
      </c>
      <c r="L65" s="68" t="s">
        <v>331</v>
      </c>
      <c r="M65" s="68" t="s">
        <v>331</v>
      </c>
      <c r="N65" s="68" t="s">
        <v>331</v>
      </c>
      <c r="O65" s="68" t="s">
        <v>331</v>
      </c>
      <c r="P65" s="68" t="s">
        <v>331</v>
      </c>
      <c r="Q65" s="68" t="s">
        <v>331</v>
      </c>
      <c r="R65" s="68" t="s">
        <v>331</v>
      </c>
      <c r="S65" s="68" t="s">
        <v>331</v>
      </c>
      <c r="T65" s="68" t="s">
        <v>331</v>
      </c>
      <c r="U65" s="68" t="s">
        <v>331</v>
      </c>
      <c r="V65" s="68" t="s">
        <v>331</v>
      </c>
      <c r="W65" s="68" t="s">
        <v>331</v>
      </c>
    </row>
    <row r="66" spans="2:23">
      <c r="B66" s="62" t="s">
        <v>12</v>
      </c>
      <c r="C66" s="63">
        <v>3501</v>
      </c>
      <c r="D66" s="63">
        <v>3083</v>
      </c>
      <c r="E66" s="63">
        <v>7971</v>
      </c>
      <c r="F66" s="63">
        <v>9658</v>
      </c>
      <c r="G66" s="63">
        <v>11776</v>
      </c>
      <c r="H66" s="63">
        <v>13352</v>
      </c>
      <c r="I66" s="63">
        <v>20115</v>
      </c>
      <c r="J66" s="63">
        <v>22181</v>
      </c>
      <c r="K66" s="63">
        <v>19781</v>
      </c>
      <c r="L66" s="63">
        <v>19575</v>
      </c>
      <c r="M66" s="63">
        <v>19980</v>
      </c>
      <c r="N66" s="63">
        <v>22146</v>
      </c>
      <c r="O66" s="63">
        <v>20772</v>
      </c>
      <c r="P66" s="63">
        <v>26398</v>
      </c>
      <c r="Q66" s="63">
        <v>28229</v>
      </c>
      <c r="R66" s="63">
        <v>25737</v>
      </c>
      <c r="S66" s="63">
        <v>23298</v>
      </c>
      <c r="T66" s="63">
        <v>21002</v>
      </c>
      <c r="U66" s="63">
        <v>20566</v>
      </c>
      <c r="V66" s="63">
        <v>24248</v>
      </c>
      <c r="W66" s="63">
        <v>22185</v>
      </c>
    </row>
    <row r="67" spans="2:23">
      <c r="B67" s="62" t="s">
        <v>332</v>
      </c>
      <c r="C67" s="69">
        <v>27.999040000000001</v>
      </c>
      <c r="D67" s="69">
        <v>22.762847000000001</v>
      </c>
      <c r="E67" s="69">
        <v>29.116745000000002</v>
      </c>
      <c r="F67" s="69">
        <v>32.900697999999998</v>
      </c>
      <c r="G67" s="69">
        <v>40.573318999999998</v>
      </c>
      <c r="H67" s="69">
        <v>41.244247000000001</v>
      </c>
      <c r="I67" s="69">
        <v>44.514029999999998</v>
      </c>
      <c r="J67" s="69">
        <v>42.236651999999999</v>
      </c>
      <c r="K67" s="69">
        <v>41.727665999999999</v>
      </c>
      <c r="L67" s="69">
        <v>40.468463</v>
      </c>
      <c r="M67" s="69">
        <v>41.265644999999999</v>
      </c>
      <c r="N67" s="69">
        <v>45.854728999999999</v>
      </c>
      <c r="O67" s="69">
        <v>41.598911000000001</v>
      </c>
      <c r="P67" s="69">
        <v>39.377079000000002</v>
      </c>
      <c r="Q67" s="69">
        <v>43.256869000000002</v>
      </c>
      <c r="R67" s="69">
        <v>47.088205000000002</v>
      </c>
      <c r="S67" s="69">
        <v>45.281039</v>
      </c>
      <c r="T67" s="69">
        <v>42.338473999999998</v>
      </c>
      <c r="U67" s="69">
        <v>42.099445000000003</v>
      </c>
      <c r="V67" s="69">
        <v>45.903376999999999</v>
      </c>
      <c r="W67" s="69">
        <v>42.220149999999997</v>
      </c>
    </row>
    <row r="68" spans="2:23">
      <c r="B68" s="62" t="s">
        <v>333</v>
      </c>
      <c r="C68" s="63">
        <v>3138</v>
      </c>
      <c r="D68" s="63" t="s">
        <v>277</v>
      </c>
      <c r="E68" s="63" t="s">
        <v>277</v>
      </c>
      <c r="F68" s="63" t="s">
        <v>277</v>
      </c>
      <c r="G68" s="63" t="s">
        <v>277</v>
      </c>
      <c r="H68" s="63" t="s">
        <v>277</v>
      </c>
      <c r="I68" s="63" t="s">
        <v>277</v>
      </c>
      <c r="J68" s="63" t="s">
        <v>277</v>
      </c>
      <c r="K68" s="63" t="s">
        <v>277</v>
      </c>
      <c r="L68" s="63" t="s">
        <v>277</v>
      </c>
      <c r="M68" s="63" t="s">
        <v>277</v>
      </c>
      <c r="N68" s="63" t="s">
        <v>277</v>
      </c>
      <c r="O68" s="63">
        <v>19015</v>
      </c>
      <c r="P68" s="63">
        <v>23415</v>
      </c>
      <c r="Q68" s="63">
        <v>24907</v>
      </c>
      <c r="R68" s="63">
        <v>23191</v>
      </c>
      <c r="S68" s="63">
        <v>21487</v>
      </c>
      <c r="T68" s="63">
        <v>19504</v>
      </c>
      <c r="U68" s="63">
        <v>19137</v>
      </c>
      <c r="V68" s="63">
        <v>22547</v>
      </c>
      <c r="W68" s="63">
        <v>20674</v>
      </c>
    </row>
    <row r="69" spans="2:23">
      <c r="B69" s="62" t="s">
        <v>15</v>
      </c>
      <c r="C69" s="63">
        <v>3073</v>
      </c>
      <c r="D69" s="63">
        <v>2594</v>
      </c>
      <c r="E69" s="63">
        <v>7066</v>
      </c>
      <c r="F69" s="63">
        <v>8690</v>
      </c>
      <c r="G69" s="63">
        <v>10708</v>
      </c>
      <c r="H69" s="63">
        <v>12316</v>
      </c>
      <c r="I69" s="63">
        <v>16090</v>
      </c>
      <c r="J69" s="63">
        <v>17088</v>
      </c>
      <c r="K69" s="63">
        <v>14205</v>
      </c>
      <c r="L69" s="63">
        <v>14282</v>
      </c>
      <c r="M69" s="63">
        <v>14780</v>
      </c>
      <c r="N69" s="63">
        <v>17056</v>
      </c>
      <c r="O69" s="63">
        <v>16015</v>
      </c>
      <c r="P69" s="63">
        <v>17911</v>
      </c>
      <c r="Q69" s="63">
        <v>19322</v>
      </c>
      <c r="R69" s="63">
        <v>18082</v>
      </c>
      <c r="S69" s="63">
        <v>16888</v>
      </c>
      <c r="T69" s="63">
        <v>15465</v>
      </c>
      <c r="U69" s="63">
        <v>15409</v>
      </c>
      <c r="V69" s="63">
        <v>18491</v>
      </c>
      <c r="W69" s="63">
        <v>15916</v>
      </c>
    </row>
    <row r="70" spans="2:23">
      <c r="B70" s="62" t="s">
        <v>334</v>
      </c>
      <c r="C70" s="69">
        <v>85.796544999999995</v>
      </c>
      <c r="D70" s="69">
        <v>84.539278999999993</v>
      </c>
      <c r="E70" s="69">
        <v>80.040912000000006</v>
      </c>
      <c r="F70" s="69">
        <v>82.943280999999999</v>
      </c>
      <c r="G70" s="69">
        <v>86.828142</v>
      </c>
      <c r="H70" s="69">
        <v>87.505020000000002</v>
      </c>
      <c r="I70" s="69">
        <v>84.659644</v>
      </c>
      <c r="J70" s="69">
        <v>85.640567000000004</v>
      </c>
      <c r="K70" s="69">
        <v>84.744225</v>
      </c>
      <c r="L70" s="69">
        <v>84.205411999999995</v>
      </c>
      <c r="M70" s="69">
        <v>84.003883000000002</v>
      </c>
      <c r="N70" s="69">
        <v>85.423222999999993</v>
      </c>
      <c r="O70" s="69">
        <v>82.679136</v>
      </c>
      <c r="P70" s="69">
        <v>77.501155999999995</v>
      </c>
      <c r="Q70" s="69">
        <v>79.674834000000004</v>
      </c>
      <c r="R70" s="69">
        <v>82.631685000000004</v>
      </c>
      <c r="S70" s="69">
        <v>82.022079000000005</v>
      </c>
      <c r="T70" s="69">
        <v>81.576453999999998</v>
      </c>
      <c r="U70" s="69">
        <v>80.690262000000004</v>
      </c>
      <c r="V70" s="69">
        <v>77.983491999999998</v>
      </c>
      <c r="W70" s="69">
        <v>78.772885000000002</v>
      </c>
    </row>
    <row r="71" spans="2:23">
      <c r="B71" s="62" t="s">
        <v>335</v>
      </c>
      <c r="C71" s="69">
        <v>24.576136000000002</v>
      </c>
      <c r="D71" s="69">
        <v>19.152391999999999</v>
      </c>
      <c r="E71" s="69">
        <v>25.810929000000002</v>
      </c>
      <c r="F71" s="69">
        <v>29.603134000000001</v>
      </c>
      <c r="G71" s="69">
        <v>36.893605000000001</v>
      </c>
      <c r="H71" s="69">
        <v>38.044049000000001</v>
      </c>
      <c r="I71" s="69">
        <v>35.606797999999998</v>
      </c>
      <c r="J71" s="69">
        <v>32.538654999999999</v>
      </c>
      <c r="K71" s="69">
        <v>29.965194</v>
      </c>
      <c r="L71" s="69">
        <v>29.525956000000001</v>
      </c>
      <c r="M71" s="69">
        <v>30.525836999999999</v>
      </c>
      <c r="N71" s="69">
        <v>35.315553999999999</v>
      </c>
      <c r="O71" s="69">
        <v>32.072335000000002</v>
      </c>
      <c r="P71" s="69">
        <v>26.717283999999999</v>
      </c>
      <c r="Q71" s="69">
        <v>29.608177000000001</v>
      </c>
      <c r="R71" s="69">
        <v>33.082678999999999</v>
      </c>
      <c r="S71" s="69">
        <v>32.822825000000002</v>
      </c>
      <c r="T71" s="69">
        <v>31.176293000000001</v>
      </c>
      <c r="U71" s="69">
        <v>31.542854999999999</v>
      </c>
      <c r="V71" s="69">
        <v>35.004922000000001</v>
      </c>
      <c r="W71" s="69">
        <v>30.289650999999999</v>
      </c>
    </row>
    <row r="72" spans="2:23">
      <c r="B72" s="62" t="s">
        <v>336</v>
      </c>
      <c r="C72" s="69">
        <v>17.698336999999999</v>
      </c>
      <c r="D72" s="69">
        <v>24.741582999999999</v>
      </c>
      <c r="E72" s="69">
        <v>18.088837000000002</v>
      </c>
      <c r="F72" s="69">
        <v>12.692897</v>
      </c>
      <c r="G72" s="69">
        <v>26.832965999999999</v>
      </c>
      <c r="H72" s="69">
        <v>28.190158</v>
      </c>
      <c r="I72" s="69">
        <v>8.6527399999999997</v>
      </c>
      <c r="J72" s="69">
        <v>21.633406999999998</v>
      </c>
      <c r="K72" s="69">
        <v>17.055163</v>
      </c>
      <c r="L72" s="69">
        <v>39.976432000000003</v>
      </c>
      <c r="M72" s="69">
        <v>16.820191000000001</v>
      </c>
      <c r="N72" s="69">
        <v>16.779858000000001</v>
      </c>
      <c r="O72" s="69">
        <v>23.194617000000001</v>
      </c>
      <c r="P72" s="69">
        <v>17.687093000000001</v>
      </c>
      <c r="Q72" s="69">
        <v>19.673915000000001</v>
      </c>
      <c r="R72" s="69">
        <v>22.297235000000001</v>
      </c>
      <c r="S72" s="69">
        <v>23.522894999999998</v>
      </c>
      <c r="T72" s="69">
        <v>23.059570999999998</v>
      </c>
      <c r="U72" s="69">
        <v>21.368753999999999</v>
      </c>
      <c r="V72" s="69">
        <v>24.439364999999999</v>
      </c>
      <c r="W72" s="69">
        <v>24.555358999999999</v>
      </c>
    </row>
    <row r="73" spans="2:23">
      <c r="B73" s="62" t="s">
        <v>337</v>
      </c>
      <c r="C73" s="69">
        <v>254146.34146299999</v>
      </c>
      <c r="D73" s="69" t="s">
        <v>277</v>
      </c>
      <c r="E73" s="69" t="s">
        <v>277</v>
      </c>
      <c r="F73" s="69">
        <v>326166.66666699998</v>
      </c>
      <c r="G73" s="69">
        <v>322488.88888899999</v>
      </c>
      <c r="H73" s="69">
        <v>330336.73469399998</v>
      </c>
      <c r="I73" s="69">
        <v>370393.44262300001</v>
      </c>
      <c r="J73" s="69">
        <v>456660.869565</v>
      </c>
      <c r="K73" s="69" t="s">
        <v>277</v>
      </c>
      <c r="L73" s="69" t="s">
        <v>277</v>
      </c>
      <c r="M73" s="69" t="s">
        <v>277</v>
      </c>
      <c r="N73" s="69" t="s">
        <v>277</v>
      </c>
      <c r="O73" s="69" t="s">
        <v>277</v>
      </c>
      <c r="P73" s="69">
        <v>606139.240506</v>
      </c>
      <c r="Q73" s="69">
        <v>629305.68948900001</v>
      </c>
      <c r="R73" s="69">
        <v>597344.26229500002</v>
      </c>
      <c r="S73" s="69">
        <v>662187.90218800004</v>
      </c>
      <c r="T73" s="69">
        <v>633524.90421499999</v>
      </c>
      <c r="U73" s="69">
        <v>498988.76404500002</v>
      </c>
      <c r="V73" s="69">
        <v>547398.96373099997</v>
      </c>
      <c r="W73" s="69">
        <v>582549.88913499995</v>
      </c>
    </row>
    <row r="74" spans="2:23">
      <c r="B74" s="62" t="s">
        <v>338</v>
      </c>
      <c r="C74" s="69">
        <v>0.22666700000000001</v>
      </c>
      <c r="D74" s="69">
        <v>0.25333299999999997</v>
      </c>
      <c r="E74" s="69">
        <v>0.31</v>
      </c>
      <c r="F74" s="69">
        <v>0.36</v>
      </c>
      <c r="G74" s="69">
        <v>0.44</v>
      </c>
      <c r="H74" s="69">
        <v>0.52</v>
      </c>
      <c r="I74" s="69">
        <v>0.6</v>
      </c>
      <c r="J74" s="69">
        <v>0.68</v>
      </c>
      <c r="K74" s="69">
        <v>0.76</v>
      </c>
      <c r="L74" s="69">
        <v>0.96</v>
      </c>
      <c r="M74" s="69">
        <v>1.1599999999999999</v>
      </c>
      <c r="N74" s="69">
        <v>1.28</v>
      </c>
      <c r="O74" s="69">
        <v>0.8</v>
      </c>
      <c r="P74" s="69">
        <v>0.72</v>
      </c>
      <c r="Q74" s="69">
        <v>0.8</v>
      </c>
      <c r="R74" s="69">
        <v>0.88</v>
      </c>
      <c r="S74" s="69">
        <v>0.96</v>
      </c>
      <c r="T74" s="69">
        <v>1.04</v>
      </c>
      <c r="U74" s="69">
        <v>1.1200000000000001</v>
      </c>
      <c r="V74" s="69">
        <v>1.2</v>
      </c>
      <c r="W74" s="69">
        <v>1.28</v>
      </c>
    </row>
    <row r="75" spans="2:23">
      <c r="B75" s="62" t="s">
        <v>339</v>
      </c>
      <c r="C75" s="63">
        <v>881</v>
      </c>
      <c r="D75" s="63">
        <v>976</v>
      </c>
      <c r="E75" s="63">
        <v>1820</v>
      </c>
      <c r="F75" s="63">
        <v>2197</v>
      </c>
      <c r="G75" s="63">
        <v>2869</v>
      </c>
      <c r="H75" s="63">
        <v>3189.1309999999999</v>
      </c>
      <c r="I75" s="63">
        <v>4327.665</v>
      </c>
      <c r="J75" s="63">
        <v>5243</v>
      </c>
      <c r="K75" s="63">
        <v>5555</v>
      </c>
      <c r="L75" s="63">
        <v>6919</v>
      </c>
      <c r="M75" s="63">
        <v>7975</v>
      </c>
      <c r="N75" s="63">
        <v>8610.56</v>
      </c>
      <c r="O75" s="63">
        <v>5605.6</v>
      </c>
      <c r="P75" s="63">
        <v>5964</v>
      </c>
      <c r="Q75" s="63">
        <v>6512</v>
      </c>
      <c r="R75" s="63">
        <v>6548.96</v>
      </c>
      <c r="S75" s="63">
        <v>6540.48</v>
      </c>
      <c r="T75" s="63">
        <v>6599.84</v>
      </c>
      <c r="U75" s="63">
        <v>6917.12</v>
      </c>
      <c r="V75" s="63">
        <v>7306.8</v>
      </c>
      <c r="W75" s="63">
        <v>7641.6</v>
      </c>
    </row>
    <row r="76" spans="2:23">
      <c r="B76" s="62" t="s">
        <v>340</v>
      </c>
      <c r="C76" s="63">
        <v>2</v>
      </c>
      <c r="D76" s="63" t="s">
        <v>277</v>
      </c>
      <c r="E76" s="63">
        <v>40</v>
      </c>
      <c r="F76" s="63">
        <v>46</v>
      </c>
      <c r="G76" s="63">
        <v>56</v>
      </c>
      <c r="H76" s="63">
        <v>28</v>
      </c>
      <c r="I76" s="63">
        <v>20</v>
      </c>
      <c r="J76" s="63">
        <v>12</v>
      </c>
      <c r="K76" s="63">
        <v>17</v>
      </c>
      <c r="L76" s="63">
        <v>29</v>
      </c>
      <c r="M76" s="63">
        <v>43</v>
      </c>
      <c r="N76" s="63">
        <v>46</v>
      </c>
      <c r="O76" s="63">
        <v>34</v>
      </c>
      <c r="P76" s="63">
        <v>36</v>
      </c>
      <c r="Q76" s="63">
        <v>50</v>
      </c>
      <c r="R76" s="63">
        <v>41</v>
      </c>
      <c r="S76" s="63">
        <v>32</v>
      </c>
      <c r="T76" s="63">
        <v>41</v>
      </c>
      <c r="U76" s="63">
        <v>32</v>
      </c>
      <c r="V76" s="63">
        <v>61</v>
      </c>
      <c r="W76" s="63">
        <v>72</v>
      </c>
    </row>
    <row r="77" spans="2:23">
      <c r="B77" s="62" t="s">
        <v>341</v>
      </c>
      <c r="C77" s="63">
        <v>363</v>
      </c>
      <c r="D77" s="63" t="s">
        <v>277</v>
      </c>
      <c r="E77" s="63" t="s">
        <v>277</v>
      </c>
      <c r="F77" s="63" t="s">
        <v>277</v>
      </c>
      <c r="G77" s="63" t="s">
        <v>277</v>
      </c>
      <c r="H77" s="63" t="s">
        <v>277</v>
      </c>
      <c r="I77" s="63" t="s">
        <v>277</v>
      </c>
      <c r="J77" s="63" t="s">
        <v>277</v>
      </c>
      <c r="K77" s="63" t="s">
        <v>277</v>
      </c>
      <c r="L77" s="63" t="s">
        <v>277</v>
      </c>
      <c r="M77" s="63" t="s">
        <v>277</v>
      </c>
      <c r="N77" s="63" t="s">
        <v>277</v>
      </c>
      <c r="O77" s="63" t="s">
        <v>277</v>
      </c>
      <c r="P77" s="63" t="s">
        <v>277</v>
      </c>
      <c r="Q77" s="63" t="s">
        <v>277</v>
      </c>
      <c r="R77" s="63" t="s">
        <v>277</v>
      </c>
      <c r="S77" s="63" t="s">
        <v>277</v>
      </c>
      <c r="T77" s="63" t="s">
        <v>277</v>
      </c>
      <c r="U77" s="63" t="s">
        <v>277</v>
      </c>
      <c r="V77" s="63" t="s">
        <v>277</v>
      </c>
      <c r="W77" s="63" t="s">
        <v>277</v>
      </c>
    </row>
    <row r="78" spans="2:23">
      <c r="B78" s="62" t="s">
        <v>342</v>
      </c>
      <c r="C78" s="63" t="s">
        <v>277</v>
      </c>
      <c r="D78" s="63" t="s">
        <v>277</v>
      </c>
      <c r="E78" s="63">
        <v>295</v>
      </c>
      <c r="F78" s="63">
        <v>292</v>
      </c>
      <c r="G78" s="63">
        <v>280</v>
      </c>
      <c r="H78" s="63">
        <v>341</v>
      </c>
      <c r="I78" s="63">
        <v>634</v>
      </c>
      <c r="J78" s="63">
        <v>708</v>
      </c>
      <c r="K78" s="63">
        <v>410</v>
      </c>
      <c r="L78" s="63">
        <v>420</v>
      </c>
      <c r="M78" s="63">
        <v>398</v>
      </c>
      <c r="N78" s="63">
        <v>370</v>
      </c>
      <c r="O78" s="63">
        <v>364</v>
      </c>
      <c r="P78" s="63">
        <v>387</v>
      </c>
      <c r="Q78" s="63">
        <v>380</v>
      </c>
      <c r="R78" s="63">
        <v>335</v>
      </c>
      <c r="S78" s="63">
        <v>233</v>
      </c>
      <c r="T78" s="63">
        <v>216</v>
      </c>
      <c r="U78" s="63">
        <v>243</v>
      </c>
      <c r="V78" s="63">
        <v>292</v>
      </c>
      <c r="W78" s="63">
        <v>314</v>
      </c>
    </row>
    <row r="79" spans="2:23">
      <c r="B79" s="70" t="s">
        <v>343</v>
      </c>
      <c r="C79" s="70"/>
      <c r="D79" s="70"/>
      <c r="E79" s="70"/>
      <c r="F79" s="70"/>
      <c r="G79" s="70"/>
      <c r="H79" s="70"/>
      <c r="I79" s="70"/>
      <c r="J79" s="70"/>
      <c r="K79" s="70"/>
      <c r="L79" s="70"/>
      <c r="M79" s="70"/>
      <c r="N79" s="70"/>
      <c r="O79" s="70"/>
      <c r="P79" s="70"/>
      <c r="Q79" s="70"/>
      <c r="R79" s="70"/>
      <c r="S79" s="70"/>
      <c r="T79" s="70"/>
      <c r="U79" s="70"/>
      <c r="V79" s="70"/>
      <c r="W79" s="70"/>
    </row>
  </sheetData>
  <phoneticPr fontId="1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FE54A-C0B8-4FA4-B8C0-89A5C0077847}">
  <sheetPr>
    <tabColor theme="2" tint="-0.249977111117893"/>
  </sheetPr>
  <dimension ref="D2:S56"/>
  <sheetViews>
    <sheetView showGridLines="0" zoomScale="55" zoomScaleNormal="55" workbookViewId="0">
      <selection activeCell="AB47" sqref="AB47"/>
    </sheetView>
  </sheetViews>
  <sheetFormatPr baseColWidth="10" defaultColWidth="9.1640625" defaultRowHeight="15"/>
  <cols>
    <col min="1" max="4" width="9.1640625" style="10"/>
    <col min="5" max="5" width="31.33203125" style="10" customWidth="1"/>
    <col min="6" max="6" width="14.1640625" style="10" customWidth="1"/>
    <col min="7" max="7" width="9.5" style="10" bestFit="1" customWidth="1"/>
    <col min="8" max="8" width="9.1640625" style="10"/>
    <col min="9" max="9" width="9" style="10" bestFit="1" customWidth="1"/>
    <col min="10" max="10" width="9.5" style="10" bestFit="1" customWidth="1"/>
    <col min="11" max="13" width="9.1640625" style="10"/>
    <col min="14" max="14" width="17.1640625" style="10" customWidth="1"/>
    <col min="15" max="15" width="11.83203125" style="10" bestFit="1" customWidth="1"/>
    <col min="16" max="16" width="8.83203125" style="10" customWidth="1"/>
    <col min="17" max="16384" width="9.1640625" style="10"/>
  </cols>
  <sheetData>
    <row r="2" spans="4:19" ht="24">
      <c r="D2" s="441" t="s">
        <v>382</v>
      </c>
      <c r="E2" s="444"/>
      <c r="F2" s="445"/>
      <c r="G2" s="446"/>
      <c r="H2" s="13"/>
    </row>
    <row r="4" spans="4:19" ht="16" thickBot="1"/>
    <row r="5" spans="4:19" ht="16" thickBot="1">
      <c r="E5" s="196" t="s">
        <v>406</v>
      </c>
      <c r="F5" s="197"/>
      <c r="G5" s="197"/>
      <c r="H5" s="198"/>
      <c r="I5" s="199" t="s">
        <v>138</v>
      </c>
      <c r="J5" s="199" t="s">
        <v>139</v>
      </c>
      <c r="K5" s="199" t="s">
        <v>140</v>
      </c>
      <c r="L5" s="199" t="s">
        <v>141</v>
      </c>
      <c r="M5" s="199" t="s">
        <v>142</v>
      </c>
      <c r="N5" s="200" t="s">
        <v>143</v>
      </c>
      <c r="O5" s="199" t="s">
        <v>144</v>
      </c>
      <c r="P5" s="199" t="s">
        <v>145</v>
      </c>
      <c r="Q5" s="199" t="s">
        <v>146</v>
      </c>
      <c r="R5" s="199" t="s">
        <v>147</v>
      </c>
      <c r="S5" s="199" t="s">
        <v>148</v>
      </c>
    </row>
    <row r="6" spans="4:19" ht="16" thickBot="1">
      <c r="E6" s="14"/>
      <c r="F6" s="8"/>
      <c r="G6" s="8"/>
      <c r="H6" s="8"/>
      <c r="I6" s="8"/>
      <c r="J6" s="8"/>
      <c r="K6" s="8"/>
      <c r="L6" s="8"/>
      <c r="M6" s="8"/>
      <c r="N6" s="8"/>
      <c r="O6" s="8"/>
      <c r="P6" s="8"/>
      <c r="Q6" s="8"/>
      <c r="R6" s="8"/>
      <c r="S6" s="15"/>
    </row>
    <row r="7" spans="4:19" ht="16" thickBot="1">
      <c r="E7" s="196" t="s">
        <v>149</v>
      </c>
      <c r="F7" s="197"/>
      <c r="G7" s="197"/>
      <c r="H7" s="198"/>
      <c r="I7" s="16">
        <v>12504</v>
      </c>
      <c r="J7" s="16">
        <v>13544</v>
      </c>
      <c r="K7" s="16">
        <v>27376</v>
      </c>
      <c r="L7" s="16">
        <v>29355</v>
      </c>
      <c r="M7" s="17">
        <v>29024</v>
      </c>
      <c r="N7" s="547">
        <f>MEDIAN(J10:M10)</f>
        <v>7.773149062200746E-2</v>
      </c>
      <c r="O7" s="18">
        <f>M7*($N$7+1)</f>
        <v>31280.078783813144</v>
      </c>
      <c r="P7" s="18">
        <f>($N$7+1)*O7</f>
        <v>33711.525934452773</v>
      </c>
      <c r="Q7" s="18">
        <f t="shared" ref="Q7:S7" si="0">($N$7+1)*P7</f>
        <v>36331.973096480251</v>
      </c>
      <c r="R7" s="18">
        <f t="shared" si="0"/>
        <v>39156.111522508334</v>
      </c>
      <c r="S7" s="19">
        <f t="shared" si="0"/>
        <v>42199.774438114466</v>
      </c>
    </row>
    <row r="8" spans="4:19" ht="16" thickBot="1">
      <c r="E8" s="201" t="s">
        <v>150</v>
      </c>
      <c r="F8" s="202"/>
      <c r="G8" s="202"/>
      <c r="H8" s="203"/>
      <c r="I8" s="16" t="s">
        <v>277</v>
      </c>
      <c r="J8" s="16" t="s">
        <v>277</v>
      </c>
      <c r="K8" s="16" t="s">
        <v>277</v>
      </c>
      <c r="L8" s="16" t="s">
        <v>277</v>
      </c>
      <c r="M8" s="17" t="s">
        <v>277</v>
      </c>
      <c r="N8" s="548"/>
      <c r="O8" s="20" t="s">
        <v>277</v>
      </c>
      <c r="P8" s="20" t="s">
        <v>277</v>
      </c>
      <c r="Q8" s="20" t="s">
        <v>277</v>
      </c>
      <c r="R8" s="20" t="s">
        <v>277</v>
      </c>
      <c r="S8" s="21" t="s">
        <v>277</v>
      </c>
    </row>
    <row r="9" spans="4:19" ht="16" thickBot="1">
      <c r="E9" s="201" t="s">
        <v>151</v>
      </c>
      <c r="F9" s="202"/>
      <c r="G9" s="202"/>
      <c r="H9" s="203"/>
      <c r="I9" s="16">
        <v>6206</v>
      </c>
      <c r="J9" s="22">
        <v>8856</v>
      </c>
      <c r="K9" s="22">
        <v>14846</v>
      </c>
      <c r="L9" s="22">
        <v>15658</v>
      </c>
      <c r="M9" s="20">
        <v>14493</v>
      </c>
      <c r="N9" s="549"/>
      <c r="O9" s="21">
        <f>M9*($N$7+1)</f>
        <v>15619.562493584754</v>
      </c>
      <c r="P9" s="21">
        <f>O9*($N$7+1)</f>
        <v>16833.694369074696</v>
      </c>
      <c r="Q9" s="21">
        <f t="shared" ref="Q9:S9" si="1">P9*($N$7+1)</f>
        <v>18142.202525058165</v>
      </c>
      <c r="R9" s="21">
        <f t="shared" si="1"/>
        <v>19552.422970497282</v>
      </c>
      <c r="S9" s="21">
        <f t="shared" si="1"/>
        <v>21072.261953266014</v>
      </c>
    </row>
    <row r="10" spans="4:19" ht="16" thickBot="1">
      <c r="E10" s="201" t="s">
        <v>152</v>
      </c>
      <c r="F10" s="202"/>
      <c r="G10" s="202"/>
      <c r="H10" s="203"/>
      <c r="I10" s="23"/>
      <c r="J10" s="24">
        <f>(J7/I7)-1</f>
        <v>8.3173384516954663E-2</v>
      </c>
      <c r="K10" s="24">
        <f>(K7/J7)-1</f>
        <v>1.021264028352038</v>
      </c>
      <c r="L10" s="24">
        <f>(L7/K7)-1</f>
        <v>7.2289596727060257E-2</v>
      </c>
      <c r="M10" s="25">
        <f>(M7/L7)-1</f>
        <v>-1.1275762221086727E-2</v>
      </c>
      <c r="N10" s="550"/>
      <c r="O10" s="26">
        <f>N7</f>
        <v>7.773149062200746E-2</v>
      </c>
      <c r="P10" s="26">
        <f>N7</f>
        <v>7.773149062200746E-2</v>
      </c>
      <c r="Q10" s="26">
        <f>N7</f>
        <v>7.773149062200746E-2</v>
      </c>
      <c r="R10" s="26">
        <f>N7</f>
        <v>7.773149062200746E-2</v>
      </c>
      <c r="S10" s="26">
        <f>N7</f>
        <v>7.773149062200746E-2</v>
      </c>
    </row>
    <row r="11" spans="4:19" ht="16" thickBot="1">
      <c r="E11" s="14"/>
      <c r="F11" s="8"/>
      <c r="G11" s="8"/>
      <c r="H11" s="8"/>
      <c r="I11" s="8"/>
      <c r="J11" s="8"/>
      <c r="K11" s="8"/>
      <c r="L11" s="8"/>
      <c r="M11" s="8"/>
      <c r="N11" s="8"/>
      <c r="O11" s="8"/>
      <c r="P11" s="8"/>
      <c r="Q11" s="8"/>
      <c r="R11" s="8"/>
      <c r="S11" s="15"/>
    </row>
    <row r="12" spans="4:19" ht="16" thickBot="1">
      <c r="E12" s="196" t="s">
        <v>153</v>
      </c>
      <c r="F12" s="204"/>
      <c r="G12" s="204"/>
      <c r="H12" s="205"/>
      <c r="I12" s="16">
        <v>428</v>
      </c>
      <c r="J12" s="16">
        <v>489</v>
      </c>
      <c r="K12" s="16">
        <v>905</v>
      </c>
      <c r="L12" s="16">
        <v>968</v>
      </c>
      <c r="M12" s="16">
        <v>1068</v>
      </c>
      <c r="N12" s="27">
        <f>N7</f>
        <v>7.773149062200746E-2</v>
      </c>
      <c r="O12" s="16">
        <f>M12*($N$12+1)</f>
        <v>1151.0172319843039</v>
      </c>
      <c r="P12" s="16">
        <f>O12*($N$12+1)</f>
        <v>1240.4875171580607</v>
      </c>
      <c r="Q12" s="16">
        <f t="shared" ref="Q12:S12" si="2">P12*($N$12+1)</f>
        <v>1336.9124609647497</v>
      </c>
      <c r="R12" s="16">
        <f t="shared" si="2"/>
        <v>1440.8326593866761</v>
      </c>
      <c r="S12" s="28">
        <f t="shared" si="2"/>
        <v>1552.8307297376737</v>
      </c>
    </row>
    <row r="13" spans="4:19" ht="16" thickBot="1">
      <c r="E13" s="14"/>
      <c r="F13" s="8"/>
      <c r="G13" s="8"/>
      <c r="H13" s="8"/>
      <c r="I13" s="8"/>
      <c r="J13" s="8"/>
      <c r="K13" s="8"/>
      <c r="L13" s="8"/>
      <c r="M13" s="8"/>
      <c r="N13" s="8"/>
      <c r="O13" s="8"/>
      <c r="P13" s="8"/>
      <c r="Q13" s="8"/>
      <c r="R13" s="8"/>
      <c r="S13" s="15"/>
    </row>
    <row r="14" spans="4:19" ht="16" thickBot="1">
      <c r="E14" s="196" t="s">
        <v>154</v>
      </c>
      <c r="F14" s="197"/>
      <c r="G14" s="197"/>
      <c r="H14" s="198"/>
      <c r="I14" s="22">
        <v>3073</v>
      </c>
      <c r="J14" s="22">
        <v>2594</v>
      </c>
      <c r="K14" s="22">
        <v>7066</v>
      </c>
      <c r="L14" s="22">
        <v>8690</v>
      </c>
      <c r="M14" s="20">
        <v>10708</v>
      </c>
      <c r="N14" s="551">
        <f>N7</f>
        <v>7.773149062200746E-2</v>
      </c>
      <c r="O14" s="21">
        <f>M14*($N$14+1)</f>
        <v>11540.348801580456</v>
      </c>
      <c r="P14" s="29">
        <f>O14*($N$14+1)</f>
        <v>12437.397316225202</v>
      </c>
      <c r="Q14" s="20">
        <f t="shared" ref="Q14:S14" si="3">P14*($N$14+1)</f>
        <v>13404.174749073542</v>
      </c>
      <c r="R14" s="20">
        <f t="shared" si="3"/>
        <v>14446.101232876901</v>
      </c>
      <c r="S14" s="30">
        <f t="shared" si="3"/>
        <v>15569.018215384842</v>
      </c>
    </row>
    <row r="15" spans="4:19" ht="16" thickBot="1">
      <c r="E15" s="201" t="s">
        <v>155</v>
      </c>
      <c r="F15" s="202"/>
      <c r="G15" s="202"/>
      <c r="H15" s="203"/>
      <c r="I15" s="24">
        <f>I14/I7</f>
        <v>0.24576135636596289</v>
      </c>
      <c r="J15" s="24">
        <f t="shared" ref="J15:M15" si="4">J14/J7</f>
        <v>0.19152392203189605</v>
      </c>
      <c r="K15" s="24">
        <f t="shared" si="4"/>
        <v>0.25810929281122152</v>
      </c>
      <c r="L15" s="24">
        <f t="shared" si="4"/>
        <v>0.29603134048714019</v>
      </c>
      <c r="M15" s="25">
        <f t="shared" si="4"/>
        <v>0.36893605292171994</v>
      </c>
      <c r="N15" s="552"/>
      <c r="O15" s="31">
        <f>O14/O7</f>
        <v>0.36893605292171999</v>
      </c>
      <c r="P15" s="31">
        <f t="shared" ref="P15:S15" si="5">P14/P7</f>
        <v>0.36893605292171994</v>
      </c>
      <c r="Q15" s="31">
        <f t="shared" si="5"/>
        <v>0.36893605292171988</v>
      </c>
      <c r="R15" s="31">
        <f t="shared" si="5"/>
        <v>0.36893605292171988</v>
      </c>
      <c r="S15" s="31">
        <f t="shared" si="5"/>
        <v>0.36893605292171994</v>
      </c>
    </row>
    <row r="16" spans="4:19" ht="16" thickBot="1">
      <c r="E16" s="201" t="s">
        <v>156</v>
      </c>
      <c r="F16" s="202"/>
      <c r="G16" s="202"/>
      <c r="H16" s="203"/>
      <c r="I16" s="32"/>
      <c r="J16" s="24">
        <f>(J14/I14)-1</f>
        <v>-0.15587373901724699</v>
      </c>
      <c r="K16" s="24">
        <f t="shared" ref="K16:M16" si="6">(K14/J14)-1</f>
        <v>1.7239784117193522</v>
      </c>
      <c r="L16" s="24">
        <f t="shared" si="6"/>
        <v>0.22983300311350119</v>
      </c>
      <c r="M16" s="25">
        <f t="shared" si="6"/>
        <v>0.23222094361334866</v>
      </c>
      <c r="N16" s="553"/>
      <c r="O16" s="25">
        <f>(O14/M14)-1</f>
        <v>7.773149062200746E-2</v>
      </c>
      <c r="P16" s="24">
        <f>(P14/O14)-1</f>
        <v>7.773149062200746E-2</v>
      </c>
      <c r="Q16" s="24">
        <f t="shared" ref="Q16:S16" si="7">(Q14/P14)-1</f>
        <v>7.773149062200746E-2</v>
      </c>
      <c r="R16" s="24">
        <f t="shared" si="7"/>
        <v>7.773149062200746E-2</v>
      </c>
      <c r="S16" s="24">
        <f t="shared" si="7"/>
        <v>7.773149062200746E-2</v>
      </c>
    </row>
    <row r="17" spans="5:19" ht="16" thickBot="1">
      <c r="E17" s="14"/>
      <c r="F17" s="8"/>
      <c r="G17" s="8"/>
      <c r="H17" s="8"/>
      <c r="I17" s="8"/>
      <c r="J17" s="8"/>
      <c r="K17" s="8"/>
      <c r="L17" s="8"/>
      <c r="M17" s="8"/>
      <c r="N17" s="8"/>
      <c r="O17" s="8"/>
      <c r="P17" s="8"/>
      <c r="Q17" s="8"/>
      <c r="R17" s="8"/>
      <c r="S17" s="15"/>
    </row>
    <row r="18" spans="5:19" ht="16" thickBot="1">
      <c r="E18" s="196" t="s">
        <v>157</v>
      </c>
      <c r="F18" s="197"/>
      <c r="G18" s="197"/>
      <c r="H18" s="197"/>
      <c r="I18" s="21">
        <v>775</v>
      </c>
      <c r="J18" s="21">
        <v>642</v>
      </c>
      <c r="K18" s="21">
        <v>1968</v>
      </c>
      <c r="L18" s="21">
        <v>2049</v>
      </c>
      <c r="M18" s="21">
        <v>2433</v>
      </c>
      <c r="N18" s="551">
        <f>AVERAGE(I19:M19)</f>
        <v>0.24824183401545094</v>
      </c>
      <c r="O18" s="21">
        <f>$N$18*O14</f>
        <v>2864.7973516823436</v>
      </c>
      <c r="P18" s="29">
        <f>$N$18*P14</f>
        <v>3087.4823201585918</v>
      </c>
      <c r="Q18" s="20">
        <f t="shared" ref="Q18:S18" si="8">$N$18*Q14</f>
        <v>3327.4769231736127</v>
      </c>
      <c r="R18" s="20">
        <f t="shared" si="8"/>
        <v>3586.1266644222287</v>
      </c>
      <c r="S18" s="21">
        <f t="shared" si="8"/>
        <v>3864.8816356070961</v>
      </c>
    </row>
    <row r="19" spans="5:19" ht="16" thickBot="1">
      <c r="E19" s="201" t="s">
        <v>158</v>
      </c>
      <c r="F19" s="202"/>
      <c r="G19" s="202"/>
      <c r="H19" s="203"/>
      <c r="I19" s="24">
        <f>I18/I14</f>
        <v>0.25219655060201757</v>
      </c>
      <c r="J19" s="24">
        <f t="shared" ref="J19:M19" si="9">J18/J14</f>
        <v>0.24749421742482652</v>
      </c>
      <c r="K19" s="24">
        <f t="shared" si="9"/>
        <v>0.27851684121143505</v>
      </c>
      <c r="L19" s="24">
        <f t="shared" si="9"/>
        <v>0.23578826237054085</v>
      </c>
      <c r="M19" s="24">
        <f t="shared" si="9"/>
        <v>0.22721329846843483</v>
      </c>
      <c r="N19" s="553"/>
      <c r="O19" s="26">
        <f>$N$18</f>
        <v>0.24824183401545094</v>
      </c>
      <c r="P19" s="26">
        <f t="shared" ref="P19:S19" si="10">$N$18</f>
        <v>0.24824183401545094</v>
      </c>
      <c r="Q19" s="26">
        <f t="shared" si="10"/>
        <v>0.24824183401545094</v>
      </c>
      <c r="R19" s="26">
        <f t="shared" si="10"/>
        <v>0.24824183401545094</v>
      </c>
      <c r="S19" s="26">
        <f t="shared" si="10"/>
        <v>0.24824183401545094</v>
      </c>
    </row>
    <row r="20" spans="5:19" ht="16" thickBot="1">
      <c r="E20" s="14"/>
      <c r="F20" s="8"/>
      <c r="G20" s="8"/>
      <c r="H20" s="8"/>
      <c r="I20" s="8"/>
      <c r="J20" s="8"/>
      <c r="K20" s="8"/>
      <c r="L20" s="8"/>
      <c r="M20" s="8"/>
      <c r="N20" s="33"/>
      <c r="O20" s="8"/>
      <c r="P20" s="8"/>
      <c r="Q20" s="8"/>
      <c r="R20" s="8"/>
      <c r="S20" s="15"/>
    </row>
    <row r="21" spans="5:19" ht="16" thickBot="1">
      <c r="E21" s="196" t="s">
        <v>159</v>
      </c>
      <c r="F21" s="197"/>
      <c r="G21" s="197"/>
      <c r="H21" s="198"/>
      <c r="I21" s="34">
        <f>I14-I18</f>
        <v>2298</v>
      </c>
      <c r="J21" s="34">
        <f t="shared" ref="J21:M21" si="11">J14-J18</f>
        <v>1952</v>
      </c>
      <c r="K21" s="34">
        <f t="shared" si="11"/>
        <v>5098</v>
      </c>
      <c r="L21" s="34">
        <f t="shared" si="11"/>
        <v>6641</v>
      </c>
      <c r="M21" s="34">
        <f t="shared" si="11"/>
        <v>8275</v>
      </c>
      <c r="N21" s="35"/>
      <c r="O21" s="34">
        <f>O14-O18</f>
        <v>8675.551449898112</v>
      </c>
      <c r="P21" s="34">
        <f t="shared" ref="P21:S21" si="12">P14-P18</f>
        <v>9349.9149960666109</v>
      </c>
      <c r="Q21" s="34">
        <f t="shared" si="12"/>
        <v>10076.69782589993</v>
      </c>
      <c r="R21" s="34">
        <f t="shared" si="12"/>
        <v>10859.974568454672</v>
      </c>
      <c r="S21" s="34">
        <f t="shared" si="12"/>
        <v>11704.136579777745</v>
      </c>
    </row>
    <row r="22" spans="5:19" ht="16" thickBot="1">
      <c r="E22" s="201" t="s">
        <v>160</v>
      </c>
      <c r="F22" s="202"/>
      <c r="G22" s="202"/>
      <c r="H22" s="203"/>
      <c r="I22" s="24">
        <f>I21/I7</f>
        <v>0.18378119001919385</v>
      </c>
      <c r="J22" s="24">
        <f t="shared" ref="J22:M22" si="13">J21/J7</f>
        <v>0.14412285883047843</v>
      </c>
      <c r="K22" s="24">
        <f t="shared" si="13"/>
        <v>0.18622150789012273</v>
      </c>
      <c r="L22" s="24">
        <f t="shared" si="13"/>
        <v>0.22623062510645545</v>
      </c>
      <c r="M22" s="24">
        <f t="shared" si="13"/>
        <v>0.28510887541345092</v>
      </c>
      <c r="N22" s="36"/>
      <c r="O22" s="31">
        <f>O21/O7</f>
        <v>0.27735069051001071</v>
      </c>
      <c r="P22" s="31">
        <f t="shared" ref="P22:S22" si="14">P21/P7</f>
        <v>0.27735069051001071</v>
      </c>
      <c r="Q22" s="31">
        <f t="shared" si="14"/>
        <v>0.27735069051001071</v>
      </c>
      <c r="R22" s="31">
        <f t="shared" si="14"/>
        <v>0.27735069051001071</v>
      </c>
      <c r="S22" s="31">
        <f t="shared" si="14"/>
        <v>0.27735069051001071</v>
      </c>
    </row>
    <row r="23" spans="5:19" ht="16" thickBot="1">
      <c r="E23" s="201" t="s">
        <v>161</v>
      </c>
      <c r="F23" s="202"/>
      <c r="G23" s="202"/>
      <c r="H23" s="203"/>
      <c r="I23" s="32"/>
      <c r="J23" s="24">
        <f>(J21/I21)-1</f>
        <v>-0.15056570931244562</v>
      </c>
      <c r="K23" s="24">
        <f t="shared" ref="K23:M23" si="15">(K21/J21)-1</f>
        <v>1.6116803278688523</v>
      </c>
      <c r="L23" s="24">
        <f t="shared" si="15"/>
        <v>0.3026677128285602</v>
      </c>
      <c r="M23" s="24">
        <f t="shared" si="15"/>
        <v>0.24604728203583792</v>
      </c>
      <c r="N23" s="37"/>
      <c r="O23" s="31">
        <f>(O21/M21)-1</f>
        <v>4.8405009051131431E-2</v>
      </c>
      <c r="P23" s="31">
        <f>(P21/O21)-1</f>
        <v>7.773149062200746E-2</v>
      </c>
      <c r="Q23" s="31">
        <f t="shared" ref="Q23:S23" si="16">(Q21/P21)-1</f>
        <v>7.773149062200746E-2</v>
      </c>
      <c r="R23" s="31">
        <f t="shared" si="16"/>
        <v>7.773149062200746E-2</v>
      </c>
      <c r="S23" s="31">
        <f t="shared" si="16"/>
        <v>7.773149062200746E-2</v>
      </c>
    </row>
    <row r="24" spans="5:19" ht="16" thickBot="1">
      <c r="E24" s="14"/>
      <c r="F24" s="8"/>
      <c r="G24" s="8"/>
      <c r="H24" s="8"/>
      <c r="I24" s="8"/>
      <c r="J24" s="8"/>
      <c r="K24" s="8"/>
      <c r="L24" s="8"/>
      <c r="M24" s="8"/>
      <c r="N24" s="8"/>
      <c r="O24" s="8"/>
      <c r="P24" s="8"/>
      <c r="Q24" s="8"/>
      <c r="R24" s="8"/>
      <c r="S24" s="15"/>
    </row>
    <row r="25" spans="5:19" ht="16" thickBot="1">
      <c r="E25" s="201" t="s">
        <v>162</v>
      </c>
      <c r="F25" s="202"/>
      <c r="G25" s="202"/>
      <c r="H25" s="203"/>
      <c r="I25" s="16">
        <f>I12</f>
        <v>428</v>
      </c>
      <c r="J25" s="22">
        <f t="shared" ref="J25:M25" si="17">J12</f>
        <v>489</v>
      </c>
      <c r="K25" s="22">
        <f t="shared" si="17"/>
        <v>905</v>
      </c>
      <c r="L25" s="22">
        <f t="shared" si="17"/>
        <v>968</v>
      </c>
      <c r="M25" s="20">
        <f t="shared" si="17"/>
        <v>1068</v>
      </c>
      <c r="N25" s="554">
        <f>AVERAGE(J26:M26)</f>
        <v>0.29153953892493112</v>
      </c>
      <c r="O25" s="21">
        <f>M25*($N$25+1)</f>
        <v>1379.3642275718264</v>
      </c>
      <c r="P25" s="21">
        <f>O25*($N$25+1)</f>
        <v>1781.5034384876603</v>
      </c>
      <c r="Q25" s="21">
        <f t="shared" ref="Q25:S25" si="18">P25*($N$25+1)</f>
        <v>2300.8821295375324</v>
      </c>
      <c r="R25" s="21">
        <f t="shared" si="18"/>
        <v>2971.6802447035184</v>
      </c>
      <c r="S25" s="21">
        <f t="shared" si="18"/>
        <v>3838.0425330767084</v>
      </c>
    </row>
    <row r="26" spans="5:19" ht="16" thickBot="1">
      <c r="E26" s="201" t="s">
        <v>163</v>
      </c>
      <c r="F26" s="202"/>
      <c r="G26" s="202"/>
      <c r="H26" s="203"/>
      <c r="I26" s="38"/>
      <c r="J26" s="39">
        <f>(J25/I25)-1</f>
        <v>0.14252336448598135</v>
      </c>
      <c r="K26" s="39">
        <f t="shared" ref="K26:M26" si="19">(K25/J25)-1</f>
        <v>0.85071574642126779</v>
      </c>
      <c r="L26" s="39">
        <f t="shared" si="19"/>
        <v>6.9613259668508398E-2</v>
      </c>
      <c r="M26" s="40">
        <f t="shared" si="19"/>
        <v>0.10330578512396693</v>
      </c>
      <c r="N26" s="552"/>
      <c r="O26" s="39">
        <f>(O25/M25)-1</f>
        <v>0.29153953892493112</v>
      </c>
      <c r="P26" s="24">
        <f>(P25/O25)-1</f>
        <v>0.29153953892493112</v>
      </c>
      <c r="Q26" s="24">
        <f t="shared" ref="Q26:S26" si="20">(Q25/P25)-1</f>
        <v>0.29153953892493112</v>
      </c>
      <c r="R26" s="24">
        <f t="shared" si="20"/>
        <v>0.29153953892493112</v>
      </c>
      <c r="S26" s="24">
        <f t="shared" si="20"/>
        <v>0.29153953892493112</v>
      </c>
    </row>
    <row r="27" spans="5:19" ht="16" thickBot="1">
      <c r="E27" s="206" t="s">
        <v>164</v>
      </c>
      <c r="F27" s="207"/>
      <c r="G27" s="207"/>
      <c r="H27" s="208"/>
      <c r="I27" s="34">
        <v>410</v>
      </c>
      <c r="J27" s="34">
        <v>2671</v>
      </c>
      <c r="K27" s="34">
        <v>1628</v>
      </c>
      <c r="L27" s="34">
        <v>3593</v>
      </c>
      <c r="M27" s="41">
        <v>1362</v>
      </c>
      <c r="N27" s="555">
        <f>MEDIAN(I27:M27)</f>
        <v>1628</v>
      </c>
      <c r="O27" s="34">
        <f>N27</f>
        <v>1628</v>
      </c>
      <c r="P27" s="34">
        <f t="shared" ref="P27:S27" si="21">O27</f>
        <v>1628</v>
      </c>
      <c r="Q27" s="34">
        <f t="shared" si="21"/>
        <v>1628</v>
      </c>
      <c r="R27" s="34">
        <f t="shared" si="21"/>
        <v>1628</v>
      </c>
      <c r="S27" s="34">
        <f t="shared" si="21"/>
        <v>1628</v>
      </c>
    </row>
    <row r="28" spans="5:19" ht="16" thickBot="1">
      <c r="E28" s="201" t="s">
        <v>165</v>
      </c>
      <c r="F28" s="202"/>
      <c r="G28" s="202"/>
      <c r="H28" s="203"/>
      <c r="I28" s="34">
        <f>I27-F35</f>
        <v>-251</v>
      </c>
      <c r="J28" s="34">
        <f>J27-I27</f>
        <v>2261</v>
      </c>
      <c r="K28" s="34">
        <f t="shared" ref="K28:M28" si="22">K27-J27</f>
        <v>-1043</v>
      </c>
      <c r="L28" s="34">
        <f t="shared" si="22"/>
        <v>1965</v>
      </c>
      <c r="M28" s="41">
        <f t="shared" si="22"/>
        <v>-2231</v>
      </c>
      <c r="N28" s="556"/>
      <c r="O28" s="42">
        <f>O27-M27</f>
        <v>266</v>
      </c>
      <c r="P28" s="41">
        <f>P27-O27</f>
        <v>0</v>
      </c>
      <c r="Q28" s="41">
        <f t="shared" ref="Q28:S28" si="23">Q27-P27</f>
        <v>0</v>
      </c>
      <c r="R28" s="41">
        <f t="shared" si="23"/>
        <v>0</v>
      </c>
      <c r="S28" s="34">
        <f t="shared" si="23"/>
        <v>0</v>
      </c>
    </row>
    <row r="29" spans="5:19" ht="16" thickBot="1">
      <c r="E29" s="201" t="s">
        <v>166</v>
      </c>
      <c r="F29" s="202"/>
      <c r="G29" s="202"/>
      <c r="H29" s="203"/>
      <c r="I29" s="24">
        <f>(I27/F35)-1</f>
        <v>-0.3797276853252648</v>
      </c>
      <c r="J29" s="24">
        <f>(J27/I27)-1</f>
        <v>5.5146341463414634</v>
      </c>
      <c r="K29" s="24">
        <f t="shared" ref="K29:M29" si="24">(K27/J27)-1</f>
        <v>-0.39049045301385243</v>
      </c>
      <c r="L29" s="24">
        <f t="shared" si="24"/>
        <v>1.2070024570024569</v>
      </c>
      <c r="M29" s="25">
        <f t="shared" si="24"/>
        <v>-0.62092958530475928</v>
      </c>
      <c r="N29" s="557"/>
      <c r="O29" s="8"/>
      <c r="P29" s="8"/>
      <c r="Q29" s="8"/>
      <c r="R29" s="8"/>
      <c r="S29" s="15"/>
    </row>
    <row r="30" spans="5:19" ht="16" thickBot="1">
      <c r="E30" s="201" t="s">
        <v>167</v>
      </c>
      <c r="F30" s="202"/>
      <c r="G30" s="202"/>
      <c r="H30" s="203"/>
      <c r="I30" s="34">
        <v>371</v>
      </c>
      <c r="J30" s="34">
        <v>1466</v>
      </c>
      <c r="K30" s="34">
        <v>5175</v>
      </c>
      <c r="L30" s="34">
        <v>1708</v>
      </c>
      <c r="M30" s="34">
        <v>1426</v>
      </c>
      <c r="N30" s="43">
        <f>MEDIAN(I30:M30)</f>
        <v>1466</v>
      </c>
      <c r="O30" s="44">
        <f>$N$30</f>
        <v>1466</v>
      </c>
      <c r="P30" s="44">
        <f t="shared" ref="P30:S30" si="25">$N$30</f>
        <v>1466</v>
      </c>
      <c r="Q30" s="44">
        <f t="shared" si="25"/>
        <v>1466</v>
      </c>
      <c r="R30" s="44">
        <f t="shared" si="25"/>
        <v>1466</v>
      </c>
      <c r="S30" s="44">
        <f t="shared" si="25"/>
        <v>1466</v>
      </c>
    </row>
    <row r="31" spans="5:19">
      <c r="E31" s="14"/>
      <c r="F31" s="8"/>
      <c r="G31" s="8"/>
      <c r="H31" s="8"/>
      <c r="I31" s="8"/>
      <c r="J31" s="8"/>
      <c r="K31" s="8"/>
      <c r="L31" s="8"/>
      <c r="M31" s="8"/>
      <c r="O31" s="8"/>
      <c r="P31" s="8"/>
      <c r="Q31" s="8"/>
      <c r="R31" s="8"/>
      <c r="S31" s="15"/>
    </row>
    <row r="32" spans="5:19" ht="16" thickBot="1">
      <c r="E32" s="14"/>
      <c r="F32" s="8"/>
      <c r="G32" s="8"/>
      <c r="H32" s="8"/>
      <c r="I32" s="8"/>
      <c r="J32" s="8"/>
      <c r="K32" s="8"/>
      <c r="L32" s="8"/>
      <c r="M32" s="8"/>
      <c r="N32" s="8"/>
      <c r="O32" s="8"/>
      <c r="P32" s="8"/>
      <c r="Q32" s="8"/>
      <c r="R32" s="8"/>
      <c r="S32" s="15"/>
    </row>
    <row r="33" spans="5:19" ht="16" thickBot="1">
      <c r="E33" s="196" t="s">
        <v>168</v>
      </c>
      <c r="F33" s="197"/>
      <c r="G33" s="197"/>
      <c r="H33" s="198"/>
      <c r="I33" s="34">
        <f>I21+I25-I28-I30</f>
        <v>2606</v>
      </c>
      <c r="J33" s="34">
        <f>J21+J25-J28-J30</f>
        <v>-1286</v>
      </c>
      <c r="K33" s="34">
        <f>K21+K25-K28-K30</f>
        <v>1871</v>
      </c>
      <c r="L33" s="34">
        <f>L21+L25-L28-L30</f>
        <v>3936</v>
      </c>
      <c r="M33" s="34">
        <f>M21+M25-M28-M30</f>
        <v>10148</v>
      </c>
      <c r="N33" s="45"/>
      <c r="O33" s="46">
        <f>O21+O25-O28-O30</f>
        <v>8322.9156774699386</v>
      </c>
      <c r="P33" s="46">
        <f t="shared" ref="P33:S33" si="26">P21+P25-P28-P30</f>
        <v>9665.4184345542708</v>
      </c>
      <c r="Q33" s="46">
        <f t="shared" si="26"/>
        <v>10911.579955437463</v>
      </c>
      <c r="R33" s="46">
        <f t="shared" si="26"/>
        <v>12365.654813158191</v>
      </c>
      <c r="S33" s="46">
        <f t="shared" si="26"/>
        <v>14076.179112854454</v>
      </c>
    </row>
    <row r="34" spans="5:19" ht="16" thickBot="1"/>
    <row r="35" spans="5:19" ht="16" thickBot="1">
      <c r="E35" s="209" t="s">
        <v>169</v>
      </c>
      <c r="F35" s="34">
        <v>661</v>
      </c>
    </row>
    <row r="37" spans="5:19" ht="16" thickBot="1"/>
    <row r="38" spans="5:19" ht="16" thickBot="1">
      <c r="E38" s="196" t="s">
        <v>170</v>
      </c>
      <c r="F38" s="213"/>
      <c r="G38" s="213"/>
      <c r="H38" s="213"/>
      <c r="I38" s="213"/>
      <c r="J38" s="213"/>
      <c r="K38" s="214"/>
      <c r="L38" s="231" t="s">
        <v>171</v>
      </c>
      <c r="M38" s="210" t="s">
        <v>172</v>
      </c>
      <c r="N38" s="211"/>
      <c r="O38" s="211"/>
      <c r="P38" s="211"/>
      <c r="Q38" s="211"/>
      <c r="R38" s="211"/>
      <c r="S38" s="212"/>
    </row>
    <row r="39" spans="5:19" ht="16" thickBot="1">
      <c r="E39" s="545" t="s">
        <v>406</v>
      </c>
      <c r="F39" s="546"/>
      <c r="G39" s="215" t="s">
        <v>144</v>
      </c>
      <c r="H39" s="215" t="s">
        <v>145</v>
      </c>
      <c r="I39" s="215" t="s">
        <v>146</v>
      </c>
      <c r="J39" s="215" t="s">
        <v>147</v>
      </c>
      <c r="K39" s="215" t="s">
        <v>148</v>
      </c>
      <c r="L39" s="232">
        <v>7.8E-2</v>
      </c>
      <c r="M39" s="545" t="s">
        <v>406</v>
      </c>
      <c r="N39" s="546"/>
      <c r="O39" s="215" t="s">
        <v>144</v>
      </c>
      <c r="P39" s="215" t="s">
        <v>145</v>
      </c>
      <c r="Q39" s="215" t="s">
        <v>146</v>
      </c>
      <c r="R39" s="215" t="s">
        <v>147</v>
      </c>
      <c r="S39" s="215" t="s">
        <v>148</v>
      </c>
    </row>
    <row r="40" spans="5:19" ht="16" thickBot="1"/>
    <row r="41" spans="5:19" ht="16" thickBot="1">
      <c r="E41" s="196" t="s">
        <v>168</v>
      </c>
      <c r="F41" s="198"/>
      <c r="G41" s="221">
        <f>O33</f>
        <v>8322.9156774699386</v>
      </c>
      <c r="H41" s="221">
        <f t="shared" ref="H41:K41" si="27">P33</f>
        <v>9665.4184345542708</v>
      </c>
      <c r="I41" s="221">
        <f t="shared" si="27"/>
        <v>10911.579955437463</v>
      </c>
      <c r="J41" s="221">
        <f t="shared" si="27"/>
        <v>12365.654813158191</v>
      </c>
      <c r="K41" s="221">
        <f t="shared" si="27"/>
        <v>14076.179112854454</v>
      </c>
      <c r="M41" s="228" t="s">
        <v>173</v>
      </c>
      <c r="N41" s="198"/>
      <c r="O41" s="221">
        <f>O43*G41</f>
        <v>7720.7009995082917</v>
      </c>
      <c r="P41" s="221">
        <f t="shared" ref="P41:S41" si="28">P43*H41</f>
        <v>8317.314784950373</v>
      </c>
      <c r="Q41" s="221">
        <f t="shared" si="28"/>
        <v>8710.2647724812177</v>
      </c>
      <c r="R41" s="221">
        <f t="shared" si="28"/>
        <v>9156.7651487307321</v>
      </c>
      <c r="S41" s="221">
        <f t="shared" si="28"/>
        <v>9669.2097242509535</v>
      </c>
    </row>
    <row r="42" spans="5:19" ht="16" thickBot="1">
      <c r="M42" s="196" t="s">
        <v>174</v>
      </c>
      <c r="N42" s="198"/>
      <c r="O42" s="229">
        <v>1</v>
      </c>
      <c r="P42" s="229">
        <v>2</v>
      </c>
      <c r="Q42" s="229">
        <v>3</v>
      </c>
      <c r="R42" s="229">
        <v>4</v>
      </c>
      <c r="S42" s="229">
        <v>5</v>
      </c>
    </row>
    <row r="43" spans="5:19" ht="16" thickBot="1">
      <c r="E43" s="216" t="s">
        <v>175</v>
      </c>
      <c r="F43" s="219"/>
      <c r="G43" s="219"/>
      <c r="H43" s="219"/>
      <c r="I43" s="219"/>
      <c r="J43" s="219"/>
      <c r="K43" s="220"/>
      <c r="M43" s="196" t="s">
        <v>176</v>
      </c>
      <c r="N43" s="198"/>
      <c r="O43" s="230">
        <f>1/((1+$L$39)^O42)</f>
        <v>0.92764378478664189</v>
      </c>
      <c r="P43" s="230">
        <f>1/((1+$L$39)^P42)</f>
        <v>0.86052299145328559</v>
      </c>
      <c r="Q43" s="230">
        <f t="shared" ref="Q43:S43" si="29">1/((1+$L$39)^Q42)</f>
        <v>0.79825880468764887</v>
      </c>
      <c r="R43" s="230">
        <f t="shared" si="29"/>
        <v>0.74049981881971139</v>
      </c>
      <c r="S43" s="230">
        <f t="shared" si="29"/>
        <v>0.68692005456373961</v>
      </c>
    </row>
    <row r="44" spans="5:19" ht="16" thickBot="1">
      <c r="E44" s="217" t="s">
        <v>177</v>
      </c>
      <c r="F44" s="222">
        <f>K41</f>
        <v>14076.179112854454</v>
      </c>
    </row>
    <row r="45" spans="5:19" ht="16" thickBot="1">
      <c r="E45" s="218" t="s">
        <v>178</v>
      </c>
      <c r="F45" s="223">
        <v>2.7E-2</v>
      </c>
    </row>
    <row r="46" spans="5:19" ht="16" thickBot="1">
      <c r="E46" s="218" t="s">
        <v>179</v>
      </c>
      <c r="F46" s="223">
        <v>3.7499999999999999E-2</v>
      </c>
    </row>
    <row r="47" spans="5:19" ht="16" thickBot="1">
      <c r="E47" s="218" t="s">
        <v>180</v>
      </c>
      <c r="F47" s="223">
        <f>0.25*F45+0.75*F46</f>
        <v>3.4874999999999996E-2</v>
      </c>
    </row>
    <row r="48" spans="5:19" ht="16" thickBot="1">
      <c r="E48" s="217" t="s">
        <v>55</v>
      </c>
      <c r="F48" s="224">
        <f>F44*(1+F47)/(L39-F47)</f>
        <v>337787.49818933918</v>
      </c>
    </row>
    <row r="49" spans="5:8" ht="16" thickBot="1">
      <c r="E49" s="217" t="s">
        <v>181</v>
      </c>
      <c r="F49" s="224">
        <f>1/((1+L39)^S42)</f>
        <v>0.68692005456373961</v>
      </c>
    </row>
    <row r="50" spans="5:8" ht="16" thickBot="1">
      <c r="E50" s="217" t="s">
        <v>182</v>
      </c>
      <c r="F50" s="224">
        <f>F48*F49</f>
        <v>232033.00668716995</v>
      </c>
    </row>
    <row r="51" spans="5:8" ht="16" thickBot="1">
      <c r="E51" s="47"/>
      <c r="F51" s="48"/>
    </row>
    <row r="52" spans="5:8">
      <c r="E52" s="225" t="s">
        <v>183</v>
      </c>
      <c r="F52" s="226">
        <f>F50+O41+P41+Q41+R41+S41</f>
        <v>275607.26211709151</v>
      </c>
    </row>
    <row r="53" spans="5:8" ht="16" thickBot="1">
      <c r="E53" s="49"/>
      <c r="F53" s="50"/>
    </row>
    <row r="54" spans="5:8">
      <c r="E54" s="225" t="s">
        <v>184</v>
      </c>
      <c r="F54" s="226">
        <v>43.324938239552857</v>
      </c>
      <c r="G54" s="51" t="s">
        <v>363</v>
      </c>
      <c r="H54" s="51"/>
    </row>
    <row r="55" spans="5:8">
      <c r="E55" s="227" t="s">
        <v>185</v>
      </c>
      <c r="F55" s="227"/>
    </row>
    <row r="56" spans="5:8">
      <c r="G56" s="52">
        <v>8.6999999999999994E-2</v>
      </c>
    </row>
  </sheetData>
  <mergeCells count="7">
    <mergeCell ref="E39:F39"/>
    <mergeCell ref="M39:N39"/>
    <mergeCell ref="N7:N10"/>
    <mergeCell ref="N14:N16"/>
    <mergeCell ref="N18:N19"/>
    <mergeCell ref="N25:N26"/>
    <mergeCell ref="N27:N29"/>
  </mergeCells>
  <phoneticPr fontId="14" type="noConversion"/>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sheetPr>
  <dimension ref="A1"/>
  <sheetViews>
    <sheetView workbookViewId="0">
      <selection activeCell="G8" sqref="G8"/>
    </sheetView>
  </sheetViews>
  <sheetFormatPr baseColWidth="10" defaultColWidth="11.5" defaultRowHeight="15"/>
  <cols>
    <col min="1" max="16384" width="11.5" style="6"/>
  </cols>
  <sheetData/>
  <phoneticPr fontId="14"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B1:I26"/>
  <sheetViews>
    <sheetView showGridLines="0" zoomScale="75" zoomScaleNormal="75" workbookViewId="0">
      <selection activeCell="J27" sqref="J27"/>
    </sheetView>
  </sheetViews>
  <sheetFormatPr baseColWidth="10" defaultColWidth="9.1640625" defaultRowHeight="15"/>
  <cols>
    <col min="1" max="1" width="25.6640625" style="76" customWidth="1"/>
    <col min="2" max="2" width="58.83203125" style="76" bestFit="1" customWidth="1"/>
    <col min="3" max="3" width="16.33203125" style="76" bestFit="1" customWidth="1"/>
    <col min="4" max="4" width="19.5" style="76" bestFit="1" customWidth="1"/>
    <col min="5" max="5" width="11.5" style="76" bestFit="1" customWidth="1"/>
    <col min="6" max="6" width="10.5" style="76" bestFit="1" customWidth="1"/>
    <col min="7" max="16384" width="9.1640625" style="76"/>
  </cols>
  <sheetData>
    <row r="1" spans="2:9" ht="89.25" customHeight="1" thickBot="1">
      <c r="B1" s="447" t="s">
        <v>383</v>
      </c>
    </row>
    <row r="2" spans="2:9">
      <c r="B2" s="490" t="s">
        <v>406</v>
      </c>
      <c r="C2" s="491" t="s">
        <v>370</v>
      </c>
      <c r="D2" s="491"/>
      <c r="E2" s="492" t="s">
        <v>371</v>
      </c>
      <c r="F2" s="165"/>
      <c r="G2" s="164"/>
      <c r="H2" s="164"/>
      <c r="I2" s="164"/>
    </row>
    <row r="3" spans="2:9">
      <c r="B3" s="380"/>
      <c r="C3" s="489"/>
      <c r="D3" s="489"/>
      <c r="E3" s="493"/>
      <c r="G3" s="164"/>
      <c r="H3" s="164"/>
      <c r="I3" s="164"/>
    </row>
    <row r="4" spans="2:9" ht="16" thickBot="1">
      <c r="B4" s="381"/>
      <c r="C4" s="494" t="s">
        <v>92</v>
      </c>
      <c r="D4" s="494"/>
      <c r="E4" s="495" t="s">
        <v>93</v>
      </c>
      <c r="G4" s="164"/>
      <c r="H4" s="164"/>
      <c r="I4" s="164"/>
    </row>
    <row r="5" spans="2:9" ht="16" thickBot="1">
      <c r="B5" s="376" t="s">
        <v>105</v>
      </c>
      <c r="C5" s="488">
        <v>0.65600000000000003</v>
      </c>
      <c r="D5" s="496"/>
      <c r="E5" s="488">
        <v>0.63</v>
      </c>
    </row>
    <row r="6" spans="2:9" ht="16" thickBot="1">
      <c r="B6" s="376" t="s">
        <v>99</v>
      </c>
      <c r="C6" s="293">
        <v>275607.26</v>
      </c>
      <c r="D6" s="496"/>
      <c r="E6" s="293">
        <v>55507.4</v>
      </c>
    </row>
    <row r="7" spans="2:9" ht="16" thickBot="1">
      <c r="B7" s="376" t="s">
        <v>100</v>
      </c>
      <c r="C7" s="293">
        <v>8872</v>
      </c>
      <c r="D7" s="496"/>
      <c r="E7" s="293">
        <v>3082</v>
      </c>
    </row>
    <row r="8" spans="2:9" ht="16" thickBot="1">
      <c r="B8" s="376" t="s">
        <v>101</v>
      </c>
      <c r="C8" s="293">
        <v>250138.45</v>
      </c>
      <c r="D8" s="496"/>
      <c r="E8" s="293">
        <v>55328.1</v>
      </c>
    </row>
    <row r="9" spans="2:9" ht="16" thickBot="1">
      <c r="B9" s="376" t="s">
        <v>106</v>
      </c>
      <c r="C9" s="293">
        <f t="shared" ref="C9" si="0">C5/(1+(C7/C8)*(1-C10))</f>
        <v>0.6423305541164398</v>
      </c>
      <c r="D9" s="496"/>
      <c r="E9" s="293">
        <f>E5/(1+(E7/E8)*(1-E10))</f>
        <v>0.60962485112098685</v>
      </c>
    </row>
    <row r="10" spans="2:9" ht="16" thickBot="1">
      <c r="B10" s="376" t="s">
        <v>107</v>
      </c>
      <c r="C10" s="294">
        <v>0.4</v>
      </c>
      <c r="D10" s="496"/>
      <c r="E10" s="294">
        <v>0.4</v>
      </c>
    </row>
    <row r="11" spans="2:9" ht="16" thickBot="1">
      <c r="B11" s="376" t="s">
        <v>111</v>
      </c>
      <c r="C11" s="295">
        <v>2.86E-2</v>
      </c>
      <c r="D11" s="496"/>
      <c r="E11" s="295">
        <v>4.5900000000000003E-2</v>
      </c>
    </row>
    <row r="12" spans="2:9" ht="16" thickBot="1">
      <c r="B12" s="377" t="s">
        <v>110</v>
      </c>
      <c r="C12" s="295">
        <v>7.2999999999999995E-2</v>
      </c>
      <c r="D12" s="496"/>
      <c r="E12" s="295">
        <v>7.85E-2</v>
      </c>
    </row>
    <row r="13" spans="2:9">
      <c r="B13" s="380"/>
      <c r="C13" s="496"/>
      <c r="D13" s="496"/>
      <c r="E13" s="497"/>
    </row>
    <row r="14" spans="2:9">
      <c r="B14" s="380"/>
      <c r="C14" s="498" t="s">
        <v>102</v>
      </c>
      <c r="D14" s="499"/>
      <c r="E14" s="500"/>
    </row>
    <row r="15" spans="2:9">
      <c r="B15" s="380"/>
      <c r="C15" s="499"/>
      <c r="D15" s="499"/>
      <c r="E15" s="500"/>
    </row>
    <row r="16" spans="2:9" ht="16" thickBot="1">
      <c r="B16" s="380"/>
      <c r="C16" s="95" t="s">
        <v>103</v>
      </c>
      <c r="D16" s="499"/>
      <c r="E16" s="500"/>
    </row>
    <row r="17" spans="2:5" ht="16" thickBot="1">
      <c r="B17" s="402" t="s">
        <v>104</v>
      </c>
      <c r="C17" s="293">
        <f>C9*(C6/(C6+E6))+E9*(E6/(C6+E6))</f>
        <v>0.63684783541576429</v>
      </c>
      <c r="D17" s="496"/>
      <c r="E17" s="497"/>
    </row>
    <row r="18" spans="2:5" ht="16" thickBot="1">
      <c r="B18" s="376" t="s">
        <v>108</v>
      </c>
      <c r="C18" s="296">
        <f>(C7+E7)/(C8+E8)</f>
        <v>3.9133581074589016E-2</v>
      </c>
      <c r="D18" s="496"/>
      <c r="E18" s="497"/>
    </row>
    <row r="19" spans="2:5" ht="16" thickBot="1">
      <c r="B19" s="376" t="s">
        <v>109</v>
      </c>
      <c r="C19" s="293">
        <f>C17*(1+C18*(1-C10))</f>
        <v>0.6518011172554159</v>
      </c>
      <c r="D19" s="496"/>
      <c r="E19" s="497"/>
    </row>
    <row r="20" spans="2:5" ht="16" thickBot="1">
      <c r="B20" s="376" t="s">
        <v>111</v>
      </c>
      <c r="C20" s="297">
        <f>(C11*C6+E11*E6)/(C6+E6)</f>
        <v>3.1500137432755169E-2</v>
      </c>
      <c r="D20" s="496"/>
      <c r="E20" s="497"/>
    </row>
    <row r="21" spans="2:5" ht="16" thickBot="1">
      <c r="B21" s="376" t="s">
        <v>110</v>
      </c>
      <c r="C21" s="297">
        <f>(C12*C6+E12*E6)/(C6+E6)</f>
        <v>7.3922009010413486E-2</v>
      </c>
      <c r="D21" s="496"/>
      <c r="E21" s="497"/>
    </row>
    <row r="22" spans="2:5" ht="16" thickBot="1">
      <c r="B22" s="377" t="s">
        <v>112</v>
      </c>
      <c r="C22" s="297">
        <f>C21*100/104+C20*4/104</f>
        <v>7.229039856511893E-2</v>
      </c>
      <c r="D22" s="501"/>
      <c r="E22" s="502"/>
    </row>
    <row r="26" spans="2:5">
      <c r="B26" s="76" t="s">
        <v>372</v>
      </c>
    </row>
  </sheetData>
  <phoneticPr fontId="14"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
  <sheetViews>
    <sheetView workbookViewId="0">
      <selection activeCell="J35" sqref="J35"/>
    </sheetView>
  </sheetViews>
  <sheetFormatPr baseColWidth="10" defaultColWidth="11.5" defaultRowHeight="15"/>
  <cols>
    <col min="1" max="16384" width="11.5" style="7"/>
  </cols>
  <sheetData/>
  <phoneticPr fontId="14"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5B1A4-10A7-497B-A813-693FEE035BDB}">
  <sheetPr>
    <tabColor theme="9" tint="0.39997558519241921"/>
  </sheetPr>
  <dimension ref="B1:J89"/>
  <sheetViews>
    <sheetView showGridLines="0" zoomScaleNormal="100" workbookViewId="0">
      <selection activeCell="L4" sqref="L4"/>
    </sheetView>
  </sheetViews>
  <sheetFormatPr baseColWidth="10" defaultColWidth="10.83203125" defaultRowHeight="15"/>
  <cols>
    <col min="1" max="1" width="21.1640625" style="71" customWidth="1"/>
    <col min="2" max="2" width="10.83203125" style="71"/>
    <col min="3" max="3" width="13.5" style="71" customWidth="1"/>
    <col min="4" max="16384" width="10.83203125" style="71"/>
  </cols>
  <sheetData>
    <row r="1" spans="2:10" ht="58" customHeight="1" thickBot="1">
      <c r="B1" s="448" t="s">
        <v>384</v>
      </c>
    </row>
    <row r="2" spans="2:10">
      <c r="B2" s="503"/>
      <c r="C2" s="504"/>
      <c r="D2" s="504"/>
      <c r="E2" s="504"/>
      <c r="F2" s="504"/>
      <c r="G2" s="504"/>
      <c r="H2" s="504"/>
      <c r="I2" s="505"/>
    </row>
    <row r="3" spans="2:10">
      <c r="B3" s="506"/>
      <c r="C3" s="507"/>
      <c r="D3" s="507"/>
      <c r="E3" s="507"/>
      <c r="F3" s="507"/>
      <c r="G3" s="507"/>
      <c r="H3" s="507"/>
      <c r="I3" s="508"/>
    </row>
    <row r="4" spans="2:10">
      <c r="B4" s="506"/>
      <c r="C4" s="507"/>
      <c r="D4" s="507"/>
      <c r="E4" s="507"/>
      <c r="F4" s="507"/>
      <c r="G4" s="507"/>
      <c r="H4" s="507"/>
      <c r="I4" s="508"/>
    </row>
    <row r="5" spans="2:10">
      <c r="B5" s="509"/>
      <c r="C5" s="507"/>
      <c r="D5" s="507"/>
      <c r="E5" s="507"/>
      <c r="F5" s="507"/>
      <c r="G5" s="507"/>
      <c r="H5" s="507"/>
      <c r="I5" s="508"/>
    </row>
    <row r="6" spans="2:10" ht="19">
      <c r="B6" s="510" t="s">
        <v>114</v>
      </c>
      <c r="C6" s="511"/>
      <c r="D6" s="512"/>
      <c r="E6" s="512" t="s">
        <v>126</v>
      </c>
      <c r="F6" s="152"/>
      <c r="G6" s="152"/>
      <c r="H6" s="152"/>
      <c r="I6" s="513"/>
      <c r="J6" s="72"/>
    </row>
    <row r="7" spans="2:10" ht="16" thickBot="1">
      <c r="B7" s="514" t="s">
        <v>406</v>
      </c>
      <c r="C7" s="515"/>
      <c r="D7" s="515"/>
      <c r="E7" s="516">
        <v>2002</v>
      </c>
      <c r="F7" s="515">
        <v>2003</v>
      </c>
      <c r="G7" s="515">
        <v>2004</v>
      </c>
      <c r="H7" s="515">
        <v>2005</v>
      </c>
      <c r="I7" s="517">
        <v>2006</v>
      </c>
    </row>
    <row r="8" spans="2:10" ht="16" thickBot="1"/>
    <row r="9" spans="2:10" ht="17" thickBot="1">
      <c r="C9" s="259" t="s">
        <v>116</v>
      </c>
      <c r="D9" s="276"/>
      <c r="E9" s="284"/>
      <c r="F9" s="284"/>
      <c r="G9" s="284"/>
      <c r="H9" s="284"/>
      <c r="I9" s="285"/>
    </row>
    <row r="10" spans="2:10" ht="16">
      <c r="C10" s="155"/>
      <c r="D10" s="156"/>
      <c r="E10" s="154">
        <v>2002</v>
      </c>
      <c r="F10" s="154">
        <v>2003</v>
      </c>
      <c r="G10" s="154">
        <v>2004</v>
      </c>
      <c r="H10" s="154">
        <v>2005</v>
      </c>
      <c r="I10" s="154">
        <v>2006</v>
      </c>
    </row>
    <row r="11" spans="2:10" ht="16" thickBot="1">
      <c r="C11" s="190" t="s">
        <v>117</v>
      </c>
      <c r="D11" s="233"/>
      <c r="E11" s="298"/>
      <c r="F11" s="298"/>
      <c r="G11" s="298"/>
      <c r="H11" s="298"/>
      <c r="I11" s="299"/>
    </row>
    <row r="12" spans="2:10" ht="16" thickBot="1">
      <c r="C12" s="185" t="s">
        <v>32</v>
      </c>
      <c r="D12" s="186"/>
      <c r="E12" s="304">
        <f>('3.3 Income Statement'!F8-'3.3 Income Statement'!E8)/'3.3 Income Statement'!E8</f>
        <v>6.8101805544066404E-2</v>
      </c>
      <c r="F12" s="304">
        <f>('3.3 Income Statement'!G8-'3.3 Income Statement'!F8)/'3.3 Income Statement'!F8</f>
        <v>6.8283938955306364E-2</v>
      </c>
      <c r="G12" s="304">
        <f>('3.3 Income Statement'!H8-'3.3 Income Statement'!G8)/'3.3 Income Statement'!G8</f>
        <v>6.8464207804653149E-2</v>
      </c>
      <c r="H12" s="304">
        <f>('3.3 Income Statement'!I8-'3.3 Income Statement'!H8)/'3.3 Income Statement'!H8</f>
        <v>6.8642570662527519E-2</v>
      </c>
      <c r="I12" s="304">
        <f>('3.3 Income Statement'!J8-'3.3 Income Statement'!I8)/'3.3 Income Statement'!I8</f>
        <v>6.8818988456167157E-2</v>
      </c>
    </row>
    <row r="13" spans="2:10" ht="16" thickBot="1">
      <c r="C13" s="185" t="s">
        <v>224</v>
      </c>
      <c r="D13" s="186"/>
      <c r="E13" s="304">
        <f>-'3.3 Income Statement'!F9/'3.3 Income Statement'!F8</f>
        <v>0.13597713797177349</v>
      </c>
      <c r="F13" s="304">
        <f>-'3.3 Income Statement'!G9/'3.3 Income Statement'!G8</f>
        <v>0.11485431193703946</v>
      </c>
      <c r="G13" s="304">
        <f>-'3.3 Income Statement'!H9/'3.3 Income Statement'!H8</f>
        <v>0.11159412896160896</v>
      </c>
      <c r="H13" s="304">
        <f>-'3.3 Income Statement'!I9/'3.3 Income Statement'!I8</f>
        <v>0.10827244757549076</v>
      </c>
      <c r="I13" s="304">
        <f>-'3.3 Income Statement'!J9/'3.3 Income Statement'!J8</f>
        <v>0.10489021971615631</v>
      </c>
    </row>
    <row r="14" spans="2:10" ht="16" thickBot="1">
      <c r="C14" s="185" t="s">
        <v>120</v>
      </c>
      <c r="D14" s="186"/>
      <c r="E14" s="304">
        <f>-'3.3 Income Statement'!F10/'3.3 Income Statement'!F8</f>
        <v>0.34198525588724266</v>
      </c>
      <c r="F14" s="304">
        <f>-'3.3 Income Statement'!G10/'3.3 Income Statement'!G8</f>
        <v>0.34219398830566067</v>
      </c>
      <c r="G14" s="304">
        <f>-'3.3 Income Statement'!H10/'3.3 Income Statement'!H8</f>
        <v>0.34240051378588082</v>
      </c>
      <c r="H14" s="304">
        <f>-'3.3 Income Statement'!I10/'3.3 Income Statement'!I8</f>
        <v>0.3426047870857426</v>
      </c>
      <c r="I14" s="304">
        <f>-'3.3 Income Statement'!J10/'3.3 Income Statement'!J8</f>
        <v>0.3428067656990384</v>
      </c>
    </row>
    <row r="15" spans="2:10" ht="16" thickBot="1">
      <c r="C15" s="185" t="s">
        <v>121</v>
      </c>
      <c r="D15" s="186"/>
      <c r="E15" s="304">
        <f>-'3.3 Income Statement'!F11/'3.3 Income Statement'!F8</f>
        <v>0.15174073679919156</v>
      </c>
      <c r="F15" s="304">
        <f>-'3.3 Income Statement'!G11/'3.3 Income Statement'!G8</f>
        <v>0.15163922777587471</v>
      </c>
      <c r="G15" s="304">
        <f>-'3.3 Income Statement'!H11/'3.3 Income Statement'!H8</f>
        <v>0.15153879201248885</v>
      </c>
      <c r="H15" s="304">
        <f>-'3.3 Income Statement'!I11/'3.3 Income Statement'!I8</f>
        <v>0.15143945151082727</v>
      </c>
      <c r="I15" s="304">
        <f>-'3.3 Income Statement'!J11/'3.3 Income Statement'!J8</f>
        <v>0.15134122694215732</v>
      </c>
    </row>
    <row r="16" spans="2:10" ht="16" thickBot="1">
      <c r="C16" s="185" t="s">
        <v>30</v>
      </c>
      <c r="D16" s="186"/>
      <c r="E16" s="304">
        <v>0.4</v>
      </c>
      <c r="F16" s="304">
        <v>0.4</v>
      </c>
      <c r="G16" s="304">
        <v>0.4</v>
      </c>
      <c r="H16" s="304">
        <v>0.4</v>
      </c>
      <c r="I16" s="304">
        <v>0.4</v>
      </c>
    </row>
    <row r="17" spans="3:9">
      <c r="C17" s="185"/>
      <c r="D17" s="186"/>
      <c r="E17" s="302"/>
      <c r="F17" s="302"/>
      <c r="G17" s="302"/>
      <c r="H17" s="302"/>
      <c r="I17" s="303"/>
    </row>
    <row r="18" spans="3:9" ht="16" thickBot="1">
      <c r="C18" s="190" t="s">
        <v>122</v>
      </c>
      <c r="D18" s="233"/>
      <c r="E18" s="302"/>
      <c r="F18" s="302"/>
      <c r="G18" s="302"/>
      <c r="H18" s="302"/>
      <c r="I18" s="303"/>
    </row>
    <row r="19" spans="3:9" ht="16" thickBot="1">
      <c r="C19" s="185" t="s">
        <v>123</v>
      </c>
      <c r="D19" s="233"/>
      <c r="E19" s="304">
        <f>'3.2 Balance Sheet'!D8/'3.3 Income Statement'!F8</f>
        <v>7.0558256271184866E-2</v>
      </c>
      <c r="F19" s="304">
        <f>'3.2 Balance Sheet'!E8/'3.3 Income Statement'!G8</f>
        <v>9.6036757975942633E-2</v>
      </c>
      <c r="G19" s="304">
        <f>'3.2 Balance Sheet'!F8/'3.3 Income Statement'!H8</f>
        <v>9.2695974100943754E-2</v>
      </c>
      <c r="H19" s="304">
        <f>'3.2 Balance Sheet'!G8/'3.3 Income Statement'!I8</f>
        <v>8.9500177609201079E-2</v>
      </c>
      <c r="I19" s="304">
        <f>'3.2 Balance Sheet'!H8/'3.3 Income Statement'!J8</f>
        <v>8.6441846955906065E-2</v>
      </c>
    </row>
    <row r="20" spans="3:9">
      <c r="C20" s="185"/>
      <c r="D20" s="233"/>
      <c r="E20" s="300"/>
      <c r="F20" s="300"/>
      <c r="G20" s="300"/>
      <c r="H20" s="300"/>
      <c r="I20" s="301"/>
    </row>
    <row r="21" spans="3:9" ht="16" thickBot="1">
      <c r="C21" s="190" t="s">
        <v>19</v>
      </c>
      <c r="D21" s="233"/>
      <c r="E21" s="300"/>
      <c r="F21" s="300"/>
      <c r="G21" s="300"/>
      <c r="H21" s="300"/>
      <c r="I21" s="301"/>
    </row>
    <row r="22" spans="3:9" ht="16" thickBot="1">
      <c r="C22" s="185" t="s">
        <v>124</v>
      </c>
      <c r="D22" s="186"/>
      <c r="E22" s="304">
        <f>'3.4 Cash Flow Statement'!E8/'3.3 Income Statement'!F8</f>
        <v>3.6677186464185565E-2</v>
      </c>
      <c r="F22" s="304">
        <f>'3.4 Cash Flow Statement'!F8/'3.3 Income Statement'!G8</f>
        <v>4.1341384904580683E-2</v>
      </c>
      <c r="G22" s="304">
        <f>'3.4 Cash Flow Statement'!G8/'3.3 Income Statement'!H8</f>
        <v>4.1202843739881326E-2</v>
      </c>
      <c r="H22" s="304">
        <f>'3.4 Cash Flow Statement'!H8/'3.3 Income Statement'!I8</f>
        <v>4.106581337999704E-2</v>
      </c>
      <c r="I22" s="304">
        <f>'3.4 Cash Flow Statement'!I8/'3.3 Income Statement'!J8</f>
        <v>4.0930322338889019E-2</v>
      </c>
    </row>
    <row r="23" spans="3:9" ht="16" thickBot="1">
      <c r="C23" s="193" t="s">
        <v>125</v>
      </c>
      <c r="D23" s="194"/>
      <c r="E23" s="304">
        <f>'3.4 Cash Flow Statement'!E11/'3.3 Income Statement'!F8</f>
        <v>-6.0191639458213549E-2</v>
      </c>
      <c r="F23" s="304">
        <f>'3.4 Cash Flow Statement'!F11/'3.3 Income Statement'!G8</f>
        <v>-5.7607209131604706E-2</v>
      </c>
      <c r="G23" s="304">
        <f>'3.4 Cash Flow Statement'!G11/'3.3 Income Statement'!H8</f>
        <v>-5.5154567746356152E-2</v>
      </c>
      <c r="H23" s="304">
        <f>'3.4 Cash Flow Statement'!H11/'3.3 Income Statement'!I8</f>
        <v>-5.282642622773575E-2</v>
      </c>
      <c r="I23" s="304">
        <f>'3.4 Cash Flow Statement'!I11/'3.3 Income Statement'!J8</f>
        <v>-5.061589711629659E-2</v>
      </c>
    </row>
    <row r="24" spans="3:9">
      <c r="C24" s="162"/>
      <c r="D24" s="158"/>
      <c r="E24" s="158"/>
      <c r="F24" s="158"/>
      <c r="G24" s="158"/>
      <c r="H24" s="158"/>
      <c r="I24" s="158"/>
    </row>
    <row r="84" spans="6:6">
      <c r="F84" s="163"/>
    </row>
    <row r="89" spans="6:6">
      <c r="F89" s="163"/>
    </row>
  </sheetData>
  <phoneticPr fontId="14" type="noConversion"/>
  <pageMargins left="0.7" right="0.7" top="0.75" bottom="0.75" header="0.3" footer="0.3"/>
  <pageSetup paperSize="9" orientation="portrait"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B1:J10"/>
  <sheetViews>
    <sheetView showGridLines="0" zoomScale="90" zoomScaleNormal="90" zoomScalePageLayoutView="90" workbookViewId="0">
      <selection activeCell="B2" sqref="B2:I4"/>
    </sheetView>
  </sheetViews>
  <sheetFormatPr baseColWidth="10" defaultColWidth="10.83203125" defaultRowHeight="15"/>
  <cols>
    <col min="1" max="1" width="18.83203125" style="89" customWidth="1"/>
    <col min="2" max="2" width="9.1640625" style="89" customWidth="1"/>
    <col min="3" max="3" width="45.83203125" style="89" customWidth="1"/>
    <col min="4" max="16384" width="10.83203125" style="89"/>
  </cols>
  <sheetData>
    <row r="1" spans="2:10" ht="74" customHeight="1" thickBot="1">
      <c r="B1" s="449" t="s">
        <v>385</v>
      </c>
    </row>
    <row r="2" spans="2:10" s="87" customFormat="1">
      <c r="B2" s="518"/>
      <c r="C2" s="519"/>
      <c r="D2" s="519"/>
      <c r="E2" s="519"/>
      <c r="F2" s="519"/>
      <c r="G2" s="519"/>
      <c r="H2" s="519"/>
      <c r="I2" s="520"/>
    </row>
    <row r="3" spans="2:10" s="87" customFormat="1" ht="19">
      <c r="B3" s="521" t="s">
        <v>8</v>
      </c>
      <c r="C3" s="522"/>
      <c r="D3" s="150" t="s">
        <v>128</v>
      </c>
      <c r="E3" s="558" t="s">
        <v>127</v>
      </c>
      <c r="F3" s="558"/>
      <c r="G3" s="558"/>
      <c r="H3" s="558"/>
      <c r="I3" s="559"/>
      <c r="J3" s="125"/>
    </row>
    <row r="4" spans="2:10" s="87" customFormat="1" ht="16" thickBot="1">
      <c r="B4" s="523" t="s">
        <v>406</v>
      </c>
      <c r="C4" s="524"/>
      <c r="D4" s="525"/>
      <c r="E4" s="524"/>
      <c r="F4" s="524"/>
      <c r="G4" s="524"/>
      <c r="H4" s="524"/>
      <c r="I4" s="526"/>
    </row>
    <row r="5" spans="2:10">
      <c r="B5" s="92"/>
      <c r="C5" s="141"/>
      <c r="D5" s="141"/>
      <c r="E5" s="141"/>
      <c r="F5" s="141"/>
      <c r="G5" s="141"/>
      <c r="H5" s="141"/>
      <c r="I5" s="141"/>
    </row>
    <row r="6" spans="2:10" ht="16" thickBot="1"/>
    <row r="7" spans="2:10" ht="16" thickBot="1">
      <c r="C7" s="305" t="s">
        <v>28</v>
      </c>
      <c r="D7" s="306">
        <v>2001</v>
      </c>
      <c r="E7" s="307">
        <v>2002</v>
      </c>
      <c r="F7" s="307">
        <v>2003</v>
      </c>
      <c r="G7" s="307">
        <v>2004</v>
      </c>
      <c r="H7" s="307">
        <v>2005</v>
      </c>
      <c r="I7" s="308">
        <v>2006</v>
      </c>
    </row>
    <row r="8" spans="2:10" ht="16" thickBot="1">
      <c r="C8" s="309" t="s">
        <v>27</v>
      </c>
      <c r="D8" s="313">
        <f>'1.2 Balance Sheet Pharmacia'!I48+'1.6 DCF Analysis Pfizer'!M27</f>
        <v>3230</v>
      </c>
      <c r="E8" s="313">
        <f>'1.2 Balance Sheet Pharmacia'!J48+'1.6 DCF Analysis Pfizer'!N27</f>
        <v>4696.549160927927</v>
      </c>
      <c r="F8" s="313">
        <f>'1.2 Balance Sheet Pharmacia'!K48+'1.6 DCF Analysis Pfizer'!O27</f>
        <v>4843.5326657363748</v>
      </c>
      <c r="G8" s="313">
        <f>'1.2 Balance Sheet Pharmacia'!L48+'1.6 DCF Analysis Pfizer'!P27</f>
        <v>4997.5566804251475</v>
      </c>
      <c r="H8" s="313">
        <f>'1.2 Balance Sheet Pharmacia'!M48+'1.6 DCF Analysis Pfizer'!Q27</f>
        <v>5158.9584454175128</v>
      </c>
      <c r="I8" s="313">
        <f>'1.2 Balance Sheet Pharmacia'!N48+'1.6 DCF Analysis Pfizer'!R27</f>
        <v>5328.0913549530123</v>
      </c>
    </row>
    <row r="9" spans="2:10" ht="16" thickBot="1">
      <c r="C9" s="310"/>
      <c r="D9" s="148"/>
      <c r="E9" s="125"/>
      <c r="F9" s="125"/>
      <c r="G9" s="125"/>
      <c r="H9" s="125"/>
      <c r="I9" s="149"/>
    </row>
    <row r="10" spans="2:10" ht="16" thickBot="1">
      <c r="C10" s="305" t="s">
        <v>35</v>
      </c>
      <c r="D10" s="313" t="s">
        <v>215</v>
      </c>
      <c r="E10" s="313">
        <f>E8-D8</f>
        <v>1466.549160927927</v>
      </c>
      <c r="F10" s="313">
        <f t="shared" ref="F10:I10" si="0">F8-E8</f>
        <v>146.98350480844783</v>
      </c>
      <c r="G10" s="313">
        <f t="shared" si="0"/>
        <v>154.0240146887727</v>
      </c>
      <c r="H10" s="313">
        <f t="shared" si="0"/>
        <v>161.40176499236532</v>
      </c>
      <c r="I10" s="313">
        <f t="shared" si="0"/>
        <v>169.13290953549949</v>
      </c>
    </row>
  </sheetData>
  <mergeCells count="1">
    <mergeCell ref="E3:I3"/>
  </mergeCells>
  <phoneticPr fontId="13" type="noConversion"/>
  <pageMargins left="0.7" right="0.7" top="0.75" bottom="0.75" header="0.3" footer="0.3"/>
  <pageSetup paperSize="9" orientation="portrait"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39997558519241921"/>
  </sheetPr>
  <dimension ref="B1:K19"/>
  <sheetViews>
    <sheetView showGridLines="0" zoomScaleNormal="100" workbookViewId="0">
      <selection activeCell="B2" sqref="B2:J4"/>
    </sheetView>
  </sheetViews>
  <sheetFormatPr baseColWidth="10" defaultColWidth="10.83203125" defaultRowHeight="15"/>
  <cols>
    <col min="1" max="1" width="20.1640625" style="87" customWidth="1"/>
    <col min="2" max="3" width="10.83203125" style="87"/>
    <col min="4" max="5" width="17" style="87" customWidth="1"/>
    <col min="6" max="16384" width="10.83203125" style="87"/>
  </cols>
  <sheetData>
    <row r="1" spans="2:11" ht="56" customHeight="1" thickBot="1">
      <c r="B1" s="450" t="s">
        <v>386</v>
      </c>
    </row>
    <row r="2" spans="2:11">
      <c r="B2" s="518"/>
      <c r="C2" s="519"/>
      <c r="D2" s="519"/>
      <c r="E2" s="519"/>
      <c r="F2" s="519"/>
      <c r="G2" s="519"/>
      <c r="H2" s="519"/>
      <c r="I2" s="519"/>
      <c r="J2" s="520"/>
    </row>
    <row r="3" spans="2:11" ht="19">
      <c r="B3" s="521" t="s">
        <v>8</v>
      </c>
      <c r="C3" s="522"/>
      <c r="D3" s="522"/>
      <c r="E3" s="527" t="s">
        <v>128</v>
      </c>
      <c r="F3" s="560" t="s">
        <v>127</v>
      </c>
      <c r="G3" s="560"/>
      <c r="H3" s="560"/>
      <c r="I3" s="560"/>
      <c r="J3" s="561"/>
      <c r="K3" s="125"/>
    </row>
    <row r="4" spans="2:11" ht="16" thickBot="1">
      <c r="B4" s="523" t="s">
        <v>406</v>
      </c>
      <c r="C4" s="524"/>
      <c r="D4" s="524"/>
      <c r="E4" s="528" t="s">
        <v>415</v>
      </c>
      <c r="F4" s="524">
        <v>2002</v>
      </c>
      <c r="G4" s="524">
        <v>2003</v>
      </c>
      <c r="H4" s="524">
        <v>2004</v>
      </c>
      <c r="I4" s="524">
        <v>2005</v>
      </c>
      <c r="J4" s="526">
        <v>2006</v>
      </c>
    </row>
    <row r="5" spans="2:11" ht="16" thickBot="1">
      <c r="B5" s="92"/>
      <c r="C5" s="141"/>
      <c r="D5" s="141"/>
      <c r="E5" s="141"/>
      <c r="F5" s="141"/>
      <c r="G5" s="141"/>
      <c r="H5" s="141"/>
      <c r="I5" s="141"/>
      <c r="J5" s="141"/>
    </row>
    <row r="6" spans="2:11" ht="17" thickBot="1">
      <c r="B6" s="142"/>
      <c r="C6" s="314" t="s">
        <v>8</v>
      </c>
      <c r="D6" s="315"/>
      <c r="E6" s="315"/>
      <c r="F6" s="316"/>
      <c r="G6" s="316"/>
      <c r="H6" s="316"/>
      <c r="I6" s="316"/>
      <c r="J6" s="317"/>
    </row>
    <row r="7" spans="2:11" ht="16" thickBot="1">
      <c r="B7" s="92"/>
      <c r="C7" s="318"/>
      <c r="D7" s="319"/>
      <c r="E7" s="320"/>
      <c r="F7" s="320"/>
      <c r="G7" s="320"/>
      <c r="H7" s="320"/>
      <c r="I7" s="320"/>
      <c r="J7" s="321"/>
    </row>
    <row r="8" spans="2:11" ht="16" thickBot="1">
      <c r="B8" s="92"/>
      <c r="C8" s="322" t="s">
        <v>10</v>
      </c>
      <c r="D8" s="234"/>
      <c r="E8" s="333">
        <f>'1.1 Income Statement Pharmacia'!I8+'1.4 Income Statement Pfizer'!Y9</f>
        <v>42859</v>
      </c>
      <c r="F8" s="333">
        <f>'1.1 Income Statement Pharmacia'!J8+'1.4 Income Statement Pfizer'!Z9</f>
        <v>45777.775283813142</v>
      </c>
      <c r="G8" s="333">
        <f>'1.1 Income Statement Pharmacia'!K8+'1.4 Income Statement Pfizer'!AA9</f>
        <v>48903.662096802771</v>
      </c>
      <c r="H8" s="333">
        <f>'1.1 Income Statement Pharmacia'!L8+'1.4 Income Statement Pfizer'!AB9</f>
        <v>52251.812581006816</v>
      </c>
      <c r="I8" s="333">
        <f>'1.1 Income Statement Pharmacia'!M8+'1.4 Income Statement Pfizer'!AC9</f>
        <v>55838.511318343721</v>
      </c>
      <c r="J8" s="333">
        <f>'1.1 Income Statement Pharmacia'!N8+'1.4 Income Statement Pfizer'!AD9</f>
        <v>59681.261184170377</v>
      </c>
      <c r="K8" s="143"/>
    </row>
    <row r="9" spans="2:11" ht="16" thickBot="1">
      <c r="B9" s="92"/>
      <c r="C9" s="322" t="s">
        <v>16</v>
      </c>
      <c r="D9" s="234"/>
      <c r="E9" s="333">
        <f>'1.1 Income Statement Pharmacia'!I9+'1.4 Income Statement Pfizer'!Y10</f>
        <v>-6801</v>
      </c>
      <c r="F9" s="333">
        <f>'1.1 Income Statement Pharmacia'!J9+'1.4 Income Statement Pfizer'!Z10</f>
        <v>-6224.7308658079019</v>
      </c>
      <c r="G9" s="333">
        <f>'1.1 Income Statement Pharmacia'!K9+'1.4 Income Statement Pfizer'!AA10</f>
        <v>-5616.796461329759</v>
      </c>
      <c r="H9" s="333">
        <f>'1.1 Income Statement Pharmacia'!L9+'1.4 Income Statement Pfizer'!AB10</f>
        <v>-5830.9955116426963</v>
      </c>
      <c r="I9" s="333">
        <f>'1.1 Income Statement Pharmacia'!M9+'1.4 Income Statement Pfizer'!AC10</f>
        <v>-6045.7722894088183</v>
      </c>
      <c r="J9" s="333">
        <f>'1.1 Income Statement Pharmacia'!N9+'1.4 Income Statement Pfizer'!AD10</f>
        <v>-6259.980598544942</v>
      </c>
      <c r="K9" s="88"/>
    </row>
    <row r="10" spans="2:11" ht="16" thickBot="1">
      <c r="B10" s="92"/>
      <c r="C10" s="322" t="s">
        <v>11</v>
      </c>
      <c r="D10" s="234"/>
      <c r="E10" s="333">
        <f>'1.1 Income Statement Pharmacia'!I10+'1.4 Income Statement Pfizer'!Y11</f>
        <v>-15138</v>
      </c>
      <c r="F10" s="333">
        <f>'1.1 Income Statement Pharmacia'!J10+'1.4 Income Statement Pfizer'!Z11</f>
        <v>-15655.324194383529</v>
      </c>
      <c r="G10" s="333">
        <f>'1.1 Income Statement Pharmacia'!K10+'1.4 Income Statement Pfizer'!AA11</f>
        <v>-16734.539175657308</v>
      </c>
      <c r="H10" s="333">
        <f>'1.1 Income Statement Pharmacia'!L10+'1.4 Income Statement Pfizer'!AB11</f>
        <v>-17891.047473980285</v>
      </c>
      <c r="I10" s="333">
        <f>'1.1 Income Statement Pharmacia'!M10+'1.4 Income Statement Pfizer'!AC11</f>
        <v>-19130.541281405978</v>
      </c>
      <c r="J10" s="333">
        <f>'1.1 Income Statement Pharmacia'!N10+'1.4 Income Statement Pfizer'!AD11</f>
        <v>-20459.140119385011</v>
      </c>
      <c r="K10" s="88"/>
    </row>
    <row r="11" spans="2:11" ht="16" thickBot="1">
      <c r="B11" s="92"/>
      <c r="C11" s="324" t="s">
        <v>17</v>
      </c>
      <c r="D11" s="325"/>
      <c r="E11" s="333">
        <f>'1.1 Income Statement Pharmacia'!I11+'1.4 Income Statement Pfizer'!Y12</f>
        <v>-7110</v>
      </c>
      <c r="F11" s="333">
        <f>'1.1 Income Statement Pharmacia'!J11+'1.4 Income Statement Pfizer'!Z12</f>
        <v>-6946.3533505936266</v>
      </c>
      <c r="G11" s="333">
        <f>'1.1 Income Statement Pharmacia'!K11+'1.4 Income Statement Pfizer'!AA12</f>
        <v>-7415.7135557714864</v>
      </c>
      <c r="H11" s="333">
        <f>'1.1 Income Statement Pharmacia'!L11+'1.4 Income Statement Pfizer'!AB12</f>
        <v>-7918.17655898874</v>
      </c>
      <c r="I11" s="333">
        <f>'1.1 Income Statement Pharmacia'!M11+'1.4 Income Statement Pfizer'!AC12</f>
        <v>-8456.1535272310939</v>
      </c>
      <c r="J11" s="333">
        <f>'1.1 Income Statement Pharmacia'!N11+'1.4 Income Statement Pfizer'!AD12</f>
        <v>-9032.2352930676934</v>
      </c>
      <c r="K11" s="143"/>
    </row>
    <row r="12" spans="2:11" ht="16" thickBot="1">
      <c r="B12" s="92"/>
      <c r="C12" s="328" t="s">
        <v>12</v>
      </c>
      <c r="D12" s="329"/>
      <c r="E12" s="334">
        <f>SUM(E8,E9,E10,E11)</f>
        <v>13810</v>
      </c>
      <c r="F12" s="334">
        <f>SUM(F8,F9,F10,F11)</f>
        <v>16951.366873028084</v>
      </c>
      <c r="G12" s="334">
        <f t="shared" ref="G12:J12" si="0">SUM(G8,G9,G10,G11)</f>
        <v>19136.612904044217</v>
      </c>
      <c r="H12" s="334">
        <f t="shared" si="0"/>
        <v>20611.593036395097</v>
      </c>
      <c r="I12" s="334">
        <f t="shared" si="0"/>
        <v>22206.044220297827</v>
      </c>
      <c r="J12" s="334">
        <f t="shared" si="0"/>
        <v>23929.90517317273</v>
      </c>
      <c r="K12" s="143"/>
    </row>
    <row r="13" spans="2:11" ht="16" thickBot="1">
      <c r="B13" s="144"/>
      <c r="C13" s="330" t="s">
        <v>13</v>
      </c>
      <c r="D13" s="235"/>
      <c r="E13" s="335">
        <f t="shared" ref="E13:J13" si="1">E12/E8</f>
        <v>0.32221937049394528</v>
      </c>
      <c r="F13" s="335">
        <f t="shared" si="1"/>
        <v>0.37029686934179229</v>
      </c>
      <c r="G13" s="335">
        <f t="shared" si="1"/>
        <v>0.39131247198142516</v>
      </c>
      <c r="H13" s="335">
        <f t="shared" si="1"/>
        <v>0.39446656524002144</v>
      </c>
      <c r="I13" s="335">
        <f t="shared" si="1"/>
        <v>0.39768331382793931</v>
      </c>
      <c r="J13" s="335">
        <f t="shared" si="1"/>
        <v>0.40096178764264795</v>
      </c>
      <c r="K13" s="146"/>
    </row>
    <row r="14" spans="2:11" ht="16" thickBot="1">
      <c r="B14" s="92"/>
      <c r="C14" s="322"/>
      <c r="D14" s="234"/>
      <c r="E14" s="88"/>
      <c r="F14" s="88"/>
      <c r="G14" s="88"/>
      <c r="H14" s="88"/>
      <c r="I14" s="88"/>
      <c r="J14" s="323"/>
      <c r="K14" s="143"/>
    </row>
    <row r="15" spans="2:11" ht="16" thickBot="1">
      <c r="B15" s="92"/>
      <c r="C15" s="324" t="s">
        <v>38</v>
      </c>
      <c r="D15" s="325"/>
      <c r="E15" s="333">
        <f>'1.1 Income Statement Pharmacia'!I15+'1.4 Income Statement Pfizer'!Y16</f>
        <v>-1679</v>
      </c>
      <c r="F15" s="333">
        <f>'1.1 Income Statement Pharmacia'!J15+'1.4 Income Statement Pfizer'!Z16</f>
        <v>-2021.7451179874765</v>
      </c>
      <c r="G15" s="333">
        <f>'1.1 Income Statement Pharmacia'!K15+'1.4 Income Statement Pfizer'!AA16</f>
        <v>-2152.923268900789</v>
      </c>
      <c r="H15" s="333">
        <f>'1.1 Income Statement Pharmacia'!L15+'1.4 Income Statement Pfizer'!AB16</f>
        <v>-2293.0538852159557</v>
      </c>
      <c r="I15" s="333">
        <f>'1.1 Income Statement Pharmacia'!M15+'1.4 Income Statement Pfizer'!AC16</f>
        <v>-2442.7732578595187</v>
      </c>
      <c r="J15" s="333">
        <f>'1.1 Income Statement Pharmacia'!N15+'1.4 Income Statement Pfizer'!AD16</f>
        <v>-2602.7642828773578</v>
      </c>
      <c r="K15" s="143"/>
    </row>
    <row r="16" spans="2:11" ht="16" thickBot="1">
      <c r="B16" s="92"/>
      <c r="C16" s="328" t="s">
        <v>15</v>
      </c>
      <c r="D16" s="329"/>
      <c r="E16" s="336">
        <f t="shared" ref="E16:J16" si="2">E12+E15</f>
        <v>12131</v>
      </c>
      <c r="F16" s="336">
        <f t="shared" si="2"/>
        <v>14929.621755040607</v>
      </c>
      <c r="G16" s="336">
        <f t="shared" si="2"/>
        <v>16983.68963514343</v>
      </c>
      <c r="H16" s="336">
        <f t="shared" si="2"/>
        <v>18318.539151179142</v>
      </c>
      <c r="I16" s="336">
        <f t="shared" si="2"/>
        <v>19763.270962438306</v>
      </c>
      <c r="J16" s="336">
        <f t="shared" si="2"/>
        <v>21327.140890295374</v>
      </c>
      <c r="K16" s="143"/>
    </row>
    <row r="17" spans="2:11" ht="16" thickBot="1">
      <c r="B17" s="92"/>
      <c r="C17" s="331" t="s">
        <v>13</v>
      </c>
      <c r="D17" s="332"/>
      <c r="E17" s="335">
        <f t="shared" ref="E17:J17" si="3">E16/E8</f>
        <v>0.28304440140927228</v>
      </c>
      <c r="F17" s="335">
        <f t="shared" si="3"/>
        <v>0.32613253183405938</v>
      </c>
      <c r="G17" s="335">
        <f t="shared" si="3"/>
        <v>0.34728870818559399</v>
      </c>
      <c r="H17" s="335">
        <f t="shared" si="3"/>
        <v>0.35058188886327379</v>
      </c>
      <c r="I17" s="335">
        <f t="shared" si="3"/>
        <v>0.35393620810850307</v>
      </c>
      <c r="J17" s="335">
        <f t="shared" si="3"/>
        <v>0.35735070719236245</v>
      </c>
      <c r="K17" s="143"/>
    </row>
    <row r="18" spans="2:11">
      <c r="B18" s="144"/>
      <c r="C18" s="144"/>
      <c r="D18" s="144"/>
      <c r="E18" s="144"/>
      <c r="F18" s="145"/>
      <c r="G18" s="145"/>
      <c r="H18" s="145"/>
      <c r="I18" s="145"/>
      <c r="J18" s="145"/>
      <c r="K18" s="146"/>
    </row>
    <row r="19" spans="2:11">
      <c r="B19" s="144"/>
      <c r="C19" s="147" t="s">
        <v>394</v>
      </c>
      <c r="D19" s="144"/>
      <c r="E19" s="144"/>
      <c r="F19" s="145"/>
      <c r="G19" s="145"/>
      <c r="H19" s="145"/>
      <c r="I19" s="145"/>
      <c r="J19" s="145"/>
      <c r="K19" s="146"/>
    </row>
  </sheetData>
  <mergeCells count="1">
    <mergeCell ref="F3:J3"/>
  </mergeCells>
  <phoneticPr fontId="13"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39997558519241921"/>
  </sheetPr>
  <dimension ref="B1:J20"/>
  <sheetViews>
    <sheetView showGridLines="0" workbookViewId="0">
      <selection activeCell="B2" sqref="B2:I4"/>
    </sheetView>
  </sheetViews>
  <sheetFormatPr baseColWidth="10" defaultColWidth="10.83203125" defaultRowHeight="15"/>
  <cols>
    <col min="1" max="1" width="21.83203125" style="87" customWidth="1"/>
    <col min="2" max="3" width="10.83203125" style="87"/>
    <col min="4" max="4" width="54" style="87" customWidth="1"/>
    <col min="5" max="16384" width="10.83203125" style="87"/>
  </cols>
  <sheetData>
    <row r="1" spans="2:10" ht="60" customHeight="1" thickBot="1">
      <c r="B1" s="451" t="s">
        <v>387</v>
      </c>
    </row>
    <row r="2" spans="2:10">
      <c r="B2" s="518"/>
      <c r="C2" s="519"/>
      <c r="D2" s="519"/>
      <c r="E2" s="519"/>
      <c r="F2" s="519"/>
      <c r="G2" s="519"/>
      <c r="H2" s="519"/>
      <c r="I2" s="520"/>
    </row>
    <row r="3" spans="2:10" ht="19">
      <c r="B3" s="521" t="s">
        <v>8</v>
      </c>
      <c r="C3" s="522"/>
      <c r="D3" s="522"/>
      <c r="E3" s="558" t="s">
        <v>9</v>
      </c>
      <c r="F3" s="558"/>
      <c r="G3" s="558"/>
      <c r="H3" s="558"/>
      <c r="I3" s="559"/>
      <c r="J3" s="125"/>
    </row>
    <row r="4" spans="2:10" ht="16" thickBot="1">
      <c r="B4" s="523" t="s">
        <v>406</v>
      </c>
      <c r="C4" s="524"/>
      <c r="D4" s="524"/>
      <c r="E4" s="524">
        <v>2002</v>
      </c>
      <c r="F4" s="524">
        <v>2003</v>
      </c>
      <c r="G4" s="524">
        <v>2004</v>
      </c>
      <c r="H4" s="524">
        <v>2005</v>
      </c>
      <c r="I4" s="526">
        <v>2006</v>
      </c>
    </row>
    <row r="5" spans="2:10" ht="16" thickBot="1">
      <c r="B5" s="92"/>
      <c r="C5" s="141"/>
      <c r="D5" s="141"/>
      <c r="E5" s="141"/>
      <c r="F5" s="141"/>
      <c r="G5" s="141"/>
      <c r="H5" s="141"/>
      <c r="I5" s="141"/>
    </row>
    <row r="6" spans="2:10" ht="17" thickBot="1">
      <c r="B6" s="142"/>
      <c r="C6" s="314" t="s">
        <v>19</v>
      </c>
      <c r="D6" s="315"/>
      <c r="E6" s="316"/>
      <c r="F6" s="316"/>
      <c r="G6" s="316"/>
      <c r="H6" s="316"/>
      <c r="I6" s="317"/>
    </row>
    <row r="7" spans="2:10" ht="16" thickBot="1">
      <c r="B7" s="92"/>
      <c r="C7" s="328" t="s">
        <v>75</v>
      </c>
      <c r="D7" s="329"/>
      <c r="E7" s="320"/>
      <c r="F7" s="320"/>
      <c r="G7" s="320"/>
      <c r="H7" s="320"/>
      <c r="I7" s="321"/>
    </row>
    <row r="8" spans="2:10" ht="16" thickBot="1">
      <c r="B8" s="92"/>
      <c r="C8" s="322" t="s">
        <v>14</v>
      </c>
      <c r="D8" s="234"/>
      <c r="E8" s="333">
        <f>-'3.3 Income Statement'!E15</f>
        <v>1679</v>
      </c>
      <c r="F8" s="333">
        <f>-'3.3 Income Statement'!F15</f>
        <v>2021.7451179874765</v>
      </c>
      <c r="G8" s="333">
        <f>-'3.3 Income Statement'!G15</f>
        <v>2152.923268900789</v>
      </c>
      <c r="H8" s="333">
        <f>-'3.3 Income Statement'!H15</f>
        <v>2293.0538852159557</v>
      </c>
      <c r="I8" s="333">
        <f>-'3.3 Income Statement'!I15</f>
        <v>2442.7732578595187</v>
      </c>
    </row>
    <row r="9" spans="2:10" ht="16" thickBot="1">
      <c r="B9" s="92"/>
      <c r="C9" s="324"/>
      <c r="D9" s="325"/>
      <c r="E9" s="326"/>
      <c r="F9" s="326"/>
      <c r="G9" s="326"/>
      <c r="H9" s="326"/>
      <c r="I9" s="327"/>
    </row>
    <row r="10" spans="2:10" ht="16" thickBot="1">
      <c r="B10" s="92"/>
      <c r="C10" s="328" t="s">
        <v>76</v>
      </c>
      <c r="D10" s="329"/>
      <c r="E10" s="320"/>
      <c r="F10" s="320"/>
      <c r="G10" s="320"/>
      <c r="H10" s="320"/>
      <c r="I10" s="321"/>
    </row>
    <row r="11" spans="2:10" ht="16" thickBot="1">
      <c r="B11" s="92"/>
      <c r="C11" s="322" t="s">
        <v>77</v>
      </c>
      <c r="D11" s="339"/>
      <c r="E11" s="333">
        <f>-'1.6 DCF Analysis Pfizer'!O30+'1.3 Cash Flow Statement '!J10</f>
        <v>-2755.4393450824</v>
      </c>
      <c r="F11" s="333">
        <f>-'1.6 DCF Analysis Pfizer'!P30+'1.3 Cash Flow Statement '!K10</f>
        <v>-2817.2034897118474</v>
      </c>
      <c r="G11" s="333">
        <f>-'1.6 DCF Analysis Pfizer'!Q30+'1.3 Cash Flow Statement '!L10</f>
        <v>-2881.926136869045</v>
      </c>
      <c r="H11" s="333">
        <f>-'1.6 DCF Analysis Pfizer'!R30+'1.3 Cash Flow Statement '!M10</f>
        <v>-2949.7489988250722</v>
      </c>
      <c r="I11" s="333">
        <f>-'1.6 DCF Analysis Pfizer'!S30+'1.3 Cash Flow Statement '!N10</f>
        <v>-3020.8205758687932</v>
      </c>
    </row>
    <row r="12" spans="2:10" ht="16" thickBot="1">
      <c r="B12" s="92"/>
      <c r="C12" s="324"/>
      <c r="D12" s="325"/>
      <c r="E12" s="337"/>
      <c r="F12" s="337"/>
      <c r="G12" s="337"/>
      <c r="H12" s="337"/>
      <c r="I12" s="338"/>
    </row>
    <row r="13" spans="2:10">
      <c r="B13" s="92"/>
      <c r="C13" s="92"/>
      <c r="D13" s="92"/>
    </row>
    <row r="14" spans="2:10">
      <c r="B14" s="92"/>
      <c r="C14" s="92"/>
      <c r="D14" s="92"/>
      <c r="E14" s="92"/>
      <c r="F14" s="92"/>
      <c r="G14" s="92"/>
      <c r="H14" s="92"/>
      <c r="I14" s="92"/>
    </row>
    <row r="15" spans="2:10">
      <c r="B15" s="92"/>
      <c r="C15" s="92"/>
      <c r="D15" s="88"/>
      <c r="E15" s="88"/>
      <c r="F15" s="88"/>
      <c r="G15" s="88"/>
      <c r="H15" s="88"/>
      <c r="I15" s="88"/>
    </row>
    <row r="20" spans="5:9">
      <c r="E20" s="143"/>
      <c r="F20" s="143"/>
      <c r="G20" s="143"/>
      <c r="H20" s="143"/>
      <c r="I20" s="143"/>
    </row>
  </sheetData>
  <mergeCells count="1">
    <mergeCell ref="E3:I3"/>
  </mergeCells>
  <phoneticPr fontId="13"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sheetPr>
  <dimension ref="A1"/>
  <sheetViews>
    <sheetView workbookViewId="0">
      <selection activeCell="G54" sqref="G54"/>
    </sheetView>
  </sheetViews>
  <sheetFormatPr baseColWidth="10" defaultColWidth="10.6640625" defaultRowHeight="15"/>
  <cols>
    <col min="1" max="16384" width="10.6640625" style="9"/>
  </cols>
  <sheetData/>
  <phoneticPr fontId="1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B462-FDEE-476C-8AAC-4584C9EC71AA}">
  <sheetPr>
    <tabColor theme="4"/>
  </sheetPr>
  <dimension ref="B1:M104"/>
  <sheetViews>
    <sheetView showGridLines="0" zoomScale="90" zoomScaleNormal="90" zoomScalePageLayoutView="85" workbookViewId="0">
      <selection activeCell="Q50" sqref="Q50"/>
    </sheetView>
  </sheetViews>
  <sheetFormatPr baseColWidth="10" defaultColWidth="10.83203125" defaultRowHeight="15"/>
  <cols>
    <col min="1" max="1" width="19.5" style="87" customWidth="1"/>
    <col min="2" max="2" width="10.83203125" style="87"/>
    <col min="3" max="3" width="10.83203125" style="87" customWidth="1"/>
    <col min="4" max="4" width="16" style="87" customWidth="1"/>
    <col min="5" max="9" width="12.83203125" style="87" customWidth="1"/>
    <col min="10" max="11" width="13.83203125" style="87" bestFit="1" customWidth="1"/>
    <col min="12" max="12" width="20.5" style="87" bestFit="1" customWidth="1"/>
    <col min="13" max="16" width="10.83203125" style="87"/>
    <col min="17" max="17" width="9.5" style="87" customWidth="1"/>
    <col min="18" max="18" width="10.83203125" style="87"/>
    <col min="19" max="19" width="8.5" style="87" customWidth="1"/>
    <col min="20" max="16384" width="10.83203125" style="87"/>
  </cols>
  <sheetData>
    <row r="1" spans="2:10" ht="73.5" customHeight="1" thickBot="1">
      <c r="B1" s="450" t="s">
        <v>388</v>
      </c>
    </row>
    <row r="2" spans="2:10">
      <c r="B2" s="518"/>
      <c r="C2" s="519"/>
      <c r="D2" s="519"/>
      <c r="E2" s="519"/>
      <c r="F2" s="519"/>
      <c r="G2" s="519"/>
      <c r="H2" s="519"/>
      <c r="I2" s="520"/>
    </row>
    <row r="3" spans="2:10" ht="18" customHeight="1">
      <c r="B3" s="521" t="s">
        <v>8</v>
      </c>
      <c r="C3" s="522"/>
      <c r="D3" s="522"/>
      <c r="E3" s="562"/>
      <c r="F3" s="562"/>
      <c r="G3" s="562"/>
      <c r="H3" s="562"/>
      <c r="I3" s="563"/>
    </row>
    <row r="4" spans="2:10" ht="16" thickBot="1">
      <c r="B4" s="523" t="s">
        <v>406</v>
      </c>
      <c r="C4" s="524"/>
      <c r="D4" s="524"/>
      <c r="E4" s="524">
        <v>2002</v>
      </c>
      <c r="F4" s="524">
        <v>2003</v>
      </c>
      <c r="G4" s="524">
        <v>2004</v>
      </c>
      <c r="H4" s="524">
        <v>2005</v>
      </c>
      <c r="I4" s="526">
        <v>2006</v>
      </c>
    </row>
    <row r="5" spans="2:10" ht="16" thickBot="1"/>
    <row r="6" spans="2:10" ht="17" thickBot="1">
      <c r="C6" s="314" t="s">
        <v>21</v>
      </c>
      <c r="D6" s="315"/>
      <c r="E6" s="316"/>
      <c r="F6" s="316"/>
      <c r="G6" s="316"/>
      <c r="H6" s="316"/>
      <c r="I6" s="317"/>
    </row>
    <row r="7" spans="2:10" ht="16" thickBot="1">
      <c r="C7" s="318"/>
      <c r="D7" s="319"/>
      <c r="E7" s="320"/>
      <c r="F7" s="320"/>
      <c r="G7" s="320"/>
      <c r="H7" s="320"/>
      <c r="I7" s="321"/>
    </row>
    <row r="8" spans="2:10" ht="16" thickBot="1">
      <c r="C8" s="322" t="s">
        <v>22</v>
      </c>
      <c r="D8" s="239"/>
      <c r="E8" s="333">
        <v>1</v>
      </c>
      <c r="F8" s="333">
        <v>2</v>
      </c>
      <c r="G8" s="333">
        <v>3</v>
      </c>
      <c r="H8" s="333">
        <v>4</v>
      </c>
      <c r="I8" s="333">
        <v>5</v>
      </c>
      <c r="J8" s="88"/>
    </row>
    <row r="9" spans="2:10" ht="16" thickBot="1">
      <c r="C9" s="322"/>
      <c r="D9" s="239"/>
      <c r="E9" s="88"/>
      <c r="F9" s="88"/>
      <c r="G9" s="88"/>
      <c r="H9" s="88"/>
      <c r="I9" s="323"/>
      <c r="J9" s="88"/>
    </row>
    <row r="10" spans="2:10" ht="16" thickBot="1">
      <c r="C10" s="340" t="s">
        <v>56</v>
      </c>
      <c r="D10" s="341"/>
      <c r="E10" s="343">
        <f>'3.3 Income Statement'!F8</f>
        <v>45777.775283813142</v>
      </c>
      <c r="F10" s="343">
        <f>'3.3 Income Statement'!G8</f>
        <v>48903.662096802771</v>
      </c>
      <c r="G10" s="343">
        <f>'3.3 Income Statement'!H8</f>
        <v>52251.812581006816</v>
      </c>
      <c r="H10" s="343">
        <f>'3.3 Income Statement'!I8</f>
        <v>55838.511318343721</v>
      </c>
      <c r="I10" s="343">
        <f>'3.3 Income Statement'!J8</f>
        <v>59681.261184170377</v>
      </c>
      <c r="J10" s="88"/>
    </row>
    <row r="11" spans="2:10" ht="16" thickBot="1">
      <c r="C11" s="234" t="s">
        <v>69</v>
      </c>
      <c r="D11" s="239"/>
      <c r="E11" s="344">
        <f>'3.3 Income Statement'!F9</f>
        <v>-6224.7308658079019</v>
      </c>
      <c r="F11" s="344">
        <f>'3.3 Income Statement'!G9</f>
        <v>-5616.796461329759</v>
      </c>
      <c r="G11" s="344">
        <f>'3.3 Income Statement'!H9</f>
        <v>-5830.9955116426963</v>
      </c>
      <c r="H11" s="344">
        <f>'3.3 Income Statement'!I9</f>
        <v>-6045.7722894088183</v>
      </c>
      <c r="I11" s="344">
        <f>'3.3 Income Statement'!J9</f>
        <v>-6259.980598544942</v>
      </c>
      <c r="J11" s="89"/>
    </row>
    <row r="12" spans="2:10" ht="16" thickBot="1">
      <c r="C12" s="234" t="s">
        <v>70</v>
      </c>
      <c r="D12" s="239"/>
      <c r="E12" s="344">
        <f>'3.3 Income Statement'!F10</f>
        <v>-15655.324194383529</v>
      </c>
      <c r="F12" s="344">
        <f>'3.3 Income Statement'!G10</f>
        <v>-16734.539175657308</v>
      </c>
      <c r="G12" s="344">
        <f>'3.3 Income Statement'!H10</f>
        <v>-17891.047473980285</v>
      </c>
      <c r="H12" s="344">
        <f>'3.3 Income Statement'!I10</f>
        <v>-19130.541281405978</v>
      </c>
      <c r="I12" s="344">
        <f>'3.3 Income Statement'!J10</f>
        <v>-20459.140119385011</v>
      </c>
      <c r="J12" s="89"/>
    </row>
    <row r="13" spans="2:10" ht="16" thickBot="1">
      <c r="C13" s="234" t="s">
        <v>71</v>
      </c>
      <c r="D13" s="237"/>
      <c r="E13" s="344">
        <f>'3.3 Income Statement'!F11</f>
        <v>-6946.3533505936266</v>
      </c>
      <c r="F13" s="344">
        <f>'3.3 Income Statement'!G11</f>
        <v>-7415.7135557714864</v>
      </c>
      <c r="G13" s="344">
        <f>'3.3 Income Statement'!H11</f>
        <v>-7918.17655898874</v>
      </c>
      <c r="H13" s="344">
        <f>'3.3 Income Statement'!I11</f>
        <v>-8456.1535272310939</v>
      </c>
      <c r="I13" s="344">
        <f>'3.3 Income Statement'!J11</f>
        <v>-9032.2352930676934</v>
      </c>
      <c r="J13" s="89"/>
    </row>
    <row r="14" spans="2:10" ht="16" thickBot="1">
      <c r="C14" s="236" t="s">
        <v>72</v>
      </c>
      <c r="D14" s="236"/>
      <c r="E14" s="336">
        <f>E10+E11+E12+E13</f>
        <v>16951.366873028084</v>
      </c>
      <c r="F14" s="336">
        <f t="shared" ref="F14:I14" si="0">F10+F11+F12+F13</f>
        <v>19136.612904044217</v>
      </c>
      <c r="G14" s="336">
        <f t="shared" si="0"/>
        <v>20611.593036395097</v>
      </c>
      <c r="H14" s="336">
        <f t="shared" si="0"/>
        <v>22206.044220297827</v>
      </c>
      <c r="I14" s="336">
        <f t="shared" si="0"/>
        <v>23929.90517317273</v>
      </c>
      <c r="J14" s="92"/>
    </row>
    <row r="15" spans="2:10" ht="16" thickBot="1">
      <c r="C15" s="240"/>
      <c r="D15" s="240"/>
      <c r="E15" s="342"/>
      <c r="F15" s="342"/>
      <c r="G15" s="342"/>
      <c r="H15" s="342"/>
      <c r="I15" s="345"/>
      <c r="J15" s="89"/>
    </row>
    <row r="16" spans="2:10" ht="16" thickBot="1">
      <c r="C16" s="234" t="s">
        <v>14</v>
      </c>
      <c r="D16" s="240"/>
      <c r="E16" s="343">
        <f>'3.3 Income Statement'!F15</f>
        <v>-2021.7451179874765</v>
      </c>
      <c r="F16" s="343">
        <f>'3.3 Income Statement'!G15</f>
        <v>-2152.923268900789</v>
      </c>
      <c r="G16" s="343">
        <f>'3.3 Income Statement'!H15</f>
        <v>-2293.0538852159557</v>
      </c>
      <c r="H16" s="343">
        <f>'3.3 Income Statement'!I15</f>
        <v>-2442.7732578595187</v>
      </c>
      <c r="I16" s="343">
        <f>'3.3 Income Statement'!J15</f>
        <v>-2602.7642828773578</v>
      </c>
      <c r="J16" s="88"/>
    </row>
    <row r="17" spans="3:10" ht="16" thickBot="1">
      <c r="C17" s="328" t="s">
        <v>73</v>
      </c>
      <c r="D17" s="329"/>
      <c r="E17" s="336">
        <f>E14+E16</f>
        <v>14929.621755040607</v>
      </c>
      <c r="F17" s="336">
        <f t="shared" ref="F17:I17" si="1">F14+F16</f>
        <v>16983.68963514343</v>
      </c>
      <c r="G17" s="336">
        <f t="shared" si="1"/>
        <v>18318.539151179142</v>
      </c>
      <c r="H17" s="336">
        <f t="shared" si="1"/>
        <v>19763.270962438306</v>
      </c>
      <c r="I17" s="336">
        <f t="shared" si="1"/>
        <v>21327.140890295374</v>
      </c>
      <c r="J17" s="92"/>
    </row>
    <row r="18" spans="3:10" ht="16" thickBot="1">
      <c r="C18" s="347" t="s">
        <v>365</v>
      </c>
      <c r="D18" s="346"/>
      <c r="E18" s="363">
        <f>'1.1 Income Statement Pharmacia'!J16+'1.6 DCF Analysis Pfizer'!O14</f>
        <v>16061.289826934877</v>
      </c>
      <c r="F18" s="363">
        <f>'1.1 Income Statement Pharmacia'!K16+'1.6 DCF Analysis Pfizer'!P14</f>
        <v>18034.766323483113</v>
      </c>
      <c r="G18" s="363">
        <f>'1.1 Income Statement Pharmacia'!L16+'1.6 DCF Analysis Pfizer'!Q14</f>
        <v>19269.657731779105</v>
      </c>
      <c r="H18" s="363">
        <f>'1.1 Income Statement Pharmacia'!M16+'1.6 DCF Analysis Pfizer'!R14</f>
        <v>20592.540850454061</v>
      </c>
      <c r="I18" s="363">
        <f>'1.1 Income Statement Pharmacia'!N16+'1.6 DCF Analysis Pfizer'!S14</f>
        <v>22009.872290643951</v>
      </c>
      <c r="J18" s="89"/>
    </row>
    <row r="19" spans="3:10" ht="16" thickBot="1">
      <c r="C19" s="312"/>
      <c r="D19" s="346"/>
      <c r="E19" s="342"/>
      <c r="F19" s="342"/>
      <c r="G19" s="342"/>
      <c r="H19" s="342"/>
      <c r="I19" s="348"/>
      <c r="J19" s="89"/>
    </row>
    <row r="20" spans="3:10" ht="16" thickBot="1">
      <c r="C20" s="324" t="s">
        <v>30</v>
      </c>
      <c r="D20" s="349"/>
      <c r="E20" s="364">
        <v>0.4</v>
      </c>
      <c r="F20" s="364">
        <v>0.4</v>
      </c>
      <c r="G20" s="364">
        <v>0.4</v>
      </c>
      <c r="H20" s="364">
        <v>0.4</v>
      </c>
      <c r="I20" s="364">
        <v>0.4</v>
      </c>
      <c r="J20" s="88"/>
    </row>
    <row r="21" spans="3:10" ht="16" thickBot="1">
      <c r="C21" s="328" t="s">
        <v>23</v>
      </c>
      <c r="D21" s="350"/>
      <c r="E21" s="365">
        <f>E18*(1-E20)</f>
        <v>9636.7738961609266</v>
      </c>
      <c r="F21" s="365">
        <f>F18*(1-F20)</f>
        <v>10820.859794089867</v>
      </c>
      <c r="G21" s="365">
        <f>G18*(1-G20)</f>
        <v>11561.794639067462</v>
      </c>
      <c r="H21" s="365">
        <f>H18*(1-H20)</f>
        <v>12355.524510272437</v>
      </c>
      <c r="I21" s="365">
        <f>I18*(1-I20)</f>
        <v>13205.92337438637</v>
      </c>
      <c r="J21" s="96"/>
    </row>
    <row r="22" spans="3:10" ht="16" thickBot="1">
      <c r="C22" s="312"/>
      <c r="D22" s="346"/>
      <c r="E22" s="351"/>
      <c r="F22" s="351"/>
      <c r="G22" s="351"/>
      <c r="H22" s="351"/>
      <c r="I22" s="352"/>
      <c r="J22" s="89"/>
    </row>
    <row r="23" spans="3:10" ht="16" thickBot="1">
      <c r="C23" s="322" t="s">
        <v>14</v>
      </c>
      <c r="D23" s="346"/>
      <c r="E23" s="344">
        <f>'3.3 Income Statement'!F15</f>
        <v>-2021.7451179874765</v>
      </c>
      <c r="F23" s="344">
        <f>'3.3 Income Statement'!G15</f>
        <v>-2152.923268900789</v>
      </c>
      <c r="G23" s="344">
        <f>'3.3 Income Statement'!H15</f>
        <v>-2293.0538852159557</v>
      </c>
      <c r="H23" s="344">
        <f>'3.3 Income Statement'!I15</f>
        <v>-2442.7732578595187</v>
      </c>
      <c r="I23" s="344">
        <f>'3.3 Income Statement'!J15</f>
        <v>-2602.7642828773578</v>
      </c>
    </row>
    <row r="24" spans="3:10" ht="16" thickBot="1">
      <c r="C24" s="322" t="s">
        <v>24</v>
      </c>
      <c r="D24" s="346"/>
      <c r="E24" s="366">
        <f>'3.2 Balance Sheet'!E10</f>
        <v>1466.549160927927</v>
      </c>
      <c r="F24" s="366">
        <f>'3.2 Balance Sheet'!F10</f>
        <v>146.98350480844783</v>
      </c>
      <c r="G24" s="366">
        <f>'3.2 Balance Sheet'!G10</f>
        <v>154.0240146887727</v>
      </c>
      <c r="H24" s="366">
        <f>'3.2 Balance Sheet'!H10</f>
        <v>161.40176499236532</v>
      </c>
      <c r="I24" s="366">
        <f>'3.2 Balance Sheet'!I10</f>
        <v>169.13290953549949</v>
      </c>
    </row>
    <row r="25" spans="3:10" ht="16" thickBot="1">
      <c r="C25" s="322" t="s">
        <v>20</v>
      </c>
      <c r="D25" s="346"/>
      <c r="E25" s="333">
        <f>'3.4 Cash Flow Statement'!E11</f>
        <v>-2755.4393450824</v>
      </c>
      <c r="F25" s="333">
        <f>'3.4 Cash Flow Statement'!F11</f>
        <v>-2817.2034897118474</v>
      </c>
      <c r="G25" s="333">
        <f>'3.4 Cash Flow Statement'!G11</f>
        <v>-2881.926136869045</v>
      </c>
      <c r="H25" s="333">
        <f>'3.4 Cash Flow Statement'!H11</f>
        <v>-2949.7489988250722</v>
      </c>
      <c r="I25" s="333">
        <f>'3.4 Cash Flow Statement'!I11</f>
        <v>-3020.8205758687932</v>
      </c>
    </row>
    <row r="26" spans="3:10" ht="16" thickBot="1">
      <c r="C26" s="353"/>
      <c r="D26" s="349"/>
      <c r="E26" s="354"/>
      <c r="F26" s="354"/>
      <c r="G26" s="354"/>
      <c r="H26" s="354"/>
      <c r="I26" s="355"/>
    </row>
    <row r="27" spans="3:10" ht="16" thickBot="1">
      <c r="C27" s="311" t="s">
        <v>29</v>
      </c>
      <c r="D27" s="350"/>
      <c r="E27" s="367">
        <f>E21-E23-E24+E25</f>
        <v>7436.5305081380766</v>
      </c>
      <c r="F27" s="367">
        <f t="shared" ref="F27:I27" si="2">F21-F23-F24+F25</f>
        <v>10009.59606847036</v>
      </c>
      <c r="G27" s="367">
        <f t="shared" si="2"/>
        <v>10818.898372725598</v>
      </c>
      <c r="H27" s="367">
        <f t="shared" si="2"/>
        <v>11687.147004314518</v>
      </c>
      <c r="I27" s="367">
        <f t="shared" si="2"/>
        <v>12618.734171859434</v>
      </c>
    </row>
    <row r="28" spans="3:10" ht="16" thickBot="1">
      <c r="C28" s="357"/>
      <c r="D28" s="341"/>
      <c r="E28" s="337"/>
      <c r="F28" s="337"/>
      <c r="G28" s="337"/>
      <c r="H28" s="337"/>
      <c r="I28" s="338"/>
    </row>
    <row r="29" spans="3:10" ht="16" thickBot="1">
      <c r="C29" s="305" t="s">
        <v>33</v>
      </c>
      <c r="D29" s="359"/>
      <c r="E29" s="336">
        <f>E27/(1+$D$39)^'4.1 Combined Free Cash Flow'!E8</f>
        <v>6935.1833403425417</v>
      </c>
      <c r="F29" s="336">
        <f>F27/(1+$D$39)^'4.1 Combined Free Cash Flow'!F8</f>
        <v>8705.459864200322</v>
      </c>
      <c r="G29" s="336">
        <f>G27/(1+$D$39)^'4.1 Combined Free Cash Flow'!G8</f>
        <v>8774.9730121793709</v>
      </c>
      <c r="H29" s="336">
        <f>H27/(1+$D$39)^'4.1 Combined Free Cash Flow'!H8</f>
        <v>8840.1337862848413</v>
      </c>
      <c r="I29" s="336">
        <f>I27/(1+$D$39)^'4.1 Combined Free Cash Flow'!I8</f>
        <v>8901.3054700260309</v>
      </c>
    </row>
    <row r="30" spans="3:10" ht="16" thickBot="1">
      <c r="C30" s="305" t="s">
        <v>34</v>
      </c>
      <c r="D30" s="359"/>
      <c r="E30" s="362"/>
      <c r="F30" s="362"/>
      <c r="G30" s="362"/>
      <c r="H30" s="362"/>
      <c r="I30" s="361">
        <f>SUM(E29:I29)</f>
        <v>42157.055473033113</v>
      </c>
    </row>
    <row r="31" spans="3:10" ht="16" thickBot="1">
      <c r="C31" s="305" t="s">
        <v>37</v>
      </c>
      <c r="D31" s="359"/>
      <c r="E31" s="362"/>
      <c r="F31" s="362"/>
      <c r="G31" s="362"/>
      <c r="H31" s="362"/>
      <c r="I31" s="361">
        <f>I29*(1+D40)/(D39-D40)</f>
        <v>261313.9027357208</v>
      </c>
    </row>
    <row r="32" spans="3:10" ht="16" thickBot="1">
      <c r="C32" s="305" t="s">
        <v>411</v>
      </c>
      <c r="D32" s="359"/>
      <c r="E32" s="362"/>
      <c r="F32" s="362"/>
      <c r="G32" s="362"/>
      <c r="H32" s="362"/>
      <c r="I32" s="476">
        <f>I30+I31</f>
        <v>303470.9582087539</v>
      </c>
    </row>
    <row r="33" spans="3:13">
      <c r="C33" s="87" t="s">
        <v>412</v>
      </c>
      <c r="I33" s="99"/>
      <c r="J33" s="88"/>
    </row>
    <row r="34" spans="3:13">
      <c r="C34" s="100"/>
      <c r="D34" s="100"/>
      <c r="E34" s="101"/>
      <c r="F34" s="101"/>
      <c r="G34" s="101"/>
      <c r="I34" s="97"/>
      <c r="J34" s="99"/>
    </row>
    <row r="35" spans="3:13">
      <c r="C35" s="102"/>
      <c r="D35" s="101"/>
      <c r="E35" s="101"/>
      <c r="F35" s="101"/>
      <c r="G35" s="101"/>
      <c r="J35" s="97"/>
    </row>
    <row r="36" spans="3:13">
      <c r="C36" s="102" t="s">
        <v>366</v>
      </c>
      <c r="D36" s="101"/>
      <c r="E36" s="101"/>
      <c r="F36" s="101"/>
      <c r="G36" s="101"/>
    </row>
    <row r="37" spans="3:13">
      <c r="C37" s="101"/>
      <c r="D37" s="101"/>
      <c r="E37" s="101"/>
      <c r="F37" s="101"/>
      <c r="G37" s="101"/>
    </row>
    <row r="38" spans="3:13" ht="16" thickBot="1">
      <c r="C38" s="100"/>
      <c r="D38" s="102"/>
      <c r="E38" s="103"/>
      <c r="F38" s="103"/>
      <c r="G38" s="101"/>
    </row>
    <row r="39" spans="3:13" ht="16" thickBot="1">
      <c r="C39" s="416" t="s">
        <v>41</v>
      </c>
      <c r="D39" s="417">
        <f>'2.1 Post-WACC'!C22</f>
        <v>7.229039856511893E-2</v>
      </c>
      <c r="E39" s="102"/>
      <c r="F39" s="102"/>
      <c r="G39" s="101"/>
    </row>
    <row r="40" spans="3:13" ht="16" thickBot="1">
      <c r="C40" s="415" t="s">
        <v>219</v>
      </c>
      <c r="D40" s="417">
        <f>1.06*'1.6 DCF Analysis Pfizer'!F47</f>
        <v>3.69675E-2</v>
      </c>
      <c r="E40" s="104"/>
      <c r="F40" s="104"/>
      <c r="G40" s="101"/>
    </row>
    <row r="41" spans="3:13">
      <c r="C41" s="91" t="s">
        <v>220</v>
      </c>
      <c r="D41" s="90"/>
      <c r="E41" s="104"/>
      <c r="F41" s="104"/>
      <c r="G41" s="101"/>
    </row>
    <row r="42" spans="3:13">
      <c r="C42" s="102"/>
      <c r="D42" s="102"/>
      <c r="E42" s="104"/>
      <c r="F42" s="104"/>
      <c r="G42" s="101"/>
    </row>
    <row r="43" spans="3:13">
      <c r="C43" s="102"/>
      <c r="D43" s="102"/>
      <c r="E43" s="104"/>
      <c r="F43" s="104"/>
      <c r="G43" s="101"/>
    </row>
    <row r="44" spans="3:13">
      <c r="C44" s="93"/>
      <c r="D44" s="93"/>
      <c r="E44" s="93"/>
      <c r="F44" s="94" t="s">
        <v>39</v>
      </c>
      <c r="G44" s="93"/>
      <c r="H44" s="93"/>
      <c r="I44" s="93"/>
    </row>
    <row r="45" spans="3:13" ht="16" thickBot="1">
      <c r="C45" s="93"/>
      <c r="D45" s="93"/>
      <c r="E45" s="93"/>
      <c r="F45" s="93"/>
      <c r="G45" s="93"/>
      <c r="H45" s="93"/>
      <c r="I45" s="93"/>
    </row>
    <row r="46" spans="3:13">
      <c r="C46" s="541"/>
      <c r="D46" s="424"/>
      <c r="E46" s="425"/>
      <c r="F46" s="425"/>
      <c r="G46" s="425" t="s">
        <v>40</v>
      </c>
      <c r="H46" s="425"/>
      <c r="I46" s="425"/>
      <c r="J46" s="425"/>
      <c r="K46" s="425"/>
      <c r="L46" s="425"/>
      <c r="M46" s="426"/>
    </row>
    <row r="47" spans="3:13" ht="16" thickBot="1">
      <c r="C47" s="542"/>
      <c r="D47" s="427"/>
      <c r="E47" s="428"/>
      <c r="F47" s="428"/>
      <c r="G47" s="428"/>
      <c r="H47" s="428"/>
      <c r="I47" s="428"/>
      <c r="J47" s="428"/>
      <c r="K47" s="428"/>
      <c r="L47" s="428"/>
      <c r="M47" s="429"/>
    </row>
    <row r="48" spans="3:13" ht="16" thickBot="1">
      <c r="C48" s="542"/>
      <c r="D48" s="418">
        <f>I32</f>
        <v>303470.9582087539</v>
      </c>
      <c r="E48" s="430">
        <f t="shared" ref="E48:G48" si="3">F48-0.5%</f>
        <v>5.2290398565118933E-2</v>
      </c>
      <c r="F48" s="430">
        <f t="shared" si="3"/>
        <v>5.729039856511893E-2</v>
      </c>
      <c r="G48" s="430">
        <f t="shared" si="3"/>
        <v>6.2290398565118928E-2</v>
      </c>
      <c r="H48" s="430">
        <f>I48-0.5%</f>
        <v>6.7290398565118925E-2</v>
      </c>
      <c r="I48" s="430">
        <f>D39</f>
        <v>7.229039856511893E-2</v>
      </c>
      <c r="J48" s="430">
        <f>I48+0.5%</f>
        <v>7.7290398565118934E-2</v>
      </c>
      <c r="K48" s="430">
        <f t="shared" ref="K48:M48" si="4">J48+0.5%</f>
        <v>8.2290398565118938E-2</v>
      </c>
      <c r="L48" s="430">
        <f t="shared" si="4"/>
        <v>8.7290398565118943E-2</v>
      </c>
      <c r="M48" s="430">
        <f t="shared" si="4"/>
        <v>9.2290398565118947E-2</v>
      </c>
    </row>
    <row r="49" spans="3:13" ht="16" thickBot="1">
      <c r="C49" s="564" t="s">
        <v>418</v>
      </c>
      <c r="D49" s="430">
        <f t="shared" ref="D49:D50" si="5">D50-0.005</f>
        <v>2.1967500000000001E-2</v>
      </c>
      <c r="E49" s="418">
        <f t="shared" ref="E49:M49" si="6">$E$27/(1+E48)^1+$F$27/(1+E48)^2+$G$27/(1+E48)^3+$H$27/(1+E48)^4+$I$27/(1+E48)^5+$I$29*(1+$D$49)/(E48-$D$49)</f>
        <v>344702.15961313399</v>
      </c>
      <c r="F49" s="418">
        <f t="shared" si="6"/>
        <v>301578.98225037789</v>
      </c>
      <c r="G49" s="418">
        <f t="shared" si="6"/>
        <v>269001.67040781799</v>
      </c>
      <c r="H49" s="418">
        <f t="shared" si="6"/>
        <v>243484.39121113619</v>
      </c>
      <c r="I49" s="418">
        <f t="shared" si="6"/>
        <v>222926.54922878946</v>
      </c>
      <c r="J49" s="418">
        <f t="shared" si="6"/>
        <v>205986.8137898962</v>
      </c>
      <c r="K49" s="418">
        <f t="shared" si="6"/>
        <v>191768.45703989422</v>
      </c>
      <c r="L49" s="418">
        <f t="shared" si="6"/>
        <v>179649.20249490952</v>
      </c>
      <c r="M49" s="418">
        <f t="shared" si="6"/>
        <v>169183.66062648475</v>
      </c>
    </row>
    <row r="50" spans="3:13" ht="16" thickBot="1">
      <c r="C50" s="564"/>
      <c r="D50" s="430">
        <f t="shared" si="5"/>
        <v>2.6967500000000002E-2</v>
      </c>
      <c r="E50" s="418">
        <f t="shared" ref="E50:M50" si="7">$E$27/(1+E48)^1+$F$27/(1+E48)^2+$G$27/(1+E48)^3+$H$27/(1+E48)^4+$I$27/(1+E48)^5+$I$29*(1+$D$50)/(E48-$D$50)</f>
        <v>405694.48461227212</v>
      </c>
      <c r="F50" s="418">
        <f t="shared" si="7"/>
        <v>345511.99136272218</v>
      </c>
      <c r="G50" s="418">
        <f t="shared" si="7"/>
        <v>302195.61679117958</v>
      </c>
      <c r="H50" s="418">
        <f t="shared" si="7"/>
        <v>269476.2232485796</v>
      </c>
      <c r="I50" s="418">
        <f t="shared" si="7"/>
        <v>243850.93902187253</v>
      </c>
      <c r="J50" s="418">
        <f t="shared" si="7"/>
        <v>223208.90655461303</v>
      </c>
      <c r="K50" s="418">
        <f t="shared" si="7"/>
        <v>206202.2472041235</v>
      </c>
      <c r="L50" s="418">
        <f t="shared" si="7"/>
        <v>191929.859830325</v>
      </c>
      <c r="M50" s="418">
        <f t="shared" si="7"/>
        <v>179766.43690314831</v>
      </c>
    </row>
    <row r="51" spans="3:13" ht="16" thickBot="1">
      <c r="C51" s="564"/>
      <c r="D51" s="430">
        <f>D52-0.005</f>
        <v>3.1967500000000003E-2</v>
      </c>
      <c r="E51" s="418">
        <f t="shared" ref="E51:M51" si="8">$E$27/(1+E48)^1+$F$27/(1+E48)^2+$G$27/(1+E48)^3+$H$27/(1+E48)^4+$I$27/(1+E48)^5+$I$29*(1+$D$51)/(E48-$D$51)</f>
        <v>496698.43654725573</v>
      </c>
      <c r="F51" s="418">
        <f t="shared" si="8"/>
        <v>406794.12383840047</v>
      </c>
      <c r="G51" s="418">
        <f t="shared" si="8"/>
        <v>346336.3881662474</v>
      </c>
      <c r="H51" s="419">
        <f t="shared" si="8"/>
        <v>302826.40725975082</v>
      </c>
      <c r="I51" s="419">
        <f t="shared" si="8"/>
        <v>269964.53656977293</v>
      </c>
      <c r="J51" s="419">
        <f t="shared" si="8"/>
        <v>244230.86501855741</v>
      </c>
      <c r="K51" s="418">
        <f t="shared" si="8"/>
        <v>223504.27242153668</v>
      </c>
      <c r="L51" s="418">
        <f t="shared" si="8"/>
        <v>206430.33168268233</v>
      </c>
      <c r="M51" s="418">
        <f t="shared" si="8"/>
        <v>192103.56791547482</v>
      </c>
    </row>
    <row r="52" spans="3:13" ht="29.5" customHeight="1" thickBot="1">
      <c r="C52" s="542"/>
      <c r="D52" s="430">
        <f>D40</f>
        <v>3.69675E-2</v>
      </c>
      <c r="E52" s="418">
        <f t="shared" ref="E52:M52" si="9">$E$27/(1+E48)^1+$F$27/(1+E48)^2+$G$27/(1+E48)^3+$H$27/(1+E48)^4+$I$27/(1+E48)^5+$I$29*(1+$D$52)/(E48-$D$52)</f>
        <v>647093.20905592968</v>
      </c>
      <c r="F52" s="418">
        <f t="shared" si="9"/>
        <v>498230.48469804542</v>
      </c>
      <c r="G52" s="418">
        <f t="shared" si="9"/>
        <v>407908.32811846596</v>
      </c>
      <c r="H52" s="419">
        <f t="shared" si="9"/>
        <v>347174.94089754217</v>
      </c>
      <c r="I52" s="420">
        <f t="shared" si="9"/>
        <v>303470.9582087539</v>
      </c>
      <c r="J52" s="419">
        <f t="shared" si="9"/>
        <v>270466.22807691491</v>
      </c>
      <c r="K52" s="418">
        <f t="shared" si="9"/>
        <v>244623.79955634248</v>
      </c>
      <c r="L52" s="418">
        <f t="shared" si="9"/>
        <v>223812.28935279194</v>
      </c>
      <c r="M52" s="418">
        <f t="shared" si="9"/>
        <v>206670.7214559603</v>
      </c>
    </row>
    <row r="53" spans="3:13" ht="16" thickBot="1">
      <c r="C53" s="542"/>
      <c r="D53" s="430">
        <f>D52+0.005</f>
        <v>4.1967499999999998E-2</v>
      </c>
      <c r="E53" s="418">
        <f t="shared" ref="E53:M53" si="10">$E$27/(1+E48)^1+$F$27/(1+E48)^2+$G$27/(1+E48)^3+$H$27/(1+E48)^4+$I$27/(1+E48)^5+$I$29*(1+$D$53)/(E48-$D$53)</f>
        <v>943178.43038569111</v>
      </c>
      <c r="F53" s="418">
        <f t="shared" si="10"/>
        <v>649339.86399546207</v>
      </c>
      <c r="G53" s="418">
        <f t="shared" si="10"/>
        <v>499777.09790277208</v>
      </c>
      <c r="H53" s="419">
        <f t="shared" si="10"/>
        <v>409036.68832630094</v>
      </c>
      <c r="I53" s="419">
        <f t="shared" si="10"/>
        <v>348027.2541092686</v>
      </c>
      <c r="J53" s="419">
        <f t="shared" si="10"/>
        <v>304128.88734370546</v>
      </c>
      <c r="K53" s="418">
        <f t="shared" si="10"/>
        <v>270980.92812515696</v>
      </c>
      <c r="L53" s="418">
        <f t="shared" si="10"/>
        <v>245029.38515845904</v>
      </c>
      <c r="M53" s="418">
        <f t="shared" si="10"/>
        <v>224132.61157876623</v>
      </c>
    </row>
    <row r="54" spans="3:13" ht="16" thickBot="1">
      <c r="C54" s="542"/>
      <c r="D54" s="430">
        <f>D53+0.005</f>
        <v>4.6967499999999995E-2</v>
      </c>
      <c r="E54" s="421">
        <f t="shared" ref="E54:M54" si="11">$E$27/(1+E48)^1+$F$27/(1+E48)^2+$G$27/(1+E48)^3+$H$27/(1+E48)^4+$I$27/(1+E48)^5+$I$29*(1+$D$54)/(E48-$D$54)</f>
        <v>1795511.7517074642</v>
      </c>
      <c r="F54" s="421">
        <f t="shared" si="11"/>
        <v>946831.94612017844</v>
      </c>
      <c r="G54" s="421">
        <f t="shared" si="11"/>
        <v>651601.08398893126</v>
      </c>
      <c r="H54" s="421">
        <f t="shared" si="11"/>
        <v>501337.86703526828</v>
      </c>
      <c r="I54" s="421">
        <f t="shared" si="11"/>
        <v>410178.80901456758</v>
      </c>
      <c r="J54" s="421">
        <f t="shared" si="11"/>
        <v>348892.94550694368</v>
      </c>
      <c r="K54" s="421">
        <f t="shared" si="11"/>
        <v>304799.82501975721</v>
      </c>
      <c r="L54" s="421">
        <f t="shared" si="11"/>
        <v>271508.27923773066</v>
      </c>
      <c r="M54" s="421">
        <f t="shared" si="11"/>
        <v>245447.27605529473</v>
      </c>
    </row>
    <row r="55" spans="3:13" ht="16" thickBot="1">
      <c r="C55" s="543"/>
      <c r="D55" s="430">
        <f>D54+0.005</f>
        <v>5.1967499999999993E-2</v>
      </c>
      <c r="E55" s="421">
        <f t="shared" ref="E55:M55" si="12">$E$27/(1+E48)^1+$F$27/(1+E48)^2+$G$27/(1+E48)^3+$H$27/(1+E48)^4+$I$27/(1+E48)^5+$I$29*(1+$D$55)/(E48-$D$55)</f>
        <v>29044163.093452007</v>
      </c>
      <c r="F55" s="421">
        <f t="shared" si="12"/>
        <v>1803215.1633760203</v>
      </c>
      <c r="G55" s="421">
        <f t="shared" si="12"/>
        <v>950500.02690860268</v>
      </c>
      <c r="H55" s="421">
        <f t="shared" si="12"/>
        <v>653876.45991017018</v>
      </c>
      <c r="I55" s="421">
        <f t="shared" si="12"/>
        <v>502912.39664819615</v>
      </c>
      <c r="J55" s="421">
        <f t="shared" si="12"/>
        <v>411334.30788878287</v>
      </c>
      <c r="K55" s="421">
        <f t="shared" si="12"/>
        <v>349771.6454457189</v>
      </c>
      <c r="L55" s="421">
        <f t="shared" si="12"/>
        <v>305483.41376014054</v>
      </c>
      <c r="M55" s="421">
        <f t="shared" si="12"/>
        <v>272047.93564502336</v>
      </c>
    </row>
    <row r="63" spans="3:13">
      <c r="C63" s="102"/>
      <c r="D63" s="102"/>
      <c r="E63" s="107"/>
      <c r="F63" s="107"/>
      <c r="G63" s="107"/>
    </row>
    <row r="64" spans="3:13">
      <c r="C64" s="102"/>
      <c r="D64" s="102"/>
      <c r="E64" s="107"/>
      <c r="F64" s="107"/>
      <c r="G64" s="107"/>
    </row>
    <row r="65" spans="2:11">
      <c r="C65" s="105"/>
      <c r="D65" s="102"/>
      <c r="E65" s="111"/>
      <c r="F65" s="111"/>
      <c r="G65" s="111"/>
    </row>
    <row r="66" spans="2:11">
      <c r="C66" s="112"/>
      <c r="D66" s="101"/>
      <c r="E66" s="113"/>
      <c r="F66" s="113"/>
      <c r="G66" s="113"/>
      <c r="H66" s="114"/>
      <c r="I66" s="114"/>
    </row>
    <row r="67" spans="2:11">
      <c r="C67" s="112"/>
      <c r="D67" s="101"/>
      <c r="E67" s="101"/>
      <c r="F67" s="101"/>
      <c r="G67" s="115"/>
      <c r="J67" s="114"/>
    </row>
    <row r="68" spans="2:11">
      <c r="C68" s="112"/>
      <c r="D68" s="101"/>
      <c r="E68" s="101"/>
      <c r="F68" s="101"/>
      <c r="G68" s="116"/>
    </row>
    <row r="69" spans="2:11">
      <c r="C69" s="101"/>
      <c r="D69" s="101"/>
      <c r="E69" s="101"/>
      <c r="F69" s="101"/>
      <c r="G69" s="116"/>
    </row>
    <row r="70" spans="2:11">
      <c r="G70" s="117"/>
    </row>
    <row r="71" spans="2:11">
      <c r="C71" s="101"/>
      <c r="D71" s="101"/>
      <c r="E71" s="101"/>
      <c r="F71" s="101"/>
      <c r="G71" s="101"/>
      <c r="H71" s="101"/>
      <c r="I71" s="101"/>
      <c r="J71" s="101"/>
    </row>
    <row r="72" spans="2:11">
      <c r="C72" s="101"/>
      <c r="D72" s="101"/>
      <c r="E72" s="101"/>
      <c r="F72" s="101"/>
      <c r="G72" s="101"/>
      <c r="H72" s="101"/>
      <c r="I72" s="101"/>
      <c r="J72" s="101"/>
    </row>
    <row r="73" spans="2:11">
      <c r="C73" s="118"/>
      <c r="D73" s="118"/>
      <c r="E73" s="118"/>
      <c r="F73" s="118"/>
      <c r="G73" s="118"/>
      <c r="H73" s="101"/>
      <c r="I73" s="118"/>
      <c r="J73" s="118"/>
      <c r="K73" s="118"/>
    </row>
    <row r="74" spans="2:11">
      <c r="C74" s="119"/>
      <c r="D74" s="119"/>
      <c r="E74" s="120"/>
      <c r="F74" s="119"/>
      <c r="G74" s="101"/>
      <c r="H74" s="101"/>
      <c r="I74" s="121"/>
      <c r="J74" s="121"/>
      <c r="K74" s="122"/>
    </row>
    <row r="75" spans="2:11">
      <c r="C75" s="119"/>
      <c r="D75" s="119"/>
      <c r="E75" s="123"/>
      <c r="F75" s="119"/>
      <c r="G75" s="101"/>
      <c r="H75" s="101"/>
      <c r="I75" s="121"/>
      <c r="J75" s="121"/>
      <c r="K75" s="122"/>
    </row>
    <row r="76" spans="2:11">
      <c r="C76" s="119"/>
      <c r="D76" s="119"/>
      <c r="E76" s="119"/>
      <c r="F76" s="123"/>
      <c r="G76" s="101"/>
      <c r="H76" s="101"/>
      <c r="I76" s="121"/>
      <c r="J76" s="121"/>
      <c r="K76" s="122"/>
    </row>
    <row r="77" spans="2:11">
      <c r="C77" s="121"/>
      <c r="D77" s="121"/>
      <c r="E77" s="121"/>
      <c r="F77" s="124"/>
      <c r="G77" s="101"/>
      <c r="H77" s="101"/>
      <c r="I77" s="121"/>
      <c r="J77" s="121"/>
      <c r="K77" s="122"/>
    </row>
    <row r="78" spans="2:11">
      <c r="B78" s="125"/>
      <c r="C78" s="121"/>
      <c r="D78" s="119"/>
      <c r="E78" s="119"/>
      <c r="F78" s="124"/>
      <c r="G78" s="126"/>
      <c r="H78" s="101"/>
      <c r="I78" s="101"/>
      <c r="J78" s="101"/>
    </row>
    <row r="79" spans="2:11">
      <c r="B79" s="125"/>
      <c r="C79" s="121"/>
      <c r="D79" s="119"/>
      <c r="E79" s="119"/>
      <c r="F79" s="124"/>
      <c r="G79" s="126"/>
      <c r="H79" s="101"/>
      <c r="I79" s="101"/>
      <c r="J79" s="101"/>
    </row>
    <row r="80" spans="2:11">
      <c r="B80" s="125"/>
      <c r="C80" s="127"/>
      <c r="D80" s="119"/>
      <c r="E80" s="119"/>
      <c r="F80" s="119"/>
      <c r="G80" s="107"/>
      <c r="H80" s="107"/>
      <c r="I80" s="107"/>
      <c r="J80" s="101"/>
    </row>
    <row r="81" spans="2:11">
      <c r="B81" s="125"/>
      <c r="C81" s="101"/>
      <c r="D81" s="101"/>
      <c r="E81" s="101"/>
      <c r="F81" s="101"/>
      <c r="G81" s="101"/>
      <c r="H81" s="101"/>
      <c r="I81" s="101"/>
      <c r="J81" s="107"/>
      <c r="K81" s="128"/>
    </row>
    <row r="82" spans="2:11">
      <c r="B82" s="125"/>
      <c r="C82" s="101"/>
      <c r="D82" s="101"/>
      <c r="E82" s="101"/>
      <c r="F82" s="101"/>
      <c r="G82" s="101"/>
      <c r="H82" s="101"/>
      <c r="I82" s="101"/>
      <c r="J82" s="101"/>
    </row>
    <row r="83" spans="2:11" ht="19">
      <c r="B83" s="125"/>
      <c r="C83" s="129"/>
      <c r="D83" s="129"/>
      <c r="E83" s="130"/>
      <c r="F83" s="130"/>
      <c r="G83" s="130"/>
      <c r="H83" s="130"/>
      <c r="I83" s="130"/>
      <c r="J83" s="101"/>
    </row>
    <row r="84" spans="2:11">
      <c r="B84" s="125"/>
      <c r="C84" s="131"/>
      <c r="D84" s="131"/>
      <c r="E84" s="131"/>
      <c r="F84" s="131"/>
      <c r="G84" s="131"/>
      <c r="H84" s="131"/>
      <c r="I84" s="131"/>
      <c r="J84" s="101"/>
    </row>
    <row r="85" spans="2:11">
      <c r="C85" s="132"/>
      <c r="D85" s="132"/>
      <c r="E85" s="132"/>
      <c r="F85" s="132"/>
      <c r="G85" s="132"/>
      <c r="H85" s="132"/>
      <c r="I85" s="132"/>
      <c r="J85" s="101"/>
    </row>
    <row r="86" spans="2:11" ht="16">
      <c r="C86" s="133"/>
      <c r="D86" s="133"/>
      <c r="E86" s="134"/>
      <c r="F86" s="134"/>
      <c r="G86" s="134"/>
      <c r="H86" s="134"/>
      <c r="I86" s="134"/>
      <c r="J86" s="101"/>
    </row>
    <row r="87" spans="2:11">
      <c r="C87" s="132"/>
      <c r="D87" s="132"/>
      <c r="E87" s="132"/>
      <c r="F87" s="132"/>
      <c r="G87" s="132"/>
      <c r="H87" s="132"/>
      <c r="I87" s="132"/>
      <c r="J87" s="101"/>
    </row>
    <row r="88" spans="2:11">
      <c r="C88" s="135"/>
      <c r="D88" s="135"/>
      <c r="E88" s="135"/>
      <c r="F88" s="135"/>
      <c r="G88" s="135"/>
      <c r="H88" s="135"/>
      <c r="I88" s="135"/>
      <c r="J88" s="101"/>
    </row>
    <row r="89" spans="2:11">
      <c r="C89" s="132"/>
      <c r="D89" s="132"/>
      <c r="E89" s="132"/>
      <c r="F89" s="132"/>
      <c r="G89" s="132"/>
      <c r="H89" s="132"/>
      <c r="I89" s="132"/>
      <c r="J89" s="101"/>
    </row>
    <row r="90" spans="2:11">
      <c r="C90" s="136"/>
      <c r="D90" s="136"/>
      <c r="E90" s="136"/>
      <c r="F90" s="136"/>
      <c r="G90" s="136"/>
      <c r="H90" s="136"/>
      <c r="I90" s="136"/>
      <c r="J90" s="101"/>
    </row>
    <row r="91" spans="2:11">
      <c r="C91" s="119"/>
      <c r="D91" s="119"/>
      <c r="E91" s="119"/>
      <c r="F91" s="119"/>
      <c r="G91" s="119"/>
      <c r="H91" s="119"/>
      <c r="I91" s="119"/>
      <c r="J91" s="101"/>
    </row>
    <row r="92" spans="2:11">
      <c r="C92" s="135"/>
      <c r="D92" s="135"/>
      <c r="E92" s="135"/>
      <c r="F92" s="135"/>
      <c r="G92" s="135"/>
      <c r="H92" s="135"/>
      <c r="I92" s="135"/>
      <c r="J92" s="101"/>
    </row>
    <row r="93" spans="2:11">
      <c r="C93" s="136"/>
      <c r="D93" s="136"/>
      <c r="E93" s="136"/>
      <c r="F93" s="136"/>
      <c r="G93" s="136"/>
      <c r="H93" s="136"/>
      <c r="I93" s="136"/>
      <c r="J93" s="101"/>
    </row>
    <row r="94" spans="2:11">
      <c r="C94" s="119"/>
      <c r="D94" s="119"/>
      <c r="E94" s="119"/>
      <c r="F94" s="119"/>
      <c r="G94" s="119"/>
      <c r="H94" s="119"/>
      <c r="I94" s="119"/>
      <c r="J94" s="101"/>
    </row>
    <row r="95" spans="2:11">
      <c r="C95" s="135"/>
      <c r="D95" s="135"/>
      <c r="E95" s="137"/>
      <c r="F95" s="137"/>
      <c r="G95" s="137"/>
      <c r="H95" s="137"/>
      <c r="I95" s="137"/>
      <c r="J95" s="101"/>
    </row>
    <row r="96" spans="2:11">
      <c r="C96" s="136"/>
      <c r="D96" s="136"/>
      <c r="E96" s="138"/>
      <c r="F96" s="138"/>
      <c r="G96" s="138"/>
      <c r="H96" s="138"/>
      <c r="I96" s="138"/>
      <c r="J96" s="101"/>
    </row>
    <row r="97" spans="3:10">
      <c r="C97" s="119"/>
      <c r="D97" s="119"/>
      <c r="E97" s="119"/>
      <c r="F97" s="119"/>
      <c r="G97" s="119"/>
      <c r="H97" s="119"/>
      <c r="I97" s="119"/>
      <c r="J97" s="101"/>
    </row>
    <row r="98" spans="3:10">
      <c r="C98" s="135"/>
      <c r="D98" s="135"/>
      <c r="E98" s="139"/>
      <c r="F98" s="139"/>
      <c r="G98" s="139"/>
      <c r="H98" s="139"/>
      <c r="I98" s="139"/>
      <c r="J98" s="101"/>
    </row>
    <row r="99" spans="3:10">
      <c r="C99" s="135"/>
      <c r="D99" s="135"/>
      <c r="E99" s="140"/>
      <c r="F99" s="140"/>
      <c r="G99" s="140"/>
      <c r="H99" s="140"/>
      <c r="I99" s="140"/>
      <c r="J99" s="101"/>
    </row>
    <row r="100" spans="3:10">
      <c r="C100" s="135"/>
      <c r="D100" s="135"/>
      <c r="E100" s="135"/>
      <c r="F100" s="135"/>
      <c r="G100" s="135"/>
      <c r="H100" s="135"/>
      <c r="I100" s="135"/>
      <c r="J100" s="101"/>
    </row>
    <row r="101" spans="3:10">
      <c r="C101" s="119"/>
      <c r="D101" s="119"/>
      <c r="E101" s="119"/>
      <c r="F101" s="119"/>
      <c r="G101" s="119"/>
      <c r="H101" s="119"/>
      <c r="I101" s="119"/>
      <c r="J101" s="101"/>
    </row>
    <row r="102" spans="3:10">
      <c r="C102" s="121"/>
      <c r="D102" s="121"/>
      <c r="E102" s="124"/>
      <c r="F102" s="124"/>
      <c r="G102" s="124"/>
      <c r="H102" s="124"/>
      <c r="I102" s="124"/>
      <c r="J102" s="101"/>
    </row>
    <row r="103" spans="3:10">
      <c r="C103" s="101"/>
      <c r="D103" s="101"/>
      <c r="E103" s="101"/>
      <c r="F103" s="101"/>
      <c r="G103" s="101"/>
      <c r="H103" s="101"/>
      <c r="I103" s="101"/>
      <c r="J103" s="101"/>
    </row>
    <row r="104" spans="3:10">
      <c r="C104" s="101"/>
      <c r="D104" s="101"/>
      <c r="E104" s="101"/>
      <c r="F104" s="101"/>
      <c r="G104" s="101"/>
      <c r="H104" s="101"/>
      <c r="I104" s="101"/>
      <c r="J104" s="101"/>
    </row>
  </sheetData>
  <mergeCells count="2">
    <mergeCell ref="E3:I3"/>
    <mergeCell ref="C49:C51"/>
  </mergeCells>
  <phoneticPr fontId="14" type="noConversion"/>
  <dataValidations disablePrompts="1" count="2">
    <dataValidation type="list" allowBlank="1" showInputMessage="1" showErrorMessage="1" sqref="C95:D95" xr:uid="{A1BCD11E-4EBE-413E-9834-B065FA7D589D}">
      <formula1>$C$36:$C$37</formula1>
    </dataValidation>
    <dataValidation type="list" allowBlank="1" showInputMessage="1" showErrorMessage="1" sqref="C20" xr:uid="{4568C062-3F75-45E5-9AE1-6CA6535095DF}">
      <formula1>$C$35:$C$36</formula1>
    </dataValidation>
  </dataValidation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sheetPr>
  <dimension ref="B1:V111"/>
  <sheetViews>
    <sheetView showGridLines="0" topLeftCell="A4" zoomScale="90" zoomScaleNormal="90" zoomScalePageLayoutView="85" workbookViewId="0">
      <selection activeCell="E31" sqref="E31"/>
    </sheetView>
  </sheetViews>
  <sheetFormatPr baseColWidth="10" defaultColWidth="10.83203125" defaultRowHeight="15"/>
  <cols>
    <col min="1" max="1" width="20.5" style="87" customWidth="1"/>
    <col min="2" max="3" width="10.83203125" style="87"/>
    <col min="4" max="4" width="16" style="87" customWidth="1"/>
    <col min="5" max="9" width="12.83203125" style="87" customWidth="1"/>
    <col min="10" max="11" width="13.83203125" style="87" bestFit="1" customWidth="1"/>
    <col min="12" max="12" width="20.5" style="87" bestFit="1" customWidth="1"/>
    <col min="13" max="13" width="13.83203125" style="87" bestFit="1" customWidth="1"/>
    <col min="14" max="16384" width="10.83203125" style="87"/>
  </cols>
  <sheetData>
    <row r="1" spans="2:13" ht="66.5" customHeight="1" thickBot="1">
      <c r="B1" s="450" t="s">
        <v>389</v>
      </c>
    </row>
    <row r="2" spans="2:13">
      <c r="B2" s="518"/>
      <c r="C2" s="519"/>
      <c r="D2" s="519"/>
      <c r="E2" s="519"/>
      <c r="F2" s="519"/>
      <c r="G2" s="519"/>
      <c r="H2" s="519"/>
      <c r="I2" s="520"/>
    </row>
    <row r="3" spans="2:13" ht="18" customHeight="1">
      <c r="B3" s="521" t="s">
        <v>8</v>
      </c>
      <c r="C3" s="522"/>
      <c r="D3" s="522"/>
      <c r="E3" s="562"/>
      <c r="F3" s="562"/>
      <c r="G3" s="562"/>
      <c r="H3" s="562"/>
      <c r="I3" s="563"/>
    </row>
    <row r="4" spans="2:13" ht="16" thickBot="1">
      <c r="B4" s="523" t="s">
        <v>406</v>
      </c>
      <c r="C4" s="524"/>
      <c r="D4" s="524"/>
      <c r="E4" s="524">
        <v>2002</v>
      </c>
      <c r="F4" s="524">
        <v>2003</v>
      </c>
      <c r="G4" s="524">
        <v>2004</v>
      </c>
      <c r="H4" s="524">
        <v>2005</v>
      </c>
      <c r="I4" s="526">
        <v>2006</v>
      </c>
    </row>
    <row r="5" spans="2:13" ht="16" thickBot="1"/>
    <row r="6" spans="2:13" ht="17" thickBot="1">
      <c r="C6" s="314" t="s">
        <v>21</v>
      </c>
      <c r="D6" s="315"/>
      <c r="E6" s="316"/>
      <c r="F6" s="316"/>
      <c r="G6" s="316"/>
      <c r="H6" s="316"/>
      <c r="I6" s="317"/>
    </row>
    <row r="7" spans="2:13" ht="16" thickBot="1">
      <c r="C7" s="318"/>
      <c r="D7" s="319"/>
      <c r="E7" s="320"/>
      <c r="F7" s="320"/>
      <c r="G7" s="320"/>
      <c r="H7" s="320"/>
      <c r="I7" s="321"/>
    </row>
    <row r="8" spans="2:13" ht="16" thickBot="1">
      <c r="C8" s="322" t="s">
        <v>22</v>
      </c>
      <c r="D8" s="239"/>
      <c r="E8" s="333">
        <v>1</v>
      </c>
      <c r="F8" s="333">
        <v>2</v>
      </c>
      <c r="G8" s="333">
        <v>3</v>
      </c>
      <c r="H8" s="333">
        <v>4</v>
      </c>
      <c r="I8" s="333">
        <v>5</v>
      </c>
      <c r="J8" s="88"/>
      <c r="L8" s="472" t="s">
        <v>403</v>
      </c>
      <c r="M8" s="473">
        <f>'4.4 Revenue Synergy'!G8</f>
        <v>4677.8281906964348</v>
      </c>
    </row>
    <row r="9" spans="2:13" ht="16" thickBot="1">
      <c r="C9" s="322"/>
      <c r="D9" s="239"/>
      <c r="E9" s="88"/>
      <c r="F9" s="88"/>
      <c r="G9" s="88"/>
      <c r="H9" s="88"/>
      <c r="I9" s="323"/>
      <c r="J9" s="88"/>
      <c r="L9" s="472" t="s">
        <v>402</v>
      </c>
      <c r="M9" s="474">
        <f>'4.5 Cost of Sale Synergy'!G7</f>
        <v>3299.3358313941767</v>
      </c>
    </row>
    <row r="10" spans="2:13" ht="16" thickBot="1">
      <c r="C10" s="322" t="s">
        <v>56</v>
      </c>
      <c r="D10" s="239"/>
      <c r="E10" s="333">
        <f>'3.3 Income Statement'!F8</f>
        <v>45777.775283813142</v>
      </c>
      <c r="F10" s="333">
        <f>'3.3 Income Statement'!G8</f>
        <v>48903.662096802771</v>
      </c>
      <c r="G10" s="333">
        <f>'3.3 Income Statement'!H8</f>
        <v>52251.812581006816</v>
      </c>
      <c r="H10" s="333">
        <f>'3.3 Income Statement'!I8</f>
        <v>55838.511318343721</v>
      </c>
      <c r="I10" s="333">
        <f>'3.3 Income Statement'!J8</f>
        <v>59681.261184170377</v>
      </c>
      <c r="J10" s="88"/>
      <c r="L10" s="472" t="s">
        <v>401</v>
      </c>
      <c r="M10" s="475">
        <f>'4.6 R&amp;D Synergy'!G7</f>
        <v>4666.3081956325614</v>
      </c>
    </row>
    <row r="11" spans="2:13" ht="16" thickBot="1">
      <c r="C11" s="322" t="s">
        <v>57</v>
      </c>
      <c r="D11" s="239"/>
      <c r="E11" s="370">
        <f>'4.4 Revenue Synergy'!C6</f>
        <v>1367.1247161868587</v>
      </c>
      <c r="F11" s="370">
        <f>'4.4 Revenue Synergy'!D6</f>
        <v>1451.8907153916853</v>
      </c>
      <c r="G11" s="370">
        <f>'4.4 Revenue Synergy'!E6</f>
        <v>1542.2157254762324</v>
      </c>
      <c r="H11" s="370">
        <f>'4.4 Revenue Synergy'!F6</f>
        <v>593.44626914364017</v>
      </c>
      <c r="I11" s="370">
        <f>'4.4 Revenue Synergy'!G6</f>
        <v>624.33103964084148</v>
      </c>
      <c r="J11" s="89"/>
      <c r="M11" s="469"/>
    </row>
    <row r="12" spans="2:13" ht="16" thickBot="1">
      <c r="C12" s="340" t="s">
        <v>58</v>
      </c>
      <c r="D12" s="341"/>
      <c r="E12" s="371">
        <f>E10+E11</f>
        <v>47144.9</v>
      </c>
      <c r="F12" s="371">
        <f t="shared" ref="F12:I12" si="0">F10+F11</f>
        <v>50355.552812194459</v>
      </c>
      <c r="G12" s="371">
        <f t="shared" si="0"/>
        <v>53794.028306483051</v>
      </c>
      <c r="H12" s="371">
        <f t="shared" si="0"/>
        <v>56431.957587487363</v>
      </c>
      <c r="I12" s="371">
        <f t="shared" si="0"/>
        <v>60305.592223811218</v>
      </c>
      <c r="J12" s="89"/>
    </row>
    <row r="13" spans="2:13" ht="16" thickBot="1">
      <c r="C13" s="318" t="s">
        <v>59</v>
      </c>
      <c r="D13" s="368"/>
      <c r="E13" s="344">
        <f>-'3.1 Growth Ratio'!E13*'4.2 Free Cash Flow + Synergies '!E12</f>
        <v>-6410.6285719654643</v>
      </c>
      <c r="F13" s="344">
        <f>-'3.1 Growth Ratio'!F13*'4.2 Free Cash Flow + Synergies '!F12</f>
        <v>-5783.5523704538473</v>
      </c>
      <c r="G13" s="344">
        <f>-'3.1 Growth Ratio'!G13*'4.2 Free Cash Flow + Synergies '!G12</f>
        <v>-6003.0977321981127</v>
      </c>
      <c r="H13" s="344">
        <f>-'3.1 Growth Ratio'!H13*'4.2 Free Cash Flow + Synergies '!H12</f>
        <v>-6110.0261694735436</v>
      </c>
      <c r="I13" s="344">
        <f>-'3.1 Growth Ratio'!I13*'4.2 Free Cash Flow + Synergies '!I12</f>
        <v>-6325.4668184684861</v>
      </c>
      <c r="J13" s="89"/>
    </row>
    <row r="14" spans="2:13" ht="16" thickBot="1">
      <c r="C14" s="322" t="s">
        <v>60</v>
      </c>
      <c r="D14" s="239"/>
      <c r="E14" s="344">
        <f>'4.5 Cost of Sale Synergy'!C5</f>
        <v>1696.1385719654636</v>
      </c>
      <c r="F14" s="344">
        <f>'4.5 Cost of Sale Synergy'!D5</f>
        <v>747.99708923440085</v>
      </c>
      <c r="G14" s="344">
        <f>'4.5 Cost of Sale Synergy'!E5</f>
        <v>623.69490154980758</v>
      </c>
      <c r="H14" s="344">
        <f>'4.5 Cost of Sale Synergy'!F5</f>
        <v>466.83041072480682</v>
      </c>
      <c r="I14" s="344">
        <f>'4.5 Cost of Sale Synergy'!G5</f>
        <v>294.90759608736425</v>
      </c>
      <c r="J14" s="89"/>
    </row>
    <row r="15" spans="2:13" ht="16" thickBot="1">
      <c r="C15" s="322" t="s">
        <v>61</v>
      </c>
      <c r="D15" s="239"/>
      <c r="E15" s="344">
        <f>E13+E14</f>
        <v>-4714.4900000000007</v>
      </c>
      <c r="F15" s="344">
        <f t="shared" ref="F15:I21" si="1">F13+F14</f>
        <v>-5035.5552812194464</v>
      </c>
      <c r="G15" s="344">
        <f t="shared" si="1"/>
        <v>-5379.4028306483051</v>
      </c>
      <c r="H15" s="344">
        <f t="shared" si="1"/>
        <v>-5643.1957587487368</v>
      </c>
      <c r="I15" s="344">
        <f t="shared" si="1"/>
        <v>-6030.5592223811218</v>
      </c>
      <c r="J15" s="89"/>
    </row>
    <row r="16" spans="2:13" ht="16" thickBot="1">
      <c r="C16" s="322" t="s">
        <v>62</v>
      </c>
      <c r="D16" s="239"/>
      <c r="E16" s="344">
        <f>-'3.1 Growth Ratio'!E14*'4.2 Free Cash Flow + Synergies '!E12</f>
        <v>-16122.860690278467</v>
      </c>
      <c r="F16" s="344">
        <f>-'3.1 Growth Ratio'!F14*'4.2 Free Cash Flow + Synergies '!F12</f>
        <v>-17231.367450141148</v>
      </c>
      <c r="G16" s="344">
        <f>-'3.1 Growth Ratio'!G14*'4.2 Free Cash Flow + Synergies '!G12</f>
        <v>-18419.102930752015</v>
      </c>
      <c r="H16" s="344">
        <f>-'3.1 Growth Ratio'!H14*'4.2 Free Cash Flow + Synergies '!H12</f>
        <v>-19333.858814092764</v>
      </c>
      <c r="I16" s="344">
        <f>-'3.1 Growth Ratio'!I14*'4.2 Free Cash Flow + Synergies '!I12</f>
        <v>-20673.165023809805</v>
      </c>
      <c r="J16" s="89"/>
    </row>
    <row r="17" spans="3:10" ht="16" thickBot="1">
      <c r="C17" s="322" t="s">
        <v>367</v>
      </c>
      <c r="D17" s="239"/>
      <c r="E17" s="344">
        <v>0</v>
      </c>
      <c r="F17" s="344">
        <v>0</v>
      </c>
      <c r="G17" s="344">
        <v>0</v>
      </c>
      <c r="H17" s="344">
        <v>0</v>
      </c>
      <c r="I17" s="344">
        <v>0</v>
      </c>
      <c r="J17" s="89"/>
    </row>
    <row r="18" spans="3:10" ht="16" thickBot="1">
      <c r="C18" s="322" t="s">
        <v>63</v>
      </c>
      <c r="D18" s="239"/>
      <c r="E18" s="344">
        <f>E16+E17</f>
        <v>-16122.860690278467</v>
      </c>
      <c r="F18" s="344">
        <f t="shared" ref="F18" si="2">F16+F17</f>
        <v>-17231.367450141148</v>
      </c>
      <c r="G18" s="344">
        <f t="shared" ref="G18" si="3">G16+G17</f>
        <v>-18419.102930752015</v>
      </c>
      <c r="H18" s="344">
        <f t="shared" ref="H18" si="4">H16+H17</f>
        <v>-19333.858814092764</v>
      </c>
      <c r="I18" s="344">
        <f t="shared" ref="I18" si="5">I16+I17</f>
        <v>-20673.165023809805</v>
      </c>
      <c r="J18" s="89"/>
    </row>
    <row r="19" spans="3:10" ht="16" thickBot="1">
      <c r="C19" s="322" t="s">
        <v>64</v>
      </c>
      <c r="D19" s="239"/>
      <c r="E19" s="344">
        <f>-'3.1 Growth Ratio'!E15*'4.2 Free Cash Flow + Synergies '!E12</f>
        <v>-7153.801862324206</v>
      </c>
      <c r="F19" s="344">
        <f>-'3.1 Growth Ratio'!F15*'4.2 Free Cash Flow + Synergies '!F12</f>
        <v>-7635.8771426684443</v>
      </c>
      <c r="G19" s="344">
        <f>-'3.1 Growth Ratio'!G15*'4.2 Free Cash Flow + Synergies '!G12</f>
        <v>-8151.8820670500727</v>
      </c>
      <c r="H19" s="344">
        <f>-'3.1 Growth Ratio'!H15*'4.2 Free Cash Flow + Synergies '!H12</f>
        <v>-8546.0247047313533</v>
      </c>
      <c r="I19" s="344">
        <f>-'3.1 Growth Ratio'!I15*'4.2 Free Cash Flow + Synergies '!I12</f>
        <v>-9126.7223186250121</v>
      </c>
      <c r="J19" s="89"/>
    </row>
    <row r="20" spans="3:10" ht="16" thickBot="1">
      <c r="C20" s="322" t="s">
        <v>65</v>
      </c>
      <c r="D20" s="239"/>
      <c r="E20" s="344">
        <f>'4.6 R&amp;D Synergy'!C5</f>
        <v>1024.9648623242056</v>
      </c>
      <c r="F20" s="344">
        <f>'4.6 R&amp;D Synergy'!D5</f>
        <v>1089.655277083164</v>
      </c>
      <c r="G20" s="344">
        <f>'4.6 R&amp;D Synergy'!E5</f>
        <v>1158.6583872072761</v>
      </c>
      <c r="H20" s="344">
        <f>'4.6 R&amp;D Synergy'!F5</f>
        <v>1209.8702183579962</v>
      </c>
      <c r="I20" s="344">
        <f>'4.6 R&amp;D Synergy'!G5</f>
        <v>1286.9953295295536</v>
      </c>
      <c r="J20" s="89"/>
    </row>
    <row r="21" spans="3:10" ht="16" thickBot="1">
      <c r="C21" s="322" t="s">
        <v>66</v>
      </c>
      <c r="D21" s="239"/>
      <c r="E21" s="344">
        <f t="shared" ref="E21" si="6">E19+E20</f>
        <v>-6128.8370000000004</v>
      </c>
      <c r="F21" s="344">
        <f t="shared" si="1"/>
        <v>-6546.2218655852803</v>
      </c>
      <c r="G21" s="344">
        <f t="shared" si="1"/>
        <v>-6993.2236798427966</v>
      </c>
      <c r="H21" s="344">
        <f t="shared" si="1"/>
        <v>-7336.154486373357</v>
      </c>
      <c r="I21" s="344">
        <f t="shared" si="1"/>
        <v>-7839.7269890954585</v>
      </c>
      <c r="J21" s="89"/>
    </row>
    <row r="22" spans="3:10" ht="16" thickBot="1">
      <c r="C22" s="369" t="s">
        <v>67</v>
      </c>
      <c r="D22" s="236"/>
      <c r="E22" s="336">
        <f>E12+E15+E18+E21</f>
        <v>20178.712309721537</v>
      </c>
      <c r="F22" s="336">
        <f t="shared" ref="F22:I22" si="7">F12+F15+F18+F21</f>
        <v>21542.408215248586</v>
      </c>
      <c r="G22" s="336">
        <f t="shared" si="7"/>
        <v>23002.298865239936</v>
      </c>
      <c r="H22" s="336">
        <f t="shared" si="7"/>
        <v>24118.748528272507</v>
      </c>
      <c r="I22" s="336">
        <f t="shared" si="7"/>
        <v>25762.140988524832</v>
      </c>
      <c r="J22" s="92"/>
    </row>
    <row r="23" spans="3:10" ht="16" thickBot="1">
      <c r="C23" s="312"/>
      <c r="D23" s="346"/>
      <c r="E23" s="342"/>
      <c r="F23" s="342"/>
      <c r="G23" s="342"/>
      <c r="H23" s="342"/>
      <c r="I23" s="348"/>
      <c r="J23" s="89"/>
    </row>
    <row r="24" spans="3:10" ht="16" thickBot="1">
      <c r="C24" s="324" t="s">
        <v>14</v>
      </c>
      <c r="D24" s="349"/>
      <c r="E24" s="333">
        <f>'3.3 Income Statement'!F15</f>
        <v>-2021.7451179874765</v>
      </c>
      <c r="F24" s="333">
        <f>'3.3 Income Statement'!G15</f>
        <v>-2152.923268900789</v>
      </c>
      <c r="G24" s="333">
        <f>'3.3 Income Statement'!H15</f>
        <v>-2293.0538852159557</v>
      </c>
      <c r="H24" s="333">
        <f>'3.3 Income Statement'!I15</f>
        <v>-2442.7732578595187</v>
      </c>
      <c r="I24" s="333">
        <f>'3.3 Income Statement'!J15</f>
        <v>-2602.7642828773578</v>
      </c>
      <c r="J24" s="88"/>
    </row>
    <row r="25" spans="3:10" ht="16" thickBot="1">
      <c r="C25" s="328" t="s">
        <v>68</v>
      </c>
      <c r="D25" s="329"/>
      <c r="E25" s="336">
        <f>E22+E24</f>
        <v>18156.96719173406</v>
      </c>
      <c r="F25" s="336">
        <f t="shared" ref="F25:I25" si="8">F22+F24</f>
        <v>19389.484946347799</v>
      </c>
      <c r="G25" s="336">
        <f t="shared" si="8"/>
        <v>20709.244980023981</v>
      </c>
      <c r="H25" s="336">
        <f t="shared" si="8"/>
        <v>21675.975270412986</v>
      </c>
      <c r="I25" s="336">
        <f t="shared" si="8"/>
        <v>23159.376705647475</v>
      </c>
      <c r="J25" s="92"/>
    </row>
    <row r="26" spans="3:10" ht="16" thickBot="1">
      <c r="C26" s="312"/>
      <c r="D26" s="346"/>
      <c r="E26" s="342"/>
      <c r="F26" s="342"/>
      <c r="G26" s="342"/>
      <c r="H26" s="342"/>
      <c r="I26" s="348"/>
      <c r="J26" s="89"/>
    </row>
    <row r="27" spans="3:10" ht="16" thickBot="1">
      <c r="C27" s="324" t="s">
        <v>30</v>
      </c>
      <c r="D27" s="349"/>
      <c r="E27" s="364">
        <v>0.4</v>
      </c>
      <c r="F27" s="364">
        <v>0.4</v>
      </c>
      <c r="G27" s="364">
        <v>0.4</v>
      </c>
      <c r="H27" s="364">
        <v>0.4</v>
      </c>
      <c r="I27" s="364">
        <v>0.4</v>
      </c>
      <c r="J27" s="88"/>
    </row>
    <row r="28" spans="3:10" ht="16" thickBot="1">
      <c r="C28" s="328" t="s">
        <v>74</v>
      </c>
      <c r="D28" s="350"/>
      <c r="E28" s="365">
        <f>E25*(1-E27)</f>
        <v>10894.180315040436</v>
      </c>
      <c r="F28" s="365">
        <f>F25*(1-F27)</f>
        <v>11633.690967808679</v>
      </c>
      <c r="G28" s="365">
        <f>G25*(1-G27)</f>
        <v>12425.546988014388</v>
      </c>
      <c r="H28" s="365">
        <f>H25*(1-H27)</f>
        <v>13005.585162247791</v>
      </c>
      <c r="I28" s="365">
        <f>I25*(1-I27)</f>
        <v>13895.626023388484</v>
      </c>
      <c r="J28" s="96"/>
    </row>
    <row r="29" spans="3:10" ht="16" thickBot="1">
      <c r="C29" s="312"/>
      <c r="D29" s="346"/>
      <c r="E29" s="351"/>
      <c r="F29" s="351"/>
      <c r="G29" s="351"/>
      <c r="H29" s="351"/>
      <c r="I29" s="352"/>
      <c r="J29" s="89"/>
    </row>
    <row r="30" spans="3:10" ht="16" thickBot="1">
      <c r="C30" s="322" t="s">
        <v>14</v>
      </c>
      <c r="D30" s="346"/>
      <c r="E30" s="344">
        <f>'3.3 Income Statement'!F15</f>
        <v>-2021.7451179874765</v>
      </c>
      <c r="F30" s="344">
        <f>'3.3 Income Statement'!G15</f>
        <v>-2152.923268900789</v>
      </c>
      <c r="G30" s="344">
        <f>'3.3 Income Statement'!H15</f>
        <v>-2293.0538852159557</v>
      </c>
      <c r="H30" s="344">
        <f>'3.3 Income Statement'!I15</f>
        <v>-2442.7732578595187</v>
      </c>
      <c r="I30" s="344">
        <f>'3.3 Income Statement'!J15</f>
        <v>-2602.7642828773578</v>
      </c>
    </row>
    <row r="31" spans="3:10" ht="16" thickBot="1">
      <c r="C31" s="322" t="s">
        <v>24</v>
      </c>
      <c r="D31" s="346"/>
      <c r="E31" s="366">
        <f>'4.1 Combined Free Cash Flow'!E24</f>
        <v>1466.549160927927</v>
      </c>
      <c r="F31" s="366">
        <f>'4.1 Combined Free Cash Flow'!F24</f>
        <v>146.98350480844783</v>
      </c>
      <c r="G31" s="366">
        <f>'4.1 Combined Free Cash Flow'!G24</f>
        <v>154.0240146887727</v>
      </c>
      <c r="H31" s="366">
        <f>'4.1 Combined Free Cash Flow'!H24</f>
        <v>161.40176499236532</v>
      </c>
      <c r="I31" s="366">
        <f>'4.1 Combined Free Cash Flow'!I24</f>
        <v>169.13290953549949</v>
      </c>
    </row>
    <row r="32" spans="3:10" ht="16" thickBot="1">
      <c r="C32" s="322" t="s">
        <v>20</v>
      </c>
      <c r="D32" s="346"/>
      <c r="E32" s="333">
        <f>'4.1 Combined Free Cash Flow'!E25</f>
        <v>-2755.4393450824</v>
      </c>
      <c r="F32" s="333">
        <f>'4.1 Combined Free Cash Flow'!F25</f>
        <v>-2817.2034897118474</v>
      </c>
      <c r="G32" s="333">
        <f>'4.1 Combined Free Cash Flow'!G25</f>
        <v>-2881.926136869045</v>
      </c>
      <c r="H32" s="333">
        <f>'4.1 Combined Free Cash Flow'!H25</f>
        <v>-2949.7489988250722</v>
      </c>
      <c r="I32" s="333">
        <f>'4.1 Combined Free Cash Flow'!I25</f>
        <v>-3020.8205758687932</v>
      </c>
    </row>
    <row r="33" spans="3:22" ht="16" thickBot="1">
      <c r="C33" s="353"/>
      <c r="D33" s="349"/>
      <c r="E33" s="354"/>
      <c r="F33" s="354"/>
      <c r="G33" s="354"/>
      <c r="H33" s="354"/>
      <c r="I33" s="355"/>
    </row>
    <row r="34" spans="3:22" ht="16" thickBot="1">
      <c r="C34" s="311" t="s">
        <v>29</v>
      </c>
      <c r="D34" s="350"/>
      <c r="E34" s="367">
        <f>E28-E30-E31+E32</f>
        <v>8693.9369270175848</v>
      </c>
      <c r="F34" s="367">
        <f t="shared" ref="F34:I34" si="9">F28-F30-F31+F32</f>
        <v>10822.427242189173</v>
      </c>
      <c r="G34" s="367">
        <f t="shared" si="9"/>
        <v>11682.650721672526</v>
      </c>
      <c r="H34" s="367">
        <f t="shared" si="9"/>
        <v>12337.207656289871</v>
      </c>
      <c r="I34" s="367">
        <f t="shared" si="9"/>
        <v>13308.436820861551</v>
      </c>
    </row>
    <row r="35" spans="3:22" ht="16" thickBot="1">
      <c r="C35" s="357"/>
      <c r="D35" s="341"/>
      <c r="E35" s="337"/>
      <c r="F35" s="337"/>
      <c r="G35" s="337"/>
      <c r="H35" s="337"/>
      <c r="I35" s="338"/>
      <c r="O35" s="98"/>
      <c r="P35" s="98"/>
      <c r="Q35" s="98"/>
      <c r="R35" s="98"/>
      <c r="S35" s="98"/>
      <c r="T35" s="98"/>
      <c r="U35" s="98"/>
      <c r="V35" s="98"/>
    </row>
    <row r="36" spans="3:22" ht="16" thickBot="1">
      <c r="C36" s="305" t="s">
        <v>33</v>
      </c>
      <c r="D36" s="359"/>
      <c r="E36" s="360">
        <f>E34/(1+$D$45)^'4.2 Free Cash Flow + Synergies '!E8</f>
        <v>8107.8194290010824</v>
      </c>
      <c r="F36" s="360">
        <f>F34/(1+$D$45)^'4.2 Free Cash Flow + Synergies '!F8</f>
        <v>9412.3884066486189</v>
      </c>
      <c r="G36" s="360">
        <f>G34/(1+$D$45)^'4.2 Free Cash Flow + Synergies '!G8</f>
        <v>9475.5437440686255</v>
      </c>
      <c r="H36" s="360">
        <f>H34/(1+$D$45)^'4.2 Free Cash Flow + Synergies '!H8</f>
        <v>9331.8383169577428</v>
      </c>
      <c r="I36" s="336">
        <f>I34/(1+$D$45)^'4.2 Free Cash Flow + Synergies '!I8</f>
        <v>9387.8244725377808</v>
      </c>
    </row>
    <row r="37" spans="3:22" ht="16" thickBot="1">
      <c r="C37" s="305" t="s">
        <v>34</v>
      </c>
      <c r="D37" s="359"/>
      <c r="E37" s="362"/>
      <c r="F37" s="362"/>
      <c r="G37" s="362"/>
      <c r="H37" s="362"/>
      <c r="I37" s="336">
        <f>SUM(E36:I36)</f>
        <v>45715.414369213853</v>
      </c>
    </row>
    <row r="38" spans="3:22" ht="16" thickBot="1">
      <c r="C38" s="305" t="s">
        <v>37</v>
      </c>
      <c r="D38" s="359"/>
      <c r="E38" s="362"/>
      <c r="F38" s="362"/>
      <c r="G38" s="362"/>
      <c r="H38" s="362"/>
      <c r="I38" s="336">
        <f>I36*(1+D46)/(D45-D46)</f>
        <v>298124.64450191351</v>
      </c>
    </row>
    <row r="39" spans="3:22" ht="16" thickBot="1">
      <c r="C39" s="356" t="s">
        <v>31</v>
      </c>
      <c r="D39" s="238"/>
      <c r="E39" s="358"/>
      <c r="F39" s="358"/>
      <c r="G39" s="358"/>
      <c r="H39" s="358"/>
      <c r="I39" s="477">
        <f>I37+I38</f>
        <v>343840.05887112737</v>
      </c>
    </row>
    <row r="40" spans="3:22">
      <c r="I40" s="99"/>
      <c r="J40" s="88"/>
    </row>
    <row r="41" spans="3:22">
      <c r="C41" s="100"/>
      <c r="D41" s="100"/>
      <c r="E41" s="101"/>
      <c r="F41" s="101"/>
      <c r="G41" s="101"/>
      <c r="I41" s="97"/>
      <c r="J41" s="99"/>
    </row>
    <row r="42" spans="3:22">
      <c r="C42" s="102" t="s">
        <v>368</v>
      </c>
      <c r="D42" s="101"/>
      <c r="E42" s="101"/>
      <c r="F42" s="101"/>
      <c r="G42" s="101"/>
      <c r="J42" s="97"/>
    </row>
    <row r="43" spans="3:22">
      <c r="C43" s="102"/>
      <c r="D43" s="101"/>
      <c r="E43" s="101"/>
      <c r="F43" s="101"/>
      <c r="G43" s="101"/>
    </row>
    <row r="44" spans="3:22" ht="16" thickBot="1">
      <c r="C44" s="101"/>
      <c r="D44" s="101"/>
      <c r="E44" s="101"/>
      <c r="F44" s="101"/>
      <c r="G44" s="101"/>
    </row>
    <row r="45" spans="3:22" ht="16" thickBot="1">
      <c r="C45" s="416" t="s">
        <v>41</v>
      </c>
      <c r="D45" s="417">
        <f>'2.1 Post-WACC'!C22</f>
        <v>7.229039856511893E-2</v>
      </c>
      <c r="E45" s="103"/>
      <c r="F45" s="103"/>
      <c r="G45" s="101"/>
    </row>
    <row r="46" spans="3:22" ht="16" thickBot="1">
      <c r="C46" s="415" t="s">
        <v>219</v>
      </c>
      <c r="D46" s="417">
        <f>1.07*'4.1 Combined Free Cash Flow'!D40</f>
        <v>3.9555224999999999E-2</v>
      </c>
      <c r="E46" s="102"/>
      <c r="F46" s="102"/>
      <c r="G46" s="101"/>
    </row>
    <row r="47" spans="3:22">
      <c r="C47" s="91" t="s">
        <v>221</v>
      </c>
      <c r="D47" s="90"/>
      <c r="E47" s="104"/>
      <c r="F47" s="104"/>
      <c r="G47" s="101"/>
    </row>
    <row r="48" spans="3:22">
      <c r="C48" s="102"/>
      <c r="D48" s="102"/>
      <c r="E48" s="104"/>
      <c r="F48" s="104"/>
      <c r="G48" s="101"/>
    </row>
    <row r="49" spans="3:13">
      <c r="C49" s="102"/>
      <c r="D49" s="102"/>
      <c r="E49" s="104"/>
      <c r="F49" s="104"/>
      <c r="G49" s="101"/>
    </row>
    <row r="50" spans="3:13">
      <c r="C50" s="102"/>
      <c r="D50" s="102"/>
      <c r="E50" s="104"/>
      <c r="F50" s="104"/>
      <c r="G50" s="101"/>
    </row>
    <row r="51" spans="3:13">
      <c r="C51" s="93"/>
      <c r="D51" s="93"/>
      <c r="E51" s="93"/>
      <c r="F51" s="94" t="s">
        <v>39</v>
      </c>
      <c r="G51" s="93"/>
      <c r="H51" s="93"/>
      <c r="I51" s="93"/>
    </row>
    <row r="52" spans="3:13" ht="16" thickBot="1">
      <c r="C52" s="93"/>
      <c r="D52" s="93"/>
      <c r="E52" s="93"/>
      <c r="F52" s="93"/>
      <c r="G52" s="93"/>
      <c r="H52" s="93"/>
      <c r="I52" s="93"/>
    </row>
    <row r="53" spans="3:13">
      <c r="C53" s="424"/>
      <c r="D53" s="425"/>
      <c r="E53" s="425"/>
      <c r="F53" s="425"/>
      <c r="G53" s="425" t="s">
        <v>40</v>
      </c>
      <c r="H53" s="425"/>
      <c r="I53" s="425"/>
      <c r="J53" s="425"/>
      <c r="K53" s="425"/>
      <c r="L53" s="425"/>
      <c r="M53" s="426"/>
    </row>
    <row r="54" spans="3:13" ht="16" thickBot="1">
      <c r="C54" s="435"/>
      <c r="D54" s="428"/>
      <c r="E54" s="428"/>
      <c r="F54" s="428"/>
      <c r="G54" s="428"/>
      <c r="H54" s="428"/>
      <c r="I54" s="428"/>
      <c r="J54" s="428"/>
      <c r="K54" s="428"/>
      <c r="L54" s="428"/>
      <c r="M54" s="429"/>
    </row>
    <row r="55" spans="3:13" ht="16" thickBot="1">
      <c r="C55" s="95"/>
      <c r="D55" s="433">
        <f>I39</f>
        <v>343840.05887112737</v>
      </c>
      <c r="E55" s="434">
        <f t="shared" ref="E55:G55" si="10">F55-0.5%</f>
        <v>5.2290398565118933E-2</v>
      </c>
      <c r="F55" s="434">
        <f t="shared" si="10"/>
        <v>5.729039856511893E-2</v>
      </c>
      <c r="G55" s="434">
        <f t="shared" si="10"/>
        <v>6.2290398565118928E-2</v>
      </c>
      <c r="H55" s="434">
        <f>I55-0.5%</f>
        <v>6.7290398565118925E-2</v>
      </c>
      <c r="I55" s="434">
        <f>D45</f>
        <v>7.229039856511893E-2</v>
      </c>
      <c r="J55" s="434">
        <f>I55+0.5%</f>
        <v>7.7290398565118934E-2</v>
      </c>
      <c r="K55" s="434">
        <f t="shared" ref="K55:M55" si="11">J55+0.5%</f>
        <v>8.2290398565118938E-2</v>
      </c>
      <c r="L55" s="434">
        <f t="shared" si="11"/>
        <v>8.7290398565118943E-2</v>
      </c>
      <c r="M55" s="434">
        <f t="shared" si="11"/>
        <v>9.2290398565118947E-2</v>
      </c>
    </row>
    <row r="56" spans="3:13" ht="16" thickBot="1">
      <c r="C56" s="422"/>
      <c r="D56" s="432">
        <f t="shared" ref="D56:D57" si="12">D57-0.005</f>
        <v>2.4555225E-2</v>
      </c>
      <c r="E56" s="418">
        <f t="shared" ref="E56:M56" si="13">$E$34/(1+E55)^1+$F$34/(1+E55)^2+$G$34/(1+E55)^3+$H$34/(1+E55)^4+$I$34/(1+E55)^5+$I$36*(1+$D$56)/(E55-$D$56)</f>
        <v>395230.24213732651</v>
      </c>
      <c r="F56" s="418">
        <f t="shared" si="13"/>
        <v>341557.42888682126</v>
      </c>
      <c r="G56" s="418">
        <f t="shared" si="13"/>
        <v>301937.24470045493</v>
      </c>
      <c r="H56" s="418">
        <f t="shared" si="13"/>
        <v>271442.23643698776</v>
      </c>
      <c r="I56" s="418">
        <f t="shared" si="13"/>
        <v>247209.27929882155</v>
      </c>
      <c r="J56" s="418">
        <f t="shared" si="13"/>
        <v>227460.95341762251</v>
      </c>
      <c r="K56" s="418">
        <f t="shared" si="13"/>
        <v>211035.42652566967</v>
      </c>
      <c r="L56" s="418">
        <f t="shared" si="13"/>
        <v>197141.14680170419</v>
      </c>
      <c r="M56" s="418">
        <f t="shared" si="13"/>
        <v>185220.18238323604</v>
      </c>
    </row>
    <row r="57" spans="3:13" ht="16" thickBot="1">
      <c r="C57" s="422"/>
      <c r="D57" s="432">
        <f t="shared" si="12"/>
        <v>2.9555225000000001E-2</v>
      </c>
      <c r="E57" s="418">
        <f t="shared" ref="E57:M57" si="14">$E$34/(1+E55)^1+$F$34/(1+E55)^2+$G$34/(1+E55)^3+$H$34/(1+E55)^4+$I$34/(1+E55)^5+$I$36*(1+$D$57)/(E55-$D$57)</f>
        <v>473562.63815922418</v>
      </c>
      <c r="F57" s="418">
        <f t="shared" si="14"/>
        <v>396219.20229802513</v>
      </c>
      <c r="G57" s="418">
        <f t="shared" si="14"/>
        <v>342303.38464378339</v>
      </c>
      <c r="H57" s="418">
        <f t="shared" si="14"/>
        <v>302508.26545923867</v>
      </c>
      <c r="I57" s="418">
        <f t="shared" si="14"/>
        <v>271882.36142411211</v>
      </c>
      <c r="J57" s="418">
        <f t="shared" si="14"/>
        <v>247548.59120012764</v>
      </c>
      <c r="K57" s="418">
        <f t="shared" si="14"/>
        <v>227720.87619830275</v>
      </c>
      <c r="L57" s="418">
        <f t="shared" si="14"/>
        <v>211231.72902501479</v>
      </c>
      <c r="M57" s="418">
        <f t="shared" si="14"/>
        <v>197285.74921242916</v>
      </c>
    </row>
    <row r="58" spans="3:13" ht="16" thickBot="1">
      <c r="C58" s="422"/>
      <c r="D58" s="432">
        <f>D59-0.005</f>
        <v>3.4555225000000002E-2</v>
      </c>
      <c r="E58" s="418">
        <f t="shared" ref="E58:M58" si="15">$E$34/(1+E55)^1+$F$34/(1+E55)^2+$G$34/(1+E55)^3+$H$34/(1+E55)^4+$I$34/(1+E55)^5+$I$36*(1+$D$58)/(E55-$D$58)</f>
        <v>596062.85454909375</v>
      </c>
      <c r="F58" s="418">
        <f t="shared" si="15"/>
        <v>474923.79783884232</v>
      </c>
      <c r="G58" s="418">
        <f t="shared" si="15"/>
        <v>397223.65739199729</v>
      </c>
      <c r="H58" s="431">
        <f t="shared" si="15"/>
        <v>343064.40118902002</v>
      </c>
      <c r="I58" s="431">
        <f t="shared" si="15"/>
        <v>303093.9273548933</v>
      </c>
      <c r="J58" s="431">
        <f t="shared" si="15"/>
        <v>272336.72183353838</v>
      </c>
      <c r="K58" s="418">
        <f t="shared" si="15"/>
        <v>247901.74621331113</v>
      </c>
      <c r="L58" s="418">
        <f t="shared" si="15"/>
        <v>227994.26267480763</v>
      </c>
      <c r="M58" s="418">
        <f t="shared" si="15"/>
        <v>211441.12821055681</v>
      </c>
    </row>
    <row r="59" spans="3:13" ht="16" thickBot="1">
      <c r="C59" s="422" t="s">
        <v>87</v>
      </c>
      <c r="D59" s="432">
        <f>D46</f>
        <v>3.9555224999999999E-2</v>
      </c>
      <c r="E59" s="418">
        <f t="shared" ref="E59:M59" si="16">$E$34/(1+E55)^1+$F$34/(1+E55)^2+$G$34/(1+E55)^3+$H$34/(1+E55)^4+$I$34/(1+E55)^5+$I$36*(1+$D$59)/(E55-$D$59)</f>
        <v>814753.52783653711</v>
      </c>
      <c r="F59" s="418">
        <f t="shared" si="16"/>
        <v>598006.07891616365</v>
      </c>
      <c r="G59" s="418">
        <f t="shared" si="16"/>
        <v>476300.45245173381</v>
      </c>
      <c r="H59" s="431">
        <f t="shared" si="16"/>
        <v>398243.17327424372</v>
      </c>
      <c r="I59" s="420">
        <f t="shared" si="16"/>
        <v>343840.05887112737</v>
      </c>
      <c r="J59" s="431">
        <f t="shared" si="16"/>
        <v>303693.82467284985</v>
      </c>
      <c r="K59" s="418">
        <f t="shared" si="16"/>
        <v>272804.92535484198</v>
      </c>
      <c r="L59" s="418">
        <f t="shared" si="16"/>
        <v>248268.36492231919</v>
      </c>
      <c r="M59" s="418">
        <f t="shared" si="16"/>
        <v>228280.74583750928</v>
      </c>
    </row>
    <row r="60" spans="3:13" ht="16" thickBot="1">
      <c r="C60" s="422"/>
      <c r="D60" s="432">
        <f>D59+0.005</f>
        <v>4.4555224999999997E-2</v>
      </c>
      <c r="E60" s="418">
        <f t="shared" ref="E60:M60" si="17">$E$34/(1+E55)^1+$F$34/(1+E55)^2+$G$34/(1+E55)^3+$H$34/(1+E55)^4+$I$34/(1+E55)^5+$I$36*(1+$D$60)/(E55-$D$60)</f>
        <v>1316166.58795394</v>
      </c>
      <c r="F60" s="418">
        <f t="shared" si="17"/>
        <v>817735.86970190238</v>
      </c>
      <c r="G60" s="418">
        <f t="shared" si="17"/>
        <v>599964.79821650707</v>
      </c>
      <c r="H60" s="431">
        <f t="shared" si="17"/>
        <v>477692.16785289976</v>
      </c>
      <c r="I60" s="431">
        <f t="shared" si="17"/>
        <v>399277.33029336098</v>
      </c>
      <c r="J60" s="431">
        <f t="shared" si="17"/>
        <v>344629.95197553677</v>
      </c>
      <c r="K60" s="418">
        <f t="shared" si="17"/>
        <v>304307.56510268373</v>
      </c>
      <c r="L60" s="418">
        <f t="shared" si="17"/>
        <v>273286.59257197019</v>
      </c>
      <c r="M60" s="418">
        <f t="shared" si="17"/>
        <v>248648.08031752412</v>
      </c>
    </row>
    <row r="61" spans="3:13" ht="16" thickBot="1">
      <c r="C61" s="423"/>
      <c r="D61" s="432">
        <f>D60+0.005</f>
        <v>4.9555224999999994E-2</v>
      </c>
      <c r="E61" s="421">
        <f t="shared" ref="E61:M61" si="18">$E$34/(1+E55)^1+$F$34/(1+E55)^2+$G$34/(1+E55)^3+$H$34/(1+E55)^4+$I$34/(1+E55)^5+$I$36*(1+$D$61)/(E55-$D$61)</f>
        <v>3650783.4582858467</v>
      </c>
      <c r="F61" s="421">
        <f t="shared" si="18"/>
        <v>1321531.4140689054</v>
      </c>
      <c r="G61" s="421">
        <f t="shared" si="18"/>
        <v>820733.70650054095</v>
      </c>
      <c r="H61" s="421">
        <f t="shared" si="18"/>
        <v>601938.57830512465</v>
      </c>
      <c r="I61" s="421">
        <f t="shared" si="18"/>
        <v>479098.52439093636</v>
      </c>
      <c r="J61" s="421">
        <f t="shared" si="18"/>
        <v>400325.72273478017</v>
      </c>
      <c r="K61" s="421">
        <f t="shared" si="18"/>
        <v>345433.68819182343</v>
      </c>
      <c r="L61" s="421">
        <f t="shared" si="18"/>
        <v>304934.76922834222</v>
      </c>
      <c r="M61" s="421">
        <f t="shared" si="18"/>
        <v>273781.35647529515</v>
      </c>
    </row>
    <row r="62" spans="3:13">
      <c r="C62" s="105"/>
      <c r="D62" s="102"/>
      <c r="E62" s="106"/>
      <c r="F62" s="106"/>
      <c r="G62" s="106"/>
    </row>
    <row r="63" spans="3:13">
      <c r="C63" s="102"/>
      <c r="D63" s="102"/>
      <c r="E63" s="107"/>
      <c r="F63" s="107"/>
      <c r="G63" s="107"/>
    </row>
    <row r="64" spans="3:13">
      <c r="C64" s="102"/>
      <c r="D64" s="102"/>
      <c r="E64" s="107"/>
      <c r="F64" s="107"/>
      <c r="G64" s="107"/>
    </row>
    <row r="65" spans="3:11">
      <c r="C65" s="105"/>
      <c r="D65" s="102"/>
      <c r="E65" s="108"/>
      <c r="F65" s="108"/>
      <c r="G65" s="108"/>
    </row>
    <row r="66" spans="3:11">
      <c r="C66" s="102"/>
      <c r="D66" s="102"/>
      <c r="E66" s="102"/>
      <c r="F66" s="102"/>
      <c r="G66" s="102"/>
    </row>
    <row r="67" spans="3:11">
      <c r="C67" s="105"/>
      <c r="D67" s="102"/>
      <c r="E67" s="109"/>
      <c r="F67" s="109"/>
      <c r="G67" s="109"/>
    </row>
    <row r="68" spans="3:11">
      <c r="C68" s="102"/>
      <c r="D68" s="102"/>
      <c r="E68" s="102"/>
      <c r="F68" s="102"/>
      <c r="G68" s="102"/>
    </row>
    <row r="69" spans="3:11">
      <c r="C69" s="102"/>
      <c r="D69" s="102"/>
      <c r="E69" s="110"/>
      <c r="F69" s="110"/>
      <c r="G69" s="110"/>
    </row>
    <row r="70" spans="3:11">
      <c r="C70" s="102"/>
      <c r="D70" s="102"/>
      <c r="E70" s="107"/>
      <c r="F70" s="107"/>
      <c r="G70" s="107"/>
    </row>
    <row r="71" spans="3:11">
      <c r="C71" s="102"/>
      <c r="D71" s="102"/>
      <c r="E71" s="107"/>
      <c r="F71" s="107"/>
      <c r="G71" s="107"/>
    </row>
    <row r="72" spans="3:11">
      <c r="C72" s="105"/>
      <c r="D72" s="102"/>
      <c r="E72" s="111"/>
      <c r="F72" s="111"/>
      <c r="G72" s="111"/>
    </row>
    <row r="73" spans="3:11">
      <c r="C73" s="112"/>
      <c r="D73" s="101"/>
      <c r="E73" s="113"/>
      <c r="F73" s="113"/>
      <c r="G73" s="113"/>
      <c r="H73" s="114"/>
      <c r="I73" s="114"/>
    </row>
    <row r="74" spans="3:11">
      <c r="C74" s="112"/>
      <c r="D74" s="101"/>
      <c r="E74" s="101"/>
      <c r="F74" s="101"/>
      <c r="G74" s="115"/>
      <c r="J74" s="114"/>
    </row>
    <row r="75" spans="3:11">
      <c r="C75" s="112"/>
      <c r="D75" s="101"/>
      <c r="E75" s="101"/>
      <c r="F75" s="101"/>
      <c r="G75" s="116"/>
    </row>
    <row r="76" spans="3:11">
      <c r="C76" s="101"/>
      <c r="D76" s="101"/>
      <c r="E76" s="101"/>
      <c r="F76" s="101"/>
      <c r="G76" s="116"/>
    </row>
    <row r="77" spans="3:11">
      <c r="G77" s="117"/>
    </row>
    <row r="78" spans="3:11">
      <c r="C78" s="101"/>
      <c r="D78" s="101"/>
      <c r="E78" s="101"/>
      <c r="F78" s="101"/>
      <c r="G78" s="101"/>
      <c r="H78" s="101"/>
      <c r="I78" s="101"/>
      <c r="J78" s="101"/>
    </row>
    <row r="79" spans="3:11">
      <c r="C79" s="101"/>
      <c r="D79" s="101"/>
      <c r="E79" s="101"/>
      <c r="F79" s="101"/>
      <c r="G79" s="101"/>
      <c r="H79" s="101"/>
      <c r="I79" s="101"/>
      <c r="J79" s="101"/>
    </row>
    <row r="80" spans="3:11">
      <c r="C80" s="118"/>
      <c r="D80" s="118"/>
      <c r="E80" s="118"/>
      <c r="F80" s="118"/>
      <c r="G80" s="118"/>
      <c r="H80" s="101"/>
      <c r="I80" s="118"/>
      <c r="J80" s="118"/>
      <c r="K80" s="118"/>
    </row>
    <row r="81" spans="2:11">
      <c r="C81" s="119"/>
      <c r="D81" s="119"/>
      <c r="E81" s="120"/>
      <c r="F81" s="119"/>
      <c r="G81" s="101"/>
      <c r="H81" s="101"/>
      <c r="I81" s="121"/>
      <c r="J81" s="121"/>
      <c r="K81" s="122"/>
    </row>
    <row r="82" spans="2:11">
      <c r="C82" s="119"/>
      <c r="D82" s="119"/>
      <c r="E82" s="123"/>
      <c r="F82" s="119"/>
      <c r="G82" s="101"/>
      <c r="H82" s="101"/>
      <c r="I82" s="121"/>
      <c r="J82" s="121"/>
      <c r="K82" s="122"/>
    </row>
    <row r="83" spans="2:11">
      <c r="C83" s="119"/>
      <c r="D83" s="119"/>
      <c r="E83" s="119"/>
      <c r="F83" s="123"/>
      <c r="G83" s="101"/>
      <c r="H83" s="101"/>
      <c r="I83" s="121"/>
      <c r="J83" s="121"/>
      <c r="K83" s="122"/>
    </row>
    <row r="84" spans="2:11">
      <c r="C84" s="121"/>
      <c r="D84" s="121"/>
      <c r="E84" s="121"/>
      <c r="F84" s="124"/>
      <c r="G84" s="101"/>
      <c r="H84" s="101"/>
      <c r="I84" s="121"/>
      <c r="J84" s="121"/>
      <c r="K84" s="122"/>
    </row>
    <row r="85" spans="2:11">
      <c r="B85" s="125"/>
      <c r="C85" s="121"/>
      <c r="D85" s="119"/>
      <c r="E85" s="119"/>
      <c r="F85" s="124"/>
      <c r="G85" s="126"/>
      <c r="H85" s="101"/>
      <c r="I85" s="101"/>
      <c r="J85" s="101"/>
    </row>
    <row r="86" spans="2:11">
      <c r="B86" s="125"/>
      <c r="C86" s="121"/>
      <c r="D86" s="119"/>
      <c r="E86" s="119"/>
      <c r="F86" s="124"/>
      <c r="G86" s="126"/>
      <c r="H86" s="101"/>
      <c r="I86" s="101"/>
      <c r="J86" s="101"/>
    </row>
    <row r="87" spans="2:11">
      <c r="B87" s="125"/>
      <c r="C87" s="127"/>
      <c r="D87" s="119"/>
      <c r="E87" s="119"/>
      <c r="F87" s="119"/>
      <c r="G87" s="107"/>
      <c r="H87" s="107"/>
      <c r="I87" s="107"/>
      <c r="J87" s="101"/>
    </row>
    <row r="88" spans="2:11">
      <c r="B88" s="125"/>
      <c r="C88" s="101"/>
      <c r="D88" s="101"/>
      <c r="E88" s="101"/>
      <c r="F88" s="101"/>
      <c r="G88" s="101"/>
      <c r="H88" s="101"/>
      <c r="I88" s="101"/>
      <c r="J88" s="107"/>
      <c r="K88" s="128"/>
    </row>
    <row r="89" spans="2:11">
      <c r="B89" s="125"/>
      <c r="C89" s="101"/>
      <c r="D89" s="101"/>
      <c r="E89" s="101"/>
      <c r="F89" s="101"/>
      <c r="G89" s="101"/>
      <c r="H89" s="101"/>
      <c r="I89" s="101"/>
      <c r="J89" s="101"/>
    </row>
    <row r="90" spans="2:11" ht="19">
      <c r="B90" s="125"/>
      <c r="C90" s="129"/>
      <c r="D90" s="129"/>
      <c r="E90" s="130"/>
      <c r="F90" s="130"/>
      <c r="G90" s="130"/>
      <c r="H90" s="130"/>
      <c r="I90" s="130"/>
      <c r="J90" s="101"/>
    </row>
    <row r="91" spans="2:11">
      <c r="B91" s="125"/>
      <c r="C91" s="131"/>
      <c r="D91" s="131"/>
      <c r="E91" s="131"/>
      <c r="F91" s="131"/>
      <c r="G91" s="131"/>
      <c r="H91" s="131"/>
      <c r="I91" s="131"/>
      <c r="J91" s="101"/>
    </row>
    <row r="92" spans="2:11">
      <c r="C92" s="132"/>
      <c r="D92" s="132"/>
      <c r="E92" s="132"/>
      <c r="F92" s="132"/>
      <c r="G92" s="132"/>
      <c r="H92" s="132"/>
      <c r="I92" s="132"/>
      <c r="J92" s="101"/>
    </row>
    <row r="93" spans="2:11" ht="16">
      <c r="C93" s="133"/>
      <c r="D93" s="133"/>
      <c r="E93" s="134"/>
      <c r="F93" s="134"/>
      <c r="G93" s="134"/>
      <c r="H93" s="134"/>
      <c r="I93" s="134"/>
      <c r="J93" s="101"/>
    </row>
    <row r="94" spans="2:11">
      <c r="C94" s="132"/>
      <c r="D94" s="132"/>
      <c r="E94" s="132"/>
      <c r="F94" s="132"/>
      <c r="G94" s="132"/>
      <c r="H94" s="132"/>
      <c r="I94" s="132"/>
      <c r="J94" s="101"/>
    </row>
    <row r="95" spans="2:11">
      <c r="C95" s="135"/>
      <c r="D95" s="135"/>
      <c r="E95" s="135"/>
      <c r="F95" s="135"/>
      <c r="G95" s="135"/>
      <c r="H95" s="135"/>
      <c r="I95" s="135"/>
      <c r="J95" s="101"/>
    </row>
    <row r="96" spans="2:11">
      <c r="C96" s="132"/>
      <c r="D96" s="132"/>
      <c r="E96" s="132"/>
      <c r="F96" s="132"/>
      <c r="G96" s="132"/>
      <c r="H96" s="132"/>
      <c r="I96" s="132"/>
      <c r="J96" s="101"/>
    </row>
    <row r="97" spans="3:10">
      <c r="C97" s="136"/>
      <c r="D97" s="136"/>
      <c r="E97" s="136"/>
      <c r="F97" s="136"/>
      <c r="G97" s="136"/>
      <c r="H97" s="136"/>
      <c r="I97" s="136"/>
      <c r="J97" s="101"/>
    </row>
    <row r="98" spans="3:10">
      <c r="C98" s="119"/>
      <c r="D98" s="119"/>
      <c r="E98" s="119"/>
      <c r="F98" s="119"/>
      <c r="G98" s="119"/>
      <c r="H98" s="119"/>
      <c r="I98" s="119"/>
      <c r="J98" s="101"/>
    </row>
    <row r="99" spans="3:10">
      <c r="C99" s="135"/>
      <c r="D99" s="135"/>
      <c r="E99" s="135"/>
      <c r="F99" s="135"/>
      <c r="G99" s="135"/>
      <c r="H99" s="135"/>
      <c r="I99" s="135"/>
      <c r="J99" s="101"/>
    </row>
    <row r="100" spans="3:10">
      <c r="C100" s="136"/>
      <c r="D100" s="136"/>
      <c r="E100" s="136"/>
      <c r="F100" s="136"/>
      <c r="G100" s="136"/>
      <c r="H100" s="136"/>
      <c r="I100" s="136"/>
      <c r="J100" s="101"/>
    </row>
    <row r="101" spans="3:10">
      <c r="C101" s="119"/>
      <c r="D101" s="119"/>
      <c r="E101" s="119"/>
      <c r="F101" s="119"/>
      <c r="G101" s="119"/>
      <c r="H101" s="119"/>
      <c r="I101" s="119"/>
      <c r="J101" s="101"/>
    </row>
    <row r="102" spans="3:10">
      <c r="C102" s="135"/>
      <c r="D102" s="135"/>
      <c r="E102" s="137"/>
      <c r="F102" s="137"/>
      <c r="G102" s="137"/>
      <c r="H102" s="137"/>
      <c r="I102" s="137"/>
      <c r="J102" s="101"/>
    </row>
    <row r="103" spans="3:10">
      <c r="C103" s="136"/>
      <c r="D103" s="136"/>
      <c r="E103" s="138"/>
      <c r="F103" s="138"/>
      <c r="G103" s="138"/>
      <c r="H103" s="138"/>
      <c r="I103" s="138"/>
      <c r="J103" s="101"/>
    </row>
    <row r="104" spans="3:10">
      <c r="C104" s="119"/>
      <c r="D104" s="119"/>
      <c r="E104" s="119"/>
      <c r="F104" s="119"/>
      <c r="G104" s="119"/>
      <c r="H104" s="119"/>
      <c r="I104" s="119"/>
      <c r="J104" s="101"/>
    </row>
    <row r="105" spans="3:10">
      <c r="C105" s="135"/>
      <c r="D105" s="135"/>
      <c r="E105" s="139"/>
      <c r="F105" s="139"/>
      <c r="G105" s="139"/>
      <c r="H105" s="139"/>
      <c r="I105" s="139"/>
      <c r="J105" s="101"/>
    </row>
    <row r="106" spans="3:10">
      <c r="C106" s="135"/>
      <c r="D106" s="135"/>
      <c r="E106" s="140"/>
      <c r="F106" s="140"/>
      <c r="G106" s="140"/>
      <c r="H106" s="140"/>
      <c r="I106" s="140"/>
      <c r="J106" s="101"/>
    </row>
    <row r="107" spans="3:10">
      <c r="C107" s="135"/>
      <c r="D107" s="135"/>
      <c r="E107" s="135"/>
      <c r="F107" s="135"/>
      <c r="G107" s="135"/>
      <c r="H107" s="135"/>
      <c r="I107" s="135"/>
      <c r="J107" s="101"/>
    </row>
    <row r="108" spans="3:10">
      <c r="C108" s="119"/>
      <c r="D108" s="119"/>
      <c r="E108" s="119"/>
      <c r="F108" s="119"/>
      <c r="G108" s="119"/>
      <c r="H108" s="119"/>
      <c r="I108" s="119"/>
      <c r="J108" s="101"/>
    </row>
    <row r="109" spans="3:10">
      <c r="C109" s="121"/>
      <c r="D109" s="121"/>
      <c r="E109" s="124"/>
      <c r="F109" s="124"/>
      <c r="G109" s="124"/>
      <c r="H109" s="124"/>
      <c r="I109" s="124"/>
      <c r="J109" s="101"/>
    </row>
    <row r="110" spans="3:10">
      <c r="C110" s="101"/>
      <c r="D110" s="101"/>
      <c r="E110" s="101"/>
      <c r="F110" s="101"/>
      <c r="G110" s="101"/>
      <c r="H110" s="101"/>
      <c r="I110" s="101"/>
      <c r="J110" s="101"/>
    </row>
    <row r="111" spans="3:10">
      <c r="C111" s="101"/>
      <c r="D111" s="101"/>
      <c r="E111" s="101"/>
      <c r="F111" s="101"/>
      <c r="G111" s="101"/>
      <c r="H111" s="101"/>
      <c r="I111" s="101"/>
      <c r="J111" s="101"/>
    </row>
  </sheetData>
  <mergeCells count="1">
    <mergeCell ref="E3:I3"/>
  </mergeCells>
  <phoneticPr fontId="13" type="noConversion"/>
  <dataValidations disablePrompts="1" count="2">
    <dataValidation type="list" allowBlank="1" showInputMessage="1" showErrorMessage="1" sqref="C27" xr:uid="{00000000-0002-0000-1200-000000000000}">
      <formula1>$C$42:$C$43</formula1>
    </dataValidation>
    <dataValidation type="list" allowBlank="1" showInputMessage="1" showErrorMessage="1" sqref="C102:D102" xr:uid="{00000000-0002-0000-1200-000001000000}">
      <formula1>$C$43:$C$44</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sheetPr>
  <dimension ref="B1:G41"/>
  <sheetViews>
    <sheetView showGridLines="0" zoomScale="80" zoomScaleNormal="80" workbookViewId="0">
      <selection activeCell="E12" sqref="E12"/>
    </sheetView>
  </sheetViews>
  <sheetFormatPr baseColWidth="10" defaultColWidth="11.5" defaultRowHeight="15"/>
  <cols>
    <col min="1" max="1" width="23.1640625" style="71" customWidth="1"/>
    <col min="2" max="2" width="82.1640625" style="71" bestFit="1" customWidth="1"/>
    <col min="3" max="3" width="24.83203125" style="71" customWidth="1"/>
    <col min="4" max="4" width="15.83203125" style="71" customWidth="1"/>
    <col min="5" max="5" width="15.1640625" style="71" customWidth="1"/>
    <col min="6" max="6" width="15.83203125" style="71" customWidth="1"/>
    <col min="7" max="7" width="12.5" style="71" customWidth="1"/>
    <col min="8" max="9" width="11.5" style="71"/>
    <col min="10" max="10" width="15.83203125" style="71" bestFit="1" customWidth="1"/>
    <col min="11" max="13" width="19.5" style="71" customWidth="1"/>
    <col min="14" max="16384" width="11.5" style="71"/>
  </cols>
  <sheetData>
    <row r="1" spans="2:3" ht="62" customHeight="1" thickBot="1">
      <c r="B1" s="448" t="s">
        <v>390</v>
      </c>
    </row>
    <row r="2" spans="2:3" ht="16" thickBot="1">
      <c r="B2" s="375" t="s">
        <v>43</v>
      </c>
      <c r="C2" s="84" t="s">
        <v>358</v>
      </c>
    </row>
    <row r="3" spans="2:3" ht="16" thickBot="1">
      <c r="B3" s="376" t="s">
        <v>95</v>
      </c>
      <c r="C3" s="374">
        <v>275606.2</v>
      </c>
    </row>
    <row r="4" spans="2:3" ht="16" thickBot="1">
      <c r="B4" s="376" t="s">
        <v>96</v>
      </c>
      <c r="C4" s="374">
        <v>53908.5</v>
      </c>
    </row>
    <row r="5" spans="2:3" ht="16" thickBot="1">
      <c r="B5" s="377" t="s">
        <v>97</v>
      </c>
      <c r="C5" s="374">
        <f>'4.2 Free Cash Flow + Synergies '!I39</f>
        <v>343840.05887112737</v>
      </c>
    </row>
    <row r="6" spans="2:3" ht="16" thickBot="1">
      <c r="B6" s="241" t="s">
        <v>361</v>
      </c>
      <c r="C6" s="372">
        <f>C5-C4-C3</f>
        <v>14325.358871127362</v>
      </c>
    </row>
    <row r="7" spans="2:3" ht="16" thickBot="1">
      <c r="B7" s="241" t="s">
        <v>88</v>
      </c>
      <c r="C7" s="372">
        <v>1598.9</v>
      </c>
    </row>
    <row r="8" spans="2:3" ht="16" thickBot="1">
      <c r="B8" s="378" t="s">
        <v>44</v>
      </c>
      <c r="C8" s="373">
        <f>C6-C7</f>
        <v>12726.458871127363</v>
      </c>
    </row>
    <row r="10" spans="2:3">
      <c r="B10" s="71" t="s">
        <v>89</v>
      </c>
    </row>
    <row r="11" spans="2:3">
      <c r="B11" s="71" t="s">
        <v>90</v>
      </c>
    </row>
    <row r="12" spans="2:3">
      <c r="B12" s="71" t="s">
        <v>91</v>
      </c>
    </row>
    <row r="13" spans="2:3">
      <c r="B13" s="71" t="s">
        <v>362</v>
      </c>
    </row>
    <row r="17" spans="2:7" ht="16" thickBot="1"/>
    <row r="18" spans="2:7" ht="16" thickBot="1">
      <c r="B18" s="379" t="s">
        <v>94</v>
      </c>
      <c r="C18" s="383" t="s">
        <v>406</v>
      </c>
    </row>
    <row r="19" spans="2:7" ht="16" thickBot="1">
      <c r="B19" s="380" t="s">
        <v>95</v>
      </c>
      <c r="C19" s="372">
        <f>C3</f>
        <v>275606.2</v>
      </c>
    </row>
    <row r="20" spans="2:7" ht="16" thickBot="1">
      <c r="B20" s="380" t="s">
        <v>96</v>
      </c>
      <c r="C20" s="372">
        <f>C4</f>
        <v>53908.5</v>
      </c>
    </row>
    <row r="21" spans="2:7" ht="16" thickBot="1">
      <c r="B21" s="381" t="s">
        <v>216</v>
      </c>
      <c r="C21" s="372">
        <v>64263.86</v>
      </c>
    </row>
    <row r="22" spans="2:7" ht="16" thickBot="1">
      <c r="B22" s="382" t="s">
        <v>416</v>
      </c>
      <c r="C22" s="372">
        <f>C21-C20</f>
        <v>10355.36</v>
      </c>
    </row>
    <row r="23" spans="2:7" ht="16" thickBot="1">
      <c r="B23" s="242" t="s">
        <v>417</v>
      </c>
      <c r="C23" s="373">
        <f>C6-C22</f>
        <v>3969.9988711273618</v>
      </c>
    </row>
    <row r="24" spans="2:7">
      <c r="B24" s="71" t="s">
        <v>218</v>
      </c>
    </row>
    <row r="28" spans="2:7" ht="16" thickBot="1"/>
    <row r="29" spans="2:7" ht="16" thickBot="1">
      <c r="B29" s="375" t="s">
        <v>222</v>
      </c>
      <c r="C29" s="85" t="s">
        <v>226</v>
      </c>
      <c r="D29" s="85" t="s">
        <v>227</v>
      </c>
      <c r="E29" s="85" t="s">
        <v>228</v>
      </c>
      <c r="F29" s="85" t="s">
        <v>229</v>
      </c>
      <c r="G29" s="85" t="s">
        <v>230</v>
      </c>
    </row>
    <row r="30" spans="2:7" ht="16" thickBot="1">
      <c r="B30" s="384" t="s">
        <v>344</v>
      </c>
      <c r="C30" s="387">
        <f>'1.5 Income Statements PfizerRaw'!H7/'1.5 Income Statements PfizerRaw'!G7-1</f>
        <v>0.11538726571113567</v>
      </c>
      <c r="D30" s="387">
        <f>'1.5 Income Statements PfizerRaw'!I7/'1.5 Income Statements PfizerRaw'!H7-1</f>
        <v>0.39585457016649683</v>
      </c>
      <c r="E30" s="387">
        <f>'1.5 Income Statements PfizerRaw'!J7/'1.5 Income Statements PfizerRaw'!I7-1</f>
        <v>0.16216694697707346</v>
      </c>
      <c r="F30" s="387">
        <f>'1.5 Income Statements PfizerRaw'!K7/'1.5 Income Statements PfizerRaw'!J7-1</f>
        <v>-9.7322720694645426E-2</v>
      </c>
      <c r="G30" s="387">
        <f>'1.5 Income Statements PfizerRaw'!L7/'1.5 Income Statements PfizerRaw'!K7-1</f>
        <v>2.0377597299862993E-2</v>
      </c>
    </row>
    <row r="31" spans="2:7" ht="16" thickBot="1">
      <c r="B31" s="384" t="s">
        <v>347</v>
      </c>
      <c r="C31" s="387">
        <f>'1.5 Income Statements PfizerRaw'!H9/'1.5 Income Statements PfizerRaw'!H7</f>
        <v>0.12494980384888642</v>
      </c>
      <c r="D31" s="387">
        <f>'1.5 Income Statements PfizerRaw'!I9/'1.5 Income Statements PfizerRaw'!I7</f>
        <v>0.15340355846684961</v>
      </c>
      <c r="E31" s="387">
        <f>'1.5 Income Statements PfizerRaw'!J9/'1.5 Income Statements PfizerRaw'!J7</f>
        <v>0.14359433315560971</v>
      </c>
      <c r="F31" s="387">
        <f>'1.5 Income Statements PfizerRaw'!K9/'1.5 Income Statements PfizerRaw'!K7</f>
        <v>0.15255774707309355</v>
      </c>
      <c r="G31" s="387">
        <f>'1.5 Income Statements PfizerRaw'!L9/'1.5 Income Statements PfizerRaw'!L7</f>
        <v>0.15794587666163609</v>
      </c>
    </row>
    <row r="32" spans="2:7" ht="16" thickBot="1">
      <c r="B32" s="385" t="s">
        <v>346</v>
      </c>
      <c r="C32" s="387">
        <f>'1.5 Income Statements PfizerRaw'!H15/'1.5 Income Statements PfizerRaw'!I7</f>
        <v>0.11454368416393733</v>
      </c>
      <c r="D32" s="387">
        <f>'1.5 Income Statements PfizerRaw'!I15/'1.5 Income Statements PfizerRaw'!J7</f>
        <v>0.13578718866631123</v>
      </c>
      <c r="E32" s="387">
        <f>'1.5 Income Statements PfizerRaw'!J15/'1.5 Income Statements PfizerRaw'!K7</f>
        <v>0.16209260626516189</v>
      </c>
      <c r="F32" s="387">
        <f>'1.5 Income Statements PfizerRaw'!K15/'1.5 Income Statements PfizerRaw'!L7</f>
        <v>0.15000723574042299</v>
      </c>
      <c r="G32" s="387">
        <f>'1.5 Income Statements PfizerRaw'!L15/'1.5 Income Statements PfizerRaw'!M7</f>
        <v>0.15694576397207649</v>
      </c>
    </row>
    <row r="33" spans="2:7" ht="16" thickBot="1">
      <c r="B33" s="386" t="s">
        <v>348</v>
      </c>
      <c r="C33" s="387">
        <f>C30-'4.4 Revenue Synergy'!C5</f>
        <v>1.5387265711135661E-2</v>
      </c>
      <c r="D33" s="387">
        <f>D30-'4.4 Revenue Synergy'!D5</f>
        <v>0.29585457016649686</v>
      </c>
      <c r="E33" s="387">
        <f>E30-'4.4 Revenue Synergy'!E5</f>
        <v>6.2166946977073451E-2</v>
      </c>
      <c r="F33" s="387">
        <f>F30-'4.4 Revenue Synergy'!F5</f>
        <v>-0.17732272069464544</v>
      </c>
      <c r="G33" s="387">
        <f>G30-'4.4 Revenue Synergy'!G5</f>
        <v>-5.9622402700137009E-2</v>
      </c>
    </row>
    <row r="34" spans="2:7" ht="16" thickBot="1">
      <c r="B34" s="384" t="s">
        <v>349</v>
      </c>
      <c r="C34" s="387">
        <f>'4.5 Cost of Sale Synergy'!C4-'4.3 Synergies Simulator'!C31</f>
        <v>-2.4949803848886412E-2</v>
      </c>
      <c r="D34" s="387">
        <f>'4.5 Cost of Sale Synergy'!D4-'4.3 Synergies Simulator'!D31</f>
        <v>-5.3403558466849604E-2</v>
      </c>
      <c r="E34" s="387">
        <f>'4.5 Cost of Sale Synergy'!E4-'4.3 Synergies Simulator'!E31</f>
        <v>-4.3594333155609705E-2</v>
      </c>
      <c r="F34" s="387">
        <f>'4.5 Cost of Sale Synergy'!F4-'4.3 Synergies Simulator'!F31</f>
        <v>-5.2557747073093547E-2</v>
      </c>
      <c r="G34" s="387">
        <f>'4.5 Cost of Sale Synergy'!G4-'4.3 Synergies Simulator'!G31</f>
        <v>-5.7945876661636087E-2</v>
      </c>
    </row>
    <row r="35" spans="2:7" ht="16" thickBot="1">
      <c r="B35" s="385" t="s">
        <v>350</v>
      </c>
      <c r="C35" s="387">
        <f>'4.6 R&amp;D Synergy'!C4-'4.3 Synergies Simulator'!C32</f>
        <v>1.5456315836062676E-2</v>
      </c>
      <c r="D35" s="387">
        <f>'4.6 R&amp;D Synergy'!D4-'4.3 Synergies Simulator'!D32</f>
        <v>-5.7871886663112271E-3</v>
      </c>
      <c r="E35" s="387">
        <f>'4.6 R&amp;D Synergy'!E4-'4.3 Synergies Simulator'!E32</f>
        <v>-3.2092606265161888E-2</v>
      </c>
      <c r="F35" s="387">
        <f>'4.6 R&amp;D Synergy'!F4-'4.3 Synergies Simulator'!F32</f>
        <v>-2.0007235740422985E-2</v>
      </c>
      <c r="G35" s="387">
        <f>'4.6 R&amp;D Synergy'!G4-'4.3 Synergies Simulator'!G32</f>
        <v>-2.6945763972076486E-2</v>
      </c>
    </row>
    <row r="36" spans="2:7">
      <c r="B36" s="71" t="s">
        <v>351</v>
      </c>
      <c r="C36" s="86"/>
      <c r="D36" s="86"/>
      <c r="E36" s="86"/>
      <c r="F36" s="86"/>
      <c r="G36" s="86"/>
    </row>
    <row r="37" spans="2:7">
      <c r="B37" s="71" t="s">
        <v>373</v>
      </c>
    </row>
    <row r="38" spans="2:7" ht="71.25" customHeight="1">
      <c r="B38" s="565" t="s">
        <v>374</v>
      </c>
      <c r="C38" s="565"/>
    </row>
    <row r="39" spans="2:7" ht="85.5" customHeight="1">
      <c r="B39" s="565" t="s">
        <v>375</v>
      </c>
      <c r="C39" s="565"/>
    </row>
    <row r="41" spans="2:7" ht="64">
      <c r="B41" s="243" t="s">
        <v>376</v>
      </c>
    </row>
  </sheetData>
  <mergeCells count="2">
    <mergeCell ref="B38:C38"/>
    <mergeCell ref="B39:C39"/>
  </mergeCells>
  <phoneticPr fontId="14" type="noConversion"/>
  <conditionalFormatting sqref="C33:G35">
    <cfRule type="cellIs" dxfId="3" priority="3" operator="lessThan">
      <formula>0</formula>
    </cfRule>
    <cfRule type="cellIs" dxfId="2" priority="4" operator="greaterThan">
      <formula>0</formula>
    </cfRule>
  </conditionalFormatting>
  <conditionalFormatting sqref="C8">
    <cfRule type="cellIs" dxfId="1" priority="2" operator="greaterThan">
      <formula>0</formula>
    </cfRule>
  </conditionalFormatting>
  <conditionalFormatting sqref="C23">
    <cfRule type="cellIs" dxfId="0" priority="1" operator="greaterThan">
      <formula>0</formula>
    </cfRule>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sheetPr>
  <dimension ref="B1:L40"/>
  <sheetViews>
    <sheetView showGridLines="0" zoomScale="85" zoomScaleNormal="85" workbookViewId="0">
      <selection activeCell="G7" sqref="G7"/>
    </sheetView>
  </sheetViews>
  <sheetFormatPr baseColWidth="10" defaultColWidth="9.1640625" defaultRowHeight="15"/>
  <cols>
    <col min="1" max="1" width="18.6640625" style="71" customWidth="1"/>
    <col min="2" max="2" width="32.5" style="71" customWidth="1"/>
    <col min="3" max="5" width="9.1640625" style="71" customWidth="1"/>
    <col min="6" max="8" width="9.5" style="71" customWidth="1"/>
    <col min="9" max="9" width="9.1640625" style="71"/>
    <col min="10" max="10" width="32.5" style="71" customWidth="1"/>
    <col min="11" max="16" width="11.83203125" style="71" customWidth="1"/>
    <col min="17" max="16384" width="9.1640625" style="71"/>
  </cols>
  <sheetData>
    <row r="1" spans="2:12" ht="58.5" customHeight="1" thickBot="1">
      <c r="B1" s="452" t="s">
        <v>391</v>
      </c>
    </row>
    <row r="2" spans="2:12" ht="16" thickBot="1">
      <c r="B2" s="396" t="s">
        <v>113</v>
      </c>
      <c r="C2" s="81" t="s">
        <v>45</v>
      </c>
      <c r="D2" s="81" t="s">
        <v>46</v>
      </c>
      <c r="E2" s="81" t="s">
        <v>47</v>
      </c>
      <c r="F2" s="82" t="s">
        <v>48</v>
      </c>
      <c r="G2" s="83" t="s">
        <v>53</v>
      </c>
    </row>
    <row r="3" spans="2:12" ht="16" thickBot="1">
      <c r="B3" s="397" t="s">
        <v>406</v>
      </c>
      <c r="C3" s="393" t="s">
        <v>78</v>
      </c>
      <c r="D3" s="388" t="s">
        <v>79</v>
      </c>
      <c r="E3" s="388" t="s">
        <v>80</v>
      </c>
      <c r="F3" s="388" t="s">
        <v>81</v>
      </c>
      <c r="G3" s="388" t="s">
        <v>82</v>
      </c>
    </row>
    <row r="4" spans="2:12" ht="16" thickBot="1">
      <c r="B4" s="397" t="s">
        <v>84</v>
      </c>
      <c r="C4" s="394">
        <v>1</v>
      </c>
      <c r="D4" s="389">
        <v>2</v>
      </c>
      <c r="E4" s="389">
        <v>3</v>
      </c>
      <c r="F4" s="389">
        <v>4</v>
      </c>
      <c r="G4" s="389">
        <v>5</v>
      </c>
    </row>
    <row r="5" spans="2:12" ht="16" thickBot="1">
      <c r="B5" s="377" t="s">
        <v>345</v>
      </c>
      <c r="C5" s="395">
        <v>0.1</v>
      </c>
      <c r="D5" s="390">
        <v>0.1</v>
      </c>
      <c r="E5" s="390">
        <v>0.1</v>
      </c>
      <c r="F5" s="390">
        <v>0.08</v>
      </c>
      <c r="G5" s="390">
        <v>0.08</v>
      </c>
    </row>
    <row r="6" spans="2:12" ht="16" thickBot="1">
      <c r="B6" s="398" t="s">
        <v>49</v>
      </c>
      <c r="C6" s="391">
        <f>C5*'3.3 Income Statement'!E8-('3.3 Income Statement'!F8-'3.3 Income Statement'!E8)</f>
        <v>1367.1247161868587</v>
      </c>
      <c r="D6" s="391">
        <f>D5*'3.3 Income Statement'!F8-('3.3 Income Statement'!G8-'3.3 Income Statement'!F8)</f>
        <v>1451.8907153916853</v>
      </c>
      <c r="E6" s="391">
        <f>E5*'3.3 Income Statement'!G8-('3.3 Income Statement'!H8-'3.3 Income Statement'!G8)</f>
        <v>1542.2157254762324</v>
      </c>
      <c r="F6" s="391">
        <f>F5*'3.3 Income Statement'!H8-('3.3 Income Statement'!I8-'3.3 Income Statement'!H8)</f>
        <v>593.44626914364017</v>
      </c>
      <c r="G6" s="391">
        <f>G5*'3.3 Income Statement'!I8-('3.3 Income Statement'!J8-'3.3 Income Statement'!I8)</f>
        <v>624.33103964084148</v>
      </c>
    </row>
    <row r="7" spans="2:12" ht="16" thickBot="1">
      <c r="B7" s="385" t="s">
        <v>50</v>
      </c>
      <c r="C7" s="392">
        <f>C6/(1+$C$10)^C4</f>
        <v>1274.9575283116133</v>
      </c>
      <c r="D7" s="392">
        <f>D6/(1+$C$10)^D4</f>
        <v>1262.7259145711885</v>
      </c>
      <c r="E7" s="392">
        <f>E6/(1+$C$10)^E4</f>
        <v>1250.8576108015732</v>
      </c>
      <c r="F7" s="392">
        <f>F6/(1+$C$10)^F4</f>
        <v>448.88152876529006</v>
      </c>
      <c r="G7" s="392">
        <f>G6/(1+$C$10)^G4</f>
        <v>440.40560824677044</v>
      </c>
    </row>
    <row r="8" spans="2:12" ht="16" thickBot="1">
      <c r="B8" s="382" t="s">
        <v>51</v>
      </c>
      <c r="C8" s="399"/>
      <c r="D8" s="399"/>
      <c r="E8" s="400"/>
      <c r="F8" s="401"/>
      <c r="G8" s="470">
        <f>SUM(C7:G7)</f>
        <v>4677.8281906964348</v>
      </c>
    </row>
    <row r="9" spans="2:12" ht="16" thickBot="1"/>
    <row r="10" spans="2:12" ht="16" thickBot="1">
      <c r="B10" s="415" t="s">
        <v>83</v>
      </c>
      <c r="C10" s="404">
        <f>'2.1 Post-WACC'!C22</f>
        <v>7.229039856511893E-2</v>
      </c>
    </row>
    <row r="11" spans="2:12">
      <c r="B11" s="71" t="s">
        <v>369</v>
      </c>
    </row>
    <row r="14" spans="2:12">
      <c r="J14" s="79"/>
      <c r="K14" s="79"/>
      <c r="L14" s="79"/>
    </row>
    <row r="15" spans="2:12">
      <c r="C15" s="79"/>
      <c r="D15" s="79"/>
      <c r="E15" s="79"/>
      <c r="F15" s="79"/>
      <c r="G15" s="79"/>
      <c r="H15" s="79"/>
      <c r="I15" s="79"/>
      <c r="J15" s="79"/>
      <c r="K15" s="79"/>
      <c r="L15" s="79"/>
    </row>
    <row r="16" spans="2:12">
      <c r="I16" s="79"/>
      <c r="J16" s="79"/>
      <c r="K16" s="79"/>
      <c r="L16" s="79"/>
    </row>
    <row r="17" spans="3:12">
      <c r="K17" s="79"/>
      <c r="L17" s="79"/>
    </row>
    <row r="20" spans="3:12">
      <c r="J20" s="80"/>
      <c r="K20" s="80"/>
      <c r="L20" s="80"/>
    </row>
    <row r="21" spans="3:12">
      <c r="C21" s="80"/>
      <c r="D21" s="80"/>
      <c r="E21" s="80"/>
      <c r="F21" s="80"/>
      <c r="G21" s="80"/>
      <c r="H21" s="80"/>
      <c r="I21" s="80"/>
      <c r="J21" s="80"/>
      <c r="K21" s="80"/>
      <c r="L21" s="80"/>
    </row>
    <row r="22" spans="3:12">
      <c r="K22" s="80"/>
      <c r="L22" s="80"/>
    </row>
    <row r="23" spans="3:12">
      <c r="L23" s="80"/>
    </row>
    <row r="37" spans="2:4">
      <c r="D37" s="74"/>
    </row>
    <row r="40" spans="2:4">
      <c r="B40" s="80"/>
    </row>
  </sheetData>
  <phoneticPr fontId="14"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2DA39-8BD4-4D3A-B981-E65D4B8A5B28}">
  <sheetPr>
    <tabColor theme="4"/>
  </sheetPr>
  <dimension ref="B1:G17"/>
  <sheetViews>
    <sheetView showGridLines="0" zoomScale="70" zoomScaleNormal="70" workbookViewId="0">
      <selection activeCell="B23" sqref="B23"/>
    </sheetView>
  </sheetViews>
  <sheetFormatPr baseColWidth="10" defaultColWidth="10.6640625" defaultRowHeight="15"/>
  <cols>
    <col min="1" max="1" width="21.5" style="71" customWidth="1"/>
    <col min="2" max="2" width="63.6640625" style="71" customWidth="1"/>
    <col min="3" max="3" width="10.33203125" style="71" bestFit="1" customWidth="1"/>
    <col min="4" max="16384" width="10.6640625" style="71"/>
  </cols>
  <sheetData>
    <row r="1" spans="2:7" ht="55.5" customHeight="1" thickBot="1">
      <c r="B1" s="448" t="s">
        <v>392</v>
      </c>
    </row>
    <row r="2" spans="2:7" ht="16" thickBot="1">
      <c r="B2" s="375" t="s">
        <v>406</v>
      </c>
      <c r="C2" s="77">
        <v>2002</v>
      </c>
      <c r="D2" s="77">
        <v>2003</v>
      </c>
      <c r="E2" s="77">
        <v>2004</v>
      </c>
      <c r="F2" s="77">
        <v>2005</v>
      </c>
      <c r="G2" s="78">
        <v>2006</v>
      </c>
    </row>
    <row r="3" spans="2:7" ht="16" thickBot="1">
      <c r="B3" s="376" t="s">
        <v>84</v>
      </c>
      <c r="C3" s="409">
        <v>1</v>
      </c>
      <c r="D3" s="403">
        <v>2</v>
      </c>
      <c r="E3" s="403">
        <v>3</v>
      </c>
      <c r="F3" s="403">
        <v>4</v>
      </c>
      <c r="G3" s="403">
        <v>5</v>
      </c>
    </row>
    <row r="4" spans="2:7" ht="16" thickBot="1">
      <c r="B4" s="377" t="s">
        <v>225</v>
      </c>
      <c r="C4" s="410">
        <v>0.1</v>
      </c>
      <c r="D4" s="405">
        <v>0.1</v>
      </c>
      <c r="E4" s="405">
        <v>0.1</v>
      </c>
      <c r="F4" s="405">
        <v>0.1</v>
      </c>
      <c r="G4" s="405">
        <v>0.1</v>
      </c>
    </row>
    <row r="5" spans="2:7" ht="16" thickBot="1">
      <c r="B5" s="411" t="s">
        <v>356</v>
      </c>
      <c r="C5" s="406">
        <f>-'4.2 Free Cash Flow + Synergies '!E13-'4.2 Free Cash Flow + Synergies '!E12*'4.5 Cost of Sale Synergy'!C4</f>
        <v>1696.1385719654636</v>
      </c>
      <c r="D5" s="406">
        <f>-'4.2 Free Cash Flow + Synergies '!F13-'4.2 Free Cash Flow + Synergies '!F12*'4.5 Cost of Sale Synergy'!D4</f>
        <v>747.99708923440085</v>
      </c>
      <c r="E5" s="406">
        <f>-'4.2 Free Cash Flow + Synergies '!G13-'4.2 Free Cash Flow + Synergies '!G12*'4.5 Cost of Sale Synergy'!E4</f>
        <v>623.69490154980758</v>
      </c>
      <c r="F5" s="406">
        <f>-'4.2 Free Cash Flow + Synergies '!H13-'4.2 Free Cash Flow + Synergies '!H12*'4.5 Cost of Sale Synergy'!F4</f>
        <v>466.83041072480682</v>
      </c>
      <c r="G5" s="406">
        <f>-'4.2 Free Cash Flow + Synergies '!I13-'4.2 Free Cash Flow + Synergies '!I12*'4.5 Cost of Sale Synergy'!G4</f>
        <v>294.90759608736425</v>
      </c>
    </row>
    <row r="6" spans="2:7" ht="16" thickBot="1">
      <c r="B6" s="377" t="s">
        <v>52</v>
      </c>
      <c r="C6" s="407">
        <f>C5/(1+$C$10)^C3</f>
        <v>1581.7903193343377</v>
      </c>
      <c r="D6" s="407">
        <f>D5/(1+$C$10)^D3</f>
        <v>650.54159971350748</v>
      </c>
      <c r="E6" s="407">
        <f>E5/(1+$C$10)^E3</f>
        <v>505.86536081442512</v>
      </c>
      <c r="F6" s="407">
        <f>F5/(1+$C$10)^F3</f>
        <v>353.10955571878208</v>
      </c>
      <c r="G6" s="407">
        <f>G5/(1+$C$10)^G3</f>
        <v>208.02899581312494</v>
      </c>
    </row>
    <row r="7" spans="2:7" ht="16" thickBot="1">
      <c r="B7" s="386" t="s">
        <v>54</v>
      </c>
      <c r="C7" s="414"/>
      <c r="D7" s="412"/>
      <c r="E7" s="412"/>
      <c r="F7" s="413"/>
      <c r="G7" s="408">
        <f>SUM(C6:G6)</f>
        <v>3299.3358313941767</v>
      </c>
    </row>
    <row r="9" spans="2:7" ht="16" thickBot="1"/>
    <row r="10" spans="2:7" ht="16" thickBot="1">
      <c r="B10" s="415" t="s">
        <v>40</v>
      </c>
      <c r="C10" s="404">
        <f>'2.1 Post-WACC'!C22</f>
        <v>7.229039856511893E-2</v>
      </c>
    </row>
    <row r="14" spans="2:7">
      <c r="B14" s="71" t="s">
        <v>85</v>
      </c>
    </row>
    <row r="15" spans="2:7">
      <c r="B15" s="71" t="s">
        <v>86</v>
      </c>
    </row>
    <row r="16" spans="2:7">
      <c r="B16" s="71" t="s">
        <v>364</v>
      </c>
    </row>
    <row r="17" spans="2:2">
      <c r="B17" s="74"/>
    </row>
  </sheetData>
  <phoneticPr fontId="14"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4"/>
  </sheetPr>
  <dimension ref="B1:G17"/>
  <sheetViews>
    <sheetView showGridLines="0" zoomScale="70" zoomScaleNormal="70" workbookViewId="0">
      <selection activeCell="J45" sqref="J45"/>
    </sheetView>
  </sheetViews>
  <sheetFormatPr baseColWidth="10" defaultColWidth="10.6640625" defaultRowHeight="15"/>
  <cols>
    <col min="1" max="1" width="21.83203125" style="71" customWidth="1"/>
    <col min="2" max="2" width="63.6640625" style="71" customWidth="1"/>
    <col min="3" max="3" width="10.33203125" style="71" bestFit="1" customWidth="1"/>
    <col min="4" max="6" width="10.6640625" style="71"/>
    <col min="7" max="7" width="17.5" style="71" bestFit="1" customWidth="1"/>
    <col min="8" max="16384" width="10.6640625" style="71"/>
  </cols>
  <sheetData>
    <row r="1" spans="2:7" ht="65" customHeight="1" thickBot="1">
      <c r="B1" s="448" t="s">
        <v>393</v>
      </c>
    </row>
    <row r="2" spans="2:7" ht="16" thickBot="1">
      <c r="B2" s="375" t="s">
        <v>406</v>
      </c>
      <c r="C2" s="77">
        <v>2002</v>
      </c>
      <c r="D2" s="77">
        <v>2003</v>
      </c>
      <c r="E2" s="77">
        <v>2004</v>
      </c>
      <c r="F2" s="77">
        <v>2005</v>
      </c>
      <c r="G2" s="78">
        <v>2006</v>
      </c>
    </row>
    <row r="3" spans="2:7" ht="16" thickBot="1">
      <c r="B3" s="376" t="s">
        <v>98</v>
      </c>
      <c r="C3" s="403">
        <v>1</v>
      </c>
      <c r="D3" s="403">
        <v>2</v>
      </c>
      <c r="E3" s="403">
        <v>3</v>
      </c>
      <c r="F3" s="403">
        <v>4</v>
      </c>
      <c r="G3" s="403">
        <v>5</v>
      </c>
    </row>
    <row r="4" spans="2:7" ht="16" thickBot="1">
      <c r="B4" s="377" t="s">
        <v>346</v>
      </c>
      <c r="C4" s="405">
        <v>0.13</v>
      </c>
      <c r="D4" s="405">
        <v>0.13</v>
      </c>
      <c r="E4" s="405">
        <v>0.13</v>
      </c>
      <c r="F4" s="405">
        <v>0.13</v>
      </c>
      <c r="G4" s="405">
        <v>0.13</v>
      </c>
    </row>
    <row r="5" spans="2:7" ht="16" thickBot="1">
      <c r="B5" s="411" t="s">
        <v>407</v>
      </c>
      <c r="C5" s="406">
        <f>-(C4*'4.2 Free Cash Flow + Synergies '!E12)+('3.1 Growth Ratio'!E15*'4.2 Free Cash Flow + Synergies '!E12)</f>
        <v>1024.9648623242056</v>
      </c>
      <c r="D5" s="406">
        <f>-(D4*'4.2 Free Cash Flow + Synergies '!F12)+('3.1 Growth Ratio'!F15*'4.2 Free Cash Flow + Synergies '!F12)</f>
        <v>1089.655277083164</v>
      </c>
      <c r="E5" s="406">
        <f>-(E4*'4.2 Free Cash Flow + Synergies '!G12)+('3.1 Growth Ratio'!G15*'4.2 Free Cash Flow + Synergies '!G12)</f>
        <v>1158.6583872072761</v>
      </c>
      <c r="F5" s="406">
        <f>-(F4*'4.2 Free Cash Flow + Synergies '!H12)+('3.1 Growth Ratio'!H15*'4.2 Free Cash Flow + Synergies '!H12)</f>
        <v>1209.8702183579962</v>
      </c>
      <c r="G5" s="406">
        <f>-(G4*'4.2 Free Cash Flow + Synergies '!I12)+('3.1 Growth Ratio'!I15*'4.2 Free Cash Flow + Synergies '!I12)</f>
        <v>1286.9953295295536</v>
      </c>
    </row>
    <row r="6" spans="2:7" ht="16" thickBot="1">
      <c r="B6" s="377" t="s">
        <v>52</v>
      </c>
      <c r="C6" s="407">
        <f>C5/(1+$C$10)^C3</f>
        <v>955.86500046606614</v>
      </c>
      <c r="D6" s="407">
        <f>D5/(1+$C$10)^D3</f>
        <v>947.6856224340313</v>
      </c>
      <c r="E6" s="407">
        <f>E5/(1+$C$10)^E3</f>
        <v>939.76260131166282</v>
      </c>
      <c r="F6" s="407">
        <f>F5/(1+$C$10)^F3</f>
        <v>915.14332714202521</v>
      </c>
      <c r="G6" s="407">
        <f>G5/(1+$C$10)^G3</f>
        <v>907.85164427877623</v>
      </c>
    </row>
    <row r="7" spans="2:7" ht="16" thickBot="1">
      <c r="B7" s="378" t="s">
        <v>54</v>
      </c>
      <c r="C7" s="75"/>
      <c r="D7" s="75"/>
      <c r="E7" s="75"/>
      <c r="F7" s="75"/>
      <c r="G7" s="408">
        <f>SUM(C6:G6)</f>
        <v>4666.3081956325614</v>
      </c>
    </row>
    <row r="9" spans="2:7" ht="16" thickBot="1"/>
    <row r="10" spans="2:7" ht="16" thickBot="1">
      <c r="B10" s="415" t="s">
        <v>83</v>
      </c>
      <c r="C10" s="404">
        <f>'2.1 Post-WACC'!C22</f>
        <v>7.229039856511893E-2</v>
      </c>
    </row>
    <row r="13" spans="2:7">
      <c r="G13" s="471" t="e">
        <f>#REF!+'4.5 Cost of Sale Synergy'!#REF!+'4.4 Revenue Synergy'!#REF!</f>
        <v>#REF!</v>
      </c>
    </row>
    <row r="14" spans="2:7">
      <c r="B14" s="71" t="s">
        <v>85</v>
      </c>
    </row>
    <row r="15" spans="2:7">
      <c r="B15" s="71" t="s">
        <v>86</v>
      </c>
    </row>
    <row r="16" spans="2:7">
      <c r="B16" s="71" t="s">
        <v>364</v>
      </c>
    </row>
    <row r="17" spans="2:2">
      <c r="B17" s="74"/>
    </row>
  </sheetData>
  <phoneticPr fontId="1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24</vt:i4>
      </vt:variant>
    </vt:vector>
  </HeadingPairs>
  <TitlesOfParts>
    <vt:vector size="24" baseType="lpstr">
      <vt:lpstr>K structure</vt:lpstr>
      <vt:lpstr>Project Title</vt:lpstr>
      <vt:lpstr>Overview</vt:lpstr>
      <vt:lpstr>1. DATA</vt:lpstr>
      <vt:lpstr>1.1 Income Statement Pharmacia</vt:lpstr>
      <vt:lpstr>1.2 Balance Sheet Pharmacia</vt:lpstr>
      <vt:lpstr>1.3 Cash Flow Statement </vt:lpstr>
      <vt:lpstr>1.4 Income Statement Pfizer</vt:lpstr>
      <vt:lpstr>1.5 Income Statements PfizerRaw</vt:lpstr>
      <vt:lpstr>1.6 DCF Analysis Pfizer</vt:lpstr>
      <vt:lpstr>2. WACC &gt;&gt;&gt;&gt;</vt:lpstr>
      <vt:lpstr>2.1 Post-WACC</vt:lpstr>
      <vt:lpstr>3. FINANCIALS &gt;&gt;&gt;&gt;</vt:lpstr>
      <vt:lpstr>3.1 Growth Ratio</vt:lpstr>
      <vt:lpstr>3.2 Balance Sheet</vt:lpstr>
      <vt:lpstr>3.3 Income Statement</vt:lpstr>
      <vt:lpstr>3.4 Cash Flow Statement</vt:lpstr>
      <vt:lpstr>4. VALUATION &gt;&gt;&gt;&gt;</vt:lpstr>
      <vt:lpstr>4.1 Combined Free Cash Flow</vt:lpstr>
      <vt:lpstr>4.2 Free Cash Flow + Synergies </vt:lpstr>
      <vt:lpstr>4.3 Synergies Simulator</vt:lpstr>
      <vt:lpstr>4.4 Revenue Synergy</vt:lpstr>
      <vt:lpstr>4.5 Cost of Sale Synergy</vt:lpstr>
      <vt:lpstr>4.6 R&amp;D Synergy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Kalu</dc:creator>
  <cp:lastModifiedBy>Microsoft Office User</cp:lastModifiedBy>
  <dcterms:created xsi:type="dcterms:W3CDTF">2017-03-23T10:47:50Z</dcterms:created>
  <dcterms:modified xsi:type="dcterms:W3CDTF">2019-05-07T13:39:12Z</dcterms:modified>
</cp:coreProperties>
</file>