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830"/>
  <workbookPr/>
  <mc:AlternateContent xmlns:mc="http://schemas.openxmlformats.org/markup-compatibility/2006">
    <mc:Choice Requires="x15">
      <x15ac:absPath xmlns:x15ac="http://schemas.microsoft.com/office/spreadsheetml/2010/11/ac" url="C:\Users\Luka T\Documents\EBS\M&amp;A\Valuation Models\20042017\"/>
    </mc:Choice>
  </mc:AlternateContent>
  <bookViews>
    <workbookView xWindow="0" yWindow="0" windowWidth="20490" windowHeight="7230"/>
  </bookViews>
  <sheets>
    <sheet name="Pharma Comps" sheetId="2" r:id="rId1"/>
    <sheet name="Input Data" sheetId="1" r:id="rId2"/>
  </sheets>
  <calcPr calcId="171027" iterate="1" iterateDelta="9.9999999999994451E-4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11" i="2" l="1"/>
  <c r="AK11" i="2"/>
  <c r="R14" i="2"/>
  <c r="R28" i="2"/>
  <c r="S48" i="2"/>
  <c r="R15" i="2"/>
  <c r="R29" i="2"/>
  <c r="S47" i="2"/>
  <c r="AA11" i="2"/>
  <c r="W11" i="2"/>
  <c r="D15" i="2"/>
  <c r="D29" i="2"/>
  <c r="E48" i="2"/>
  <c r="D14" i="2"/>
  <c r="D28" i="2"/>
  <c r="E47" i="2"/>
  <c r="T18" i="2"/>
  <c r="T32" i="2"/>
  <c r="T16" i="2"/>
  <c r="T30" i="2"/>
  <c r="T38" i="2"/>
  <c r="Z10" i="2"/>
  <c r="T14" i="2"/>
  <c r="T28" i="2"/>
  <c r="AA10" i="2"/>
  <c r="T17" i="2"/>
  <c r="T31" i="2"/>
  <c r="Y10" i="2"/>
  <c r="T15" i="2"/>
  <c r="T29" i="2"/>
  <c r="X10" i="2"/>
  <c r="W10" i="2"/>
  <c r="S14" i="2"/>
  <c r="S28" i="2"/>
  <c r="S18" i="2"/>
  <c r="S32" i="2"/>
  <c r="AA9" i="2"/>
  <c r="S16" i="2"/>
  <c r="S30" i="2"/>
  <c r="Z9" i="2"/>
  <c r="S17" i="2"/>
  <c r="S31" i="2"/>
  <c r="Y9" i="2"/>
  <c r="S15" i="2"/>
  <c r="S29" i="2"/>
  <c r="X9" i="2"/>
  <c r="W9" i="2"/>
  <c r="R18" i="2"/>
  <c r="R32" i="2"/>
  <c r="AA8" i="2"/>
  <c r="R16" i="2"/>
  <c r="R30" i="2"/>
  <c r="Z8" i="2"/>
  <c r="R17" i="2"/>
  <c r="R31" i="2"/>
  <c r="Y8" i="2"/>
  <c r="X8" i="2"/>
  <c r="W8" i="2"/>
  <c r="T39" i="2"/>
  <c r="S39" i="2"/>
  <c r="R39" i="2"/>
  <c r="S38" i="2"/>
  <c r="R38" i="2"/>
  <c r="T37" i="2"/>
  <c r="S37" i="2"/>
  <c r="R37" i="2"/>
  <c r="T36" i="2"/>
  <c r="S36" i="2"/>
  <c r="R36" i="2"/>
  <c r="T35" i="2"/>
  <c r="S35" i="2"/>
  <c r="R35" i="2"/>
  <c r="R19" i="2"/>
  <c r="R33" i="2"/>
  <c r="R20" i="2"/>
  <c r="R34" i="2"/>
  <c r="F15" i="2"/>
  <c r="F29" i="2"/>
  <c r="C48" i="2"/>
  <c r="F14" i="2"/>
  <c r="F28" i="2"/>
  <c r="C47" i="2"/>
  <c r="M11" i="2"/>
  <c r="I11" i="2"/>
  <c r="F18" i="2"/>
  <c r="F32" i="2"/>
  <c r="M10" i="2"/>
  <c r="F16" i="2"/>
  <c r="F30" i="2"/>
  <c r="L10" i="2"/>
  <c r="F17" i="2"/>
  <c r="F31" i="2"/>
  <c r="K10" i="2"/>
  <c r="J10" i="2"/>
  <c r="I10" i="2"/>
  <c r="E14" i="2"/>
  <c r="E28" i="2"/>
  <c r="E18" i="2"/>
  <c r="E32" i="2"/>
  <c r="M9" i="2"/>
  <c r="E16" i="2"/>
  <c r="E30" i="2"/>
  <c r="L9" i="2"/>
  <c r="E17" i="2"/>
  <c r="E31" i="2"/>
  <c r="K9" i="2"/>
  <c r="E15" i="2"/>
  <c r="E29" i="2"/>
  <c r="J9" i="2"/>
  <c r="I9" i="2"/>
  <c r="D18" i="2"/>
  <c r="D32" i="2"/>
  <c r="M8" i="2"/>
  <c r="D16" i="2"/>
  <c r="D30" i="2"/>
  <c r="L8" i="2"/>
  <c r="D17" i="2"/>
  <c r="D31" i="2"/>
  <c r="K8" i="2"/>
  <c r="J8" i="2"/>
  <c r="I8" i="2"/>
  <c r="F39" i="2"/>
  <c r="E39" i="2"/>
  <c r="F38" i="2"/>
  <c r="E38" i="2"/>
  <c r="F37" i="2"/>
  <c r="E37" i="2"/>
  <c r="F36" i="2"/>
  <c r="E36" i="2"/>
  <c r="F35" i="2"/>
  <c r="E35" i="2"/>
  <c r="D39" i="2"/>
  <c r="D38" i="2"/>
  <c r="D37" i="2"/>
  <c r="D36" i="2"/>
  <c r="D35" i="2"/>
  <c r="D19" i="2"/>
  <c r="D33" i="2"/>
  <c r="D20" i="2"/>
  <c r="D34" i="2"/>
  <c r="D47" i="2"/>
  <c r="D48" i="2"/>
  <c r="R47" i="2"/>
  <c r="R48" i="2"/>
  <c r="Q47" i="2"/>
  <c r="Q48" i="2"/>
  <c r="T19" i="2"/>
  <c r="T33" i="2"/>
  <c r="T20" i="2"/>
  <c r="T34" i="2"/>
  <c r="S19" i="2"/>
  <c r="S33" i="2"/>
  <c r="S20" i="2"/>
  <c r="S34" i="2"/>
  <c r="F19" i="2"/>
  <c r="F33" i="2"/>
  <c r="F20" i="2"/>
  <c r="F34" i="2"/>
  <c r="E19" i="2"/>
  <c r="E33" i="2"/>
  <c r="E20" i="2"/>
  <c r="E34" i="2"/>
  <c r="R22" i="2"/>
  <c r="T23" i="2"/>
  <c r="T21" i="2"/>
  <c r="S21" i="2"/>
  <c r="R21" i="2"/>
  <c r="T25" i="2"/>
  <c r="F24" i="2"/>
  <c r="F22" i="2"/>
  <c r="E22" i="2"/>
  <c r="D23" i="2"/>
  <c r="F21" i="2"/>
  <c r="E21" i="2"/>
  <c r="D21" i="2"/>
  <c r="D25" i="2"/>
  <c r="E23" i="2"/>
  <c r="F23" i="2"/>
  <c r="D24" i="2"/>
  <c r="R24" i="2"/>
  <c r="S22" i="2"/>
  <c r="T24" i="2"/>
  <c r="E24" i="2"/>
  <c r="S23" i="2"/>
  <c r="T22" i="2"/>
  <c r="R23" i="2"/>
  <c r="D22" i="2"/>
  <c r="F25" i="2"/>
  <c r="S24" i="2"/>
  <c r="E25" i="2"/>
  <c r="R25" i="2"/>
  <c r="S25" i="2"/>
  <c r="AF14" i="2"/>
  <c r="AF19" i="2"/>
  <c r="AF33" i="2"/>
  <c r="AF17" i="2"/>
  <c r="AF15" i="2"/>
  <c r="AF16" i="2"/>
  <c r="AF18" i="2"/>
  <c r="AG17" i="2"/>
  <c r="AG31" i="2"/>
  <c r="AG14" i="2"/>
  <c r="AG19" i="2"/>
  <c r="AG33" i="2"/>
  <c r="AG16" i="2"/>
  <c r="AG18" i="2"/>
  <c r="AG15" i="2"/>
  <c r="AH14" i="2"/>
  <c r="AH17" i="2"/>
  <c r="AH31" i="2"/>
  <c r="AH19" i="2"/>
  <c r="AH33" i="2"/>
  <c r="AH16" i="2"/>
  <c r="AH18" i="2"/>
  <c r="AH32" i="2"/>
  <c r="AH15" i="2"/>
  <c r="AG20" i="2"/>
  <c r="AG34" i="2"/>
  <c r="AG28" i="2"/>
  <c r="AG25" i="2"/>
  <c r="AF24" i="2"/>
  <c r="AF32" i="2"/>
  <c r="AH25" i="2"/>
  <c r="AH28" i="2"/>
  <c r="AH20" i="2"/>
  <c r="AH34" i="2"/>
  <c r="AF23" i="2"/>
  <c r="AF30" i="2"/>
  <c r="AH24" i="2"/>
  <c r="AH30" i="2"/>
  <c r="AN10" i="2"/>
  <c r="AH23" i="2"/>
  <c r="AH29" i="2"/>
  <c r="AH36" i="2"/>
  <c r="AF29" i="2"/>
  <c r="AF21" i="2"/>
  <c r="AG24" i="2"/>
  <c r="AG32" i="2"/>
  <c r="AH22" i="2"/>
  <c r="AL10" i="2"/>
  <c r="AH21" i="2"/>
  <c r="AG30" i="2"/>
  <c r="AG23" i="2"/>
  <c r="AG22" i="2"/>
  <c r="AG29" i="2"/>
  <c r="AG36" i="2"/>
  <c r="AG21" i="2"/>
  <c r="AF31" i="2"/>
  <c r="AF22" i="2"/>
  <c r="AH38" i="2"/>
  <c r="AF20" i="2"/>
  <c r="AF34" i="2"/>
  <c r="AF28" i="2"/>
  <c r="AF25" i="2"/>
  <c r="AG37" i="2"/>
  <c r="AM9" i="2"/>
  <c r="AE48" i="2"/>
  <c r="AH35" i="2"/>
  <c r="AK10" i="2"/>
  <c r="AF38" i="2"/>
  <c r="AN8" i="2"/>
  <c r="AK9" i="2"/>
  <c r="AG35" i="2"/>
  <c r="AF48" i="2"/>
  <c r="AH37" i="2"/>
  <c r="AM10" i="2"/>
  <c r="AF39" i="2"/>
  <c r="AG48" i="2"/>
  <c r="AO8" i="2"/>
  <c r="AN9" i="2"/>
  <c r="AG38" i="2"/>
  <c r="AE47" i="2"/>
  <c r="AH39" i="2"/>
  <c r="AO10" i="2"/>
  <c r="AL9" i="2"/>
  <c r="AM8" i="2"/>
  <c r="AG39" i="2"/>
  <c r="AF47" i="2"/>
  <c r="AO9" i="2"/>
  <c r="AK8" i="2"/>
  <c r="AF35" i="2"/>
  <c r="AG47" i="2"/>
  <c r="AF37" i="2"/>
  <c r="AL8" i="2"/>
  <c r="AF36" i="2"/>
</calcChain>
</file>

<file path=xl/sharedStrings.xml><?xml version="1.0" encoding="utf-8"?>
<sst xmlns="http://schemas.openxmlformats.org/spreadsheetml/2006/main" count="616" uniqueCount="114">
  <si>
    <t>Bristol-Myers Squibb Co (BMY US) - Adj Highlights</t>
  </si>
  <si>
    <t>In Millions of USD</t>
  </si>
  <si>
    <t>FY 2004</t>
  </si>
  <si>
    <t>FY 2005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</si>
  <si>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</si>
  <si>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</si>
  <si>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</si>
  <si>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</si>
  <si>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</si>
  <si>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</si>
  <si>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</si>
  <si>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</si>
  <si>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12 Months Ending</t>
  </si>
  <si>
    <t>12/31/2004</t>
  </si>
  <si>
    <t>12/31/2005</t>
  </si>
  <si>
    <t>12/31/2006</t>
  </si>
  <si>
    <t>12/31/2007</t>
  </si>
  <si>
    <t>12/31/2008</t>
  </si>
  <si>
    <t>12/31/2009</t>
  </si>
  <si>
    <t>12/31/2010</t>
  </si>
  <si>
    <t>12/31/2011</t>
  </si>
  <si>
    <t>12/31/2012</t>
  </si>
  <si>
    <t>12/31/2013</t>
  </si>
  <si>
    <t>Market Capitalization</t>
  </si>
  <si>
    <t>HISTORICAL_MARKET_CAP</t>
  </si>
  <si>
    <t>Revenue, Adj</t>
  </si>
  <si>
    <t>SALES_REV_TURN</t>
  </si>
  <si>
    <t>EBITDA, Adj</t>
  </si>
  <si>
    <t>EBITDA</t>
  </si>
  <si>
    <t>In Millions of USD except Per Share</t>
  </si>
  <si>
    <t>P/E</t>
  </si>
  <si>
    <t>PE_RATIO</t>
  </si>
  <si>
    <t>P/Book</t>
  </si>
  <si>
    <t>PX_TO_BOOK_RATIO</t>
  </si>
  <si>
    <t>P/Tangible Book</t>
  </si>
  <si>
    <t>PX_TO_TANG_BV_PER_SH</t>
  </si>
  <si>
    <t>—</t>
  </si>
  <si>
    <t>P/Sales</t>
  </si>
  <si>
    <t>PX_TO_SALES_RATIO</t>
  </si>
  <si>
    <t>P/Cash Flow</t>
  </si>
  <si>
    <t>PX_TO_CASH_FLOW</t>
  </si>
  <si>
    <t>P/Free Cash Flow</t>
  </si>
  <si>
    <t>PX_TO_FREE_CASH_FLOW</t>
  </si>
  <si>
    <t>EV/Sales</t>
  </si>
  <si>
    <t>EV_TO_T12M_SALES</t>
  </si>
  <si>
    <t>EV/EBITDA</t>
  </si>
  <si>
    <t>EV_TO_T12M_EBITDA</t>
  </si>
  <si>
    <t>EV/EBIT</t>
  </si>
  <si>
    <t>EV_TO_T12M_EBIT</t>
  </si>
  <si>
    <t>Price/Share</t>
  </si>
  <si>
    <t>PX_LAST</t>
  </si>
  <si>
    <t>Enterprise Value</t>
  </si>
  <si>
    <t>ENTERPRISE_VALUE</t>
  </si>
  <si>
    <t>Bayer AG (BAYN GR) - Adj Highlights</t>
  </si>
  <si>
    <t>In Millions of EUR</t>
  </si>
  <si>
    <t>In Millions of EUR except Per Share</t>
  </si>
  <si>
    <t>AstraZeneca PLC (AZN LN) - Adj Highlights</t>
  </si>
  <si>
    <t>GlaxoSmithKline PLC (GSK LN) - Adj Highlights</t>
  </si>
  <si>
    <t>In Millions of GBP</t>
  </si>
  <si>
    <t>FY 2014</t>
  </si>
  <si>
    <t>FY 2015</t>
  </si>
  <si>
    <t>FY 2016</t>
  </si>
  <si>
    <t>Current/LTM</t>
  </si>
  <si>
    <t>FY 2017 Est</t>
  </si>
  <si>
    <t>FY 2018 Est</t>
  </si>
  <si>
    <t>12/31/2014</t>
  </si>
  <si>
    <t>12/31/2015</t>
  </si>
  <si>
    <t>12/31/2016</t>
  </si>
  <si>
    <t>12/31/2017</t>
  </si>
  <si>
    <t>12/31/2018</t>
  </si>
  <si>
    <t>In Millions of GBP except Per Share</t>
  </si>
  <si>
    <t>Current</t>
  </si>
  <si>
    <t>04/08/2017</t>
  </si>
  <si>
    <t>Eli Lilly &amp; Co (LLY US) - Adj Highlights</t>
  </si>
  <si>
    <t xml:space="preserve">Market Cap </t>
  </si>
  <si>
    <t>Sanofi</t>
  </si>
  <si>
    <t>Amgen</t>
  </si>
  <si>
    <t>Celgene</t>
  </si>
  <si>
    <t>Biogen</t>
  </si>
  <si>
    <t>Baxter International</t>
  </si>
  <si>
    <t>Gilead</t>
  </si>
  <si>
    <t>Maximum</t>
  </si>
  <si>
    <t>Minimum</t>
  </si>
  <si>
    <t>Median</t>
  </si>
  <si>
    <t>25th percentile</t>
  </si>
  <si>
    <t xml:space="preserve">75th percentile </t>
  </si>
  <si>
    <t>Average</t>
  </si>
  <si>
    <t>Standard Deviation</t>
  </si>
  <si>
    <t>Company</t>
  </si>
  <si>
    <t>Statistics</t>
  </si>
  <si>
    <t>consistent</t>
  </si>
  <si>
    <t>Min Point</t>
  </si>
  <si>
    <t>25th Point</t>
  </si>
  <si>
    <t>Median Point</t>
  </si>
  <si>
    <t>75th Point</t>
  </si>
  <si>
    <t>Maximum Point</t>
  </si>
  <si>
    <t>Sales</t>
  </si>
  <si>
    <t xml:space="preserve">EBIT </t>
  </si>
  <si>
    <t>(thousand $)</t>
  </si>
  <si>
    <t>Check whether standard deviation formula is correct</t>
  </si>
  <si>
    <t>EV</t>
  </si>
  <si>
    <t>EV (X*EBITDA)</t>
  </si>
  <si>
    <t>EV (X*EBIT)</t>
  </si>
  <si>
    <t>EV (X*Sales)</t>
  </si>
  <si>
    <t xml:space="preserve">Max </t>
  </si>
  <si>
    <t>Min</t>
  </si>
  <si>
    <t>APV</t>
  </si>
  <si>
    <t xml:space="preserve">Include D/V to clarify similarity of cap structure? </t>
  </si>
  <si>
    <t>Genzyme</t>
  </si>
  <si>
    <t>DCF</t>
  </si>
  <si>
    <t>EV/sales</t>
  </si>
  <si>
    <t>Sanofi (millions)</t>
  </si>
  <si>
    <t>bloomberg</t>
  </si>
  <si>
    <t>SANOFI_valuation_model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</si>
</sst>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8" tint="0.59999389629810485"/>
      <name val="Calibri"/>
      <family val="2"/>
    </font>
    <font>
      <sz val="11"/>
      <color theme="8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2">
    <xf numFmtId="0" fontId="0" fillId="0" borderId="0"/>
    <xf numFmtId="0" fontId="2" fillId="2" borderId="1" applyNumberFormat="0" applyProtection="0">
      <alignment horizontal="left" vertical="center" readingOrder="1"/>
    </xf>
    <xf numFmtId="0" fontId="3" fillId="3" borderId="0" applyNumberFormat="0" applyBorder="0" applyProtection="0">
      <alignment horizontal="center"/>
    </xf>
    <xf numFmtId="0" fontId="4" fillId="2" borderId="2">
      <alignment horizontal="left"/>
    </xf>
    <xf numFmtId="0" fontId="4" fillId="2" borderId="2">
      <alignment horizontal="right"/>
    </xf>
    <xf numFmtId="0" fontId="4" fillId="2" borderId="3">
      <alignment horizontal="left"/>
    </xf>
    <xf numFmtId="0" fontId="4" fillId="2" borderId="3">
      <alignment horizontal="right"/>
    </xf>
    <xf numFmtId="0" fontId="5" fillId="3" borderId="4"/>
    <xf numFmtId="164" fontId="5" fillId="3" borderId="5">
      <alignment horizontal="right"/>
    </xf>
    <xf numFmtId="4" fontId="5" fillId="3" borderId="5">
      <alignment horizontal="right"/>
    </xf>
    <xf numFmtId="164" fontId="5" fillId="4" borderId="5">
      <alignment horizontal="right"/>
    </xf>
    <xf numFmtId="4" fontId="5" fillId="4" borderId="5">
      <alignment horizontal="right"/>
    </xf>
  </cellStyleXfs>
  <cellXfs count="115">
    <xf numFmtId="0" fontId="0" fillId="0" borderId="0" xfId="0"/>
    <xf numFmtId="0" fontId="2" fillId="2" borderId="1" xfId="1" applyFont="1" applyFill="1" applyBorder="1" applyAlignment="1">
      <alignment horizontal="left" vertical="center" readingOrder="1"/>
    </xf>
    <xf numFmtId="0" fontId="3" fillId="3" borderId="0" xfId="2" applyFont="1" applyFill="1" applyAlignment="1">
      <alignment horizontal="center"/>
    </xf>
    <xf numFmtId="0" fontId="4" fillId="2" borderId="2" xfId="3" applyNumberFormat="1" applyFont="1" applyFill="1" applyBorder="1" applyAlignment="1" applyProtection="1">
      <alignment horizontal="left"/>
    </xf>
    <xf numFmtId="0" fontId="4" fillId="2" borderId="2" xfId="4" applyNumberFormat="1" applyFont="1" applyFill="1" applyBorder="1" applyAlignment="1" applyProtection="1">
      <alignment horizontal="right"/>
    </xf>
    <xf numFmtId="0" fontId="4" fillId="2" borderId="3" xfId="5">
      <alignment horizontal="left"/>
    </xf>
    <xf numFmtId="0" fontId="4" fillId="2" borderId="3" xfId="6" applyNumberFormat="1" applyFont="1" applyFill="1" applyBorder="1" applyAlignment="1" applyProtection="1">
      <alignment horizontal="right"/>
    </xf>
    <xf numFmtId="0" fontId="5" fillId="3" borderId="4" xfId="7" applyNumberFormat="1" applyFont="1" applyFill="1" applyBorder="1" applyAlignment="1" applyProtection="1"/>
    <xf numFmtId="164" fontId="5" fillId="3" borderId="5" xfId="8" applyNumberFormat="1" applyFont="1" applyFill="1" applyBorder="1" applyAlignment="1" applyProtection="1">
      <alignment horizontal="right"/>
    </xf>
    <xf numFmtId="4" fontId="5" fillId="3" borderId="5" xfId="9" applyNumberFormat="1" applyFont="1" applyFill="1" applyBorder="1" applyAlignment="1" applyProtection="1">
      <alignment horizontal="right"/>
    </xf>
    <xf numFmtId="164" fontId="5" fillId="4" borderId="5" xfId="10" applyNumberFormat="1" applyFont="1" applyFill="1" applyBorder="1" applyAlignment="1" applyProtection="1">
      <alignment horizontal="right"/>
    </xf>
    <xf numFmtId="4" fontId="5" fillId="4" borderId="5" xfId="11" applyNumberFormat="1" applyFont="1" applyFill="1" applyBorder="1" applyAlignment="1" applyProtection="1">
      <alignment horizontal="right"/>
    </xf>
    <xf numFmtId="0" fontId="0" fillId="5" borderId="6" xfId="0" applyFill="1" applyBorder="1"/>
    <xf numFmtId="0" fontId="7" fillId="5" borderId="6" xfId="7" applyNumberFormat="1" applyFont="1" applyFill="1" applyBorder="1" applyAlignment="1" applyProtection="1">
      <alignment horizontal="right" vertical="top" wrapText="1"/>
    </xf>
    <xf numFmtId="0" fontId="5" fillId="5" borderId="14" xfId="7" applyNumberFormat="1" applyFont="1" applyFill="1" applyBorder="1" applyAlignment="1" applyProtection="1">
      <alignment horizontal="left" vertical="top" wrapText="1"/>
    </xf>
    <xf numFmtId="0" fontId="5" fillId="5" borderId="1" xfId="7" applyNumberFormat="1" applyFont="1" applyFill="1" applyBorder="1" applyAlignment="1" applyProtection="1">
      <alignment horizontal="left" vertical="top" wrapText="1"/>
    </xf>
    <xf numFmtId="0" fontId="5" fillId="5" borderId="15" xfId="7" applyNumberFormat="1" applyFont="1" applyFill="1" applyBorder="1" applyAlignment="1" applyProtection="1">
      <alignment horizontal="left" vertical="top" wrapText="1"/>
    </xf>
    <xf numFmtId="0" fontId="1" fillId="5" borderId="14" xfId="0" applyFont="1" applyFill="1" applyBorder="1"/>
    <xf numFmtId="0" fontId="0" fillId="5" borderId="1" xfId="0" applyFill="1" applyBorder="1"/>
    <xf numFmtId="0" fontId="1" fillId="5" borderId="1" xfId="0" applyFont="1" applyFill="1" applyBorder="1"/>
    <xf numFmtId="0" fontId="1" fillId="5" borderId="15" xfId="0" applyFont="1" applyFill="1" applyBorder="1"/>
    <xf numFmtId="0" fontId="1" fillId="5" borderId="0" xfId="0" applyFont="1" applyFill="1" applyBorder="1"/>
    <xf numFmtId="0" fontId="0" fillId="5" borderId="0" xfId="0" applyFill="1"/>
    <xf numFmtId="0" fontId="1" fillId="5" borderId="0" xfId="0" applyFont="1" applyFill="1"/>
    <xf numFmtId="4" fontId="14" fillId="6" borderId="13" xfId="9" applyNumberFormat="1" applyFont="1" applyFill="1" applyBorder="1" applyAlignment="1" applyProtection="1">
      <alignment horizontal="right"/>
    </xf>
    <xf numFmtId="4" fontId="14" fillId="6" borderId="0" xfId="9" applyNumberFormat="1" applyFont="1" applyFill="1" applyBorder="1" applyAlignment="1" applyProtection="1">
      <alignment horizontal="right"/>
    </xf>
    <xf numFmtId="0" fontId="0" fillId="7" borderId="0" xfId="0" applyFill="1"/>
    <xf numFmtId="0" fontId="0" fillId="7" borderId="7" xfId="0" applyFill="1" applyBorder="1"/>
    <xf numFmtId="0" fontId="1" fillId="7" borderId="0" xfId="0" applyFont="1" applyFill="1"/>
    <xf numFmtId="0" fontId="0" fillId="7" borderId="8" xfId="0" applyFill="1" applyBorder="1"/>
    <xf numFmtId="4" fontId="8" fillId="7" borderId="7" xfId="9" applyNumberFormat="1" applyFont="1" applyFill="1" applyBorder="1" applyAlignment="1" applyProtection="1">
      <alignment horizontal="right"/>
    </xf>
    <xf numFmtId="0" fontId="0" fillId="7" borderId="4" xfId="0" applyFill="1" applyBorder="1"/>
    <xf numFmtId="4" fontId="8" fillId="7" borderId="0" xfId="9" applyNumberFormat="1" applyFont="1" applyFill="1" applyBorder="1" applyAlignment="1" applyProtection="1">
      <alignment horizontal="right"/>
    </xf>
    <xf numFmtId="0" fontId="1" fillId="7" borderId="10" xfId="0" applyFont="1" applyFill="1" applyBorder="1"/>
    <xf numFmtId="4" fontId="5" fillId="7" borderId="11" xfId="9" applyNumberFormat="1" applyFont="1" applyFill="1" applyBorder="1" applyAlignment="1" applyProtection="1">
      <alignment horizontal="right"/>
    </xf>
    <xf numFmtId="0" fontId="0" fillId="7" borderId="11" xfId="0" applyFont="1" applyFill="1" applyBorder="1"/>
    <xf numFmtId="4" fontId="8" fillId="7" borderId="9" xfId="9" applyNumberFormat="1" applyFont="1" applyFill="1" applyBorder="1" applyAlignment="1" applyProtection="1">
      <alignment horizontal="right"/>
    </xf>
    <xf numFmtId="0" fontId="0" fillId="7" borderId="0" xfId="0" applyFill="1" applyAlignment="1"/>
    <xf numFmtId="0" fontId="7" fillId="7" borderId="7" xfId="7" applyNumberFormat="1" applyFont="1" applyFill="1" applyBorder="1" applyAlignment="1" applyProtection="1">
      <alignment horizontal="right" vertical="top" wrapText="1"/>
    </xf>
    <xf numFmtId="0" fontId="5" fillId="7" borderId="0" xfId="7" applyNumberFormat="1" applyFont="1" applyFill="1" applyBorder="1" applyAlignment="1" applyProtection="1">
      <alignment horizontal="left" vertical="top" wrapText="1"/>
    </xf>
    <xf numFmtId="0" fontId="0" fillId="7" borderId="0" xfId="0" applyFill="1" applyBorder="1"/>
    <xf numFmtId="0" fontId="7" fillId="7" borderId="0" xfId="7" applyNumberFormat="1" applyFont="1" applyFill="1" applyBorder="1" applyAlignment="1" applyProtection="1">
      <alignment horizontal="right" vertical="top" wrapText="1"/>
    </xf>
    <xf numFmtId="2" fontId="0" fillId="7" borderId="7" xfId="0" applyNumberFormat="1" applyFill="1" applyBorder="1"/>
    <xf numFmtId="2" fontId="0" fillId="7" borderId="9" xfId="0" applyNumberFormat="1" applyFill="1" applyBorder="1"/>
    <xf numFmtId="2" fontId="0" fillId="7" borderId="0" xfId="0" applyNumberFormat="1" applyFill="1" applyBorder="1"/>
    <xf numFmtId="2" fontId="0" fillId="7" borderId="13" xfId="0" applyNumberFormat="1" applyFill="1" applyBorder="1"/>
    <xf numFmtId="0" fontId="10" fillId="7" borderId="10" xfId="0" applyFont="1" applyFill="1" applyBorder="1"/>
    <xf numFmtId="0" fontId="10" fillId="7" borderId="11" xfId="0" applyFont="1" applyFill="1" applyBorder="1"/>
    <xf numFmtId="2" fontId="10" fillId="7" borderId="11" xfId="0" applyNumberFormat="1" applyFont="1" applyFill="1" applyBorder="1"/>
    <xf numFmtId="2" fontId="10" fillId="7" borderId="12" xfId="0" applyNumberFormat="1" applyFont="1" applyFill="1" applyBorder="1"/>
    <xf numFmtId="0" fontId="0" fillId="7" borderId="10" xfId="0" applyFill="1" applyBorder="1"/>
    <xf numFmtId="0" fontId="0" fillId="7" borderId="11" xfId="0" applyFill="1" applyBorder="1"/>
    <xf numFmtId="2" fontId="0" fillId="7" borderId="11" xfId="0" applyNumberFormat="1" applyFill="1" applyBorder="1"/>
    <xf numFmtId="2" fontId="0" fillId="7" borderId="12" xfId="0" applyNumberFormat="1" applyFill="1" applyBorder="1"/>
    <xf numFmtId="4" fontId="0" fillId="7" borderId="7" xfId="0" applyNumberFormat="1" applyFill="1" applyBorder="1"/>
    <xf numFmtId="4" fontId="0" fillId="7" borderId="9" xfId="0" applyNumberFormat="1" applyFill="1" applyBorder="1"/>
    <xf numFmtId="4" fontId="0" fillId="7" borderId="0" xfId="0" applyNumberFormat="1" applyFill="1" applyBorder="1"/>
    <xf numFmtId="4" fontId="0" fillId="7" borderId="13" xfId="0" applyNumberFormat="1" applyFill="1" applyBorder="1"/>
    <xf numFmtId="4" fontId="0" fillId="7" borderId="11" xfId="0" applyNumberFormat="1" applyFill="1" applyBorder="1"/>
    <xf numFmtId="4" fontId="0" fillId="7" borderId="12" xfId="0" applyNumberFormat="1" applyFill="1" applyBorder="1"/>
    <xf numFmtId="0" fontId="10" fillId="7" borderId="0" xfId="0" applyFont="1" applyFill="1"/>
    <xf numFmtId="0" fontId="1" fillId="7" borderId="8" xfId="0" applyFont="1" applyFill="1" applyBorder="1"/>
    <xf numFmtId="0" fontId="1" fillId="7" borderId="7" xfId="0" applyFont="1" applyFill="1" applyBorder="1"/>
    <xf numFmtId="0" fontId="1" fillId="7" borderId="9" xfId="0" applyFont="1" applyFill="1" applyBorder="1"/>
    <xf numFmtId="0" fontId="1" fillId="7" borderId="4" xfId="0" applyFont="1" applyFill="1" applyBorder="1"/>
    <xf numFmtId="3" fontId="1" fillId="7" borderId="0" xfId="0" applyNumberFormat="1" applyFont="1" applyFill="1" applyBorder="1"/>
    <xf numFmtId="0" fontId="1" fillId="7" borderId="0" xfId="0" applyFont="1" applyFill="1" applyBorder="1"/>
    <xf numFmtId="0" fontId="1" fillId="7" borderId="13" xfId="0" applyFont="1" applyFill="1" applyBorder="1"/>
    <xf numFmtId="3" fontId="1" fillId="7" borderId="11" xfId="0" applyNumberFormat="1" applyFont="1" applyFill="1" applyBorder="1"/>
    <xf numFmtId="0" fontId="1" fillId="7" borderId="11" xfId="0" applyFont="1" applyFill="1" applyBorder="1"/>
    <xf numFmtId="0" fontId="0" fillId="7" borderId="12" xfId="0" applyFill="1" applyBorder="1"/>
    <xf numFmtId="3" fontId="0" fillId="7" borderId="0" xfId="0" applyNumberFormat="1" applyFill="1"/>
    <xf numFmtId="0" fontId="11" fillId="7" borderId="0" xfId="0" applyFont="1" applyFill="1" applyBorder="1"/>
    <xf numFmtId="3" fontId="12" fillId="7" borderId="0" xfId="0" applyNumberFormat="1" applyFont="1" applyFill="1"/>
    <xf numFmtId="3" fontId="13" fillId="7" borderId="0" xfId="0" applyNumberFormat="1" applyFont="1" applyFill="1"/>
    <xf numFmtId="4" fontId="8" fillId="7" borderId="8" xfId="9" applyNumberFormat="1" applyFont="1" applyFill="1" applyBorder="1" applyAlignment="1" applyProtection="1">
      <alignment horizontal="right"/>
    </xf>
    <xf numFmtId="4" fontId="8" fillId="7" borderId="4" xfId="9" applyNumberFormat="1" applyFont="1" applyFill="1" applyBorder="1" applyAlignment="1" applyProtection="1">
      <alignment horizontal="right"/>
    </xf>
    <xf numFmtId="4" fontId="5" fillId="7" borderId="10" xfId="9" applyNumberFormat="1" applyFont="1" applyFill="1" applyBorder="1" applyAlignment="1" applyProtection="1">
      <alignment horizontal="right"/>
    </xf>
    <xf numFmtId="4" fontId="8" fillId="7" borderId="13" xfId="9" applyNumberFormat="1" applyFont="1" applyFill="1" applyBorder="1" applyAlignment="1" applyProtection="1">
      <alignment horizontal="right"/>
    </xf>
    <xf numFmtId="0" fontId="1" fillId="7" borderId="12" xfId="0" applyFont="1" applyFill="1" applyBorder="1"/>
    <xf numFmtId="0" fontId="0" fillId="7" borderId="12" xfId="0" applyFont="1" applyFill="1" applyBorder="1"/>
    <xf numFmtId="3" fontId="0" fillId="7" borderId="7" xfId="0" applyNumberFormat="1" applyFill="1" applyBorder="1"/>
    <xf numFmtId="3" fontId="0" fillId="7" borderId="0" xfId="0" applyNumberFormat="1" applyFill="1" applyBorder="1"/>
    <xf numFmtId="3" fontId="0" fillId="7" borderId="11" xfId="0" applyNumberFormat="1" applyFill="1" applyBorder="1"/>
    <xf numFmtId="3" fontId="0" fillId="7" borderId="9" xfId="0" applyNumberFormat="1" applyFill="1" applyBorder="1"/>
    <xf numFmtId="3" fontId="0" fillId="7" borderId="13" xfId="0" applyNumberFormat="1" applyFill="1" applyBorder="1"/>
    <xf numFmtId="3" fontId="0" fillId="7" borderId="12" xfId="0" applyNumberFormat="1" applyFill="1" applyBorder="1"/>
    <xf numFmtId="3" fontId="1" fillId="7" borderId="7" xfId="0" applyNumberFormat="1" applyFont="1" applyFill="1" applyBorder="1"/>
    <xf numFmtId="0" fontId="0" fillId="6" borderId="0" xfId="0" applyFill="1"/>
    <xf numFmtId="3" fontId="9" fillId="7" borderId="7" xfId="0" applyNumberFormat="1" applyFont="1" applyFill="1" applyBorder="1"/>
    <xf numFmtId="3" fontId="9" fillId="7" borderId="9" xfId="0" applyNumberFormat="1" applyFont="1" applyFill="1" applyBorder="1"/>
    <xf numFmtId="3" fontId="9" fillId="7" borderId="0" xfId="0" applyNumberFormat="1" applyFont="1" applyFill="1" applyBorder="1"/>
    <xf numFmtId="3" fontId="9" fillId="7" borderId="13" xfId="0" applyNumberFormat="1" applyFont="1" applyFill="1" applyBorder="1"/>
    <xf numFmtId="3" fontId="9" fillId="7" borderId="11" xfId="0" applyNumberFormat="1" applyFont="1" applyFill="1" applyBorder="1"/>
    <xf numFmtId="3" fontId="9" fillId="7" borderId="12" xfId="0" applyNumberFormat="1" applyFont="1" applyFill="1" applyBorder="1"/>
    <xf numFmtId="0" fontId="0" fillId="7" borderId="16" xfId="0" applyFill="1" applyBorder="1"/>
    <xf numFmtId="3" fontId="15" fillId="7" borderId="0" xfId="0" applyNumberFormat="1" applyFont="1" applyFill="1"/>
    <xf numFmtId="0" fontId="13" fillId="7" borderId="0" xfId="0" applyFont="1" applyFill="1"/>
    <xf numFmtId="0" fontId="15" fillId="7" borderId="0" xfId="0" applyFont="1" applyFill="1"/>
    <xf numFmtId="3" fontId="15" fillId="7" borderId="7" xfId="0" applyNumberFormat="1" applyFont="1" applyFill="1" applyBorder="1"/>
    <xf numFmtId="3" fontId="15" fillId="7" borderId="0" xfId="0" applyNumberFormat="1" applyFont="1" applyFill="1" applyBorder="1"/>
    <xf numFmtId="3" fontId="15" fillId="7" borderId="11" xfId="0" applyNumberFormat="1" applyFont="1" applyFill="1" applyBorder="1"/>
    <xf numFmtId="0" fontId="0" fillId="7" borderId="17" xfId="0" applyFill="1" applyBorder="1"/>
    <xf numFmtId="0" fontId="10" fillId="7" borderId="7" xfId="0" applyFont="1" applyFill="1" applyBorder="1"/>
    <xf numFmtId="3" fontId="10" fillId="7" borderId="0" xfId="0" applyNumberFormat="1" applyFont="1" applyFill="1"/>
    <xf numFmtId="4" fontId="16" fillId="7" borderId="0" xfId="9" applyNumberFormat="1" applyFont="1" applyFill="1" applyBorder="1" applyAlignment="1" applyProtection="1">
      <alignment horizontal="right"/>
    </xf>
    <xf numFmtId="4" fontId="16" fillId="7" borderId="13" xfId="9" applyNumberFormat="1" applyFont="1" applyFill="1" applyBorder="1" applyAlignment="1" applyProtection="1">
      <alignment horizontal="right"/>
    </xf>
    <xf numFmtId="4" fontId="14" fillId="6" borderId="8" xfId="9" applyNumberFormat="1" applyFont="1" applyFill="1" applyBorder="1" applyAlignment="1" applyProtection="1">
      <alignment horizontal="right"/>
    </xf>
    <xf numFmtId="4" fontId="14" fillId="6" borderId="4" xfId="9" applyNumberFormat="1" applyFont="1" applyFill="1" applyBorder="1" applyAlignment="1" applyProtection="1">
      <alignment horizontal="right"/>
    </xf>
    <xf numFmtId="0" fontId="6" fillId="5" borderId="8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</cellXfs>
  <cellStyles count="12">
    <cellStyle name="blp_title_header_row_left" xfId="1"/>
    <cellStyle name="fa_column_header_bottom" xfId="6"/>
    <cellStyle name="fa_column_header_bottom_left" xfId="5"/>
    <cellStyle name="fa_column_header_empty" xfId="2"/>
    <cellStyle name="fa_column_header_top" xfId="4"/>
    <cellStyle name="fa_column_header_top_left" xfId="3"/>
    <cellStyle name="fa_data_bold_1_grouped" xfId="8"/>
    <cellStyle name="fa_data_bold_2_grouped" xfId="9"/>
    <cellStyle name="fa_data_current_bold_1_grouped" xfId="10"/>
    <cellStyle name="fa_data_current_bold_2_grouped" xfId="11"/>
    <cellStyle name="fa_row_header_bold" xf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EV/Sales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'Pharma Comps'!$B$6:$B$10</c:f>
              <c:strCache>
                <c:ptCount val="5"/>
                <c:pt idx="0">
                  <c:v>Bristol-Myers Squibb Co (BMY US) - Adj Highlights</c:v>
                </c:pt>
                <c:pt idx="1">
                  <c:v>Bayer AG (BAYN GR) - Adj Highlights</c:v>
                </c:pt>
                <c:pt idx="2">
                  <c:v>AstraZeneca PLC (AZN LN) - Adj Highlights</c:v>
                </c:pt>
                <c:pt idx="3">
                  <c:v>GlaxoSmithKline PLC (GSK LN) - Adj Highlights</c:v>
                </c:pt>
                <c:pt idx="4">
                  <c:v>Eli Lilly &amp; Co (LLY US) - Adj Highlights</c:v>
                </c:pt>
              </c:strCache>
            </c:strRef>
          </c:cat>
          <c:val>
            <c:numRef>
              <c:f>'Pharma Comps'!$D$6:$D$10</c:f>
              <c:numCache>
                <c:formatCode>#,##0.00</c:formatCode>
                <c:ptCount val="5"/>
                <c:pt idx="0">
                  <c:v>2.0358999999999998</c:v>
                </c:pt>
                <c:pt idx="1">
                  <c:v>1.5463</c:v>
                </c:pt>
                <c:pt idx="2">
                  <c:v>1.8353000000000002</c:v>
                </c:pt>
                <c:pt idx="3">
                  <c:v>2.6116999999999999</c:v>
                </c:pt>
                <c:pt idx="4">
                  <c:v>1.7593000000000001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4-4EDA-B2F6-F5F94FD3C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206992"/>
        <c:axId val="437207320"/>
      </c:barChart>
      <c:catAx>
        <c:axId val="43720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7207320"/>
        <c:crosses val="autoZero"/>
        <c:auto val="1"/>
        <c:lblAlgn val="ctr"/>
        <c:lblOffset val="100"/>
        <c:noMultiLvlLbl val="0"/>
      </c:catAx>
      <c:valAx>
        <c:axId val="437207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720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EV/EBITDA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'Pharma Comps'!$B$6:$B$10</c:f>
              <c:strCache>
                <c:ptCount val="5"/>
                <c:pt idx="0">
                  <c:v>Bristol-Myers Squibb Co (BMY US) - Adj Highlights</c:v>
                </c:pt>
                <c:pt idx="1">
                  <c:v>Bayer AG (BAYN GR) - Adj Highlights</c:v>
                </c:pt>
                <c:pt idx="2">
                  <c:v>AstraZeneca PLC (AZN LN) - Adj Highlights</c:v>
                </c:pt>
                <c:pt idx="3">
                  <c:v>GlaxoSmithKline PLC (GSK LN) - Adj Highlights</c:v>
                </c:pt>
                <c:pt idx="4">
                  <c:v>Eli Lilly &amp; Co (LLY US) - Adj Highlights</c:v>
                </c:pt>
              </c:strCache>
            </c:strRef>
          </c:cat>
          <c:val>
            <c:numRef>
              <c:f>'Pharma Comps'!$E$6:$E$10</c:f>
              <c:numCache>
                <c:formatCode>#,##0.00</c:formatCode>
                <c:ptCount val="5"/>
                <c:pt idx="0">
                  <c:v>5.9847999999999999</c:v>
                </c:pt>
                <c:pt idx="1">
                  <c:v>8.6313999999999993</c:v>
                </c:pt>
                <c:pt idx="2">
                  <c:v>4.2892999999999999</c:v>
                </c:pt>
                <c:pt idx="3">
                  <c:v>13.4282</c:v>
                </c:pt>
                <c:pt idx="4">
                  <c:v>5.1662999999999997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2-4040-96EC-B83D33018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774560"/>
        <c:axId val="432770952"/>
      </c:barChart>
      <c:catAx>
        <c:axId val="43277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2770952"/>
        <c:crosses val="autoZero"/>
        <c:auto val="1"/>
        <c:lblAlgn val="ctr"/>
        <c:lblOffset val="100"/>
        <c:noMultiLvlLbl val="0"/>
      </c:catAx>
      <c:valAx>
        <c:axId val="432770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277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EV/EBITDA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'Pharma Comps'!$B$6:$B$10</c:f>
              <c:strCache>
                <c:ptCount val="5"/>
                <c:pt idx="0">
                  <c:v>Bristol-Myers Squibb Co (BMY US) - Adj Highlights</c:v>
                </c:pt>
                <c:pt idx="1">
                  <c:v>Bayer AG (BAYN GR) - Adj Highlights</c:v>
                </c:pt>
                <c:pt idx="2">
                  <c:v>AstraZeneca PLC (AZN LN) - Adj Highlights</c:v>
                </c:pt>
                <c:pt idx="3">
                  <c:v>GlaxoSmithKline PLC (GSK LN) - Adj Highlights</c:v>
                </c:pt>
                <c:pt idx="4">
                  <c:v>Eli Lilly &amp; Co (LLY US) - Adj Highlights</c:v>
                </c:pt>
              </c:strCache>
            </c:strRef>
          </c:cat>
          <c:val>
            <c:numRef>
              <c:f>'Pharma Comps'!$F$6:$F$10</c:f>
              <c:numCache>
                <c:formatCode>#,##0.00</c:formatCode>
                <c:ptCount val="5"/>
                <c:pt idx="0">
                  <c:v>6.7416</c:v>
                </c:pt>
                <c:pt idx="1">
                  <c:v>19.874400000000001</c:v>
                </c:pt>
                <c:pt idx="2">
                  <c:v>5.3121999999999998</c:v>
                </c:pt>
                <c:pt idx="3">
                  <c:v>19.295000000000002</c:v>
                </c:pt>
                <c:pt idx="4">
                  <c:v>6.2169999999999996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7-419E-A527-A51D269EB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5350744"/>
        <c:axId val="535351072"/>
      </c:barChart>
      <c:catAx>
        <c:axId val="535350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5351072"/>
        <c:crosses val="autoZero"/>
        <c:auto val="1"/>
        <c:lblAlgn val="ctr"/>
        <c:lblOffset val="100"/>
        <c:noMultiLvlLbl val="0"/>
      </c:catAx>
      <c:valAx>
        <c:axId val="5353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5350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EV/Sales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'Pharma Comps'!$P$6:$P$10</c:f>
              <c:strCache>
                <c:ptCount val="5"/>
                <c:pt idx="0">
                  <c:v>Amgen</c:v>
                </c:pt>
                <c:pt idx="1">
                  <c:v>Celgene</c:v>
                </c:pt>
                <c:pt idx="2">
                  <c:v>Biogen</c:v>
                </c:pt>
                <c:pt idx="3">
                  <c:v>Baxter International</c:v>
                </c:pt>
                <c:pt idx="4">
                  <c:v>Gilead</c:v>
                </c:pt>
              </c:strCache>
            </c:strRef>
          </c:cat>
          <c:val>
            <c:numRef>
              <c:f>'Pharma Comps'!$R$6:$R$10</c:f>
              <c:numCache>
                <c:formatCode>#,##0.00</c:formatCode>
                <c:ptCount val="5"/>
                <c:pt idx="0">
                  <c:v>3.13</c:v>
                </c:pt>
                <c:pt idx="1">
                  <c:v>7.3</c:v>
                </c:pt>
                <c:pt idx="2">
                  <c:v>3.27</c:v>
                </c:pt>
                <c:pt idx="3">
                  <c:v>2.44</c:v>
                </c:pt>
                <c:pt idx="4">
                  <c:v>5.72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0-435A-B24E-5B063060D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215192"/>
        <c:axId val="437215848"/>
      </c:barChart>
      <c:catAx>
        <c:axId val="437215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7215848"/>
        <c:crosses val="autoZero"/>
        <c:auto val="1"/>
        <c:lblAlgn val="ctr"/>
        <c:lblOffset val="100"/>
        <c:noMultiLvlLbl val="0"/>
      </c:catAx>
      <c:valAx>
        <c:axId val="437215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7215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EV/EBITDA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'Pharma Comps'!$P$6:$P$10</c:f>
              <c:strCache>
                <c:ptCount val="5"/>
                <c:pt idx="0">
                  <c:v>Amgen</c:v>
                </c:pt>
                <c:pt idx="1">
                  <c:v>Celgene</c:v>
                </c:pt>
                <c:pt idx="2">
                  <c:v>Biogen</c:v>
                </c:pt>
                <c:pt idx="3">
                  <c:v>Baxter International</c:v>
                </c:pt>
                <c:pt idx="4">
                  <c:v>Gilead</c:v>
                </c:pt>
              </c:strCache>
            </c:strRef>
          </c:cat>
          <c:val>
            <c:numRef>
              <c:f>'Pharma Comps'!$S$6:$S$10</c:f>
              <c:numCache>
                <c:formatCode>#,##0.00</c:formatCode>
                <c:ptCount val="5"/>
                <c:pt idx="0">
                  <c:v>7.18</c:v>
                </c:pt>
                <c:pt idx="1">
                  <c:v>21.2</c:v>
                </c:pt>
                <c:pt idx="2">
                  <c:v>9.6300000000000008</c:v>
                </c:pt>
                <c:pt idx="3">
                  <c:v>11.11</c:v>
                </c:pt>
                <c:pt idx="4">
                  <c:v>8.73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0-469D-AE3E-91ED2EA1A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5094384"/>
        <c:axId val="535088808"/>
      </c:barChart>
      <c:catAx>
        <c:axId val="53509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5088808"/>
        <c:crosses val="autoZero"/>
        <c:auto val="1"/>
        <c:lblAlgn val="ctr"/>
        <c:lblOffset val="100"/>
        <c:noMultiLvlLbl val="0"/>
      </c:catAx>
      <c:valAx>
        <c:axId val="535088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509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EV/EBIT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'Pharma Comps'!$P$6:$P$10</c:f>
              <c:strCache>
                <c:ptCount val="5"/>
                <c:pt idx="0">
                  <c:v>Amgen</c:v>
                </c:pt>
                <c:pt idx="1">
                  <c:v>Celgene</c:v>
                </c:pt>
                <c:pt idx="2">
                  <c:v>Biogen</c:v>
                </c:pt>
                <c:pt idx="3">
                  <c:v>Baxter International</c:v>
                </c:pt>
                <c:pt idx="4">
                  <c:v>Gilead</c:v>
                </c:pt>
              </c:strCache>
            </c:strRef>
          </c:cat>
          <c:val>
            <c:numRef>
              <c:f>'Pharma Comps'!$T$6:$T$10</c:f>
              <c:numCache>
                <c:formatCode>#,##0.00</c:formatCode>
                <c:ptCount val="5"/>
                <c:pt idx="0">
                  <c:v>8.5</c:v>
                </c:pt>
                <c:pt idx="1">
                  <c:v>26.75</c:v>
                </c:pt>
                <c:pt idx="2">
                  <c:v>12.36</c:v>
                </c:pt>
                <c:pt idx="3">
                  <c:v>14.67</c:v>
                </c:pt>
                <c:pt idx="4">
                  <c:v>9.33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B-444E-A154-0CE4002E1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5361240"/>
        <c:axId val="535365504"/>
      </c:barChart>
      <c:catAx>
        <c:axId val="53536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5365504"/>
        <c:crosses val="autoZero"/>
        <c:auto val="1"/>
        <c:lblAlgn val="ctr"/>
        <c:lblOffset val="100"/>
        <c:noMultiLvlLbl val="0"/>
      </c:catAx>
      <c:valAx>
        <c:axId val="53536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5361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'Pharma Comps'!$I$7</c:f>
              <c:strCache>
                <c:ptCount val="1"/>
                <c:pt idx="0">
                  <c:v>Minimum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'Pharma Comps'!$H$8:$H$11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DCF</c:v>
                </c:pt>
              </c:strCache>
            </c:strRef>
          </c:cat>
          <c:val>
            <c:numRef>
              <c:f>'Pharma Comps'!$I$8:$I$11</c:f>
              <c:numCache>
                <c:formatCode>#,##0</c:formatCode>
                <c:ptCount val="4"/>
                <c:pt idx="0">
                  <c:v>46982779.200000003</c:v>
                </c:pt>
                <c:pt idx="1">
                  <c:v>48683555</c:v>
                </c:pt>
                <c:pt idx="2">
                  <c:v>33047196.199999999</c:v>
                </c:pt>
                <c:pt idx="3">
                  <c:v>77449794.052937001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2-49E5-8BE7-BCC38A442237}"/>
            </c:ext>
          </c:extLst>
        </c:ser>
        <c:ser>
          <c:idx val="1"/>
          <c:order val="1"/>
          <c:tx>
            <c:strRef>
              <c:f>'Pharma Comps'!$J$7</c:f>
              <c:strCache>
                <c:ptCount val="1"/>
                <c:pt idx="0">
                  <c:v>25th percentile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'Pharma Comps'!$H$8:$H$11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DCF</c:v>
                </c:pt>
              </c:strCache>
            </c:strRef>
          </c:cat>
          <c:val>
            <c:numRef>
              <c:f>'Pharma Comps'!$J$8:$J$11</c:f>
              <c:numCache>
                <c:formatCode>#,##0</c:formatCode>
                <c:ptCount val="4"/>
                <c:pt idx="0">
                  <c:v>6471792</c:v>
                </c:pt>
                <c:pt idx="1">
                  <c:v>9953949.9999999925</c:v>
                </c:pt>
                <c:pt idx="2">
                  <c:v>5628760.8000000007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A2-49E5-8BE7-BCC38A442237}"/>
            </c:ext>
          </c:extLst>
        </c:ser>
        <c:ser>
          <c:idx val="2"/>
          <c:order val="2"/>
          <c:tx>
            <c:strRef>
              <c:f>'Pharma Comps'!$K$7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'Pharma Comps'!$H$8:$H$11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DCF</c:v>
                </c:pt>
              </c:strCache>
            </c:strRef>
          </c:cat>
          <c:val>
            <c:numRef>
              <c:f>'Pharma Comps'!$K$8:$K$11</c:f>
              <c:numCache>
                <c:formatCode>#,##0</c:formatCode>
                <c:ptCount val="4"/>
                <c:pt idx="0">
                  <c:v>2309184</c:v>
                </c:pt>
                <c:pt idx="1">
                  <c:v>9289975.0000000075</c:v>
                </c:pt>
                <c:pt idx="2">
                  <c:v>3263536.6000000015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A2-49E5-8BE7-BCC38A442237}"/>
            </c:ext>
          </c:extLst>
        </c:ser>
        <c:ser>
          <c:idx val="3"/>
          <c:order val="3"/>
          <c:tx>
            <c:strRef>
              <c:f>'Pharma Comps'!$L$7</c:f>
              <c:strCache>
                <c:ptCount val="1"/>
                <c:pt idx="0">
                  <c:v>75th percentile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'Pharma Comps'!$H$8:$H$11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DCF</c:v>
                </c:pt>
              </c:strCache>
            </c:strRef>
          </c:cat>
          <c:val>
            <c:numRef>
              <c:f>'Pharma Comps'!$L$8:$L$11</c:f>
              <c:numCache>
                <c:formatCode>#,##0</c:formatCode>
                <c:ptCount val="4"/>
                <c:pt idx="0">
                  <c:v>14842584</c:v>
                </c:pt>
                <c:pt idx="1">
                  <c:v>57260750</c:v>
                </c:pt>
                <c:pt idx="2">
                  <c:v>79896925.099999994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A2-49E5-8BE7-BCC38A442237}"/>
            </c:ext>
          </c:extLst>
        </c:ser>
        <c:ser>
          <c:idx val="4"/>
          <c:order val="4"/>
          <c:tx>
            <c:strRef>
              <c:f>'Pharma Comps'!$M$7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'Pharma Comps'!$H$8:$H$11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DCF</c:v>
                </c:pt>
              </c:strCache>
            </c:strRef>
          </c:cat>
          <c:val>
            <c:numRef>
              <c:f>'Pharma Comps'!$M$8:$M$11</c:f>
              <c:numCache>
                <c:formatCode>#,##0</c:formatCode>
                <c:ptCount val="4"/>
                <c:pt idx="0">
                  <c:v>8747553.599999994</c:v>
                </c:pt>
                <c:pt idx="1">
                  <c:v>27221840</c:v>
                </c:pt>
                <c:pt idx="2">
                  <c:v>1802223.700000003</c:v>
                </c:pt>
                <c:pt idx="3">
                  <c:v>51592687.382248297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A2-49E5-8BE7-BCC38A442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9454584"/>
        <c:axId val="549455896"/>
      </c:barChart>
      <c:catAx>
        <c:axId val="549454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9455896"/>
        <c:crosses val="autoZero"/>
        <c:auto val="1"/>
        <c:lblAlgn val="ctr"/>
        <c:lblOffset val="100"/>
        <c:noMultiLvlLbl val="0"/>
      </c:catAx>
      <c:valAx>
        <c:axId val="549455896"/>
        <c:scaling>
          <c:orientation val="minMax"/>
          <c:min val="-2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9454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'Pharma Comps'!$W$7</c:f>
              <c:strCache>
                <c:ptCount val="1"/>
                <c:pt idx="0">
                  <c:v>Minimum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'Pharma Comps'!$V$8:$V$11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APV</c:v>
                </c:pt>
              </c:strCache>
            </c:strRef>
          </c:cat>
          <c:val>
            <c:numRef>
              <c:f>'Pharma Comps'!$W$8:$W$11</c:f>
              <c:numCache>
                <c:formatCode>#,##0</c:formatCode>
                <c:ptCount val="4"/>
                <c:pt idx="0">
                  <c:v>9759865.7999999989</c:v>
                </c:pt>
                <c:pt idx="1">
                  <c:v>3273814.34</c:v>
                </c:pt>
                <c:pt idx="2">
                  <c:v>-335580</c:v>
                </c:pt>
                <c:pt idx="3">
                  <c:v>15253539.249087363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8-4A7D-9F30-57D473E7A1AB}"/>
            </c:ext>
          </c:extLst>
        </c:ser>
        <c:ser>
          <c:idx val="1"/>
          <c:order val="1"/>
          <c:tx>
            <c:strRef>
              <c:f>'Pharma Comps'!$X$7</c:f>
              <c:strCache>
                <c:ptCount val="1"/>
                <c:pt idx="0">
                  <c:v>25th percentile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'Pharma Comps'!$V$8:$V$11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APV</c:v>
                </c:pt>
              </c:strCache>
            </c:strRef>
          </c:cat>
          <c:val>
            <c:numRef>
              <c:f>'Pharma Comps'!$X$8:$X$11</c:f>
              <c:numCache>
                <c:formatCode>#,##0</c:formatCode>
                <c:ptCount val="4"/>
                <c:pt idx="0">
                  <c:v>2759962.0500000007</c:v>
                </c:pt>
                <c:pt idx="1">
                  <c:v>706742.65000000037</c:v>
                </c:pt>
                <c:pt idx="2">
                  <c:v>-32768.400000000023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48-4A7D-9F30-57D473E7A1AB}"/>
            </c:ext>
          </c:extLst>
        </c:ser>
        <c:ser>
          <c:idx val="2"/>
          <c:order val="2"/>
          <c:tx>
            <c:strRef>
              <c:f>'Pharma Comps'!$Y$7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'Pharma Comps'!$V$8:$V$11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APV</c:v>
                </c:pt>
              </c:strCache>
            </c:strRef>
          </c:cat>
          <c:val>
            <c:numRef>
              <c:f>'Pharma Comps'!$Y$8:$Y$11</c:f>
              <c:numCache>
                <c:formatCode>#,##0</c:formatCode>
                <c:ptCount val="4"/>
                <c:pt idx="0">
                  <c:v>559992.30000000075</c:v>
                </c:pt>
                <c:pt idx="1">
                  <c:v>410366.70000000019</c:v>
                </c:pt>
                <c:pt idx="2">
                  <c:v>-119624.39999999997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48-4A7D-9F30-57D473E7A1AB}"/>
            </c:ext>
          </c:extLst>
        </c:ser>
        <c:ser>
          <c:idx val="3"/>
          <c:order val="3"/>
          <c:tx>
            <c:strRef>
              <c:f>'Pharma Comps'!$Z$7</c:f>
              <c:strCache>
                <c:ptCount val="1"/>
                <c:pt idx="0">
                  <c:v>75th percentile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'Pharma Comps'!$V$8:$V$11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APV</c:v>
                </c:pt>
              </c:strCache>
            </c:strRef>
          </c:cat>
          <c:val>
            <c:numRef>
              <c:f>'Pharma Comps'!$Z$8:$Z$11</c:f>
              <c:numCache>
                <c:formatCode>#,##0</c:formatCode>
                <c:ptCount val="4"/>
                <c:pt idx="0">
                  <c:v>12959821.799999999</c:v>
                </c:pt>
                <c:pt idx="1">
                  <c:v>2975158.5750000002</c:v>
                </c:pt>
                <c:pt idx="2">
                  <c:v>-329658.00000000006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48-4A7D-9F30-57D473E7A1AB}"/>
            </c:ext>
          </c:extLst>
        </c:ser>
        <c:ser>
          <c:idx val="4"/>
          <c:order val="4"/>
          <c:tx>
            <c:strRef>
              <c:f>'Pharma Comps'!$AA$7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'Pharma Comps'!$V$8:$V$11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APV</c:v>
                </c:pt>
              </c:strCache>
            </c:strRef>
          </c:cat>
          <c:val>
            <c:numRef>
              <c:f>'Pharma Comps'!$AA$8:$AA$11</c:f>
              <c:numCache>
                <c:formatCode>#,##0</c:formatCode>
                <c:ptCount val="4"/>
                <c:pt idx="0">
                  <c:v>3159956.5500000007</c:v>
                </c:pt>
                <c:pt idx="1">
                  <c:v>2300333.334999999</c:v>
                </c:pt>
                <c:pt idx="2">
                  <c:v>-238459.19999999995</c:v>
                </c:pt>
                <c:pt idx="3">
                  <c:v>20060393.373204231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48-4A7D-9F30-57D473E7A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9252736"/>
        <c:axId val="589253392"/>
      </c:barChart>
      <c:catAx>
        <c:axId val="589252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9253392"/>
        <c:crosses val="autoZero"/>
        <c:auto val="1"/>
        <c:lblAlgn val="ctr"/>
        <c:lblOffset val="100"/>
        <c:noMultiLvlLbl val="0"/>
      </c:catAx>
      <c:valAx>
        <c:axId val="589253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925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'Pharma Comps'!$AK$7</c:f>
              <c:strCache>
                <c:ptCount val="1"/>
                <c:pt idx="0">
                  <c:v>Minimum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'Pharma Comps'!$AJ$8:$AJ$11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DCF</c:v>
                </c:pt>
              </c:strCache>
            </c:strRef>
          </c:cat>
          <c:val>
            <c:numRef>
              <c:f>'Pharma Comps'!$AK$8:$AK$11</c:f>
              <c:numCache>
                <c:formatCode>#,##0</c:formatCode>
                <c:ptCount val="4"/>
                <c:pt idx="0">
                  <c:v>43384077.131072134</c:v>
                </c:pt>
                <c:pt idx="1">
                  <c:v>45328594.422779672</c:v>
                </c:pt>
                <c:pt idx="2">
                  <c:v>31908558.433401402</c:v>
                </c:pt>
                <c:pt idx="3">
                  <c:v>50000000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1-43A9-9AA7-E4C0457218FF}"/>
            </c:ext>
          </c:extLst>
        </c:ser>
        <c:ser>
          <c:idx val="1"/>
          <c:order val="1"/>
          <c:tx>
            <c:strRef>
              <c:f>'Pharma Comps'!$AL$7</c:f>
              <c:strCache>
                <c:ptCount val="1"/>
                <c:pt idx="0">
                  <c:v>25th percentile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'Pharma Comps'!$AJ$8:$AJ$11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DCF</c:v>
                </c:pt>
              </c:strCache>
            </c:strRef>
          </c:cat>
          <c:val>
            <c:numRef>
              <c:f>'Pharma Comps'!$AL$8:$AL$11</c:f>
              <c:numCache>
                <c:formatCode>#,##0</c:formatCode>
                <c:ptCount val="4"/>
                <c:pt idx="0">
                  <c:v>10395545.638435818</c:v>
                </c:pt>
                <c:pt idx="1">
                  <c:v>39375668.664805718</c:v>
                </c:pt>
                <c:pt idx="2">
                  <c:v>26017364.300505441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11-43A9-9AA7-E4C0457218FF}"/>
            </c:ext>
          </c:extLst>
        </c:ser>
        <c:ser>
          <c:idx val="2"/>
          <c:order val="2"/>
          <c:tx>
            <c:strRef>
              <c:f>'Pharma Comps'!$AM$7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'Pharma Comps'!$AJ$8:$AJ$11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DCF</c:v>
                </c:pt>
              </c:strCache>
            </c:strRef>
          </c:cat>
          <c:val>
            <c:numRef>
              <c:f>'Pharma Comps'!$AM$8:$AM$11</c:f>
              <c:numCache>
                <c:formatCode>#,##0</c:formatCode>
                <c:ptCount val="4"/>
                <c:pt idx="0">
                  <c:v>8741708.8323210329</c:v>
                </c:pt>
                <c:pt idx="1">
                  <c:v>3202062.7549004257</c:v>
                </c:pt>
                <c:pt idx="2">
                  <c:v>4144837.7331384048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11-43A9-9AA7-E4C0457218FF}"/>
            </c:ext>
          </c:extLst>
        </c:ser>
        <c:ser>
          <c:idx val="3"/>
          <c:order val="3"/>
          <c:tx>
            <c:strRef>
              <c:f>'Pharma Comps'!$AN$7</c:f>
              <c:strCache>
                <c:ptCount val="1"/>
                <c:pt idx="0">
                  <c:v>75th percentile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'Pharma Comps'!$AJ$8:$AJ$11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DCF</c:v>
                </c:pt>
              </c:strCache>
            </c:strRef>
          </c:cat>
          <c:val>
            <c:numRef>
              <c:f>'Pharma Comps'!$AN$8:$AN$11</c:f>
              <c:numCache>
                <c:formatCode>#,##0</c:formatCode>
                <c:ptCount val="4"/>
                <c:pt idx="0">
                  <c:v>25242274.909329124</c:v>
                </c:pt>
                <c:pt idx="1">
                  <c:v>11297580.882772699</c:v>
                </c:pt>
                <c:pt idx="2">
                  <c:v>19309946.110405236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11-43A9-9AA7-E4C0457218FF}"/>
            </c:ext>
          </c:extLst>
        </c:ser>
        <c:ser>
          <c:idx val="4"/>
          <c:order val="4"/>
          <c:tx>
            <c:strRef>
              <c:f>'Pharma Comps'!$AO$7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'Pharma Comps'!$AJ$8:$AJ$11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DCF</c:v>
                </c:pt>
              </c:strCache>
            </c:strRef>
          </c:cat>
          <c:val>
            <c:numRef>
              <c:f>'Pharma Comps'!$AO$8:$AO$11</c:f>
              <c:numCache>
                <c:formatCode>#,##0</c:formatCode>
                <c:ptCount val="4"/>
                <c:pt idx="0">
                  <c:v>8965370.5718146563</c:v>
                </c:pt>
                <c:pt idx="1">
                  <c:v>11004058.463573486</c:v>
                </c:pt>
                <c:pt idx="2">
                  <c:v>4939703.9868397117</c:v>
                </c:pt>
                <c:pt idx="3">
                  <c:v>80000000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11-43A9-9AA7-E4C045721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5461704"/>
        <c:axId val="665455800"/>
      </c:barChart>
      <c:catAx>
        <c:axId val="665461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5455800"/>
        <c:crosses val="autoZero"/>
        <c:auto val="1"/>
        <c:lblAlgn val="ctr"/>
        <c:lblOffset val="100"/>
        <c:noMultiLvlLbl val="0"/>
      </c:catAx>
      <c:valAx>
        <c:axId val="665455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5461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510540</xdr:colOff>
      <xdr:row>85</xdr:row>
      <xdr:rowOff>69069</xdr:rowOff>
    </xdr:from>
    <xdr:to>
      <xdr:col>6</xdr:col>
      <xdr:colOff>0</xdr:colOff>
      <xdr:row>100</xdr:row>
      <xdr:rowOff>69068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54</xdr:row>
      <xdr:rowOff>75025</xdr:rowOff>
    </xdr:from>
    <xdr:to>
      <xdr:col>5</xdr:col>
      <xdr:colOff>975360</xdr:colOff>
      <xdr:row>69</xdr:row>
      <xdr:rowOff>75025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69</xdr:row>
      <xdr:rowOff>120746</xdr:rowOff>
    </xdr:from>
    <xdr:to>
      <xdr:col>5</xdr:col>
      <xdr:colOff>975360</xdr:colOff>
      <xdr:row>84</xdr:row>
      <xdr:rowOff>120746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7620</xdr:colOff>
      <xdr:row>54</xdr:row>
      <xdr:rowOff>75025</xdr:rowOff>
    </xdr:from>
    <xdr:to>
      <xdr:col>19</xdr:col>
      <xdr:colOff>1051560</xdr:colOff>
      <xdr:row>69</xdr:row>
      <xdr:rowOff>75026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69</xdr:row>
      <xdr:rowOff>120746</xdr:rowOff>
    </xdr:from>
    <xdr:to>
      <xdr:col>19</xdr:col>
      <xdr:colOff>1051560</xdr:colOff>
      <xdr:row>84</xdr:row>
      <xdr:rowOff>120745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85</xdr:row>
      <xdr:rowOff>69069</xdr:rowOff>
    </xdr:from>
    <xdr:to>
      <xdr:col>19</xdr:col>
      <xdr:colOff>1051560</xdr:colOff>
      <xdr:row>100</xdr:row>
      <xdr:rowOff>69069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583097</xdr:colOff>
      <xdr:row>11</xdr:row>
      <xdr:rowOff>188844</xdr:rowOff>
    </xdr:from>
    <xdr:to>
      <xdr:col>12</xdr:col>
      <xdr:colOff>960783</xdr:colOff>
      <xdr:row>24</xdr:row>
      <xdr:rowOff>175592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0</xdr:colOff>
      <xdr:row>11</xdr:row>
      <xdr:rowOff>175592</xdr:rowOff>
    </xdr:from>
    <xdr:to>
      <xdr:col>27</xdr:col>
      <xdr:colOff>26505</xdr:colOff>
      <xdr:row>24</xdr:row>
      <xdr:rowOff>162340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571499</xdr:colOff>
      <xdr:row>11</xdr:row>
      <xdr:rowOff>186417</xdr:rowOff>
    </xdr:from>
    <xdr:to>
      <xdr:col>40</xdr:col>
      <xdr:colOff>1115785</xdr:colOff>
      <xdr:row>25</xdr:row>
      <xdr:rowOff>72117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07"/>
  <sheetViews>
    <sheetView tabSelected="1" topLeftCell="O3" zoomScale="70" zoomScaleNormal="70" workbookViewId="0">
      <selection activeCell="I6" sqref="I6"/>
    </sheetView>
  </sheetViews>
  <sheetFormatPr baseColWidth="10" defaultColWidth="8.85546875" defaultRowHeight="15" x14ac:dyDescent="0.25"/>
  <cols>
    <col min="1" max="1" width="2.7109375" customWidth="1"/>
    <col min="2" max="2" width="25.85546875" customWidth="1"/>
    <col min="3" max="3" width="14.85546875" customWidth="1"/>
    <col min="4" max="6" width="14.28515625" customWidth="1"/>
    <col min="8" max="8" width="11.7109375" customWidth="1"/>
    <col min="9" max="13" width="14.28515625" customWidth="1"/>
    <col min="14" max="15" width="3.28515625" customWidth="1"/>
    <col min="16" max="16" width="42.140625" customWidth="1"/>
    <col min="17" max="20" width="15.42578125" customWidth="1"/>
    <col min="22" max="22" width="9.7109375" customWidth="1"/>
    <col min="23" max="27" width="13.85546875" customWidth="1"/>
    <col min="28" max="29" width="3.28515625" customWidth="1"/>
    <col min="30" max="30" width="26" customWidth="1"/>
    <col min="31" max="34" width="15.5703125" customWidth="1"/>
    <col min="37" max="41" width="16.7109375" customWidth="1"/>
  </cols>
  <sheetData>
    <row r="1" spans="1:56" x14ac:dyDescent="0.25">
      <c r="A1" s="26"/>
      <c r="B1" s="26"/>
      <c r="C1" s="26"/>
      <c r="D1" s="26"/>
      <c r="E1" s="26"/>
      <c r="F1" s="26"/>
      <c r="G1" s="26"/>
      <c r="H1" s="26"/>
      <c r="I1" s="60" t="s">
        <v>107</v>
      </c>
      <c r="J1" s="26"/>
      <c r="K1" s="26"/>
      <c r="L1" s="26"/>
      <c r="M1" s="26"/>
      <c r="N1" s="95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102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</row>
    <row r="2" spans="1:56" ht="10.9" customHeight="1" x14ac:dyDescent="0.25">
      <c r="A2" s="26"/>
      <c r="B2" s="109">
        <v>2010</v>
      </c>
      <c r="C2" s="110"/>
      <c r="D2" s="110"/>
      <c r="E2" s="110"/>
      <c r="F2" s="111"/>
      <c r="G2" s="26"/>
      <c r="H2" s="26"/>
      <c r="I2" s="26"/>
      <c r="J2" s="26"/>
      <c r="K2" s="26"/>
      <c r="L2" s="26"/>
      <c r="M2" s="26"/>
      <c r="N2" s="95"/>
      <c r="O2" s="26"/>
      <c r="P2" s="109">
        <v>2010</v>
      </c>
      <c r="Q2" s="110"/>
      <c r="R2" s="110"/>
      <c r="S2" s="110"/>
      <c r="T2" s="111"/>
      <c r="U2" s="26"/>
      <c r="V2" s="26"/>
      <c r="W2" s="26"/>
      <c r="X2" s="26"/>
      <c r="Y2" s="26"/>
      <c r="Z2" s="26"/>
      <c r="AA2" s="26"/>
      <c r="AB2" s="26"/>
      <c r="AC2" s="102"/>
      <c r="AD2" s="109">
        <v>2011</v>
      </c>
      <c r="AE2" s="110"/>
      <c r="AF2" s="110"/>
      <c r="AG2" s="110"/>
      <c r="AH2" s="111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</row>
    <row r="3" spans="1:56" ht="10.9" customHeight="1" x14ac:dyDescent="0.25">
      <c r="A3" s="26"/>
      <c r="B3" s="112"/>
      <c r="C3" s="113"/>
      <c r="D3" s="113"/>
      <c r="E3" s="113"/>
      <c r="F3" s="114"/>
      <c r="G3" s="26"/>
      <c r="H3" s="26"/>
      <c r="I3" s="26"/>
      <c r="J3" s="26"/>
      <c r="K3" s="26"/>
      <c r="L3" s="26"/>
      <c r="M3" s="26"/>
      <c r="N3" s="95"/>
      <c r="O3" s="26"/>
      <c r="P3" s="112"/>
      <c r="Q3" s="113"/>
      <c r="R3" s="113"/>
      <c r="S3" s="113"/>
      <c r="T3" s="114"/>
      <c r="U3" s="26"/>
      <c r="V3" s="26"/>
      <c r="W3" s="26"/>
      <c r="X3" s="26"/>
      <c r="Y3" s="26"/>
      <c r="Z3" s="26"/>
      <c r="AA3" s="26"/>
      <c r="AB3" s="26"/>
      <c r="AC3" s="102"/>
      <c r="AD3" s="112"/>
      <c r="AE3" s="113"/>
      <c r="AF3" s="113"/>
      <c r="AG3" s="113"/>
      <c r="AH3" s="114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</row>
    <row r="4" spans="1:56" ht="16.899999999999999" customHeight="1" x14ac:dyDescent="0.25">
      <c r="A4" s="37"/>
      <c r="B4" s="14" t="s">
        <v>88</v>
      </c>
      <c r="C4" s="14" t="s">
        <v>74</v>
      </c>
      <c r="D4" s="14" t="s">
        <v>43</v>
      </c>
      <c r="E4" s="15" t="s">
        <v>45</v>
      </c>
      <c r="F4" s="16" t="s">
        <v>47</v>
      </c>
      <c r="G4" s="26"/>
      <c r="H4" s="26"/>
      <c r="I4" s="26"/>
      <c r="J4" s="26"/>
      <c r="K4" s="26"/>
      <c r="L4" s="26"/>
      <c r="M4" s="26"/>
      <c r="N4" s="95"/>
      <c r="O4" s="26"/>
      <c r="P4" s="12"/>
      <c r="Q4" s="13" t="s">
        <v>74</v>
      </c>
      <c r="R4" s="14" t="s">
        <v>43</v>
      </c>
      <c r="S4" s="15" t="s">
        <v>45</v>
      </c>
      <c r="T4" s="16" t="s">
        <v>47</v>
      </c>
      <c r="U4" s="26"/>
      <c r="V4" s="26"/>
      <c r="W4" s="26"/>
      <c r="X4" s="26"/>
      <c r="Y4" s="26"/>
      <c r="Z4" s="26"/>
      <c r="AA4" s="26"/>
      <c r="AB4" s="26"/>
      <c r="AC4" s="102"/>
      <c r="AD4" s="14" t="s">
        <v>88</v>
      </c>
      <c r="AE4" s="14" t="s">
        <v>74</v>
      </c>
      <c r="AF4" s="14" t="s">
        <v>43</v>
      </c>
      <c r="AG4" s="15" t="s">
        <v>45</v>
      </c>
      <c r="AH4" s="16" t="s">
        <v>47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</row>
    <row r="5" spans="1:56" ht="9.6" customHeight="1" x14ac:dyDescent="0.25">
      <c r="A5" s="37"/>
      <c r="B5" s="27"/>
      <c r="C5" s="38"/>
      <c r="D5" s="39"/>
      <c r="E5" s="39"/>
      <c r="F5" s="39"/>
      <c r="G5" s="26"/>
      <c r="H5" s="26"/>
      <c r="I5" s="26"/>
      <c r="J5" s="26"/>
      <c r="K5" s="26"/>
      <c r="L5" s="26"/>
      <c r="M5" s="26"/>
      <c r="N5" s="95"/>
      <c r="O5" s="26"/>
      <c r="P5" s="40"/>
      <c r="Q5" s="41"/>
      <c r="R5" s="39"/>
      <c r="S5" s="39"/>
      <c r="T5" s="39"/>
      <c r="U5" s="26"/>
      <c r="V5" s="26"/>
      <c r="W5" s="26"/>
      <c r="X5" s="26"/>
      <c r="Y5" s="26"/>
      <c r="Z5" s="26"/>
      <c r="AA5" s="26"/>
      <c r="AB5" s="26"/>
      <c r="AC5" s="102"/>
      <c r="AD5" s="27"/>
      <c r="AE5" s="38"/>
      <c r="AF5" s="39"/>
      <c r="AG5" s="39"/>
      <c r="AH5" s="39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</row>
    <row r="6" spans="1:56" ht="16.899999999999999" customHeight="1" x14ac:dyDescent="0.25">
      <c r="A6" s="26"/>
      <c r="B6" s="29" t="s">
        <v>0</v>
      </c>
      <c r="C6" s="30">
        <v>44989.52</v>
      </c>
      <c r="D6" s="30">
        <v>2.0358999999999998</v>
      </c>
      <c r="E6" s="30">
        <v>5.9847999999999999</v>
      </c>
      <c r="F6" s="36">
        <v>6.7416</v>
      </c>
      <c r="G6" s="26"/>
      <c r="H6" s="28" t="s">
        <v>75</v>
      </c>
      <c r="I6" s="26"/>
      <c r="J6" s="26"/>
      <c r="K6" s="26"/>
      <c r="L6" s="26"/>
      <c r="M6" s="26"/>
      <c r="N6" s="95"/>
      <c r="O6" s="26"/>
      <c r="P6" s="29" t="s">
        <v>76</v>
      </c>
      <c r="Q6" s="75">
        <v>51166.8</v>
      </c>
      <c r="R6" s="30">
        <v>3.13</v>
      </c>
      <c r="S6" s="30">
        <v>7.18</v>
      </c>
      <c r="T6" s="36">
        <v>8.5</v>
      </c>
      <c r="U6" s="26"/>
      <c r="V6" s="60"/>
      <c r="W6" s="26"/>
      <c r="X6" s="26"/>
      <c r="Y6" s="26"/>
      <c r="Z6" s="26"/>
      <c r="AA6" s="26"/>
      <c r="AB6" s="26"/>
      <c r="AC6" s="102"/>
      <c r="AD6" s="29" t="s">
        <v>0</v>
      </c>
      <c r="AE6" s="107">
        <v>59379.4</v>
      </c>
      <c r="AF6" s="30">
        <v>2.5013999999999998</v>
      </c>
      <c r="AG6" s="30">
        <v>7.2476000000000003</v>
      </c>
      <c r="AH6" s="36">
        <v>8.1364999999999998</v>
      </c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</row>
    <row r="7" spans="1:56" ht="16.899999999999999" customHeight="1" x14ac:dyDescent="0.25">
      <c r="A7" s="26"/>
      <c r="B7" s="31" t="s">
        <v>53</v>
      </c>
      <c r="C7" s="32">
        <v>45730.213799999998</v>
      </c>
      <c r="D7" s="32">
        <v>1.5463</v>
      </c>
      <c r="E7" s="32">
        <v>8.6313999999999993</v>
      </c>
      <c r="F7" s="24">
        <v>19.874400000000001</v>
      </c>
      <c r="G7" s="26"/>
      <c r="H7" s="88"/>
      <c r="I7" s="88" t="s">
        <v>82</v>
      </c>
      <c r="J7" s="88" t="s">
        <v>84</v>
      </c>
      <c r="K7" s="88" t="s">
        <v>83</v>
      </c>
      <c r="L7" s="88" t="s">
        <v>85</v>
      </c>
      <c r="M7" s="88" t="s">
        <v>81</v>
      </c>
      <c r="N7" s="95"/>
      <c r="O7" s="26"/>
      <c r="P7" s="31" t="s">
        <v>77</v>
      </c>
      <c r="Q7" s="76">
        <v>27818.799999999999</v>
      </c>
      <c r="R7" s="25">
        <v>7.3</v>
      </c>
      <c r="S7" s="25">
        <v>21.2</v>
      </c>
      <c r="T7" s="24">
        <v>26.75</v>
      </c>
      <c r="U7" s="26"/>
      <c r="V7" s="88"/>
      <c r="W7" s="88" t="s">
        <v>82</v>
      </c>
      <c r="X7" s="88" t="s">
        <v>84</v>
      </c>
      <c r="Y7" s="88" t="s">
        <v>83</v>
      </c>
      <c r="Z7" s="88" t="s">
        <v>85</v>
      </c>
      <c r="AA7" s="88" t="s">
        <v>81</v>
      </c>
      <c r="AB7" s="26"/>
      <c r="AC7" s="102"/>
      <c r="AD7" s="31" t="s">
        <v>53</v>
      </c>
      <c r="AE7" s="76">
        <v>40851.221700000002</v>
      </c>
      <c r="AF7" s="105">
        <v>1.3772</v>
      </c>
      <c r="AG7" s="105">
        <v>7.2717999999999998</v>
      </c>
      <c r="AH7" s="106">
        <v>12.1249</v>
      </c>
      <c r="AI7" s="26"/>
      <c r="AJ7" s="88"/>
      <c r="AK7" s="88" t="s">
        <v>82</v>
      </c>
      <c r="AL7" s="88" t="s">
        <v>84</v>
      </c>
      <c r="AM7" s="88" t="s">
        <v>83</v>
      </c>
      <c r="AN7" s="88" t="s">
        <v>85</v>
      </c>
      <c r="AO7" s="88" t="s">
        <v>81</v>
      </c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</row>
    <row r="8" spans="1:56" ht="16.899999999999999" customHeight="1" x14ac:dyDescent="0.25">
      <c r="A8" s="26"/>
      <c r="B8" s="31" t="s">
        <v>56</v>
      </c>
      <c r="C8" s="32">
        <v>64189.672100000003</v>
      </c>
      <c r="D8" s="32">
        <v>1.8353000000000002</v>
      </c>
      <c r="E8" s="32">
        <v>4.2892999999999999</v>
      </c>
      <c r="F8" s="78">
        <v>5.3121999999999998</v>
      </c>
      <c r="G8" s="26"/>
      <c r="H8" s="40" t="s">
        <v>43</v>
      </c>
      <c r="I8" s="82">
        <f>$D$29</f>
        <v>46982779.200000003</v>
      </c>
      <c r="J8" s="82">
        <f>$D$31-$D$29</f>
        <v>6471792</v>
      </c>
      <c r="K8" s="82">
        <f>$D$30-$D$31</f>
        <v>2309184</v>
      </c>
      <c r="L8" s="82">
        <f>$D$32-$D$30</f>
        <v>14842584</v>
      </c>
      <c r="M8" s="82">
        <f>$D$28-$D$32</f>
        <v>8747553.599999994</v>
      </c>
      <c r="N8" s="95"/>
      <c r="O8" s="26"/>
      <c r="P8" s="31" t="s">
        <v>78</v>
      </c>
      <c r="Q8" s="76">
        <v>16128.1</v>
      </c>
      <c r="R8" s="32">
        <v>3.27</v>
      </c>
      <c r="S8" s="32">
        <v>9.6300000000000008</v>
      </c>
      <c r="T8" s="78">
        <v>12.36</v>
      </c>
      <c r="U8" s="26"/>
      <c r="V8" s="40" t="s">
        <v>43</v>
      </c>
      <c r="W8" s="82">
        <f>$R$29</f>
        <v>9759865.7999999989</v>
      </c>
      <c r="X8" s="82">
        <f>$R$31-$R$29</f>
        <v>2759962.0500000007</v>
      </c>
      <c r="Y8" s="82">
        <f>$R$30-$R$31</f>
        <v>559992.30000000075</v>
      </c>
      <c r="Z8" s="82">
        <f>$R$32-$R$30</f>
        <v>12959821.799999999</v>
      </c>
      <c r="AA8" s="82">
        <f>$R$28-$R$32</f>
        <v>3159956.5500000007</v>
      </c>
      <c r="AB8" s="26"/>
      <c r="AC8" s="102"/>
      <c r="AD8" s="31" t="s">
        <v>56</v>
      </c>
      <c r="AE8" s="76">
        <v>59611.936800000003</v>
      </c>
      <c r="AF8" s="32">
        <v>1.7072000000000001</v>
      </c>
      <c r="AG8" s="25">
        <v>3.7372000000000001</v>
      </c>
      <c r="AH8" s="24">
        <v>4.4820000000000002</v>
      </c>
      <c r="AI8" s="26"/>
      <c r="AJ8" s="40" t="s">
        <v>43</v>
      </c>
      <c r="AK8" s="82">
        <f>$AF$29</f>
        <v>43384077.131072134</v>
      </c>
      <c r="AL8" s="82">
        <f>$AF$31-$AF$29</f>
        <v>10395545.638435818</v>
      </c>
      <c r="AM8" s="82">
        <f>$AF$30-$AF$31</f>
        <v>8741708.8323210329</v>
      </c>
      <c r="AN8" s="82">
        <f>$AF$32-$AF$30</f>
        <v>25242274.909329124</v>
      </c>
      <c r="AO8" s="82">
        <f>$AF$28-$AF$32</f>
        <v>8965370.5718146563</v>
      </c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</row>
    <row r="9" spans="1:56" ht="16.899999999999999" customHeight="1" x14ac:dyDescent="0.25">
      <c r="A9" s="26"/>
      <c r="B9" s="31" t="s">
        <v>57</v>
      </c>
      <c r="C9" s="32">
        <v>64433.673799999997</v>
      </c>
      <c r="D9" s="32">
        <v>2.6116999999999999</v>
      </c>
      <c r="E9" s="25">
        <v>13.4282</v>
      </c>
      <c r="F9" s="24">
        <v>19.295000000000002</v>
      </c>
      <c r="G9" s="26"/>
      <c r="H9" s="40" t="s">
        <v>45</v>
      </c>
      <c r="I9" s="82">
        <f>$E$29</f>
        <v>48683555</v>
      </c>
      <c r="J9" s="82">
        <f>$E$31-$E$29</f>
        <v>9953949.9999999925</v>
      </c>
      <c r="K9" s="82">
        <f>$E$30-$E$31</f>
        <v>9289975.0000000075</v>
      </c>
      <c r="L9" s="82">
        <f>$E$32-$E$30</f>
        <v>57260750</v>
      </c>
      <c r="M9" s="82">
        <f>$E$28-$E$32</f>
        <v>27221840</v>
      </c>
      <c r="N9" s="95"/>
      <c r="O9" s="26"/>
      <c r="P9" s="31" t="s">
        <v>79</v>
      </c>
      <c r="Q9" s="76">
        <v>29396.7</v>
      </c>
      <c r="R9" s="32">
        <v>2.44</v>
      </c>
      <c r="S9" s="32">
        <v>11.11</v>
      </c>
      <c r="T9" s="78">
        <v>14.67</v>
      </c>
      <c r="U9" s="26"/>
      <c r="V9" s="40" t="s">
        <v>45</v>
      </c>
      <c r="W9" s="82">
        <f>$S$29</f>
        <v>3273814.34</v>
      </c>
      <c r="X9" s="82">
        <f>$S$31-$S$29</f>
        <v>706742.65000000037</v>
      </c>
      <c r="Y9" s="82">
        <f>$S$30-$S$31</f>
        <v>410366.70000000019</v>
      </c>
      <c r="Z9" s="82">
        <f>$S$32-$S$30</f>
        <v>2975158.5750000002</v>
      </c>
      <c r="AA9" s="82">
        <f>$S$28-$S$32</f>
        <v>2300333.334999999</v>
      </c>
      <c r="AB9" s="26"/>
      <c r="AC9" s="102"/>
      <c r="AD9" s="31" t="s">
        <v>57</v>
      </c>
      <c r="AE9" s="108">
        <v>74296.080600000001</v>
      </c>
      <c r="AF9" s="32">
        <v>3.0705999999999998</v>
      </c>
      <c r="AG9" s="32">
        <v>9.0862999999999996</v>
      </c>
      <c r="AH9" s="78">
        <v>10.7372</v>
      </c>
      <c r="AI9" s="26"/>
      <c r="AJ9" s="40" t="s">
        <v>45</v>
      </c>
      <c r="AK9" s="82">
        <f>$AG$29</f>
        <v>45328594.422779672</v>
      </c>
      <c r="AL9" s="82">
        <f>$AG$31-$AG$29</f>
        <v>39375668.664805718</v>
      </c>
      <c r="AM9" s="82">
        <f>$AG$30-$AG$31</f>
        <v>3202062.7549004257</v>
      </c>
      <c r="AN9" s="82">
        <f>$AG$32-$AG$30</f>
        <v>11297580.882772699</v>
      </c>
      <c r="AO9" s="82">
        <f>$AG$28-$AG$32</f>
        <v>11004058.463573486</v>
      </c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</row>
    <row r="10" spans="1:56" ht="16.899999999999999" customHeight="1" x14ac:dyDescent="0.25">
      <c r="A10" s="26"/>
      <c r="B10" s="31" t="s">
        <v>73</v>
      </c>
      <c r="C10" s="32">
        <v>40406.516199999998</v>
      </c>
      <c r="D10" s="32">
        <v>1.7593000000000001</v>
      </c>
      <c r="E10" s="32">
        <v>5.1662999999999997</v>
      </c>
      <c r="F10" s="78">
        <v>6.2169999999999996</v>
      </c>
      <c r="G10" s="26"/>
      <c r="H10" s="40" t="s">
        <v>47</v>
      </c>
      <c r="I10" s="82">
        <f>$F$29</f>
        <v>33047196.199999999</v>
      </c>
      <c r="J10" s="82">
        <f>$F$31-$F$29</f>
        <v>5628760.8000000007</v>
      </c>
      <c r="K10" s="82">
        <f>$F$30-$F$31</f>
        <v>3263536.6000000015</v>
      </c>
      <c r="L10" s="82">
        <f>$F$32-$F$30</f>
        <v>79896925.099999994</v>
      </c>
      <c r="M10" s="82">
        <f>$F$28-$F$32</f>
        <v>1802223.700000003</v>
      </c>
      <c r="N10" s="95"/>
      <c r="O10" s="26"/>
      <c r="P10" s="31" t="s">
        <v>80</v>
      </c>
      <c r="Q10" s="76">
        <v>29064.400000000001</v>
      </c>
      <c r="R10" s="32">
        <v>5.72</v>
      </c>
      <c r="S10" s="32">
        <v>8.73</v>
      </c>
      <c r="T10" s="78">
        <v>9.33</v>
      </c>
      <c r="U10" s="26"/>
      <c r="V10" s="40" t="s">
        <v>47</v>
      </c>
      <c r="W10" s="82">
        <f>$T$29</f>
        <v>-335580</v>
      </c>
      <c r="X10" s="82">
        <f>$T$31-$T$29</f>
        <v>-32768.400000000023</v>
      </c>
      <c r="Y10" s="82">
        <f>$T$30-$T$31</f>
        <v>-119624.39999999997</v>
      </c>
      <c r="Z10" s="82">
        <f>T38</f>
        <v>-329658.00000000006</v>
      </c>
      <c r="AA10" s="82">
        <f>$T$28-$T$32</f>
        <v>-238459.19999999995</v>
      </c>
      <c r="AB10" s="26"/>
      <c r="AC10" s="102"/>
      <c r="AD10" s="31" t="s">
        <v>73</v>
      </c>
      <c r="AE10" s="76">
        <v>48117.794000000002</v>
      </c>
      <c r="AF10" s="32">
        <v>1.9847000000000001</v>
      </c>
      <c r="AG10" s="32">
        <v>6.9836</v>
      </c>
      <c r="AH10" s="78">
        <v>8.7187000000000001</v>
      </c>
      <c r="AI10" s="26"/>
      <c r="AJ10" s="40" t="s">
        <v>47</v>
      </c>
      <c r="AK10" s="82">
        <f>$AH$29</f>
        <v>31908558.433401402</v>
      </c>
      <c r="AL10" s="82">
        <f>$AH$31-$AH$29</f>
        <v>26017364.300505441</v>
      </c>
      <c r="AM10" s="82">
        <f>$AH$30-$AH$31</f>
        <v>4144837.7331384048</v>
      </c>
      <c r="AN10" s="82">
        <f>$AH$32-$AH$30</f>
        <v>19309946.110405236</v>
      </c>
      <c r="AO10" s="82">
        <f>$AH$28-$AH$32</f>
        <v>4939703.9868397117</v>
      </c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</row>
    <row r="11" spans="1:56" ht="16.899999999999999" customHeight="1" x14ac:dyDescent="0.25">
      <c r="A11" s="26"/>
      <c r="B11" s="33" t="s">
        <v>75</v>
      </c>
      <c r="C11" s="34">
        <v>62439.4</v>
      </c>
      <c r="D11" s="35"/>
      <c r="E11" s="35"/>
      <c r="F11" s="80"/>
      <c r="G11" s="26"/>
      <c r="H11" s="40" t="s">
        <v>109</v>
      </c>
      <c r="I11" s="82">
        <f>F47</f>
        <v>77449794.052937001</v>
      </c>
      <c r="J11" s="40"/>
      <c r="K11" s="40"/>
      <c r="L11" s="40"/>
      <c r="M11" s="82">
        <f>F48</f>
        <v>51592687.382248297</v>
      </c>
      <c r="N11" s="95"/>
      <c r="O11" s="26"/>
      <c r="P11" s="33" t="s">
        <v>108</v>
      </c>
      <c r="Q11" s="77">
        <v>18519.599999999999</v>
      </c>
      <c r="R11" s="69">
        <v>4.47</v>
      </c>
      <c r="S11" s="69">
        <v>34.04</v>
      </c>
      <c r="T11" s="79">
        <v>504.7</v>
      </c>
      <c r="U11" s="26"/>
      <c r="V11" s="40" t="s">
        <v>106</v>
      </c>
      <c r="W11" s="82">
        <f>T48</f>
        <v>15253539.249087363</v>
      </c>
      <c r="X11" s="82"/>
      <c r="Y11" s="82"/>
      <c r="Z11" s="82"/>
      <c r="AA11" s="82">
        <f>T47</f>
        <v>20060393.373204231</v>
      </c>
      <c r="AB11" s="26"/>
      <c r="AC11" s="102"/>
      <c r="AD11" s="33" t="s">
        <v>111</v>
      </c>
      <c r="AE11" s="77">
        <v>75121.042499999996</v>
      </c>
      <c r="AF11" s="69">
        <v>2.4396</v>
      </c>
      <c r="AG11" s="69">
        <v>7.8761000000000001</v>
      </c>
      <c r="AH11" s="79">
        <v>14.910600000000001</v>
      </c>
      <c r="AI11" s="26"/>
      <c r="AJ11" s="40" t="s">
        <v>109</v>
      </c>
      <c r="AK11" s="82">
        <f>AH48</f>
        <v>50000000</v>
      </c>
      <c r="AL11" s="82"/>
      <c r="AM11" s="82"/>
      <c r="AN11" s="82"/>
      <c r="AO11" s="82">
        <f>AH47</f>
        <v>80000000</v>
      </c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</row>
    <row r="12" spans="1:56" ht="16.899999999999999" customHeight="1" x14ac:dyDescent="0.25">
      <c r="A12" s="26"/>
      <c r="B12" s="26"/>
      <c r="C12" s="26"/>
      <c r="D12" s="28"/>
      <c r="E12" s="28"/>
      <c r="F12" s="28"/>
      <c r="G12" s="26"/>
      <c r="H12" s="40"/>
      <c r="I12" s="40"/>
      <c r="J12" s="40"/>
      <c r="K12" s="40"/>
      <c r="L12" s="40"/>
      <c r="M12" s="40"/>
      <c r="N12" s="95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102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</row>
    <row r="13" spans="1:56" ht="16.899999999999999" customHeight="1" x14ac:dyDescent="0.25">
      <c r="A13" s="26"/>
      <c r="B13" s="15" t="s">
        <v>89</v>
      </c>
      <c r="C13" s="15"/>
      <c r="D13" s="15" t="s">
        <v>43</v>
      </c>
      <c r="E13" s="15" t="s">
        <v>45</v>
      </c>
      <c r="F13" s="16" t="s">
        <v>47</v>
      </c>
      <c r="G13" s="26"/>
      <c r="H13" s="40"/>
      <c r="I13" s="40"/>
      <c r="J13" s="40"/>
      <c r="K13" s="40"/>
      <c r="L13" s="40"/>
      <c r="M13" s="40"/>
      <c r="N13" s="95"/>
      <c r="O13" s="26"/>
      <c r="P13" s="17" t="s">
        <v>89</v>
      </c>
      <c r="Q13" s="18"/>
      <c r="R13" s="19"/>
      <c r="S13" s="19" t="s">
        <v>90</v>
      </c>
      <c r="T13" s="20" t="s">
        <v>90</v>
      </c>
      <c r="U13" s="26"/>
      <c r="V13" s="26"/>
      <c r="W13" s="26"/>
      <c r="X13" s="26"/>
      <c r="Y13" s="26"/>
      <c r="Z13" s="26"/>
      <c r="AA13" s="26"/>
      <c r="AB13" s="26"/>
      <c r="AC13" s="102"/>
      <c r="AD13" s="17" t="s">
        <v>89</v>
      </c>
      <c r="AE13" s="18"/>
      <c r="AF13" s="19"/>
      <c r="AG13" s="19" t="s">
        <v>90</v>
      </c>
      <c r="AH13" s="20" t="s">
        <v>90</v>
      </c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</row>
    <row r="14" spans="1:56" ht="16.899999999999999" customHeight="1" x14ac:dyDescent="0.25">
      <c r="A14" s="26"/>
      <c r="B14" s="29" t="s">
        <v>81</v>
      </c>
      <c r="C14" s="27"/>
      <c r="D14" s="42">
        <f>MAX(D6:D10)</f>
        <v>2.6116999999999999</v>
      </c>
      <c r="E14" s="42">
        <f t="shared" ref="E14:F14" si="0">MAX(E6:E10)</f>
        <v>13.4282</v>
      </c>
      <c r="F14" s="43">
        <f t="shared" si="0"/>
        <v>19.874400000000001</v>
      </c>
      <c r="G14" s="26"/>
      <c r="H14" s="28"/>
      <c r="I14" s="26"/>
      <c r="J14" s="26"/>
      <c r="K14" s="26"/>
      <c r="L14" s="26"/>
      <c r="M14" s="26"/>
      <c r="N14" s="95"/>
      <c r="O14" s="26"/>
      <c r="P14" s="29" t="s">
        <v>81</v>
      </c>
      <c r="Q14" s="27"/>
      <c r="R14" s="42">
        <f>MAX(R6:R10)</f>
        <v>7.3</v>
      </c>
      <c r="S14" s="42">
        <f t="shared" ref="S14:T14" si="1">MAX(S6:S10)</f>
        <v>21.2</v>
      </c>
      <c r="T14" s="43">
        <f t="shared" si="1"/>
        <v>26.75</v>
      </c>
      <c r="U14" s="26"/>
      <c r="V14" s="26"/>
      <c r="W14" s="26"/>
      <c r="X14" s="26"/>
      <c r="Y14" s="26"/>
      <c r="Z14" s="26"/>
      <c r="AA14" s="26"/>
      <c r="AB14" s="26"/>
      <c r="AC14" s="102"/>
      <c r="AD14" s="29" t="s">
        <v>81</v>
      </c>
      <c r="AE14" s="27"/>
      <c r="AF14" s="42">
        <f>MAX(AF6:AF10)</f>
        <v>3.0705999999999998</v>
      </c>
      <c r="AG14" s="42">
        <f t="shared" ref="AG14:AH14" si="2">MAX(AG6:AG10)</f>
        <v>9.0862999999999996</v>
      </c>
      <c r="AH14" s="43">
        <f t="shared" si="2"/>
        <v>12.1249</v>
      </c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</row>
    <row r="15" spans="1:56" ht="16.899999999999999" customHeight="1" x14ac:dyDescent="0.25">
      <c r="A15" s="26"/>
      <c r="B15" s="31" t="s">
        <v>82</v>
      </c>
      <c r="C15" s="40"/>
      <c r="D15" s="44">
        <f>MIN(D6:D10)</f>
        <v>1.5463</v>
      </c>
      <c r="E15" s="44">
        <f t="shared" ref="E15:F15" si="3">MIN(E6:E10)</f>
        <v>4.2892999999999999</v>
      </c>
      <c r="F15" s="45">
        <f t="shared" si="3"/>
        <v>5.3121999999999998</v>
      </c>
      <c r="G15" s="26"/>
      <c r="H15" s="26"/>
      <c r="I15" s="82"/>
      <c r="J15" s="82"/>
      <c r="K15" s="82"/>
      <c r="L15" s="82"/>
      <c r="M15" s="82"/>
      <c r="N15" s="95"/>
      <c r="O15" s="26"/>
      <c r="P15" s="31" t="s">
        <v>82</v>
      </c>
      <c r="Q15" s="40"/>
      <c r="R15" s="44">
        <f>MIN(R6:R10)</f>
        <v>2.44</v>
      </c>
      <c r="S15" s="44">
        <f t="shared" ref="S15:T15" si="4">MIN(S6:S10)</f>
        <v>7.18</v>
      </c>
      <c r="T15" s="45">
        <f t="shared" si="4"/>
        <v>8.5</v>
      </c>
      <c r="U15" s="26"/>
      <c r="V15" s="26"/>
      <c r="W15" s="26"/>
      <c r="X15" s="26"/>
      <c r="Y15" s="26"/>
      <c r="Z15" s="26"/>
      <c r="AA15" s="26"/>
      <c r="AB15" s="26"/>
      <c r="AC15" s="102"/>
      <c r="AD15" s="31" t="s">
        <v>82</v>
      </c>
      <c r="AE15" s="40"/>
      <c r="AF15" s="44">
        <f>MIN(AF6:AF10)</f>
        <v>1.3772</v>
      </c>
      <c r="AG15" s="44">
        <f t="shared" ref="AG15:AH15" si="5">MIN(AG6:AG10)</f>
        <v>3.7372000000000001</v>
      </c>
      <c r="AH15" s="45">
        <f t="shared" si="5"/>
        <v>4.4820000000000002</v>
      </c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</row>
    <row r="16" spans="1:56" ht="16.899999999999999" customHeight="1" x14ac:dyDescent="0.25">
      <c r="A16" s="26"/>
      <c r="B16" s="31" t="s">
        <v>83</v>
      </c>
      <c r="C16" s="40"/>
      <c r="D16" s="44">
        <f>MEDIAN(D6:D10)</f>
        <v>1.8353000000000002</v>
      </c>
      <c r="E16" s="44">
        <f t="shared" ref="E16:F16" si="6">MEDIAN(E6:E10)</f>
        <v>5.9847999999999999</v>
      </c>
      <c r="F16" s="45">
        <f t="shared" si="6"/>
        <v>6.7416</v>
      </c>
      <c r="G16" s="26"/>
      <c r="H16" s="26"/>
      <c r="I16" s="82"/>
      <c r="J16" s="82"/>
      <c r="K16" s="82"/>
      <c r="L16" s="82"/>
      <c r="M16" s="82"/>
      <c r="N16" s="95"/>
      <c r="O16" s="26"/>
      <c r="P16" s="31" t="s">
        <v>83</v>
      </c>
      <c r="Q16" s="40"/>
      <c r="R16" s="44">
        <f>MEDIAN(R6:R10)</f>
        <v>3.27</v>
      </c>
      <c r="S16" s="44">
        <f t="shared" ref="S16:T16" si="7">MEDIAN(S6:S10)</f>
        <v>9.6300000000000008</v>
      </c>
      <c r="T16" s="45">
        <f t="shared" si="7"/>
        <v>12.36</v>
      </c>
      <c r="U16" s="26"/>
      <c r="V16" s="26"/>
      <c r="W16" s="26"/>
      <c r="X16" s="26"/>
      <c r="Y16" s="26"/>
      <c r="Z16" s="26"/>
      <c r="AA16" s="26"/>
      <c r="AB16" s="26"/>
      <c r="AC16" s="102"/>
      <c r="AD16" s="31" t="s">
        <v>83</v>
      </c>
      <c r="AE16" s="40"/>
      <c r="AF16" s="44">
        <f>MEDIAN(AF6:AF10)</f>
        <v>1.9847000000000001</v>
      </c>
      <c r="AG16" s="44">
        <f t="shared" ref="AG16:AH16" si="8">MEDIAN(AG6:AG10)</f>
        <v>7.2476000000000003</v>
      </c>
      <c r="AH16" s="45">
        <f t="shared" si="8"/>
        <v>8.7187000000000001</v>
      </c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</row>
    <row r="17" spans="1:56" ht="16.899999999999999" customHeight="1" x14ac:dyDescent="0.25">
      <c r="A17" s="26"/>
      <c r="B17" s="31" t="s">
        <v>84</v>
      </c>
      <c r="C17" s="40"/>
      <c r="D17" s="44">
        <f>QUARTILE(D6:D10,1)</f>
        <v>1.7593000000000001</v>
      </c>
      <c r="E17" s="44">
        <f t="shared" ref="E17:F17" si="9">QUARTILE(E6:E10,1)</f>
        <v>5.1662999999999997</v>
      </c>
      <c r="F17" s="45">
        <f t="shared" si="9"/>
        <v>6.2169999999999996</v>
      </c>
      <c r="G17" s="26"/>
      <c r="H17" s="26"/>
      <c r="I17" s="82"/>
      <c r="J17" s="82"/>
      <c r="K17" s="82"/>
      <c r="L17" s="82"/>
      <c r="M17" s="82"/>
      <c r="N17" s="95"/>
      <c r="O17" s="26"/>
      <c r="P17" s="31" t="s">
        <v>84</v>
      </c>
      <c r="Q17" s="40"/>
      <c r="R17" s="44">
        <f>QUARTILE(R6:R10,1)</f>
        <v>3.13</v>
      </c>
      <c r="S17" s="44">
        <f t="shared" ref="S17:T17" si="10">QUARTILE(S6:S10,1)</f>
        <v>8.73</v>
      </c>
      <c r="T17" s="45">
        <f t="shared" si="10"/>
        <v>9.33</v>
      </c>
      <c r="U17" s="26"/>
      <c r="V17" s="26"/>
      <c r="W17" s="26"/>
      <c r="X17" s="26"/>
      <c r="Y17" s="26"/>
      <c r="Z17" s="26"/>
      <c r="AA17" s="26"/>
      <c r="AB17" s="26"/>
      <c r="AC17" s="102"/>
      <c r="AD17" s="31" t="s">
        <v>84</v>
      </c>
      <c r="AE17" s="40"/>
      <c r="AF17" s="44">
        <f>QUARTILE(AF6:AF10,1)</f>
        <v>1.7072000000000001</v>
      </c>
      <c r="AG17" s="44">
        <f t="shared" ref="AG17:AH17" si="11">QUARTILE(AG6:AG10,1)</f>
        <v>6.9836</v>
      </c>
      <c r="AH17" s="45">
        <f t="shared" si="11"/>
        <v>8.1364999999999998</v>
      </c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</row>
    <row r="18" spans="1:56" ht="16.899999999999999" customHeight="1" x14ac:dyDescent="0.25">
      <c r="A18" s="26"/>
      <c r="B18" s="31" t="s">
        <v>85</v>
      </c>
      <c r="C18" s="40"/>
      <c r="D18" s="44">
        <f>_xlfn.QUARTILE.EXC(D6:D10,3)</f>
        <v>2.3237999999999999</v>
      </c>
      <c r="E18" s="44">
        <f t="shared" ref="E18:F18" si="12">_xlfn.QUARTILE.EXC(E6:E10,3)</f>
        <v>11.0298</v>
      </c>
      <c r="F18" s="45">
        <f t="shared" si="12"/>
        <v>19.584700000000002</v>
      </c>
      <c r="G18" s="26"/>
      <c r="H18" s="26"/>
      <c r="I18" s="40"/>
      <c r="J18" s="40"/>
      <c r="K18" s="40"/>
      <c r="L18" s="40"/>
      <c r="M18" s="40"/>
      <c r="N18" s="95"/>
      <c r="O18" s="26"/>
      <c r="P18" s="31" t="s">
        <v>85</v>
      </c>
      <c r="Q18" s="40"/>
      <c r="R18" s="44">
        <f>_xlfn.QUARTILE.EXC(R6:R10,3)</f>
        <v>6.51</v>
      </c>
      <c r="S18" s="44">
        <f t="shared" ref="S18:T18" si="13">_xlfn.QUARTILE.EXC(S6:S10,3)</f>
        <v>16.155000000000001</v>
      </c>
      <c r="T18" s="45">
        <f t="shared" si="13"/>
        <v>20.71</v>
      </c>
      <c r="U18" s="26"/>
      <c r="V18" s="26"/>
      <c r="W18" s="26"/>
      <c r="X18" s="26"/>
      <c r="Y18" s="26"/>
      <c r="Z18" s="26"/>
      <c r="AA18" s="26"/>
      <c r="AB18" s="26"/>
      <c r="AC18" s="102"/>
      <c r="AD18" s="31" t="s">
        <v>85</v>
      </c>
      <c r="AE18" s="40"/>
      <c r="AF18" s="44">
        <f>_xlfn.QUARTILE.EXC(AF6:AF10,3)</f>
        <v>2.7859999999999996</v>
      </c>
      <c r="AG18" s="44">
        <f t="shared" ref="AG18:AH18" si="14">_xlfn.QUARTILE.EXC(AG6:AG10,3)</f>
        <v>8.1790500000000002</v>
      </c>
      <c r="AH18" s="45">
        <f t="shared" si="14"/>
        <v>11.431049999999999</v>
      </c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</row>
    <row r="19" spans="1:56" ht="16.899999999999999" customHeight="1" x14ac:dyDescent="0.25">
      <c r="A19" s="26"/>
      <c r="B19" s="31" t="s">
        <v>86</v>
      </c>
      <c r="C19" s="40"/>
      <c r="D19" s="44">
        <f>AVERAGE(D6:D10)</f>
        <v>1.9576999999999998</v>
      </c>
      <c r="E19" s="44">
        <f t="shared" ref="E19:F19" si="15">AVERAGE(E6:E10)</f>
        <v>7.5</v>
      </c>
      <c r="F19" s="45">
        <f t="shared" si="15"/>
        <v>11.488040000000002</v>
      </c>
      <c r="G19" s="26"/>
      <c r="H19" s="26"/>
      <c r="I19" s="26"/>
      <c r="J19" s="26"/>
      <c r="K19" s="26"/>
      <c r="L19" s="26"/>
      <c r="M19" s="26"/>
      <c r="N19" s="95"/>
      <c r="O19" s="26"/>
      <c r="P19" s="31" t="s">
        <v>86</v>
      </c>
      <c r="Q19" s="40"/>
      <c r="R19" s="44">
        <f>AVERAGE(R6:R10)</f>
        <v>4.3719999999999999</v>
      </c>
      <c r="S19" s="44">
        <f t="shared" ref="S19:T19" si="16">AVERAGE(S6:S10)</f>
        <v>11.569999999999999</v>
      </c>
      <c r="T19" s="45">
        <f t="shared" si="16"/>
        <v>14.321999999999999</v>
      </c>
      <c r="U19" s="26"/>
      <c r="V19" s="26"/>
      <c r="W19" s="26"/>
      <c r="X19" s="26"/>
      <c r="Y19" s="26"/>
      <c r="Z19" s="26"/>
      <c r="AA19" s="26"/>
      <c r="AB19" s="26"/>
      <c r="AC19" s="102"/>
      <c r="AD19" s="31" t="s">
        <v>86</v>
      </c>
      <c r="AE19" s="40"/>
      <c r="AF19" s="44">
        <f>AVERAGE(AF6:AF10)</f>
        <v>2.1282199999999998</v>
      </c>
      <c r="AG19" s="44">
        <f t="shared" ref="AG19:AH19" si="17">AVERAGE(AG6:AG10)</f>
        <v>6.8653000000000004</v>
      </c>
      <c r="AH19" s="45">
        <f t="shared" si="17"/>
        <v>8.8398599999999998</v>
      </c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</row>
    <row r="20" spans="1:56" ht="16.899999999999999" customHeight="1" x14ac:dyDescent="0.25">
      <c r="A20" s="26"/>
      <c r="B20" s="46" t="s">
        <v>87</v>
      </c>
      <c r="C20" s="47"/>
      <c r="D20" s="48">
        <f>_xlfn.STDEV.P(D14:D18)</f>
        <v>0.39211279193619819</v>
      </c>
      <c r="E20" s="48">
        <f t="shared" ref="E20:F20" si="18">_xlfn.STDEV.P(E14:E18)</f>
        <v>3.5917449794772436</v>
      </c>
      <c r="F20" s="49">
        <f t="shared" si="18"/>
        <v>6.6981147653350943</v>
      </c>
      <c r="G20" s="26"/>
      <c r="H20" s="26"/>
      <c r="I20" s="26"/>
      <c r="J20" s="26"/>
      <c r="K20" s="26"/>
      <c r="L20" s="26"/>
      <c r="M20" s="26"/>
      <c r="N20" s="95"/>
      <c r="O20" s="26"/>
      <c r="P20" s="46" t="s">
        <v>87</v>
      </c>
      <c r="Q20" s="47"/>
      <c r="R20" s="48">
        <f>_xlfn.STDEV.P(R14:R18)</f>
        <v>1.9752974459559245</v>
      </c>
      <c r="S20" s="48">
        <f t="shared" ref="S20:T20" si="19">_xlfn.STDEV.P(S14:S18)</f>
        <v>5.2871546222897647</v>
      </c>
      <c r="T20" s="49">
        <f t="shared" si="19"/>
        <v>7.0799802259610818</v>
      </c>
      <c r="U20" s="60" t="s">
        <v>99</v>
      </c>
      <c r="V20" s="26"/>
      <c r="W20" s="26"/>
      <c r="X20" s="26"/>
      <c r="Y20" s="26"/>
      <c r="Z20" s="26"/>
      <c r="AA20" s="26"/>
      <c r="AB20" s="26"/>
      <c r="AC20" s="102"/>
      <c r="AD20" s="46" t="s">
        <v>87</v>
      </c>
      <c r="AE20" s="47"/>
      <c r="AF20" s="48">
        <f>_xlfn.STDEV.P(AF14:AF18)</f>
        <v>0.64287510948861559</v>
      </c>
      <c r="AG20" s="48">
        <f t="shared" ref="AG20:AH20" si="20">_xlfn.STDEV.P(AG14:AG18)</f>
        <v>1.8132466649631527</v>
      </c>
      <c r="AH20" s="49">
        <f t="shared" si="20"/>
        <v>2.7169765058976885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</row>
    <row r="21" spans="1:56" ht="16.899999999999999" customHeight="1" x14ac:dyDescent="0.25">
      <c r="A21" s="26"/>
      <c r="B21" s="29" t="s">
        <v>91</v>
      </c>
      <c r="C21" s="27"/>
      <c r="D21" s="42">
        <f>D15</f>
        <v>1.5463</v>
      </c>
      <c r="E21" s="42">
        <f t="shared" ref="E21:F21" si="21">E15</f>
        <v>4.2892999999999999</v>
      </c>
      <c r="F21" s="43">
        <f t="shared" si="21"/>
        <v>5.3121999999999998</v>
      </c>
      <c r="G21" s="26"/>
      <c r="H21" s="26"/>
      <c r="I21" s="26"/>
      <c r="J21" s="26"/>
      <c r="K21" s="26"/>
      <c r="L21" s="26"/>
      <c r="M21" s="26"/>
      <c r="N21" s="95"/>
      <c r="O21" s="26"/>
      <c r="P21" s="29" t="s">
        <v>91</v>
      </c>
      <c r="Q21" s="27"/>
      <c r="R21" s="42">
        <f>R15</f>
        <v>2.44</v>
      </c>
      <c r="S21" s="42">
        <f t="shared" ref="S21:T21" si="22">S15</f>
        <v>7.18</v>
      </c>
      <c r="T21" s="43">
        <f t="shared" si="22"/>
        <v>8.5</v>
      </c>
      <c r="U21" s="26"/>
      <c r="V21" s="26"/>
      <c r="W21" s="26"/>
      <c r="X21" s="26"/>
      <c r="Y21" s="26"/>
      <c r="Z21" s="26"/>
      <c r="AA21" s="26"/>
      <c r="AB21" s="26"/>
      <c r="AC21" s="102"/>
      <c r="AD21" s="29" t="s">
        <v>91</v>
      </c>
      <c r="AE21" s="27"/>
      <c r="AF21" s="42">
        <f>AF15</f>
        <v>1.3772</v>
      </c>
      <c r="AG21" s="42">
        <f t="shared" ref="AG21:AH21" si="23">AG15</f>
        <v>3.7372000000000001</v>
      </c>
      <c r="AH21" s="43">
        <f t="shared" si="23"/>
        <v>4.4820000000000002</v>
      </c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</row>
    <row r="22" spans="1:56" ht="16.899999999999999" customHeight="1" x14ac:dyDescent="0.25">
      <c r="A22" s="26"/>
      <c r="B22" s="31" t="s">
        <v>92</v>
      </c>
      <c r="C22" s="40"/>
      <c r="D22" s="44">
        <f>D17-D15</f>
        <v>0.21300000000000008</v>
      </c>
      <c r="E22" s="44">
        <f t="shared" ref="E22:F22" si="24">E17-E15</f>
        <v>0.87699999999999978</v>
      </c>
      <c r="F22" s="45">
        <f t="shared" si="24"/>
        <v>0.90479999999999983</v>
      </c>
      <c r="G22" s="26"/>
      <c r="H22" s="26"/>
      <c r="I22" s="26"/>
      <c r="J22" s="26"/>
      <c r="K22" s="26"/>
      <c r="L22" s="26"/>
      <c r="M22" s="26"/>
      <c r="N22" s="95"/>
      <c r="O22" s="26"/>
      <c r="P22" s="31" t="s">
        <v>92</v>
      </c>
      <c r="Q22" s="40"/>
      <c r="R22" s="44">
        <f>R17-R15</f>
        <v>0.69</v>
      </c>
      <c r="S22" s="44">
        <f t="shared" ref="S22:T22" si="25">S17-S15</f>
        <v>1.5500000000000007</v>
      </c>
      <c r="T22" s="45">
        <f t="shared" si="25"/>
        <v>0.83000000000000007</v>
      </c>
      <c r="U22" s="26"/>
      <c r="V22" s="26"/>
      <c r="W22" s="26"/>
      <c r="X22" s="26"/>
      <c r="Y22" s="26"/>
      <c r="Z22" s="26"/>
      <c r="AA22" s="26"/>
      <c r="AB22" s="26"/>
      <c r="AC22" s="102"/>
      <c r="AD22" s="31" t="s">
        <v>92</v>
      </c>
      <c r="AE22" s="40"/>
      <c r="AF22" s="44">
        <f>AF17-AF15</f>
        <v>0.33000000000000007</v>
      </c>
      <c r="AG22" s="44">
        <f t="shared" ref="AG22:AH22" si="26">AG17-AG15</f>
        <v>3.2464</v>
      </c>
      <c r="AH22" s="45">
        <f t="shared" si="26"/>
        <v>3.6544999999999996</v>
      </c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</row>
    <row r="23" spans="1:56" ht="16.899999999999999" customHeight="1" x14ac:dyDescent="0.25">
      <c r="A23" s="26"/>
      <c r="B23" s="31" t="s">
        <v>93</v>
      </c>
      <c r="C23" s="40"/>
      <c r="D23" s="44">
        <f>D16-D17</f>
        <v>7.6000000000000068E-2</v>
      </c>
      <c r="E23" s="44">
        <f t="shared" ref="E23:F23" si="27">E16-E17</f>
        <v>0.81850000000000023</v>
      </c>
      <c r="F23" s="45">
        <f t="shared" si="27"/>
        <v>0.5246000000000004</v>
      </c>
      <c r="G23" s="26"/>
      <c r="H23" s="26"/>
      <c r="I23" s="26"/>
      <c r="J23" s="26"/>
      <c r="K23" s="26"/>
      <c r="L23" s="26"/>
      <c r="M23" s="26"/>
      <c r="N23" s="95"/>
      <c r="O23" s="26"/>
      <c r="P23" s="31" t="s">
        <v>93</v>
      </c>
      <c r="Q23" s="40"/>
      <c r="R23" s="44">
        <f>R16-R17</f>
        <v>0.14000000000000012</v>
      </c>
      <c r="S23" s="44">
        <f t="shared" ref="S23:T23" si="28">S16-S17</f>
        <v>0.90000000000000036</v>
      </c>
      <c r="T23" s="45">
        <f t="shared" si="28"/>
        <v>3.0299999999999994</v>
      </c>
      <c r="U23" s="26"/>
      <c r="V23" s="26"/>
      <c r="W23" s="26"/>
      <c r="X23" s="26"/>
      <c r="Y23" s="26"/>
      <c r="Z23" s="26"/>
      <c r="AA23" s="26"/>
      <c r="AB23" s="26"/>
      <c r="AC23" s="102"/>
      <c r="AD23" s="31" t="s">
        <v>93</v>
      </c>
      <c r="AE23" s="40"/>
      <c r="AF23" s="44">
        <f>AF16-AF17</f>
        <v>0.27750000000000008</v>
      </c>
      <c r="AG23" s="44">
        <f t="shared" ref="AG23:AH23" si="29">AG16-AG17</f>
        <v>0.26400000000000023</v>
      </c>
      <c r="AH23" s="45">
        <f t="shared" si="29"/>
        <v>0.58220000000000027</v>
      </c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</row>
    <row r="24" spans="1:56" ht="16.899999999999999" customHeight="1" x14ac:dyDescent="0.25">
      <c r="A24" s="26"/>
      <c r="B24" s="31" t="s">
        <v>94</v>
      </c>
      <c r="C24" s="40"/>
      <c r="D24" s="44">
        <f>D18-D16</f>
        <v>0.48849999999999971</v>
      </c>
      <c r="E24" s="44">
        <f t="shared" ref="E24:F24" si="30">E18-E16</f>
        <v>5.0449999999999999</v>
      </c>
      <c r="F24" s="45">
        <f t="shared" si="30"/>
        <v>12.843100000000002</v>
      </c>
      <c r="G24" s="26"/>
      <c r="H24" s="26"/>
      <c r="I24" s="26"/>
      <c r="J24" s="26"/>
      <c r="K24" s="26"/>
      <c r="L24" s="26"/>
      <c r="M24" s="26"/>
      <c r="N24" s="95"/>
      <c r="O24" s="26"/>
      <c r="P24" s="31" t="s">
        <v>94</v>
      </c>
      <c r="Q24" s="40"/>
      <c r="R24" s="44">
        <f>R18-R16</f>
        <v>3.2399999999999998</v>
      </c>
      <c r="S24" s="44">
        <f t="shared" ref="S24:T24" si="31">S18-S16</f>
        <v>6.5250000000000004</v>
      </c>
      <c r="T24" s="45">
        <f t="shared" si="31"/>
        <v>8.3500000000000014</v>
      </c>
      <c r="U24" s="26"/>
      <c r="V24" s="26"/>
      <c r="W24" s="26"/>
      <c r="X24" s="26"/>
      <c r="Y24" s="26"/>
      <c r="Z24" s="26"/>
      <c r="AA24" s="26"/>
      <c r="AB24" s="26"/>
      <c r="AC24" s="102"/>
      <c r="AD24" s="31" t="s">
        <v>94</v>
      </c>
      <c r="AE24" s="40"/>
      <c r="AF24" s="44">
        <f>AF18-AF16</f>
        <v>0.80129999999999946</v>
      </c>
      <c r="AG24" s="44">
        <f t="shared" ref="AG24:AH24" si="32">AG18-AG16</f>
        <v>0.93144999999999989</v>
      </c>
      <c r="AH24" s="45">
        <f t="shared" si="32"/>
        <v>2.7123499999999989</v>
      </c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</row>
    <row r="25" spans="1:56" ht="16.899999999999999" customHeight="1" x14ac:dyDescent="0.25">
      <c r="A25" s="26"/>
      <c r="B25" s="50" t="s">
        <v>95</v>
      </c>
      <c r="C25" s="51"/>
      <c r="D25" s="52">
        <f>D14-D18</f>
        <v>0.28790000000000004</v>
      </c>
      <c r="E25" s="52">
        <f t="shared" ref="E25:F25" si="33">E14-E18</f>
        <v>2.3984000000000005</v>
      </c>
      <c r="F25" s="53">
        <f t="shared" si="33"/>
        <v>0.28969999999999985</v>
      </c>
      <c r="G25" s="26"/>
      <c r="H25" s="26"/>
      <c r="I25" s="26"/>
      <c r="J25" s="40"/>
      <c r="K25" s="40"/>
      <c r="L25" s="40"/>
      <c r="M25" s="40"/>
      <c r="N25" s="95"/>
      <c r="O25" s="40"/>
      <c r="P25" s="50" t="s">
        <v>95</v>
      </c>
      <c r="Q25" s="51"/>
      <c r="R25" s="52">
        <f>R14-R18</f>
        <v>0.79</v>
      </c>
      <c r="S25" s="52">
        <f t="shared" ref="S25:T25" si="34">S14-S18</f>
        <v>5.0449999999999982</v>
      </c>
      <c r="T25" s="53">
        <f t="shared" si="34"/>
        <v>6.0399999999999991</v>
      </c>
      <c r="U25" s="26"/>
      <c r="V25" s="26"/>
      <c r="W25" s="26"/>
      <c r="X25" s="26"/>
      <c r="Y25" s="26"/>
      <c r="Z25" s="26"/>
      <c r="AA25" s="26"/>
      <c r="AB25" s="26"/>
      <c r="AC25" s="102"/>
      <c r="AD25" s="50" t="s">
        <v>95</v>
      </c>
      <c r="AE25" s="51"/>
      <c r="AF25" s="52">
        <f>AF14-AF18</f>
        <v>0.28460000000000019</v>
      </c>
      <c r="AG25" s="52">
        <f t="shared" ref="AG25:AH25" si="35">AG14-AG18</f>
        <v>0.90724999999999945</v>
      </c>
      <c r="AH25" s="53">
        <f t="shared" si="35"/>
        <v>0.69385000000000119</v>
      </c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</row>
    <row r="26" spans="1:56" ht="16.899999999999999" customHeight="1" x14ac:dyDescent="0.25">
      <c r="A26" s="26"/>
      <c r="B26" s="40"/>
      <c r="C26" s="40"/>
      <c r="D26" s="56"/>
      <c r="E26" s="56"/>
      <c r="F26" s="56"/>
      <c r="G26" s="26"/>
      <c r="H26" s="26"/>
      <c r="I26" s="26"/>
      <c r="J26" s="26"/>
      <c r="K26" s="26"/>
      <c r="L26" s="26"/>
      <c r="M26" s="26"/>
      <c r="N26" s="95"/>
      <c r="O26" s="26"/>
      <c r="P26" s="40"/>
      <c r="Q26" s="40"/>
      <c r="R26" s="56"/>
      <c r="S26" s="56"/>
      <c r="T26" s="56"/>
      <c r="U26" s="26"/>
      <c r="V26" s="26"/>
      <c r="W26" s="26"/>
      <c r="X26" s="26"/>
      <c r="Y26" s="26"/>
      <c r="Z26" s="26"/>
      <c r="AA26" s="26"/>
      <c r="AB26" s="26"/>
      <c r="AC26" s="102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</row>
    <row r="27" spans="1:56" ht="16.899999999999999" customHeight="1" x14ac:dyDescent="0.25">
      <c r="A27" s="26"/>
      <c r="B27" s="17" t="s">
        <v>75</v>
      </c>
      <c r="C27" s="18"/>
      <c r="D27" s="14" t="s">
        <v>103</v>
      </c>
      <c r="E27" s="15" t="s">
        <v>101</v>
      </c>
      <c r="F27" s="16" t="s">
        <v>102</v>
      </c>
      <c r="G27" s="26"/>
      <c r="H27" s="26"/>
      <c r="I27" s="26"/>
      <c r="J27" s="26"/>
      <c r="K27" s="26"/>
      <c r="L27" s="26"/>
      <c r="M27" s="26"/>
      <c r="N27" s="95"/>
      <c r="O27" s="26"/>
      <c r="P27" s="17" t="s">
        <v>108</v>
      </c>
      <c r="Q27" s="18"/>
      <c r="R27" s="14" t="s">
        <v>103</v>
      </c>
      <c r="S27" s="15" t="s">
        <v>101</v>
      </c>
      <c r="T27" s="16" t="s">
        <v>102</v>
      </c>
      <c r="U27" s="26"/>
      <c r="V27" s="26"/>
      <c r="W27" s="26"/>
      <c r="X27" s="26"/>
      <c r="Y27" s="26"/>
      <c r="Z27" s="26"/>
      <c r="AA27" s="26"/>
      <c r="AB27" s="26"/>
      <c r="AC27" s="102"/>
      <c r="AD27" s="17" t="s">
        <v>75</v>
      </c>
      <c r="AE27" s="18"/>
      <c r="AF27" s="14" t="s">
        <v>103</v>
      </c>
      <c r="AG27" s="15" t="s">
        <v>101</v>
      </c>
      <c r="AH27" s="16" t="s">
        <v>102</v>
      </c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</row>
    <row r="28" spans="1:56" ht="16.899999999999999" customHeight="1" x14ac:dyDescent="0.25">
      <c r="A28" s="26"/>
      <c r="B28" s="29" t="s">
        <v>81</v>
      </c>
      <c r="C28" s="27"/>
      <c r="D28" s="81">
        <f>D14*$C$41</f>
        <v>79353892.799999997</v>
      </c>
      <c r="E28" s="81">
        <f>E14*$C$42</f>
        <v>152410070</v>
      </c>
      <c r="F28" s="84">
        <f>F14*$C$43</f>
        <v>123638642.40000001</v>
      </c>
      <c r="G28" s="26"/>
      <c r="H28" s="26"/>
      <c r="I28" s="26"/>
      <c r="J28" s="26"/>
      <c r="K28" s="26"/>
      <c r="L28" s="26"/>
      <c r="M28" s="26"/>
      <c r="N28" s="95"/>
      <c r="O28" s="26"/>
      <c r="P28" s="29" t="s">
        <v>81</v>
      </c>
      <c r="Q28" s="27"/>
      <c r="R28" s="54">
        <f>R14*$Q$41</f>
        <v>29199598.5</v>
      </c>
      <c r="S28" s="54">
        <f t="shared" ref="S28:S34" si="36">S14*$Q$42</f>
        <v>9666415.5999999996</v>
      </c>
      <c r="T28" s="55">
        <f t="shared" ref="T28:T34" si="37">T14*$Q$43</f>
        <v>-1056090</v>
      </c>
      <c r="U28" s="26"/>
      <c r="V28" s="26"/>
      <c r="W28" s="26"/>
      <c r="X28" s="26"/>
      <c r="Y28" s="26"/>
      <c r="Z28" s="26"/>
      <c r="AA28" s="26"/>
      <c r="AB28" s="26"/>
      <c r="AC28" s="102"/>
      <c r="AD28" s="29" t="s">
        <v>81</v>
      </c>
      <c r="AE28" s="27"/>
      <c r="AF28" s="54">
        <f t="shared" ref="AF28:AF34" si="38">AF14*$AE$41</f>
        <v>96728977.082972765</v>
      </c>
      <c r="AG28" s="54">
        <f t="shared" ref="AG28:AG34" si="39">AG14*$AE$42</f>
        <v>110207965.188832</v>
      </c>
      <c r="AH28" s="55">
        <f t="shared" ref="AH28:AH34" si="40">AH14*$AE$43</f>
        <v>86320410.564290196</v>
      </c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</row>
    <row r="29" spans="1:56" ht="16.899999999999999" customHeight="1" x14ac:dyDescent="0.25">
      <c r="A29" s="26"/>
      <c r="B29" s="31" t="s">
        <v>82</v>
      </c>
      <c r="C29" s="40"/>
      <c r="D29" s="82">
        <f t="shared" ref="D29:D34" si="41">D15*$C$41</f>
        <v>46982779.200000003</v>
      </c>
      <c r="E29" s="82">
        <f t="shared" ref="E29:E34" si="42">E15*$C$42</f>
        <v>48683555</v>
      </c>
      <c r="F29" s="85">
        <f t="shared" ref="F29:F34" si="43">F15*$C$43</f>
        <v>33047196.199999999</v>
      </c>
      <c r="G29" s="26"/>
      <c r="H29" s="26"/>
      <c r="I29" s="26"/>
      <c r="J29" s="26"/>
      <c r="K29" s="26"/>
      <c r="L29" s="26"/>
      <c r="M29" s="26"/>
      <c r="N29" s="95"/>
      <c r="O29" s="26"/>
      <c r="P29" s="31" t="s">
        <v>82</v>
      </c>
      <c r="Q29" s="40"/>
      <c r="R29" s="56">
        <f>R15*$Q$41</f>
        <v>9759865.7999999989</v>
      </c>
      <c r="S29" s="56">
        <f t="shared" si="36"/>
        <v>3273814.34</v>
      </c>
      <c r="T29" s="57">
        <f t="shared" si="37"/>
        <v>-335580</v>
      </c>
      <c r="U29" s="26"/>
      <c r="V29" s="26"/>
      <c r="W29" s="26"/>
      <c r="X29" s="26"/>
      <c r="Y29" s="26"/>
      <c r="Z29" s="26"/>
      <c r="AA29" s="26"/>
      <c r="AB29" s="26"/>
      <c r="AC29" s="102"/>
      <c r="AD29" s="31" t="s">
        <v>82</v>
      </c>
      <c r="AE29" s="40"/>
      <c r="AF29" s="56">
        <f t="shared" si="38"/>
        <v>43384077.131072134</v>
      </c>
      <c r="AG29" s="56">
        <f t="shared" si="39"/>
        <v>45328594.422779672</v>
      </c>
      <c r="AH29" s="57">
        <f t="shared" si="40"/>
        <v>31908558.433401402</v>
      </c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</row>
    <row r="30" spans="1:56" ht="16.899999999999999" customHeight="1" x14ac:dyDescent="0.25">
      <c r="A30" s="26"/>
      <c r="B30" s="31" t="s">
        <v>83</v>
      </c>
      <c r="C30" s="40"/>
      <c r="D30" s="82">
        <f t="shared" si="41"/>
        <v>55763755.200000003</v>
      </c>
      <c r="E30" s="82">
        <f t="shared" si="42"/>
        <v>67927480</v>
      </c>
      <c r="F30" s="85">
        <f t="shared" si="43"/>
        <v>41939493.600000001</v>
      </c>
      <c r="G30" s="26"/>
      <c r="H30" s="26"/>
      <c r="I30" s="26"/>
      <c r="J30" s="26"/>
      <c r="K30" s="26"/>
      <c r="L30" s="26"/>
      <c r="M30" s="26"/>
      <c r="N30" s="95"/>
      <c r="O30" s="26"/>
      <c r="P30" s="31" t="s">
        <v>83</v>
      </c>
      <c r="Q30" s="40"/>
      <c r="R30" s="56">
        <f t="shared" ref="R30:R34" si="44">R16*$Q$41</f>
        <v>13079820.15</v>
      </c>
      <c r="S30" s="56">
        <f t="shared" si="36"/>
        <v>4390923.6900000004</v>
      </c>
      <c r="T30" s="57">
        <f t="shared" si="37"/>
        <v>-487972.8</v>
      </c>
      <c r="U30" s="26"/>
      <c r="V30" s="26"/>
      <c r="W30" s="26"/>
      <c r="X30" s="26"/>
      <c r="Y30" s="26"/>
      <c r="Z30" s="26"/>
      <c r="AA30" s="26"/>
      <c r="AB30" s="26"/>
      <c r="AC30" s="102"/>
      <c r="AD30" s="31" t="s">
        <v>83</v>
      </c>
      <c r="AE30" s="40"/>
      <c r="AF30" s="56">
        <f t="shared" si="38"/>
        <v>62521331.601828985</v>
      </c>
      <c r="AG30" s="56">
        <f t="shared" si="39"/>
        <v>87906325.842485815</v>
      </c>
      <c r="AH30" s="57">
        <f t="shared" si="40"/>
        <v>62070760.467045248</v>
      </c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</row>
    <row r="31" spans="1:56" ht="16.899999999999999" customHeight="1" x14ac:dyDescent="0.25">
      <c r="A31" s="26"/>
      <c r="B31" s="31" t="s">
        <v>84</v>
      </c>
      <c r="C31" s="40"/>
      <c r="D31" s="82">
        <f t="shared" si="41"/>
        <v>53454571.200000003</v>
      </c>
      <c r="E31" s="82">
        <f t="shared" si="42"/>
        <v>58637504.999999993</v>
      </c>
      <c r="F31" s="85">
        <f t="shared" si="43"/>
        <v>38675957</v>
      </c>
      <c r="G31" s="26"/>
      <c r="H31" s="26"/>
      <c r="I31" s="26"/>
      <c r="J31" s="26"/>
      <c r="K31" s="26"/>
      <c r="L31" s="26"/>
      <c r="M31" s="26"/>
      <c r="N31" s="95"/>
      <c r="O31" s="26"/>
      <c r="P31" s="31" t="s">
        <v>84</v>
      </c>
      <c r="Q31" s="40"/>
      <c r="R31" s="56">
        <f t="shared" si="44"/>
        <v>12519827.85</v>
      </c>
      <c r="S31" s="56">
        <f t="shared" si="36"/>
        <v>3980556.99</v>
      </c>
      <c r="T31" s="57">
        <f t="shared" si="37"/>
        <v>-368348.4</v>
      </c>
      <c r="U31" s="26"/>
      <c r="V31" s="26"/>
      <c r="W31" s="26"/>
      <c r="X31" s="26"/>
      <c r="Y31" s="26"/>
      <c r="Z31" s="26"/>
      <c r="AA31" s="26"/>
      <c r="AB31" s="26"/>
      <c r="AC31" s="102"/>
      <c r="AD31" s="31" t="s">
        <v>84</v>
      </c>
      <c r="AE31" s="40"/>
      <c r="AF31" s="56">
        <f t="shared" si="38"/>
        <v>53779622.769507952</v>
      </c>
      <c r="AG31" s="56">
        <f t="shared" si="39"/>
        <v>84704263.08758539</v>
      </c>
      <c r="AH31" s="57">
        <f t="shared" si="40"/>
        <v>57925922.733906843</v>
      </c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</row>
    <row r="32" spans="1:56" ht="16.899999999999999" customHeight="1" x14ac:dyDescent="0.25">
      <c r="A32" s="26"/>
      <c r="B32" s="31" t="s">
        <v>85</v>
      </c>
      <c r="C32" s="40"/>
      <c r="D32" s="82">
        <f t="shared" si="41"/>
        <v>70606339.200000003</v>
      </c>
      <c r="E32" s="82">
        <f t="shared" si="42"/>
        <v>125188230</v>
      </c>
      <c r="F32" s="85">
        <f t="shared" si="43"/>
        <v>121836418.7</v>
      </c>
      <c r="G32" s="26"/>
      <c r="H32" s="26"/>
      <c r="I32" s="26"/>
      <c r="J32" s="26"/>
      <c r="K32" s="26"/>
      <c r="L32" s="26"/>
      <c r="M32" s="26"/>
      <c r="N32" s="95"/>
      <c r="O32" s="26"/>
      <c r="P32" s="31" t="s">
        <v>85</v>
      </c>
      <c r="Q32" s="40"/>
      <c r="R32" s="56">
        <f t="shared" si="44"/>
        <v>26039641.949999999</v>
      </c>
      <c r="S32" s="56">
        <f t="shared" si="36"/>
        <v>7366082.2650000006</v>
      </c>
      <c r="T32" s="57">
        <f t="shared" si="37"/>
        <v>-817630.8</v>
      </c>
      <c r="U32" s="26"/>
      <c r="V32" s="26"/>
      <c r="W32" s="26"/>
      <c r="X32" s="26"/>
      <c r="Y32" s="26"/>
      <c r="Z32" s="26"/>
      <c r="AA32" s="26"/>
      <c r="AB32" s="26"/>
      <c r="AC32" s="102"/>
      <c r="AD32" s="31" t="s">
        <v>85</v>
      </c>
      <c r="AE32" s="40"/>
      <c r="AF32" s="56">
        <f t="shared" si="38"/>
        <v>87763606.511158109</v>
      </c>
      <c r="AG32" s="56">
        <f t="shared" si="39"/>
        <v>99203906.725258514</v>
      </c>
      <c r="AH32" s="57">
        <f t="shared" si="40"/>
        <v>81380706.577450484</v>
      </c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</row>
    <row r="33" spans="1:56" ht="16.899999999999999" customHeight="1" x14ac:dyDescent="0.25">
      <c r="A33" s="26"/>
      <c r="B33" s="31" t="s">
        <v>86</v>
      </c>
      <c r="C33" s="40"/>
      <c r="D33" s="82">
        <f t="shared" si="41"/>
        <v>59482756.79999999</v>
      </c>
      <c r="E33" s="82">
        <f t="shared" si="42"/>
        <v>85125000</v>
      </c>
      <c r="F33" s="85">
        <f t="shared" si="43"/>
        <v>71467096.840000004</v>
      </c>
      <c r="G33" s="26"/>
      <c r="H33" s="26"/>
      <c r="I33" s="26"/>
      <c r="J33" s="26"/>
      <c r="K33" s="26"/>
      <c r="L33" s="26"/>
      <c r="M33" s="26"/>
      <c r="N33" s="95"/>
      <c r="O33" s="26"/>
      <c r="P33" s="31" t="s">
        <v>86</v>
      </c>
      <c r="Q33" s="40"/>
      <c r="R33" s="56">
        <f t="shared" si="44"/>
        <v>17487759.539999999</v>
      </c>
      <c r="S33" s="56">
        <f t="shared" si="36"/>
        <v>5275491.9099999992</v>
      </c>
      <c r="T33" s="57">
        <f t="shared" si="37"/>
        <v>-565432.55999999994</v>
      </c>
      <c r="U33" s="26"/>
      <c r="V33" s="26"/>
      <c r="W33" s="26"/>
      <c r="X33" s="26"/>
      <c r="Y33" s="26"/>
      <c r="Z33" s="26"/>
      <c r="AA33" s="26"/>
      <c r="AB33" s="26"/>
      <c r="AC33" s="102"/>
      <c r="AD33" s="31" t="s">
        <v>86</v>
      </c>
      <c r="AE33" s="40"/>
      <c r="AF33" s="56">
        <f t="shared" si="38"/>
        <v>67042448.904945061</v>
      </c>
      <c r="AG33" s="56">
        <f t="shared" si="39"/>
        <v>83269399.360673577</v>
      </c>
      <c r="AH33" s="57">
        <f t="shared" si="40"/>
        <v>62933330.957850888</v>
      </c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</row>
    <row r="34" spans="1:56" ht="16.899999999999999" customHeight="1" x14ac:dyDescent="0.25">
      <c r="A34" s="26"/>
      <c r="B34" s="50" t="s">
        <v>87</v>
      </c>
      <c r="C34" s="51"/>
      <c r="D34" s="83">
        <f t="shared" si="41"/>
        <v>11913955.070189446</v>
      </c>
      <c r="E34" s="83">
        <f t="shared" si="42"/>
        <v>40766305.517066717</v>
      </c>
      <c r="F34" s="86">
        <f t="shared" si="43"/>
        <v>41668971.955149621</v>
      </c>
      <c r="G34" s="26"/>
      <c r="H34" s="26"/>
      <c r="I34" s="26"/>
      <c r="J34" s="26"/>
      <c r="K34" s="26"/>
      <c r="L34" s="26"/>
      <c r="M34" s="26"/>
      <c r="N34" s="95"/>
      <c r="O34" s="26"/>
      <c r="P34" s="50" t="s">
        <v>87</v>
      </c>
      <c r="Q34" s="51"/>
      <c r="R34" s="56">
        <f t="shared" si="44"/>
        <v>7901081.1424641702</v>
      </c>
      <c r="S34" s="58">
        <f t="shared" si="36"/>
        <v>2410746.883043108</v>
      </c>
      <c r="T34" s="59">
        <f t="shared" si="37"/>
        <v>-279517.61932094349</v>
      </c>
      <c r="U34" s="26"/>
      <c r="V34" s="26"/>
      <c r="W34" s="26"/>
      <c r="X34" s="26"/>
      <c r="Y34" s="26"/>
      <c r="Z34" s="26"/>
      <c r="AA34" s="26"/>
      <c r="AB34" s="26"/>
      <c r="AC34" s="102"/>
      <c r="AD34" s="50" t="s">
        <v>87</v>
      </c>
      <c r="AE34" s="51"/>
      <c r="AF34" s="56">
        <f t="shared" si="38"/>
        <v>20251628.910616137</v>
      </c>
      <c r="AG34" s="58">
        <f t="shared" si="39"/>
        <v>21992915.194416303</v>
      </c>
      <c r="AH34" s="59">
        <f t="shared" si="40"/>
        <v>19342883.445027925</v>
      </c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</row>
    <row r="35" spans="1:56" x14ac:dyDescent="0.25">
      <c r="A35" s="26"/>
      <c r="B35" s="29" t="s">
        <v>91</v>
      </c>
      <c r="C35" s="27"/>
      <c r="D35" s="89">
        <f>$D$29</f>
        <v>46982779.200000003</v>
      </c>
      <c r="E35" s="89">
        <f>$E$29</f>
        <v>48683555</v>
      </c>
      <c r="F35" s="90">
        <f>$F$29</f>
        <v>33047196.199999999</v>
      </c>
      <c r="G35" s="26"/>
      <c r="H35" s="40"/>
      <c r="I35" s="40"/>
      <c r="J35" s="40"/>
      <c r="K35" s="40"/>
      <c r="L35" s="40"/>
      <c r="M35" s="40"/>
      <c r="N35" s="95"/>
      <c r="O35" s="40"/>
      <c r="P35" s="29" t="s">
        <v>91</v>
      </c>
      <c r="Q35" s="27"/>
      <c r="R35" s="54">
        <f>$R$29</f>
        <v>9759865.7999999989</v>
      </c>
      <c r="S35" s="54">
        <f>$S$29</f>
        <v>3273814.34</v>
      </c>
      <c r="T35" s="55">
        <f>$T$29</f>
        <v>-335580</v>
      </c>
      <c r="U35" s="26"/>
      <c r="V35" s="26"/>
      <c r="W35" s="26"/>
      <c r="X35" s="26"/>
      <c r="Y35" s="26"/>
      <c r="Z35" s="26"/>
      <c r="AA35" s="26"/>
      <c r="AB35" s="26"/>
      <c r="AC35" s="102"/>
      <c r="AD35" s="29" t="s">
        <v>91</v>
      </c>
      <c r="AE35" s="27"/>
      <c r="AF35" s="54">
        <f>$AF$29</f>
        <v>43384077.131072134</v>
      </c>
      <c r="AG35" s="54">
        <f>$AG$29</f>
        <v>45328594.422779672</v>
      </c>
      <c r="AH35" s="55">
        <f>$AH$29</f>
        <v>31908558.433401402</v>
      </c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</row>
    <row r="36" spans="1:56" x14ac:dyDescent="0.25">
      <c r="A36" s="26"/>
      <c r="B36" s="31" t="s">
        <v>92</v>
      </c>
      <c r="C36" s="40"/>
      <c r="D36" s="91">
        <f>$D$31-$D$29</f>
        <v>6471792</v>
      </c>
      <c r="E36" s="91">
        <f>$E$31-$E$29</f>
        <v>9953949.9999999925</v>
      </c>
      <c r="F36" s="92">
        <f>$F$31-$F$29</f>
        <v>5628760.8000000007</v>
      </c>
      <c r="G36" s="26"/>
      <c r="H36" s="40"/>
      <c r="I36" s="40"/>
      <c r="J36" s="40"/>
      <c r="K36" s="40"/>
      <c r="L36" s="40"/>
      <c r="M36" s="40"/>
      <c r="N36" s="95"/>
      <c r="O36" s="40"/>
      <c r="P36" s="31" t="s">
        <v>92</v>
      </c>
      <c r="Q36" s="40"/>
      <c r="R36" s="56">
        <f>$R$31-$R$29</f>
        <v>2759962.0500000007</v>
      </c>
      <c r="S36" s="56">
        <f>$S$31-$S$29</f>
        <v>706742.65000000037</v>
      </c>
      <c r="T36" s="57">
        <f>$T$31-$T$29</f>
        <v>-32768.400000000023</v>
      </c>
      <c r="U36" s="26"/>
      <c r="V36" s="26"/>
      <c r="W36" s="26"/>
      <c r="X36" s="26"/>
      <c r="Y36" s="26"/>
      <c r="Z36" s="26"/>
      <c r="AA36" s="26"/>
      <c r="AB36" s="26"/>
      <c r="AC36" s="102"/>
      <c r="AD36" s="31" t="s">
        <v>92</v>
      </c>
      <c r="AE36" s="40"/>
      <c r="AF36" s="56">
        <f>$AF$31-$AF$29</f>
        <v>10395545.638435818</v>
      </c>
      <c r="AG36" s="56">
        <f>$AG$31-$AG$29</f>
        <v>39375668.664805718</v>
      </c>
      <c r="AH36" s="57">
        <f>$AH$31-$AH$29</f>
        <v>26017364.300505441</v>
      </c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</row>
    <row r="37" spans="1:56" x14ac:dyDescent="0.25">
      <c r="A37" s="26"/>
      <c r="B37" s="31" t="s">
        <v>93</v>
      </c>
      <c r="C37" s="40"/>
      <c r="D37" s="91">
        <f>$D$30-$D$31</f>
        <v>2309184</v>
      </c>
      <c r="E37" s="91">
        <f>$E$30-$E$31</f>
        <v>9289975.0000000075</v>
      </c>
      <c r="F37" s="92">
        <f>$F$30-$F$31</f>
        <v>3263536.6000000015</v>
      </c>
      <c r="G37" s="26"/>
      <c r="H37" s="40"/>
      <c r="I37" s="40"/>
      <c r="J37" s="40"/>
      <c r="K37" s="40"/>
      <c r="L37" s="40"/>
      <c r="M37" s="40"/>
      <c r="N37" s="95"/>
      <c r="O37" s="40"/>
      <c r="P37" s="31" t="s">
        <v>93</v>
      </c>
      <c r="Q37" s="40"/>
      <c r="R37" s="56">
        <f>$R$30-$R$31</f>
        <v>559992.30000000075</v>
      </c>
      <c r="S37" s="56">
        <f>$S$30-$S$31</f>
        <v>410366.70000000019</v>
      </c>
      <c r="T37" s="57">
        <f>$T$30-$T$31</f>
        <v>-119624.39999999997</v>
      </c>
      <c r="U37" s="26"/>
      <c r="V37" s="26"/>
      <c r="W37" s="26"/>
      <c r="X37" s="26"/>
      <c r="Y37" s="26"/>
      <c r="Z37" s="26"/>
      <c r="AA37" s="26"/>
      <c r="AB37" s="26"/>
      <c r="AC37" s="102"/>
      <c r="AD37" s="31" t="s">
        <v>93</v>
      </c>
      <c r="AE37" s="40"/>
      <c r="AF37" s="56">
        <f>$AF$30-$AF$31</f>
        <v>8741708.8323210329</v>
      </c>
      <c r="AG37" s="56">
        <f>$AG$30-$AG$31</f>
        <v>3202062.7549004257</v>
      </c>
      <c r="AH37" s="57">
        <f>$AH$30-$AH$31</f>
        <v>4144837.7331384048</v>
      </c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</row>
    <row r="38" spans="1:56" x14ac:dyDescent="0.25">
      <c r="A38" s="26"/>
      <c r="B38" s="31" t="s">
        <v>94</v>
      </c>
      <c r="C38" s="40"/>
      <c r="D38" s="91">
        <f>$D$32-$D$30</f>
        <v>14842584</v>
      </c>
      <c r="E38" s="91">
        <f>$E$32-$E$30</f>
        <v>57260750</v>
      </c>
      <c r="F38" s="92">
        <f>$F$32-$F$30</f>
        <v>79896925.099999994</v>
      </c>
      <c r="G38" s="26"/>
      <c r="H38" s="40"/>
      <c r="I38" s="40"/>
      <c r="J38" s="40"/>
      <c r="K38" s="40"/>
      <c r="L38" s="40"/>
      <c r="M38" s="40"/>
      <c r="N38" s="95"/>
      <c r="O38" s="40"/>
      <c r="P38" s="31" t="s">
        <v>94</v>
      </c>
      <c r="Q38" s="40"/>
      <c r="R38" s="56">
        <f>$R$32-$R$30</f>
        <v>12959821.799999999</v>
      </c>
      <c r="S38" s="56">
        <f>$S$32-$S$30</f>
        <v>2975158.5750000002</v>
      </c>
      <c r="T38" s="57">
        <f>$T$32-$T$30</f>
        <v>-329658.00000000006</v>
      </c>
      <c r="U38" s="26"/>
      <c r="V38" s="26"/>
      <c r="W38" s="26"/>
      <c r="X38" s="26"/>
      <c r="Y38" s="26"/>
      <c r="Z38" s="26"/>
      <c r="AA38" s="26"/>
      <c r="AB38" s="26"/>
      <c r="AC38" s="102"/>
      <c r="AD38" s="31" t="s">
        <v>94</v>
      </c>
      <c r="AE38" s="40"/>
      <c r="AF38" s="56">
        <f>$AF$32-$AF$30</f>
        <v>25242274.909329124</v>
      </c>
      <c r="AG38" s="56">
        <f>$AG$32-$AG$30</f>
        <v>11297580.882772699</v>
      </c>
      <c r="AH38" s="57">
        <f>$AH$32-$AH$30</f>
        <v>19309946.110405236</v>
      </c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</row>
    <row r="39" spans="1:56" x14ac:dyDescent="0.25">
      <c r="A39" s="26"/>
      <c r="B39" s="50" t="s">
        <v>95</v>
      </c>
      <c r="C39" s="51"/>
      <c r="D39" s="93">
        <f>$D$28-$D$32</f>
        <v>8747553.599999994</v>
      </c>
      <c r="E39" s="93">
        <f>$E$28-$E$32</f>
        <v>27221840</v>
      </c>
      <c r="F39" s="94">
        <f>$F$28-$F$32</f>
        <v>1802223.700000003</v>
      </c>
      <c r="G39" s="26"/>
      <c r="H39" s="40"/>
      <c r="I39" s="39"/>
      <c r="J39" s="40"/>
      <c r="K39" s="40"/>
      <c r="L39" s="40"/>
      <c r="M39" s="40"/>
      <c r="N39" s="95"/>
      <c r="O39" s="40"/>
      <c r="P39" s="50" t="s">
        <v>95</v>
      </c>
      <c r="Q39" s="51"/>
      <c r="R39" s="58">
        <f>$R$28-$R$32</f>
        <v>3159956.5500000007</v>
      </c>
      <c r="S39" s="58">
        <f>$S$28-$S$32</f>
        <v>2300333.334999999</v>
      </c>
      <c r="T39" s="59">
        <f>$T$28-$T$32</f>
        <v>-238459.19999999995</v>
      </c>
      <c r="U39" s="26"/>
      <c r="V39" s="26"/>
      <c r="W39" s="26"/>
      <c r="X39" s="26"/>
      <c r="Y39" s="26"/>
      <c r="Z39" s="26"/>
      <c r="AA39" s="26"/>
      <c r="AB39" s="26"/>
      <c r="AC39" s="102"/>
      <c r="AD39" s="50" t="s">
        <v>95</v>
      </c>
      <c r="AE39" s="51"/>
      <c r="AF39" s="58">
        <f>$AF$28-$AF$32</f>
        <v>8965370.5718146563</v>
      </c>
      <c r="AG39" s="58">
        <f>$AG$28-$AG$32</f>
        <v>11004058.463573486</v>
      </c>
      <c r="AH39" s="59">
        <f>$AH$28-$AH$32</f>
        <v>4939703.9868397117</v>
      </c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</row>
    <row r="40" spans="1:56" x14ac:dyDescent="0.25">
      <c r="A40" s="26"/>
      <c r="B40" s="26"/>
      <c r="C40" s="26"/>
      <c r="D40" s="26"/>
      <c r="E40" s="26"/>
      <c r="F40" s="26"/>
      <c r="G40" s="26"/>
      <c r="H40" s="40"/>
      <c r="I40" s="39"/>
      <c r="J40" s="40"/>
      <c r="K40" s="40"/>
      <c r="L40" s="40"/>
      <c r="M40" s="40"/>
      <c r="N40" s="95"/>
      <c r="O40" s="40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102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</row>
    <row r="41" spans="1:56" x14ac:dyDescent="0.25">
      <c r="A41" s="26"/>
      <c r="B41" s="61" t="s">
        <v>96</v>
      </c>
      <c r="C41" s="87">
        <v>30384000</v>
      </c>
      <c r="D41" s="62" t="s">
        <v>98</v>
      </c>
      <c r="E41" s="62"/>
      <c r="F41" s="63"/>
      <c r="G41" s="26"/>
      <c r="H41" s="40"/>
      <c r="I41" s="39"/>
      <c r="J41" s="40"/>
      <c r="K41" s="40"/>
      <c r="L41" s="40"/>
      <c r="M41" s="40"/>
      <c r="N41" s="95"/>
      <c r="O41" s="40"/>
      <c r="P41" s="61" t="s">
        <v>96</v>
      </c>
      <c r="Q41" s="99">
        <v>3999945</v>
      </c>
      <c r="R41" s="62" t="s">
        <v>98</v>
      </c>
      <c r="S41" s="62"/>
      <c r="T41" s="63"/>
      <c r="U41" s="26"/>
      <c r="V41" s="26"/>
      <c r="W41" s="26"/>
      <c r="X41" s="26"/>
      <c r="Y41" s="26"/>
      <c r="Z41" s="26"/>
      <c r="AA41" s="26"/>
      <c r="AB41" s="26"/>
      <c r="AC41" s="102"/>
      <c r="AD41" s="61" t="s">
        <v>96</v>
      </c>
      <c r="AE41" s="99">
        <v>31501653.449805502</v>
      </c>
      <c r="AF41" s="62" t="s">
        <v>98</v>
      </c>
      <c r="AG41" s="103" t="s">
        <v>113</v>
      </c>
      <c r="AH41" s="63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</row>
    <row r="42" spans="1:56" x14ac:dyDescent="0.25">
      <c r="A42" s="26"/>
      <c r="B42" s="64" t="s">
        <v>28</v>
      </c>
      <c r="C42" s="65">
        <v>11350000</v>
      </c>
      <c r="D42" s="66" t="s">
        <v>98</v>
      </c>
      <c r="E42" s="66"/>
      <c r="F42" s="67"/>
      <c r="G42" s="26"/>
      <c r="H42" s="40"/>
      <c r="I42" s="40"/>
      <c r="J42" s="40"/>
      <c r="K42" s="40"/>
      <c r="L42" s="40"/>
      <c r="M42" s="40"/>
      <c r="N42" s="95"/>
      <c r="O42" s="40"/>
      <c r="P42" s="64" t="s">
        <v>28</v>
      </c>
      <c r="Q42" s="100">
        <v>455963</v>
      </c>
      <c r="R42" s="66" t="s">
        <v>98</v>
      </c>
      <c r="S42" s="66"/>
      <c r="T42" s="67"/>
      <c r="U42" s="26"/>
      <c r="V42" s="26"/>
      <c r="W42" s="26"/>
      <c r="X42" s="26"/>
      <c r="Y42" s="26"/>
      <c r="Z42" s="26"/>
      <c r="AA42" s="26"/>
      <c r="AB42" s="26"/>
      <c r="AC42" s="102"/>
      <c r="AD42" s="64" t="s">
        <v>28</v>
      </c>
      <c r="AE42" s="100">
        <v>12129025.586743999</v>
      </c>
      <c r="AF42" s="66" t="s">
        <v>98</v>
      </c>
      <c r="AG42" s="66"/>
      <c r="AH42" s="67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</row>
    <row r="43" spans="1:56" x14ac:dyDescent="0.25">
      <c r="A43" s="26"/>
      <c r="B43" s="64" t="s">
        <v>97</v>
      </c>
      <c r="C43" s="65">
        <v>6221000</v>
      </c>
      <c r="D43" s="66" t="s">
        <v>98</v>
      </c>
      <c r="E43" s="66"/>
      <c r="F43" s="67"/>
      <c r="G43" s="26"/>
      <c r="H43" s="40"/>
      <c r="I43" s="40"/>
      <c r="J43" s="40"/>
      <c r="K43" s="40"/>
      <c r="L43" s="40"/>
      <c r="M43" s="40"/>
      <c r="N43" s="95"/>
      <c r="O43" s="40"/>
      <c r="P43" s="64" t="s">
        <v>97</v>
      </c>
      <c r="Q43" s="100">
        <v>-39480</v>
      </c>
      <c r="R43" s="66" t="s">
        <v>98</v>
      </c>
      <c r="S43" s="66"/>
      <c r="T43" s="67"/>
      <c r="U43" s="26"/>
      <c r="V43" s="26"/>
      <c r="W43" s="26"/>
      <c r="X43" s="26"/>
      <c r="Y43" s="26"/>
      <c r="Z43" s="26"/>
      <c r="AA43" s="26"/>
      <c r="AB43" s="26"/>
      <c r="AC43" s="102"/>
      <c r="AD43" s="64" t="s">
        <v>97</v>
      </c>
      <c r="AE43" s="100">
        <v>7119267.8343153503</v>
      </c>
      <c r="AF43" s="66" t="s">
        <v>98</v>
      </c>
      <c r="AG43" s="66"/>
      <c r="AH43" s="67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</row>
    <row r="44" spans="1:56" x14ac:dyDescent="0.25">
      <c r="A44" s="26"/>
      <c r="B44" s="33" t="s">
        <v>100</v>
      </c>
      <c r="C44" s="68">
        <v>76014000</v>
      </c>
      <c r="D44" s="69" t="s">
        <v>98</v>
      </c>
      <c r="E44" s="51"/>
      <c r="F44" s="70"/>
      <c r="G44" s="26"/>
      <c r="H44" s="40"/>
      <c r="I44" s="40"/>
      <c r="J44" s="40"/>
      <c r="K44" s="40"/>
      <c r="L44" s="40"/>
      <c r="M44" s="40"/>
      <c r="N44" s="95"/>
      <c r="O44" s="40"/>
      <c r="P44" s="33" t="s">
        <v>100</v>
      </c>
      <c r="Q44" s="101">
        <v>20056310</v>
      </c>
      <c r="R44" s="69" t="s">
        <v>98</v>
      </c>
      <c r="S44" s="51"/>
      <c r="T44" s="70"/>
      <c r="U44" s="26"/>
      <c r="V44" s="26"/>
      <c r="W44" s="26"/>
      <c r="X44" s="26"/>
      <c r="Y44" s="26"/>
      <c r="Z44" s="26"/>
      <c r="AA44" s="26"/>
      <c r="AB44" s="26"/>
      <c r="AC44" s="102"/>
      <c r="AD44" s="33" t="s">
        <v>100</v>
      </c>
      <c r="AE44" s="101">
        <v>85527</v>
      </c>
      <c r="AF44" s="69" t="s">
        <v>98</v>
      </c>
      <c r="AG44" s="47" t="s">
        <v>112</v>
      </c>
      <c r="AH44" s="70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</row>
    <row r="45" spans="1:56" x14ac:dyDescent="0.25">
      <c r="A45" s="26"/>
      <c r="B45" s="26"/>
      <c r="C45" s="26"/>
      <c r="D45" s="26"/>
      <c r="E45" s="26"/>
      <c r="F45" s="26"/>
      <c r="G45" s="26"/>
      <c r="H45" s="40"/>
      <c r="I45" s="40"/>
      <c r="J45" s="40"/>
      <c r="K45" s="40"/>
      <c r="L45" s="40"/>
      <c r="M45" s="40"/>
      <c r="N45" s="95"/>
      <c r="O45" s="40"/>
      <c r="P45" s="26"/>
      <c r="Q45" s="60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102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</row>
    <row r="46" spans="1:56" x14ac:dyDescent="0.25">
      <c r="A46" s="26"/>
      <c r="B46" s="22"/>
      <c r="C46" s="23" t="s">
        <v>47</v>
      </c>
      <c r="D46" s="21" t="s">
        <v>45</v>
      </c>
      <c r="E46" s="23" t="s">
        <v>43</v>
      </c>
      <c r="F46" s="23" t="s">
        <v>109</v>
      </c>
      <c r="G46" s="26"/>
      <c r="H46" s="26"/>
      <c r="I46" s="26"/>
      <c r="J46" s="26"/>
      <c r="K46" s="26"/>
      <c r="L46" s="26"/>
      <c r="M46" s="26"/>
      <c r="N46" s="95"/>
      <c r="O46" s="26"/>
      <c r="P46" s="22"/>
      <c r="Q46" s="23" t="s">
        <v>47</v>
      </c>
      <c r="R46" s="21" t="s">
        <v>45</v>
      </c>
      <c r="S46" s="23" t="s">
        <v>110</v>
      </c>
      <c r="T46" s="23" t="s">
        <v>106</v>
      </c>
      <c r="U46" s="26"/>
      <c r="V46" s="26"/>
      <c r="W46" s="26"/>
      <c r="X46" s="26"/>
      <c r="Y46" s="26"/>
      <c r="Z46" s="26"/>
      <c r="AA46" s="26"/>
      <c r="AB46" s="26"/>
      <c r="AC46" s="102"/>
      <c r="AD46" s="22"/>
      <c r="AE46" s="23" t="s">
        <v>47</v>
      </c>
      <c r="AF46" s="21" t="s">
        <v>45</v>
      </c>
      <c r="AG46" s="23" t="s">
        <v>110</v>
      </c>
      <c r="AH46" s="23" t="s">
        <v>109</v>
      </c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</row>
    <row r="47" spans="1:56" x14ac:dyDescent="0.25">
      <c r="A47" s="26"/>
      <c r="B47" s="66" t="s">
        <v>104</v>
      </c>
      <c r="C47" s="74">
        <f>F28</f>
        <v>123638642.40000001</v>
      </c>
      <c r="D47" s="71">
        <f>E28</f>
        <v>152410070</v>
      </c>
      <c r="E47" s="71">
        <f>D28</f>
        <v>79353892.799999997</v>
      </c>
      <c r="F47" s="71">
        <v>77449794.052937001</v>
      </c>
      <c r="G47" s="26"/>
      <c r="H47" s="26"/>
      <c r="I47" s="26"/>
      <c r="J47" s="26"/>
      <c r="K47" s="26"/>
      <c r="L47" s="26"/>
      <c r="M47" s="26"/>
      <c r="N47" s="95"/>
      <c r="O47" s="26"/>
      <c r="P47" s="66" t="s">
        <v>104</v>
      </c>
      <c r="Q47" s="74">
        <f>T28</f>
        <v>-1056090</v>
      </c>
      <c r="R47" s="71">
        <f>S28</f>
        <v>9666415.5999999996</v>
      </c>
      <c r="S47" s="96">
        <f>R29</f>
        <v>9759865.7999999989</v>
      </c>
      <c r="T47" s="97">
        <v>20060393.373204231</v>
      </c>
      <c r="U47" s="98"/>
      <c r="V47" s="97"/>
      <c r="W47" s="26"/>
      <c r="X47" s="26"/>
      <c r="Y47" s="26"/>
      <c r="Z47" s="26"/>
      <c r="AA47" s="26"/>
      <c r="AB47" s="26"/>
      <c r="AC47" s="102"/>
      <c r="AD47" s="66" t="s">
        <v>104</v>
      </c>
      <c r="AE47" s="74">
        <f>AH28</f>
        <v>86320410.564290196</v>
      </c>
      <c r="AF47" s="71">
        <f>AG28</f>
        <v>110207965.188832</v>
      </c>
      <c r="AG47" s="96">
        <f>AF29</f>
        <v>43384077.131072134</v>
      </c>
      <c r="AH47" s="104">
        <v>80000000</v>
      </c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</row>
    <row r="48" spans="1:56" x14ac:dyDescent="0.25">
      <c r="A48" s="26"/>
      <c r="B48" s="66" t="s">
        <v>105</v>
      </c>
      <c r="C48" s="74">
        <f>F29</f>
        <v>33047196.199999999</v>
      </c>
      <c r="D48" s="71">
        <f>E29</f>
        <v>48683555</v>
      </c>
      <c r="E48" s="71">
        <f>D29</f>
        <v>46982779.200000003</v>
      </c>
      <c r="F48" s="71">
        <v>51592687.382248297</v>
      </c>
      <c r="G48" s="26"/>
      <c r="H48" s="26"/>
      <c r="I48" s="26"/>
      <c r="J48" s="26"/>
      <c r="K48" s="26"/>
      <c r="L48" s="26"/>
      <c r="M48" s="26"/>
      <c r="N48" s="95"/>
      <c r="O48" s="26"/>
      <c r="P48" s="66" t="s">
        <v>105</v>
      </c>
      <c r="Q48" s="74">
        <f>T29</f>
        <v>-335580</v>
      </c>
      <c r="R48" s="71">
        <f>S29</f>
        <v>3273814.34</v>
      </c>
      <c r="S48" s="71">
        <f>R28</f>
        <v>29199598.5</v>
      </c>
      <c r="T48" s="26">
        <v>15253539.249087363</v>
      </c>
      <c r="U48" s="26"/>
      <c r="V48" s="26"/>
      <c r="W48" s="26"/>
      <c r="X48" s="26"/>
      <c r="Y48" s="26"/>
      <c r="Z48" s="26"/>
      <c r="AA48" s="26"/>
      <c r="AB48" s="26"/>
      <c r="AC48" s="102"/>
      <c r="AD48" s="66" t="s">
        <v>105</v>
      </c>
      <c r="AE48" s="74">
        <f>AH29</f>
        <v>31908558.433401402</v>
      </c>
      <c r="AF48" s="71">
        <f>AG29</f>
        <v>45328594.422779672</v>
      </c>
      <c r="AG48" s="71">
        <f>AF28</f>
        <v>96728977.082972765</v>
      </c>
      <c r="AH48" s="104">
        <v>50000000</v>
      </c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</row>
    <row r="49" spans="1:56" x14ac:dyDescent="0.25">
      <c r="A49" s="26"/>
      <c r="B49" s="72"/>
      <c r="C49" s="73"/>
      <c r="D49" s="73"/>
      <c r="E49" s="73"/>
      <c r="G49" s="26"/>
      <c r="H49" s="26"/>
      <c r="I49" s="26"/>
      <c r="J49" s="26"/>
      <c r="K49" s="26"/>
      <c r="L49" s="26"/>
      <c r="M49" s="26"/>
      <c r="N49" s="95"/>
      <c r="O49" s="26"/>
      <c r="P49" s="72"/>
      <c r="Q49" s="73"/>
      <c r="R49" s="73"/>
      <c r="S49" s="73"/>
      <c r="T49" s="73"/>
      <c r="U49" s="26"/>
      <c r="V49" s="26"/>
      <c r="W49" s="26"/>
      <c r="X49" s="26"/>
      <c r="Y49" s="26"/>
      <c r="Z49" s="26"/>
      <c r="AA49" s="26"/>
      <c r="AB49" s="26"/>
      <c r="AC49" s="102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</row>
    <row r="50" spans="1:56" x14ac:dyDescent="0.25">
      <c r="A50" s="26"/>
      <c r="B50" s="26"/>
      <c r="C50" s="60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95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102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</row>
    <row r="51" spans="1:56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95"/>
      <c r="O51" s="26"/>
      <c r="P51" s="26"/>
      <c r="Q51" s="60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102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</row>
    <row r="52" spans="1:56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95"/>
      <c r="O52" s="26"/>
      <c r="P52" s="26"/>
      <c r="Q52" s="60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102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</row>
    <row r="53" spans="1:56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95"/>
      <c r="O53" s="26"/>
      <c r="P53" s="26"/>
      <c r="Q53" s="60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102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</row>
    <row r="54" spans="1:56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95"/>
      <c r="O54" s="26"/>
      <c r="P54" s="26"/>
      <c r="Q54" s="60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102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</row>
    <row r="55" spans="1:56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95"/>
      <c r="O55" s="26"/>
      <c r="P55" s="26"/>
      <c r="Q55" s="60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102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</row>
    <row r="56" spans="1:56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95"/>
      <c r="O56" s="26"/>
      <c r="P56" s="26"/>
      <c r="Q56" s="60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102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</row>
    <row r="57" spans="1:56" x14ac:dyDescent="0.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95"/>
      <c r="O57" s="26"/>
      <c r="P57" s="26"/>
      <c r="Q57" s="60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102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</row>
    <row r="58" spans="1:56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95"/>
      <c r="O58" s="26"/>
      <c r="P58" s="26"/>
      <c r="Q58" s="60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102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</row>
    <row r="59" spans="1:56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95"/>
      <c r="O59" s="26"/>
      <c r="P59" s="26"/>
      <c r="Q59" s="60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102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</row>
    <row r="60" spans="1:56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95"/>
      <c r="O60" s="26"/>
      <c r="P60" s="26"/>
      <c r="Q60" s="60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102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</row>
    <row r="61" spans="1:56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95"/>
      <c r="O61" s="26"/>
      <c r="P61" s="26"/>
      <c r="Q61" s="60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102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</row>
    <row r="62" spans="1:56" x14ac:dyDescent="0.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95"/>
      <c r="O62" s="26"/>
      <c r="P62" s="26"/>
      <c r="Q62" s="60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102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</row>
    <row r="63" spans="1:56" x14ac:dyDescent="0.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95"/>
      <c r="O63" s="26"/>
      <c r="P63" s="26"/>
      <c r="Q63" s="60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102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</row>
    <row r="64" spans="1:56" x14ac:dyDescent="0.2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95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102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</row>
    <row r="65" spans="1:56" x14ac:dyDescent="0.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95"/>
      <c r="O65" s="26"/>
      <c r="P65" s="26"/>
      <c r="Q65" s="26"/>
      <c r="R65" s="26"/>
      <c r="S65" s="26"/>
      <c r="T65" s="26"/>
      <c r="U65" s="60"/>
      <c r="V65" s="26"/>
      <c r="W65" s="26"/>
      <c r="X65" s="26"/>
      <c r="Y65" s="26"/>
      <c r="Z65" s="26"/>
      <c r="AA65" s="26"/>
      <c r="AB65" s="26"/>
      <c r="AC65" s="102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</row>
    <row r="66" spans="1:56" x14ac:dyDescent="0.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95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102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</row>
    <row r="67" spans="1:56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95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102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</row>
    <row r="68" spans="1:56" x14ac:dyDescent="0.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95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102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</row>
    <row r="69" spans="1:56" x14ac:dyDescent="0.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95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102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</row>
    <row r="70" spans="1:56" x14ac:dyDescent="0.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95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102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</row>
    <row r="71" spans="1:56" x14ac:dyDescent="0.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95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102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</row>
    <row r="72" spans="1:56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95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102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</row>
    <row r="73" spans="1:56" x14ac:dyDescent="0.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95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102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</row>
    <row r="74" spans="1:56" x14ac:dyDescent="0.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95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102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</row>
    <row r="75" spans="1:56" x14ac:dyDescent="0.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95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102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</row>
    <row r="76" spans="1:56" x14ac:dyDescent="0.2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95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102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</row>
    <row r="77" spans="1:56" x14ac:dyDescent="0.2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95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102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</row>
    <row r="78" spans="1:56" x14ac:dyDescent="0.2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95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102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</row>
    <row r="79" spans="1:56" x14ac:dyDescent="0.2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95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102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</row>
    <row r="80" spans="1:56" x14ac:dyDescent="0.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95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102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</row>
    <row r="81" spans="1:56" x14ac:dyDescent="0.2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95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102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</row>
    <row r="82" spans="1:56" x14ac:dyDescent="0.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95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102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</row>
    <row r="83" spans="1:56" x14ac:dyDescent="0.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95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102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</row>
    <row r="84" spans="1:56" x14ac:dyDescent="0.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95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102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</row>
    <row r="85" spans="1:56" x14ac:dyDescent="0.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95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102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</row>
    <row r="86" spans="1:56" x14ac:dyDescent="0.2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95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102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</row>
    <row r="87" spans="1:56" x14ac:dyDescent="0.2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95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102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</row>
    <row r="88" spans="1:56" x14ac:dyDescent="0.2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95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102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</row>
    <row r="89" spans="1:56" x14ac:dyDescent="0.2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95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102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</row>
    <row r="90" spans="1:56" x14ac:dyDescent="0.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95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102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</row>
    <row r="91" spans="1:56" x14ac:dyDescent="0.2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95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102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</row>
    <row r="92" spans="1:56" x14ac:dyDescent="0.2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95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102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</row>
    <row r="93" spans="1:56" x14ac:dyDescent="0.2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95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102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</row>
    <row r="94" spans="1:56" x14ac:dyDescent="0.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95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102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</row>
    <row r="95" spans="1:56" x14ac:dyDescent="0.2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95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102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</row>
    <row r="96" spans="1:56" x14ac:dyDescent="0.2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95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102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</row>
    <row r="97" spans="1:56" x14ac:dyDescent="0.2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95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102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</row>
    <row r="98" spans="1:56" x14ac:dyDescent="0.2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</row>
    <row r="99" spans="1:56" x14ac:dyDescent="0.2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</row>
    <row r="100" spans="1:56" x14ac:dyDescent="0.2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</row>
    <row r="101" spans="1:56" x14ac:dyDescent="0.2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</row>
    <row r="102" spans="1:56" x14ac:dyDescent="0.2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</row>
    <row r="103" spans="1:56" x14ac:dyDescent="0.2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</row>
    <row r="104" spans="1:56" x14ac:dyDescent="0.2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</row>
    <row r="105" spans="1:56" x14ac:dyDescent="0.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</row>
    <row r="106" spans="1:56" x14ac:dyDescent="0.2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</row>
    <row r="107" spans="1:56" x14ac:dyDescent="0.2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</row>
  </sheetData>
  <mergeCells count="3">
    <mergeCell ref="B2:F3"/>
    <mergeCell ref="P2:T3"/>
    <mergeCell ref="AD2:AH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N73"/>
  <sheetViews>
    <sheetView topLeftCell="A40" workbookViewId="0">
      <selection activeCell="J65" sqref="J65"/>
    </sheetView>
  </sheetViews>
  <sheetFormatPr baseColWidth="10" defaultColWidth="8.85546875" defaultRowHeight="15" x14ac:dyDescent="0.25"/>
  <sheetData>
    <row r="2" spans="2:35" ht="20.2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O2" s="3" t="s">
        <v>29</v>
      </c>
      <c r="P2" s="3"/>
      <c r="Q2" s="4" t="s">
        <v>2</v>
      </c>
      <c r="R2" s="4" t="s">
        <v>3</v>
      </c>
      <c r="S2" s="4" t="s">
        <v>4</v>
      </c>
      <c r="T2" s="4" t="s">
        <v>5</v>
      </c>
      <c r="U2" s="4" t="s">
        <v>6</v>
      </c>
      <c r="V2" s="4" t="s">
        <v>7</v>
      </c>
      <c r="W2" s="4" t="s">
        <v>8</v>
      </c>
      <c r="X2" s="4" t="s">
        <v>9</v>
      </c>
      <c r="Y2" s="4" t="s">
        <v>10</v>
      </c>
      <c r="Z2" s="4" t="s">
        <v>11</v>
      </c>
    </row>
    <row r="3" spans="2:35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O3" s="7" t="s">
        <v>30</v>
      </c>
      <c r="P3" s="7" t="s">
        <v>31</v>
      </c>
      <c r="Q3" s="9">
        <v>15.070600000000001</v>
      </c>
      <c r="R3" s="9">
        <v>16.069900000000001</v>
      </c>
      <c r="S3" s="9">
        <v>26.0594</v>
      </c>
      <c r="T3" s="9">
        <v>20.881900000000002</v>
      </c>
      <c r="U3" s="9">
        <v>12.988799999999999</v>
      </c>
      <c r="V3" s="9">
        <v>15.0038</v>
      </c>
      <c r="W3" s="9">
        <v>12.872400000000001</v>
      </c>
      <c r="X3" s="9">
        <v>16.131699999999999</v>
      </c>
      <c r="Y3" s="9">
        <v>17.8916</v>
      </c>
      <c r="Z3" s="9">
        <v>32.176000000000002</v>
      </c>
      <c r="AD3" s="7" t="s">
        <v>30</v>
      </c>
      <c r="AE3" s="9">
        <v>12.872400000000001</v>
      </c>
      <c r="AF3" s="9">
        <v>35.222900000000003</v>
      </c>
      <c r="AG3" s="9">
        <v>8.1351999999999993</v>
      </c>
      <c r="AH3" s="9">
        <v>38.629300000000001</v>
      </c>
      <c r="AI3" s="9">
        <v>7.5651999999999999</v>
      </c>
    </row>
    <row r="4" spans="2:35" x14ac:dyDescent="0.25">
      <c r="B4" s="3" t="s">
        <v>1</v>
      </c>
      <c r="C4" s="3"/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O4" s="7" t="s">
        <v>32</v>
      </c>
      <c r="P4" s="7" t="s">
        <v>33</v>
      </c>
      <c r="Q4" s="9">
        <v>4.8894000000000002</v>
      </c>
      <c r="R4" s="9">
        <v>4.0125000000000002</v>
      </c>
      <c r="S4" s="9">
        <v>5.1685999999999996</v>
      </c>
      <c r="T4" s="9">
        <v>4.9565000000000001</v>
      </c>
      <c r="U4" s="9">
        <v>3.7492999999999999</v>
      </c>
      <c r="V4" s="9">
        <v>2.9072</v>
      </c>
      <c r="W4" s="9">
        <v>2.8632</v>
      </c>
      <c r="X4" s="9">
        <v>3.7214</v>
      </c>
      <c r="Y4" s="9">
        <v>3.8994</v>
      </c>
      <c r="Z4" s="9">
        <v>5.7554999999999996</v>
      </c>
      <c r="AD4" s="7" t="s">
        <v>32</v>
      </c>
      <c r="AE4" s="9">
        <v>2.8632</v>
      </c>
      <c r="AF4" s="9">
        <v>2.4281999999999999</v>
      </c>
      <c r="AG4" s="9">
        <v>2.7652000000000001</v>
      </c>
      <c r="AH4" s="9">
        <v>7.2503000000000002</v>
      </c>
      <c r="AI4" s="9">
        <v>3.2532999999999999</v>
      </c>
    </row>
    <row r="5" spans="2:35" x14ac:dyDescent="0.25">
      <c r="B5" s="5" t="s">
        <v>12</v>
      </c>
      <c r="C5" s="5"/>
      <c r="D5" s="6" t="s">
        <v>13</v>
      </c>
      <c r="E5" s="6" t="s">
        <v>14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19</v>
      </c>
      <c r="K5" s="6" t="s">
        <v>20</v>
      </c>
      <c r="L5" s="6" t="s">
        <v>21</v>
      </c>
      <c r="M5" s="6" t="s">
        <v>22</v>
      </c>
      <c r="O5" s="7" t="s">
        <v>34</v>
      </c>
      <c r="P5" s="7" t="s">
        <v>35</v>
      </c>
      <c r="Q5" s="9">
        <v>14.5387</v>
      </c>
      <c r="R5" s="9">
        <v>10.074299999999999</v>
      </c>
      <c r="S5" s="9">
        <v>15.6012</v>
      </c>
      <c r="T5" s="9">
        <v>12.3643</v>
      </c>
      <c r="U5" s="9">
        <v>7.3280000000000003</v>
      </c>
      <c r="V5" s="9">
        <v>6.3834999999999997</v>
      </c>
      <c r="W5" s="9">
        <v>6.3276000000000003</v>
      </c>
      <c r="X5" s="9">
        <v>8.1948000000000008</v>
      </c>
      <c r="Y5" s="9" t="s">
        <v>36</v>
      </c>
      <c r="Z5" s="9">
        <v>15.195</v>
      </c>
      <c r="AD5" s="7" t="s">
        <v>34</v>
      </c>
      <c r="AE5" s="9">
        <v>6.3276000000000003</v>
      </c>
      <c r="AF5" s="9" t="s">
        <v>36</v>
      </c>
      <c r="AG5" s="9">
        <v>54.214300000000001</v>
      </c>
      <c r="AH5" s="9" t="s">
        <v>36</v>
      </c>
      <c r="AI5" s="9">
        <v>5.3155999999999999</v>
      </c>
    </row>
    <row r="6" spans="2:35" x14ac:dyDescent="0.25">
      <c r="B6" s="7" t="s">
        <v>23</v>
      </c>
      <c r="C6" s="7" t="s">
        <v>24</v>
      </c>
      <c r="D6" s="8">
        <v>49882.14</v>
      </c>
      <c r="E6" s="8">
        <v>44971.86</v>
      </c>
      <c r="F6" s="8">
        <v>51639.839999999997</v>
      </c>
      <c r="G6" s="8">
        <v>52350.48</v>
      </c>
      <c r="H6" s="8">
        <v>45895.5</v>
      </c>
      <c r="I6" s="8">
        <v>43152.25</v>
      </c>
      <c r="J6" s="8">
        <v>44989.52</v>
      </c>
      <c r="K6" s="8">
        <v>59379.4</v>
      </c>
      <c r="L6" s="8">
        <v>53121.7</v>
      </c>
      <c r="M6" s="8">
        <v>87219.15</v>
      </c>
      <c r="O6" s="7" t="s">
        <v>37</v>
      </c>
      <c r="P6" s="7" t="s">
        <v>38</v>
      </c>
      <c r="Q6" s="9">
        <v>2.5672999999999999</v>
      </c>
      <c r="R6" s="9">
        <v>2.3353999999999999</v>
      </c>
      <c r="S6" s="9">
        <v>2.9895</v>
      </c>
      <c r="T6" s="9">
        <v>2.8717000000000001</v>
      </c>
      <c r="U6" s="9">
        <v>2.5947</v>
      </c>
      <c r="V6" s="9">
        <v>2.6501000000000001</v>
      </c>
      <c r="W6" s="9">
        <v>2.3281000000000001</v>
      </c>
      <c r="X6" s="9">
        <v>2.82</v>
      </c>
      <c r="Y6" s="9">
        <v>3.0887000000000002</v>
      </c>
      <c r="Z6" s="9">
        <v>5.3327999999999998</v>
      </c>
      <c r="AD6" s="7" t="s">
        <v>37</v>
      </c>
      <c r="AE6" s="9">
        <v>2.3281000000000001</v>
      </c>
      <c r="AF6" s="9">
        <v>1.3033000000000001</v>
      </c>
      <c r="AG6" s="9">
        <v>1.9691000000000001</v>
      </c>
      <c r="AH6" s="9">
        <v>2.2208000000000001</v>
      </c>
      <c r="AI6" s="9">
        <v>1.6791</v>
      </c>
    </row>
    <row r="7" spans="2:35" x14ac:dyDescent="0.25">
      <c r="B7" s="7" t="s">
        <v>25</v>
      </c>
      <c r="C7" s="7" t="s">
        <v>26</v>
      </c>
      <c r="D7" s="8">
        <v>19380</v>
      </c>
      <c r="E7" s="8">
        <v>19207</v>
      </c>
      <c r="F7" s="8">
        <v>17256</v>
      </c>
      <c r="G7" s="8">
        <v>18193</v>
      </c>
      <c r="H7" s="8">
        <v>17715</v>
      </c>
      <c r="I7" s="8">
        <v>18808</v>
      </c>
      <c r="J7" s="8">
        <v>19484</v>
      </c>
      <c r="K7" s="8">
        <v>21244</v>
      </c>
      <c r="L7" s="8">
        <v>17621</v>
      </c>
      <c r="M7" s="8">
        <v>16385</v>
      </c>
      <c r="O7" s="7" t="s">
        <v>39</v>
      </c>
      <c r="P7" s="7" t="s">
        <v>40</v>
      </c>
      <c r="Q7" s="9">
        <v>15.6656</v>
      </c>
      <c r="R7" s="9">
        <v>24.431899999999999</v>
      </c>
      <c r="S7" s="9">
        <v>24.765799999999999</v>
      </c>
      <c r="T7" s="9">
        <v>16.569700000000001</v>
      </c>
      <c r="U7" s="9">
        <v>12.3996</v>
      </c>
      <c r="V7" s="9">
        <v>12.2616</v>
      </c>
      <c r="W7" s="9">
        <v>10.100300000000001</v>
      </c>
      <c r="X7" s="9">
        <v>12.377700000000001</v>
      </c>
      <c r="Y7" s="9">
        <v>7.8411</v>
      </c>
      <c r="Z7" s="9">
        <v>24.648399999999999</v>
      </c>
      <c r="AD7" s="7" t="s">
        <v>39</v>
      </c>
      <c r="AE7" s="9">
        <v>10.100300000000001</v>
      </c>
      <c r="AF7" s="9">
        <v>8.6136999999999997</v>
      </c>
      <c r="AG7" s="9">
        <v>6.0355999999999996</v>
      </c>
      <c r="AH7" s="9">
        <v>10.2577</v>
      </c>
      <c r="AI7" s="9">
        <v>5.6509</v>
      </c>
    </row>
    <row r="8" spans="2:35" x14ac:dyDescent="0.25">
      <c r="B8" s="7" t="s">
        <v>27</v>
      </c>
      <c r="C8" s="7" t="s">
        <v>28</v>
      </c>
      <c r="D8" s="8">
        <v>5608</v>
      </c>
      <c r="E8" s="8">
        <v>5054</v>
      </c>
      <c r="F8" s="8">
        <v>3313</v>
      </c>
      <c r="G8" s="8">
        <v>4059</v>
      </c>
      <c r="H8" s="8">
        <v>4382</v>
      </c>
      <c r="I8" s="8">
        <v>5871</v>
      </c>
      <c r="J8" s="8">
        <v>6880</v>
      </c>
      <c r="K8" s="8">
        <v>7586</v>
      </c>
      <c r="L8" s="8">
        <v>5252</v>
      </c>
      <c r="M8" s="8">
        <v>3911</v>
      </c>
      <c r="O8" s="7" t="s">
        <v>41</v>
      </c>
      <c r="P8" s="7" t="s">
        <v>42</v>
      </c>
      <c r="Q8" s="9">
        <v>19.901599999999998</v>
      </c>
      <c r="R8" s="9">
        <v>40.853299999999997</v>
      </c>
      <c r="S8" s="9">
        <v>39.743600000000001</v>
      </c>
      <c r="T8" s="9">
        <v>22.616599999999998</v>
      </c>
      <c r="U8" s="9">
        <v>16.617999999999999</v>
      </c>
      <c r="V8" s="9">
        <v>14.945600000000001</v>
      </c>
      <c r="W8" s="9">
        <v>11.1532</v>
      </c>
      <c r="X8" s="9">
        <v>13.3932</v>
      </c>
      <c r="Y8" s="9">
        <v>8.5132999999999992</v>
      </c>
      <c r="Z8" s="9">
        <v>29.0487</v>
      </c>
      <c r="AD8" s="7" t="s">
        <v>41</v>
      </c>
      <c r="AE8" s="9">
        <v>11.1532</v>
      </c>
      <c r="AF8" s="9">
        <v>12.0501</v>
      </c>
      <c r="AG8" s="9">
        <v>6.5100999999999996</v>
      </c>
      <c r="AH8" s="9">
        <v>12.284000000000001</v>
      </c>
      <c r="AI8" s="9">
        <v>6.2874999999999996</v>
      </c>
    </row>
    <row r="9" spans="2:35" x14ac:dyDescent="0.25">
      <c r="O9" s="7" t="s">
        <v>43</v>
      </c>
      <c r="P9" s="7" t="s">
        <v>44</v>
      </c>
      <c r="Q9" s="9">
        <v>2.7221000000000002</v>
      </c>
      <c r="R9" s="9">
        <v>2.4870000000000001</v>
      </c>
      <c r="S9" s="9">
        <v>3.1909000000000001</v>
      </c>
      <c r="T9" s="9">
        <v>3.1</v>
      </c>
      <c r="U9" s="9">
        <v>2.4922</v>
      </c>
      <c r="V9" s="9">
        <v>2.0371999999999999</v>
      </c>
      <c r="W9" s="9">
        <v>2.0358999999999998</v>
      </c>
      <c r="X9" s="9">
        <v>2.5013999999999998</v>
      </c>
      <c r="Y9" s="9">
        <v>3.0747</v>
      </c>
      <c r="Z9" s="9">
        <v>5.3323</v>
      </c>
      <c r="AD9" s="7" t="s">
        <v>43</v>
      </c>
      <c r="AE9" s="9">
        <v>2.0358999999999998</v>
      </c>
      <c r="AF9" s="9">
        <v>1.5463</v>
      </c>
      <c r="AG9" s="9">
        <v>1.8353000000000002</v>
      </c>
      <c r="AH9" s="9">
        <v>2.6116999999999999</v>
      </c>
      <c r="AI9" s="9">
        <v>1.7593000000000001</v>
      </c>
    </row>
    <row r="10" spans="2:35" x14ac:dyDescent="0.25">
      <c r="O10" s="7" t="s">
        <v>45</v>
      </c>
      <c r="P10" s="7" t="s">
        <v>46</v>
      </c>
      <c r="Q10" s="9">
        <v>9.4069000000000003</v>
      </c>
      <c r="R10" s="9">
        <v>9.4514999999999993</v>
      </c>
      <c r="S10" s="9">
        <v>16.619900000000001</v>
      </c>
      <c r="T10" s="9">
        <v>13.894399999999999</v>
      </c>
      <c r="U10" s="9">
        <v>10.074999999999999</v>
      </c>
      <c r="V10" s="9">
        <v>7.1246</v>
      </c>
      <c r="W10" s="9">
        <v>5.9847999999999999</v>
      </c>
      <c r="X10" s="9">
        <v>7.2476000000000003</v>
      </c>
      <c r="Y10" s="9">
        <v>18.421900000000001</v>
      </c>
      <c r="Z10" s="9">
        <v>22.6404</v>
      </c>
      <c r="AD10" s="7" t="s">
        <v>45</v>
      </c>
      <c r="AE10" s="9">
        <v>5.9847999999999999</v>
      </c>
      <c r="AF10" s="9">
        <v>8.6313999999999993</v>
      </c>
      <c r="AG10" s="9">
        <v>4.2892999999999999</v>
      </c>
      <c r="AH10" s="9">
        <v>13.4282</v>
      </c>
      <c r="AI10" s="9">
        <v>5.1662999999999997</v>
      </c>
    </row>
    <row r="11" spans="2:35" x14ac:dyDescent="0.25">
      <c r="O11" s="7" t="s">
        <v>47</v>
      </c>
      <c r="P11" s="7" t="s">
        <v>48</v>
      </c>
      <c r="Q11" s="9">
        <v>11.226699999999999</v>
      </c>
      <c r="R11" s="9">
        <v>11.5801</v>
      </c>
      <c r="S11" s="9">
        <v>23.077000000000002</v>
      </c>
      <c r="T11" s="9">
        <v>17.8079</v>
      </c>
      <c r="U11" s="9">
        <v>12.3804</v>
      </c>
      <c r="V11" s="9">
        <v>8.2029999999999994</v>
      </c>
      <c r="W11" s="9">
        <v>6.7416</v>
      </c>
      <c r="X11" s="9">
        <v>8.1364999999999998</v>
      </c>
      <c r="Y11" s="9">
        <v>23.972899999999999</v>
      </c>
      <c r="Z11" s="9">
        <v>28.22</v>
      </c>
      <c r="AD11" s="7" t="s">
        <v>47</v>
      </c>
      <c r="AE11" s="9">
        <v>6.7416</v>
      </c>
      <c r="AF11" s="9">
        <v>19.874400000000001</v>
      </c>
      <c r="AG11" s="9">
        <v>5.3121999999999998</v>
      </c>
      <c r="AH11" s="9">
        <v>19.295000000000002</v>
      </c>
      <c r="AI11" s="9">
        <v>6.2169999999999996</v>
      </c>
    </row>
    <row r="12" spans="2:35" x14ac:dyDescent="0.25">
      <c r="O12" s="7" t="s">
        <v>49</v>
      </c>
      <c r="P12" s="7" t="s">
        <v>50</v>
      </c>
      <c r="Q12" s="9">
        <v>25.62</v>
      </c>
      <c r="R12" s="9">
        <v>22.98</v>
      </c>
      <c r="S12" s="9">
        <v>26.32</v>
      </c>
      <c r="T12" s="9">
        <v>26.52</v>
      </c>
      <c r="U12" s="9">
        <v>23.25</v>
      </c>
      <c r="V12" s="9">
        <v>25.25</v>
      </c>
      <c r="W12" s="9">
        <v>26.48</v>
      </c>
      <c r="X12" s="9">
        <v>35.24</v>
      </c>
      <c r="Y12" s="9">
        <v>32.590000000000003</v>
      </c>
      <c r="Z12" s="9">
        <v>53.15</v>
      </c>
      <c r="AD12" s="7" t="s">
        <v>49</v>
      </c>
      <c r="AE12" s="9">
        <v>26.48</v>
      </c>
      <c r="AF12" s="9">
        <v>55.3</v>
      </c>
      <c r="AG12" s="9">
        <v>45.556899999999999</v>
      </c>
      <c r="AH12" s="9">
        <v>12.4</v>
      </c>
      <c r="AI12" s="9">
        <v>35.04</v>
      </c>
    </row>
    <row r="13" spans="2:35" x14ac:dyDescent="0.25">
      <c r="O13" s="7" t="s">
        <v>51</v>
      </c>
      <c r="P13" s="7" t="s">
        <v>52</v>
      </c>
      <c r="Q13" s="8">
        <v>52754.14</v>
      </c>
      <c r="R13" s="8">
        <v>47767.86</v>
      </c>
      <c r="S13" s="8">
        <v>55061.84</v>
      </c>
      <c r="T13" s="8">
        <v>56397.48</v>
      </c>
      <c r="U13" s="8">
        <v>44148.5</v>
      </c>
      <c r="V13" s="8">
        <v>38316.25</v>
      </c>
      <c r="W13" s="8">
        <v>39667.519999999997</v>
      </c>
      <c r="X13" s="8">
        <v>53139.4</v>
      </c>
      <c r="Y13" s="8">
        <v>54178.7</v>
      </c>
      <c r="Z13" s="8">
        <v>87369.15</v>
      </c>
      <c r="AD13" s="7" t="s">
        <v>51</v>
      </c>
      <c r="AE13" s="8">
        <v>39667.519999999997</v>
      </c>
      <c r="AF13" s="8">
        <v>54257.213799999998</v>
      </c>
      <c r="AG13" s="8">
        <v>61058.672100000003</v>
      </c>
      <c r="AH13" s="8">
        <v>74150.673800000004</v>
      </c>
      <c r="AI13" s="8">
        <v>40598.516199999998</v>
      </c>
    </row>
    <row r="16" spans="2:35" ht="20.25" x14ac:dyDescent="0.25">
      <c r="B16" s="1" t="s">
        <v>53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O16" s="3" t="s">
        <v>55</v>
      </c>
      <c r="P16" s="3"/>
      <c r="Q16" s="4" t="s">
        <v>2</v>
      </c>
      <c r="R16" s="4" t="s">
        <v>3</v>
      </c>
      <c r="S16" s="4" t="s">
        <v>4</v>
      </c>
      <c r="T16" s="4" t="s">
        <v>5</v>
      </c>
      <c r="U16" s="4" t="s">
        <v>6</v>
      </c>
      <c r="V16" s="4" t="s">
        <v>7</v>
      </c>
      <c r="W16" s="4" t="s">
        <v>8</v>
      </c>
      <c r="X16" s="4" t="s">
        <v>9</v>
      </c>
      <c r="Y16" s="4" t="s">
        <v>10</v>
      </c>
      <c r="Z16" s="4" t="s">
        <v>11</v>
      </c>
    </row>
    <row r="17" spans="2:40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O17" s="5" t="s">
        <v>12</v>
      </c>
      <c r="P17" s="5"/>
      <c r="Q17" s="6" t="s">
        <v>13</v>
      </c>
      <c r="R17" s="6" t="s">
        <v>14</v>
      </c>
      <c r="S17" s="6" t="s">
        <v>15</v>
      </c>
      <c r="T17" s="6" t="s">
        <v>16</v>
      </c>
      <c r="U17" s="6" t="s">
        <v>17</v>
      </c>
      <c r="V17" s="6" t="s">
        <v>18</v>
      </c>
      <c r="W17" s="6" t="s">
        <v>19</v>
      </c>
      <c r="X17" s="6" t="s">
        <v>20</v>
      </c>
      <c r="Y17" s="6" t="s">
        <v>21</v>
      </c>
      <c r="Z17" s="6" t="s">
        <v>22</v>
      </c>
    </row>
    <row r="18" spans="2:40" x14ac:dyDescent="0.25">
      <c r="B18" s="3" t="s">
        <v>54</v>
      </c>
      <c r="C18" s="3"/>
      <c r="D18" s="4" t="s">
        <v>2</v>
      </c>
      <c r="E18" s="4" t="s">
        <v>3</v>
      </c>
      <c r="F18" s="4" t="s">
        <v>4</v>
      </c>
      <c r="G18" s="4" t="s">
        <v>5</v>
      </c>
      <c r="H18" s="4" t="s">
        <v>6</v>
      </c>
      <c r="I18" s="4" t="s">
        <v>7</v>
      </c>
      <c r="J18" s="4" t="s">
        <v>8</v>
      </c>
      <c r="K18" s="4" t="s">
        <v>9</v>
      </c>
      <c r="L18" s="4" t="s">
        <v>10</v>
      </c>
      <c r="M18" s="4" t="s">
        <v>11</v>
      </c>
      <c r="O18" s="7" t="s">
        <v>30</v>
      </c>
      <c r="P18" s="7" t="s">
        <v>31</v>
      </c>
      <c r="Q18" s="9">
        <v>24.2136</v>
      </c>
      <c r="R18" s="9">
        <v>18.7713</v>
      </c>
      <c r="S18" s="9">
        <v>20.37</v>
      </c>
      <c r="T18" s="9">
        <v>21.426100000000002</v>
      </c>
      <c r="U18" s="9">
        <v>18.716200000000001</v>
      </c>
      <c r="V18" s="9">
        <v>32.9176</v>
      </c>
      <c r="W18" s="9">
        <v>35.222900000000003</v>
      </c>
      <c r="X18" s="9">
        <v>16.521699999999999</v>
      </c>
      <c r="Y18" s="9">
        <v>24.704499999999999</v>
      </c>
      <c r="Z18" s="9">
        <v>26.411899999999999</v>
      </c>
    </row>
    <row r="19" spans="2:40" x14ac:dyDescent="0.25">
      <c r="B19" s="5" t="s">
        <v>12</v>
      </c>
      <c r="C19" s="5"/>
      <c r="D19" s="6" t="s">
        <v>13</v>
      </c>
      <c r="E19" s="6" t="s">
        <v>14</v>
      </c>
      <c r="F19" s="6" t="s">
        <v>15</v>
      </c>
      <c r="G19" s="6" t="s">
        <v>16</v>
      </c>
      <c r="H19" s="6" t="s">
        <v>17</v>
      </c>
      <c r="I19" s="6" t="s">
        <v>18</v>
      </c>
      <c r="J19" s="6" t="s">
        <v>19</v>
      </c>
      <c r="K19" s="6" t="s">
        <v>20</v>
      </c>
      <c r="L19" s="6" t="s">
        <v>21</v>
      </c>
      <c r="M19" s="6" t="s">
        <v>22</v>
      </c>
      <c r="O19" s="7" t="s">
        <v>32</v>
      </c>
      <c r="P19" s="7" t="s">
        <v>33</v>
      </c>
      <c r="Q19" s="9">
        <v>1.6816</v>
      </c>
      <c r="R19" s="9">
        <v>2.3268</v>
      </c>
      <c r="S19" s="9">
        <v>2.4390000000000001</v>
      </c>
      <c r="T19" s="9">
        <v>2.8479000000000001</v>
      </c>
      <c r="U19" s="9">
        <v>1.9527999999999999</v>
      </c>
      <c r="V19" s="9">
        <v>2.4489000000000001</v>
      </c>
      <c r="W19" s="9">
        <v>2.4281999999999999</v>
      </c>
      <c r="X19" s="9">
        <v>2.1263000000000001</v>
      </c>
      <c r="Y19" s="9">
        <v>3.222</v>
      </c>
      <c r="Z19" s="9">
        <v>4.0693000000000001</v>
      </c>
      <c r="AD19" s="7" t="s">
        <v>30</v>
      </c>
      <c r="AE19" s="7" t="s">
        <v>32</v>
      </c>
      <c r="AF19" s="7" t="s">
        <v>34</v>
      </c>
      <c r="AG19" s="7" t="s">
        <v>37</v>
      </c>
      <c r="AH19" s="7" t="s">
        <v>39</v>
      </c>
      <c r="AI19" s="7" t="s">
        <v>41</v>
      </c>
      <c r="AJ19" s="7" t="s">
        <v>43</v>
      </c>
      <c r="AK19" s="7" t="s">
        <v>45</v>
      </c>
      <c r="AL19" s="7" t="s">
        <v>47</v>
      </c>
      <c r="AM19" s="7" t="s">
        <v>49</v>
      </c>
      <c r="AN19" s="7" t="s">
        <v>51</v>
      </c>
    </row>
    <row r="20" spans="2:40" x14ac:dyDescent="0.25">
      <c r="B20" s="7" t="s">
        <v>23</v>
      </c>
      <c r="C20" s="7" t="s">
        <v>24</v>
      </c>
      <c r="D20" s="8">
        <v>18214.727500000001</v>
      </c>
      <c r="E20" s="8">
        <v>25773.7664</v>
      </c>
      <c r="F20" s="8">
        <v>31139.289799999999</v>
      </c>
      <c r="G20" s="8">
        <v>47656.718699999998</v>
      </c>
      <c r="H20" s="8">
        <v>31758.460999999999</v>
      </c>
      <c r="I20" s="8">
        <v>46275.999300000003</v>
      </c>
      <c r="J20" s="8">
        <v>45730.213799999998</v>
      </c>
      <c r="K20" s="8">
        <v>40851.221700000002</v>
      </c>
      <c r="L20" s="8">
        <v>59449.277900000001</v>
      </c>
      <c r="M20" s="8">
        <v>84307.328999999998</v>
      </c>
      <c r="O20" s="7" t="s">
        <v>34</v>
      </c>
      <c r="P20" s="7" t="s">
        <v>35</v>
      </c>
      <c r="Q20" s="9" t="s">
        <v>36</v>
      </c>
      <c r="R20" s="9" t="s">
        <v>36</v>
      </c>
      <c r="S20" s="9" t="s">
        <v>36</v>
      </c>
      <c r="T20" s="9" t="s">
        <v>36</v>
      </c>
      <c r="U20" s="9" t="s">
        <v>36</v>
      </c>
      <c r="V20" s="9" t="s">
        <v>36</v>
      </c>
      <c r="W20" s="9" t="s">
        <v>36</v>
      </c>
      <c r="X20" s="9" t="s">
        <v>36</v>
      </c>
      <c r="Y20" s="9" t="s">
        <v>36</v>
      </c>
      <c r="Z20" s="9">
        <v>43.412599999999998</v>
      </c>
      <c r="AC20" t="s">
        <v>0</v>
      </c>
      <c r="AD20" s="9">
        <v>12.872400000000001</v>
      </c>
      <c r="AE20" s="9">
        <v>2.8632</v>
      </c>
      <c r="AF20" s="9">
        <v>6.3276000000000003</v>
      </c>
      <c r="AG20" s="9">
        <v>2.3281000000000001</v>
      </c>
      <c r="AH20" s="9">
        <v>10.100300000000001</v>
      </c>
      <c r="AI20" s="9">
        <v>11.1532</v>
      </c>
      <c r="AJ20" s="9">
        <v>2.0358999999999998</v>
      </c>
      <c r="AK20" s="9">
        <v>5.9847999999999999</v>
      </c>
      <c r="AL20" s="9">
        <v>6.7416</v>
      </c>
      <c r="AM20" s="9">
        <v>26.48</v>
      </c>
      <c r="AN20" s="8">
        <v>39667.519999999997</v>
      </c>
    </row>
    <row r="21" spans="2:40" x14ac:dyDescent="0.25">
      <c r="B21" s="7" t="s">
        <v>51</v>
      </c>
      <c r="C21" s="7" t="s">
        <v>52</v>
      </c>
      <c r="D21" s="8">
        <v>23917.727500000001</v>
      </c>
      <c r="E21" s="8">
        <v>31282.7664</v>
      </c>
      <c r="F21" s="8">
        <v>47708.289799999999</v>
      </c>
      <c r="G21" s="8">
        <v>59294.718699999998</v>
      </c>
      <c r="H21" s="8">
        <v>45977.461000000003</v>
      </c>
      <c r="I21" s="8">
        <v>55975.999300000003</v>
      </c>
      <c r="J21" s="8">
        <v>54257.213799999998</v>
      </c>
      <c r="K21" s="8">
        <v>50306.221700000002</v>
      </c>
      <c r="L21" s="8">
        <v>67072.277900000001</v>
      </c>
      <c r="M21" s="8">
        <v>91451.328999999998</v>
      </c>
      <c r="O21" s="7" t="s">
        <v>37</v>
      </c>
      <c r="P21" s="7" t="s">
        <v>38</v>
      </c>
      <c r="Q21" s="9">
        <v>0.78249999999999997</v>
      </c>
      <c r="R21" s="9">
        <v>1.0434000000000001</v>
      </c>
      <c r="S21" s="9">
        <v>1.0502</v>
      </c>
      <c r="T21" s="9">
        <v>1.4716</v>
      </c>
      <c r="U21" s="9">
        <v>0.96479999999999999</v>
      </c>
      <c r="V21" s="9">
        <v>1.4381999999999999</v>
      </c>
      <c r="W21" s="9">
        <v>1.3033000000000001</v>
      </c>
      <c r="X21" s="9">
        <v>1.1184000000000001</v>
      </c>
      <c r="Y21" s="9">
        <v>1.4959</v>
      </c>
      <c r="Z21" s="9">
        <v>2.0994000000000002</v>
      </c>
      <c r="AC21" t="s">
        <v>53</v>
      </c>
      <c r="AD21" s="9">
        <v>35.222900000000003</v>
      </c>
      <c r="AE21" s="9">
        <v>2.4281999999999999</v>
      </c>
      <c r="AF21" s="9" t="s">
        <v>36</v>
      </c>
      <c r="AG21" s="9">
        <v>1.3033000000000001</v>
      </c>
      <c r="AH21" s="9">
        <v>8.6136999999999997</v>
      </c>
      <c r="AI21" s="9">
        <v>12.0501</v>
      </c>
      <c r="AJ21" s="9">
        <v>1.5463</v>
      </c>
      <c r="AK21" s="9">
        <v>8.6313999999999993</v>
      </c>
      <c r="AL21" s="9">
        <v>19.874400000000001</v>
      </c>
      <c r="AM21" s="9">
        <v>55.3</v>
      </c>
      <c r="AN21" s="8">
        <v>54257.213799999998</v>
      </c>
    </row>
    <row r="22" spans="2:40" x14ac:dyDescent="0.25">
      <c r="B22" s="7" t="s">
        <v>25</v>
      </c>
      <c r="C22" s="7" t="s">
        <v>26</v>
      </c>
      <c r="D22" s="8">
        <v>23278</v>
      </c>
      <c r="E22" s="8">
        <v>24701</v>
      </c>
      <c r="F22" s="8">
        <v>28956</v>
      </c>
      <c r="G22" s="8">
        <v>32385</v>
      </c>
      <c r="H22" s="8">
        <v>32918</v>
      </c>
      <c r="I22" s="8">
        <v>31168</v>
      </c>
      <c r="J22" s="8">
        <v>35088</v>
      </c>
      <c r="K22" s="8">
        <v>36528</v>
      </c>
      <c r="L22" s="8">
        <v>39741</v>
      </c>
      <c r="M22" s="8">
        <v>40157</v>
      </c>
      <c r="O22" s="7" t="s">
        <v>39</v>
      </c>
      <c r="P22" s="7" t="s">
        <v>40</v>
      </c>
      <c r="Q22" s="9">
        <v>8.2944999999999993</v>
      </c>
      <c r="R22" s="9">
        <v>7.9254999999999995</v>
      </c>
      <c r="S22" s="9">
        <v>8.1442999999999994</v>
      </c>
      <c r="T22" s="9">
        <v>13.3306</v>
      </c>
      <c r="U22" s="9">
        <v>10.992900000000001</v>
      </c>
      <c r="V22" s="9">
        <v>9.6485000000000003</v>
      </c>
      <c r="W22" s="9">
        <v>8.6136999999999997</v>
      </c>
      <c r="X22" s="9">
        <v>8.9488000000000003</v>
      </c>
      <c r="Y22" s="9">
        <v>14.270099999999999</v>
      </c>
      <c r="Z22" s="9">
        <v>17.004300000000001</v>
      </c>
      <c r="AC22" t="s">
        <v>56</v>
      </c>
      <c r="AD22" s="9">
        <v>8.1351999999999993</v>
      </c>
      <c r="AE22" s="9">
        <v>2.7652000000000001</v>
      </c>
      <c r="AF22" s="9">
        <v>54.214300000000001</v>
      </c>
      <c r="AG22" s="9">
        <v>1.9691000000000001</v>
      </c>
      <c r="AH22" s="9">
        <v>6.0355999999999996</v>
      </c>
      <c r="AI22" s="9">
        <v>6.5100999999999996</v>
      </c>
      <c r="AJ22" s="9">
        <v>1.8353000000000002</v>
      </c>
      <c r="AK22" s="9">
        <v>4.2892999999999999</v>
      </c>
      <c r="AL22" s="9">
        <v>5.3121999999999998</v>
      </c>
      <c r="AM22" s="9">
        <v>45.556899999999999</v>
      </c>
      <c r="AN22" s="8">
        <v>61058.672100000003</v>
      </c>
    </row>
    <row r="23" spans="2:40" x14ac:dyDescent="0.25">
      <c r="B23" s="7" t="s">
        <v>27</v>
      </c>
      <c r="C23" s="7" t="s">
        <v>28</v>
      </c>
      <c r="D23" s="8">
        <v>3801</v>
      </c>
      <c r="E23" s="8">
        <v>4565</v>
      </c>
      <c r="F23" s="8">
        <v>5015</v>
      </c>
      <c r="G23" s="8">
        <v>6665</v>
      </c>
      <c r="H23" s="8">
        <v>6722</v>
      </c>
      <c r="I23" s="8">
        <v>7092</v>
      </c>
      <c r="J23" s="8">
        <v>8308</v>
      </c>
      <c r="K23" s="8">
        <v>8464</v>
      </c>
      <c r="L23" s="8">
        <v>8803</v>
      </c>
      <c r="M23" s="8">
        <v>8656</v>
      </c>
      <c r="O23" s="7" t="s">
        <v>41</v>
      </c>
      <c r="P23" s="7" t="s">
        <v>42</v>
      </c>
      <c r="Q23" s="9">
        <v>19.274799999999999</v>
      </c>
      <c r="R23" s="9">
        <v>13.8345</v>
      </c>
      <c r="S23" s="9">
        <v>16.3674</v>
      </c>
      <c r="T23" s="9">
        <v>27.7882</v>
      </c>
      <c r="U23" s="9">
        <v>28.104800000000001</v>
      </c>
      <c r="V23" s="9">
        <v>14.5968</v>
      </c>
      <c r="W23" s="9">
        <v>12.0501</v>
      </c>
      <c r="X23" s="9">
        <v>13.847899999999999</v>
      </c>
      <c r="Y23" s="9">
        <v>26.575399999999998</v>
      </c>
      <c r="Z23" s="9">
        <v>30.099</v>
      </c>
      <c r="AC23" t="s">
        <v>57</v>
      </c>
      <c r="AD23" s="9">
        <v>38.629300000000001</v>
      </c>
      <c r="AE23" s="9">
        <v>7.2503000000000002</v>
      </c>
      <c r="AF23" s="9" t="s">
        <v>36</v>
      </c>
      <c r="AG23" s="9">
        <v>2.2208000000000001</v>
      </c>
      <c r="AH23" s="9">
        <v>10.2577</v>
      </c>
      <c r="AI23" s="9">
        <v>12.284000000000001</v>
      </c>
      <c r="AJ23" s="9">
        <v>2.6116999999999999</v>
      </c>
      <c r="AK23" s="9">
        <v>13.4282</v>
      </c>
      <c r="AL23" s="9">
        <v>19.295000000000002</v>
      </c>
      <c r="AM23" s="9">
        <v>12.4</v>
      </c>
      <c r="AN23" s="8">
        <v>74150.673800000004</v>
      </c>
    </row>
    <row r="24" spans="2:40" x14ac:dyDescent="0.25">
      <c r="O24" s="7" t="s">
        <v>43</v>
      </c>
      <c r="P24" s="7" t="s">
        <v>44</v>
      </c>
      <c r="Q24" s="9">
        <v>1.0275000000000001</v>
      </c>
      <c r="R24" s="9">
        <v>1.2665</v>
      </c>
      <c r="S24" s="9">
        <v>1.6476</v>
      </c>
      <c r="T24" s="9">
        <v>1.8309</v>
      </c>
      <c r="U24" s="9">
        <v>1.3967000000000001</v>
      </c>
      <c r="V24" s="9">
        <v>1.7959000000000001</v>
      </c>
      <c r="W24" s="9">
        <v>1.5463</v>
      </c>
      <c r="X24" s="9">
        <v>1.3772</v>
      </c>
      <c r="Y24" s="9">
        <v>1.6877</v>
      </c>
      <c r="Z24" s="9">
        <v>2.2772999999999999</v>
      </c>
      <c r="AC24" t="s">
        <v>73</v>
      </c>
      <c r="AD24" s="9">
        <v>7.5651999999999999</v>
      </c>
      <c r="AE24" s="9">
        <v>3.2532999999999999</v>
      </c>
      <c r="AF24" s="9">
        <v>5.3155999999999999</v>
      </c>
      <c r="AG24" s="9">
        <v>1.6791</v>
      </c>
      <c r="AH24" s="9">
        <v>5.6509</v>
      </c>
      <c r="AI24" s="9">
        <v>6.2874999999999996</v>
      </c>
      <c r="AJ24" s="9">
        <v>1.7593000000000001</v>
      </c>
      <c r="AK24" s="9">
        <v>5.1662999999999997</v>
      </c>
      <c r="AL24" s="9">
        <v>6.2169999999999996</v>
      </c>
      <c r="AM24" s="9">
        <v>35.04</v>
      </c>
      <c r="AN24" s="8">
        <v>40598.516199999998</v>
      </c>
    </row>
    <row r="25" spans="2:40" x14ac:dyDescent="0.25">
      <c r="O25" s="7" t="s">
        <v>45</v>
      </c>
      <c r="P25" s="7" t="s">
        <v>46</v>
      </c>
      <c r="Q25" s="9">
        <v>6.2925000000000004</v>
      </c>
      <c r="R25" s="9">
        <v>6.8527000000000005</v>
      </c>
      <c r="S25" s="9">
        <v>9.5130999999999997</v>
      </c>
      <c r="T25" s="9">
        <v>8.8963999999999999</v>
      </c>
      <c r="U25" s="9">
        <v>6.8398000000000003</v>
      </c>
      <c r="V25" s="9">
        <v>9.6260999999999992</v>
      </c>
      <c r="W25" s="9">
        <v>8.6313999999999993</v>
      </c>
      <c r="X25" s="9">
        <v>7.2717999999999998</v>
      </c>
      <c r="Y25" s="9">
        <v>9.6981000000000002</v>
      </c>
      <c r="Z25" s="9">
        <v>11.679600000000001</v>
      </c>
    </row>
    <row r="26" spans="2:40" x14ac:dyDescent="0.25">
      <c r="O26" s="7" t="s">
        <v>47</v>
      </c>
      <c r="P26" s="7" t="s">
        <v>48</v>
      </c>
      <c r="Q26" s="9">
        <v>12.9847</v>
      </c>
      <c r="R26" s="9">
        <v>11.4589</v>
      </c>
      <c r="S26" s="9">
        <v>15.379799999999999</v>
      </c>
      <c r="T26" s="9">
        <v>14.9999</v>
      </c>
      <c r="U26" s="9">
        <v>11.494400000000001</v>
      </c>
      <c r="V26" s="9">
        <v>18.621400000000001</v>
      </c>
      <c r="W26" s="9">
        <v>19.874400000000001</v>
      </c>
      <c r="X26" s="9">
        <v>12.1249</v>
      </c>
      <c r="Y26" s="9">
        <v>17.075399999999998</v>
      </c>
      <c r="Z26" s="9">
        <v>18.5349</v>
      </c>
    </row>
    <row r="27" spans="2:40" x14ac:dyDescent="0.25">
      <c r="O27" s="7" t="s">
        <v>49</v>
      </c>
      <c r="P27" s="7" t="s">
        <v>50</v>
      </c>
      <c r="Q27" s="9">
        <v>23.361999999999998</v>
      </c>
      <c r="R27" s="9">
        <v>35.29</v>
      </c>
      <c r="S27" s="9">
        <v>40.74</v>
      </c>
      <c r="T27" s="9">
        <v>62.35</v>
      </c>
      <c r="U27" s="9">
        <v>41.55</v>
      </c>
      <c r="V27" s="9">
        <v>55.96</v>
      </c>
      <c r="W27" s="9">
        <v>55.3</v>
      </c>
      <c r="X27" s="9">
        <v>49.4</v>
      </c>
      <c r="Y27" s="9">
        <v>71.89</v>
      </c>
      <c r="Z27" s="9">
        <v>101.95</v>
      </c>
    </row>
    <row r="28" spans="2:40" x14ac:dyDescent="0.25">
      <c r="O28" s="7" t="s">
        <v>51</v>
      </c>
      <c r="P28" s="7" t="s">
        <v>52</v>
      </c>
      <c r="Q28" s="8">
        <v>23917.727500000001</v>
      </c>
      <c r="R28" s="8">
        <v>31282.7664</v>
      </c>
      <c r="S28" s="8">
        <v>47708.289799999999</v>
      </c>
      <c r="T28" s="8">
        <v>59294.718699999998</v>
      </c>
      <c r="U28" s="8">
        <v>45977.461000000003</v>
      </c>
      <c r="V28" s="8">
        <v>55975.999300000003</v>
      </c>
      <c r="W28" s="8">
        <v>54257.213799999998</v>
      </c>
      <c r="X28" s="8">
        <v>50306.221700000002</v>
      </c>
      <c r="Y28" s="8">
        <v>67072.277900000001</v>
      </c>
      <c r="Z28" s="8">
        <v>91451.328999999998</v>
      </c>
    </row>
    <row r="31" spans="2:40" ht="20.25" x14ac:dyDescent="0.25">
      <c r="B31" s="1" t="s">
        <v>56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O31" s="3" t="s">
        <v>29</v>
      </c>
      <c r="P31" s="3"/>
      <c r="Q31" s="4" t="s">
        <v>2</v>
      </c>
      <c r="R31" s="4" t="s">
        <v>3</v>
      </c>
      <c r="S31" s="4" t="s">
        <v>4</v>
      </c>
      <c r="T31" s="4" t="s">
        <v>5</v>
      </c>
      <c r="U31" s="4" t="s">
        <v>6</v>
      </c>
      <c r="V31" s="4" t="s">
        <v>7</v>
      </c>
      <c r="W31" s="4" t="s">
        <v>8</v>
      </c>
      <c r="X31" s="4" t="s">
        <v>9</v>
      </c>
      <c r="Y31" s="4" t="s">
        <v>10</v>
      </c>
      <c r="Z31" s="4" t="s">
        <v>11</v>
      </c>
    </row>
    <row r="32" spans="2:40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O32" s="5" t="s">
        <v>12</v>
      </c>
      <c r="P32" s="5"/>
      <c r="Q32" s="6" t="s">
        <v>13</v>
      </c>
      <c r="R32" s="6" t="s">
        <v>14</v>
      </c>
      <c r="S32" s="6" t="s">
        <v>15</v>
      </c>
      <c r="T32" s="6" t="s">
        <v>16</v>
      </c>
      <c r="U32" s="6" t="s">
        <v>17</v>
      </c>
      <c r="V32" s="6" t="s">
        <v>18</v>
      </c>
      <c r="W32" s="6" t="s">
        <v>19</v>
      </c>
      <c r="X32" s="6" t="s">
        <v>20</v>
      </c>
      <c r="Y32" s="6" t="s">
        <v>21</v>
      </c>
      <c r="Z32" s="6" t="s">
        <v>22</v>
      </c>
    </row>
    <row r="33" spans="2:26" x14ac:dyDescent="0.25">
      <c r="B33" s="3" t="s">
        <v>1</v>
      </c>
      <c r="C33" s="3"/>
      <c r="D33" s="4" t="s">
        <v>2</v>
      </c>
      <c r="E33" s="4" t="s">
        <v>3</v>
      </c>
      <c r="F33" s="4" t="s">
        <v>4</v>
      </c>
      <c r="G33" s="4" t="s">
        <v>5</v>
      </c>
      <c r="H33" s="4" t="s">
        <v>6</v>
      </c>
      <c r="I33" s="4" t="s">
        <v>7</v>
      </c>
      <c r="J33" s="4" t="s">
        <v>8</v>
      </c>
      <c r="K33" s="4" t="s">
        <v>9</v>
      </c>
      <c r="L33" s="4" t="s">
        <v>10</v>
      </c>
      <c r="M33" s="4" t="s">
        <v>11</v>
      </c>
      <c r="O33" s="7" t="s">
        <v>30</v>
      </c>
      <c r="P33" s="7" t="s">
        <v>31</v>
      </c>
      <c r="Q33" s="9">
        <v>16.5243</v>
      </c>
      <c r="R33" s="9">
        <v>16.706700000000001</v>
      </c>
      <c r="S33" s="9">
        <v>13.897500000000001</v>
      </c>
      <c r="T33" s="9">
        <v>11.464499999999999</v>
      </c>
      <c r="U33" s="9">
        <v>9.7435000000000009</v>
      </c>
      <c r="V33" s="9">
        <v>9.0556000000000001</v>
      </c>
      <c r="W33" s="9">
        <v>8.1351999999999993</v>
      </c>
      <c r="X33" s="9">
        <v>6.2946</v>
      </c>
      <c r="Y33" s="9">
        <v>9.5466999999999995</v>
      </c>
      <c r="Z33" s="9">
        <v>29.027000000000001</v>
      </c>
    </row>
    <row r="34" spans="2:26" x14ac:dyDescent="0.25">
      <c r="B34" s="5" t="s">
        <v>12</v>
      </c>
      <c r="C34" s="5"/>
      <c r="D34" s="6" t="s">
        <v>13</v>
      </c>
      <c r="E34" s="6" t="s">
        <v>14</v>
      </c>
      <c r="F34" s="6" t="s">
        <v>15</v>
      </c>
      <c r="G34" s="6" t="s">
        <v>16</v>
      </c>
      <c r="H34" s="6" t="s">
        <v>17</v>
      </c>
      <c r="I34" s="6" t="s">
        <v>18</v>
      </c>
      <c r="J34" s="6" t="s">
        <v>19</v>
      </c>
      <c r="K34" s="6" t="s">
        <v>20</v>
      </c>
      <c r="L34" s="6" t="s">
        <v>21</v>
      </c>
      <c r="M34" s="6" t="s">
        <v>22</v>
      </c>
      <c r="O34" s="7" t="s">
        <v>32</v>
      </c>
      <c r="P34" s="7" t="s">
        <v>33</v>
      </c>
      <c r="Q34" s="9">
        <v>4.133</v>
      </c>
      <c r="R34" s="9">
        <v>5.6536</v>
      </c>
      <c r="S34" s="9">
        <v>5.3761999999999999</v>
      </c>
      <c r="T34" s="9">
        <v>4.2302</v>
      </c>
      <c r="U34" s="9">
        <v>3.7217000000000002</v>
      </c>
      <c r="V34" s="9">
        <v>3.3007</v>
      </c>
      <c r="W34" s="9">
        <v>2.7652000000000001</v>
      </c>
      <c r="X34" s="9">
        <v>2.5644</v>
      </c>
      <c r="Y34" s="9">
        <v>2.4826999999999999</v>
      </c>
      <c r="Z34" s="9">
        <v>3.2054999999999998</v>
      </c>
    </row>
    <row r="35" spans="2:26" x14ac:dyDescent="0.25">
      <c r="B35" s="7" t="s">
        <v>23</v>
      </c>
      <c r="C35" s="7" t="s">
        <v>24</v>
      </c>
      <c r="D35" s="8">
        <v>59531.661699999997</v>
      </c>
      <c r="E35" s="8">
        <v>76871.4136</v>
      </c>
      <c r="F35" s="8">
        <v>82277.498099999997</v>
      </c>
      <c r="G35" s="8">
        <v>62513.539499999999</v>
      </c>
      <c r="H35" s="8">
        <v>59219.408499999998</v>
      </c>
      <c r="I35" s="8">
        <v>68193.238700000002</v>
      </c>
      <c r="J35" s="8">
        <v>64189.672100000003</v>
      </c>
      <c r="K35" s="8">
        <v>59611.936800000003</v>
      </c>
      <c r="L35" s="8">
        <v>58917.938999999998</v>
      </c>
      <c r="M35" s="8">
        <v>74443.540399999998</v>
      </c>
      <c r="O35" s="7" t="s">
        <v>34</v>
      </c>
      <c r="P35" s="7" t="s">
        <v>35</v>
      </c>
      <c r="Q35" s="9">
        <v>5.2431999999999999</v>
      </c>
      <c r="R35" s="9">
        <v>7.0621</v>
      </c>
      <c r="S35" s="9">
        <v>7.4123999999999999</v>
      </c>
      <c r="T35" s="9" t="s">
        <v>36</v>
      </c>
      <c r="U35" s="9" t="s">
        <v>36</v>
      </c>
      <c r="V35" s="9" t="s">
        <v>36</v>
      </c>
      <c r="W35" s="9">
        <v>54.214300000000001</v>
      </c>
      <c r="X35" s="9">
        <v>24.797000000000001</v>
      </c>
      <c r="Y35" s="9" t="s">
        <v>36</v>
      </c>
      <c r="Z35" s="9" t="s">
        <v>36</v>
      </c>
    </row>
    <row r="36" spans="2:26" x14ac:dyDescent="0.25">
      <c r="B36" s="7" t="s">
        <v>51</v>
      </c>
      <c r="C36" s="7" t="s">
        <v>52</v>
      </c>
      <c r="D36" s="8">
        <v>55628.661699999997</v>
      </c>
      <c r="E36" s="8">
        <v>71563.4136</v>
      </c>
      <c r="F36" s="8">
        <v>75928.498099999997</v>
      </c>
      <c r="G36" s="8">
        <v>71766.539499999999</v>
      </c>
      <c r="H36" s="8">
        <v>66704.408500000005</v>
      </c>
      <c r="I36" s="8">
        <v>68015.238700000002</v>
      </c>
      <c r="J36" s="8">
        <v>61058.672100000003</v>
      </c>
      <c r="K36" s="8">
        <v>57346.936800000003</v>
      </c>
      <c r="L36" s="8">
        <v>60918.938999999998</v>
      </c>
      <c r="M36" s="8">
        <v>74835.540399999998</v>
      </c>
      <c r="O36" s="7" t="s">
        <v>37</v>
      </c>
      <c r="P36" s="7" t="s">
        <v>38</v>
      </c>
      <c r="Q36" s="9">
        <v>2.8258000000000001</v>
      </c>
      <c r="R36" s="9">
        <v>3.2827000000000002</v>
      </c>
      <c r="S36" s="9">
        <v>3.1720999999999999</v>
      </c>
      <c r="T36" s="9">
        <v>2.17</v>
      </c>
      <c r="U36" s="9">
        <v>1.8811</v>
      </c>
      <c r="V36" s="9">
        <v>2.0746000000000002</v>
      </c>
      <c r="W36" s="9">
        <v>1.9691000000000001</v>
      </c>
      <c r="X36" s="9">
        <v>1.8694</v>
      </c>
      <c r="Y36" s="9">
        <v>2.1303000000000001</v>
      </c>
      <c r="Z36" s="9">
        <v>2.8834999999999997</v>
      </c>
    </row>
    <row r="37" spans="2:26" x14ac:dyDescent="0.25">
      <c r="B37" s="7" t="s">
        <v>25</v>
      </c>
      <c r="C37" s="7" t="s">
        <v>26</v>
      </c>
      <c r="D37" s="8">
        <v>21426</v>
      </c>
      <c r="E37" s="8">
        <v>23950</v>
      </c>
      <c r="F37" s="8">
        <v>26475</v>
      </c>
      <c r="G37" s="8">
        <v>29559</v>
      </c>
      <c r="H37" s="8">
        <v>31601</v>
      </c>
      <c r="I37" s="8">
        <v>32804</v>
      </c>
      <c r="J37" s="8">
        <v>33269</v>
      </c>
      <c r="K37" s="8">
        <v>33591</v>
      </c>
      <c r="L37" s="8">
        <v>27973</v>
      </c>
      <c r="M37" s="8">
        <v>25711</v>
      </c>
      <c r="O37" s="7" t="s">
        <v>39</v>
      </c>
      <c r="P37" s="7" t="s">
        <v>40</v>
      </c>
      <c r="Q37" s="9">
        <v>12.251099999999999</v>
      </c>
      <c r="R37" s="9">
        <v>11.3141</v>
      </c>
      <c r="S37" s="9">
        <v>10.4391</v>
      </c>
      <c r="T37" s="9">
        <v>8.1524999999999999</v>
      </c>
      <c r="U37" s="9">
        <v>6.6859999999999999</v>
      </c>
      <c r="V37" s="9">
        <v>5.742</v>
      </c>
      <c r="W37" s="9">
        <v>6.0355999999999996</v>
      </c>
      <c r="X37" s="9">
        <v>7.8573000000000004</v>
      </c>
      <c r="Y37" s="9">
        <v>8.3929000000000009</v>
      </c>
      <c r="Z37" s="9">
        <v>9.8666</v>
      </c>
    </row>
    <row r="38" spans="2:26" x14ac:dyDescent="0.25">
      <c r="B38" s="7" t="s">
        <v>27</v>
      </c>
      <c r="C38" s="7" t="s">
        <v>28</v>
      </c>
      <c r="D38" s="8">
        <v>5815</v>
      </c>
      <c r="E38" s="8">
        <v>7829</v>
      </c>
      <c r="F38" s="8">
        <v>9561</v>
      </c>
      <c r="G38" s="8">
        <v>10916</v>
      </c>
      <c r="H38" s="8">
        <v>11657</v>
      </c>
      <c r="I38" s="8">
        <v>14852</v>
      </c>
      <c r="J38" s="8">
        <v>16839</v>
      </c>
      <c r="K38" s="8">
        <v>15678</v>
      </c>
      <c r="L38" s="8">
        <v>12293</v>
      </c>
      <c r="M38" s="8">
        <v>11820</v>
      </c>
      <c r="O38" s="7" t="s">
        <v>41</v>
      </c>
      <c r="P38" s="7" t="s">
        <v>42</v>
      </c>
      <c r="Q38" s="9">
        <v>15.6084</v>
      </c>
      <c r="R38" s="9">
        <v>12.806900000000001</v>
      </c>
      <c r="S38" s="9">
        <v>11.5822</v>
      </c>
      <c r="T38" s="9">
        <v>9.5197000000000003</v>
      </c>
      <c r="U38" s="9">
        <v>7.6250999999999998</v>
      </c>
      <c r="V38" s="9">
        <v>6.2492000000000001</v>
      </c>
      <c r="W38" s="9">
        <v>6.5100999999999996</v>
      </c>
      <c r="X38" s="9">
        <v>8.7789000000000001</v>
      </c>
      <c r="Y38" s="9">
        <v>9.2704000000000004</v>
      </c>
      <c r="Z38" s="9">
        <v>10.9476</v>
      </c>
    </row>
    <row r="39" spans="2:26" x14ac:dyDescent="0.25">
      <c r="O39" s="7" t="s">
        <v>43</v>
      </c>
      <c r="P39" s="7" t="s">
        <v>44</v>
      </c>
      <c r="Q39" s="9">
        <v>2.5963000000000003</v>
      </c>
      <c r="R39" s="9">
        <v>2.988</v>
      </c>
      <c r="S39" s="9">
        <v>2.8679000000000001</v>
      </c>
      <c r="T39" s="9">
        <v>2.4279000000000002</v>
      </c>
      <c r="U39" s="9">
        <v>2.1107999999999998</v>
      </c>
      <c r="V39" s="9">
        <v>2.0733999999999999</v>
      </c>
      <c r="W39" s="9">
        <v>1.8353000000000002</v>
      </c>
      <c r="X39" s="9">
        <v>1.7072000000000001</v>
      </c>
      <c r="Y39" s="9">
        <v>2.1778</v>
      </c>
      <c r="Z39" s="9">
        <v>2.9106000000000001</v>
      </c>
    </row>
    <row r="40" spans="2:26" x14ac:dyDescent="0.25">
      <c r="O40" s="7" t="s">
        <v>45</v>
      </c>
      <c r="P40" s="7" t="s">
        <v>46</v>
      </c>
      <c r="Q40" s="9">
        <v>9.5663999999999998</v>
      </c>
      <c r="R40" s="9">
        <v>9.1408000000000005</v>
      </c>
      <c r="S40" s="9">
        <v>7.9414999999999996</v>
      </c>
      <c r="T40" s="9">
        <v>6.5743999999999998</v>
      </c>
      <c r="U40" s="9">
        <v>5.7222999999999997</v>
      </c>
      <c r="V40" s="9">
        <v>4.9901</v>
      </c>
      <c r="W40" s="9">
        <v>4.2892999999999999</v>
      </c>
      <c r="X40" s="9">
        <v>3.7372000000000001</v>
      </c>
      <c r="Y40" s="9">
        <v>5.7115</v>
      </c>
      <c r="Z40" s="9">
        <v>9.0218000000000007</v>
      </c>
    </row>
    <row r="41" spans="2:26" x14ac:dyDescent="0.25">
      <c r="O41" s="7" t="s">
        <v>47</v>
      </c>
      <c r="P41" s="7" t="s">
        <v>48</v>
      </c>
      <c r="Q41" s="9">
        <v>12.2341</v>
      </c>
      <c r="R41" s="9">
        <v>11.006399999999999</v>
      </c>
      <c r="S41" s="9">
        <v>9.2415000000000003</v>
      </c>
      <c r="T41" s="9">
        <v>7.9213000000000005</v>
      </c>
      <c r="U41" s="9">
        <v>7.3812999999999995</v>
      </c>
      <c r="V41" s="9">
        <v>5.8922999999999996</v>
      </c>
      <c r="W41" s="9">
        <v>5.3121999999999998</v>
      </c>
      <c r="X41" s="9">
        <v>4.4820000000000002</v>
      </c>
      <c r="Y41" s="9">
        <v>7.4766000000000004</v>
      </c>
      <c r="Z41" s="9">
        <v>20.160399999999999</v>
      </c>
    </row>
    <row r="42" spans="2:26" x14ac:dyDescent="0.25">
      <c r="O42" s="7" t="s">
        <v>49</v>
      </c>
      <c r="P42" s="7" t="s">
        <v>50</v>
      </c>
      <c r="Q42" s="9">
        <v>36.189459999999997</v>
      </c>
      <c r="R42" s="9">
        <v>48.622019999999999</v>
      </c>
      <c r="S42" s="9">
        <v>53.697339999999997</v>
      </c>
      <c r="T42" s="9">
        <v>42.905630000000002</v>
      </c>
      <c r="U42" s="9">
        <v>40.912030000000001</v>
      </c>
      <c r="V42" s="9">
        <v>46.998750000000001</v>
      </c>
      <c r="W42" s="9">
        <v>45.556899999999999</v>
      </c>
      <c r="X42" s="9">
        <v>46.139279999999999</v>
      </c>
      <c r="Y42" s="9">
        <v>47.256100000000004</v>
      </c>
      <c r="Z42" s="9">
        <v>59.215170000000001</v>
      </c>
    </row>
    <row r="43" spans="2:26" x14ac:dyDescent="0.25">
      <c r="O43" s="7" t="s">
        <v>51</v>
      </c>
      <c r="P43" s="7" t="s">
        <v>52</v>
      </c>
      <c r="Q43" s="8">
        <v>55628.661699999997</v>
      </c>
      <c r="R43" s="8">
        <v>71563.4136</v>
      </c>
      <c r="S43" s="8">
        <v>75928.498099999997</v>
      </c>
      <c r="T43" s="8">
        <v>71766.539499999999</v>
      </c>
      <c r="U43" s="8">
        <v>66704.408500000005</v>
      </c>
      <c r="V43" s="8">
        <v>68015.238700000002</v>
      </c>
      <c r="W43" s="8">
        <v>61058.672100000003</v>
      </c>
      <c r="X43" s="8">
        <v>57346.936800000003</v>
      </c>
      <c r="Y43" s="8">
        <v>60918.938999999998</v>
      </c>
      <c r="Z43" s="8">
        <v>74835.540399999998</v>
      </c>
    </row>
    <row r="46" spans="2:26" ht="20.25" x14ac:dyDescent="0.25">
      <c r="B46" s="1" t="s">
        <v>57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O46" s="3" t="s">
        <v>70</v>
      </c>
      <c r="P46" s="3"/>
      <c r="Q46" s="4" t="s">
        <v>8</v>
      </c>
      <c r="R46" s="4" t="s">
        <v>9</v>
      </c>
      <c r="S46" s="4" t="s">
        <v>10</v>
      </c>
      <c r="T46" s="4" t="s">
        <v>11</v>
      </c>
      <c r="U46" s="4" t="s">
        <v>59</v>
      </c>
      <c r="V46" s="4" t="s">
        <v>60</v>
      </c>
      <c r="W46" s="4" t="s">
        <v>61</v>
      </c>
      <c r="X46" s="4" t="s">
        <v>71</v>
      </c>
      <c r="Y46" s="4" t="s">
        <v>63</v>
      </c>
      <c r="Z46" s="4" t="s">
        <v>64</v>
      </c>
    </row>
    <row r="47" spans="2:26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O47" s="5" t="s">
        <v>12</v>
      </c>
      <c r="P47" s="5"/>
      <c r="Q47" s="6" t="s">
        <v>19</v>
      </c>
      <c r="R47" s="6" t="s">
        <v>20</v>
      </c>
      <c r="S47" s="6" t="s">
        <v>21</v>
      </c>
      <c r="T47" s="6" t="s">
        <v>22</v>
      </c>
      <c r="U47" s="6" t="s">
        <v>65</v>
      </c>
      <c r="V47" s="6" t="s">
        <v>66</v>
      </c>
      <c r="W47" s="6" t="s">
        <v>67</v>
      </c>
      <c r="X47" s="6" t="s">
        <v>72</v>
      </c>
      <c r="Y47" s="6" t="s">
        <v>68</v>
      </c>
      <c r="Z47" s="6" t="s">
        <v>69</v>
      </c>
    </row>
    <row r="48" spans="2:26" x14ac:dyDescent="0.25">
      <c r="B48" s="3" t="s">
        <v>58</v>
      </c>
      <c r="C48" s="3"/>
      <c r="D48" s="4" t="s">
        <v>8</v>
      </c>
      <c r="E48" s="4" t="s">
        <v>9</v>
      </c>
      <c r="F48" s="4" t="s">
        <v>10</v>
      </c>
      <c r="G48" s="4" t="s">
        <v>11</v>
      </c>
      <c r="H48" s="4" t="s">
        <v>59</v>
      </c>
      <c r="I48" s="4" t="s">
        <v>60</v>
      </c>
      <c r="J48" s="4" t="s">
        <v>61</v>
      </c>
      <c r="K48" s="4" t="s">
        <v>62</v>
      </c>
      <c r="L48" s="4" t="s">
        <v>63</v>
      </c>
      <c r="M48" s="4" t="s">
        <v>64</v>
      </c>
      <c r="O48" s="7" t="s">
        <v>30</v>
      </c>
      <c r="P48" s="7" t="s">
        <v>31</v>
      </c>
      <c r="Q48" s="9">
        <v>38.629300000000001</v>
      </c>
      <c r="R48" s="9">
        <v>14.0679</v>
      </c>
      <c r="S48" s="9">
        <v>14.574199999999999</v>
      </c>
      <c r="T48" s="9">
        <v>14.324400000000001</v>
      </c>
      <c r="U48" s="9">
        <v>24.013999999999999</v>
      </c>
      <c r="V48" s="9">
        <v>7.8772000000000002</v>
      </c>
      <c r="W48" s="9">
        <v>83.085099999999997</v>
      </c>
      <c r="X48" s="11">
        <v>87.540106951871707</v>
      </c>
      <c r="Y48" s="9">
        <v>14.707996406109601</v>
      </c>
      <c r="Z48" s="9">
        <v>14.2844677137871</v>
      </c>
    </row>
    <row r="49" spans="2:26" x14ac:dyDescent="0.25">
      <c r="B49" s="5" t="s">
        <v>12</v>
      </c>
      <c r="C49" s="5"/>
      <c r="D49" s="6" t="s">
        <v>19</v>
      </c>
      <c r="E49" s="6" t="s">
        <v>20</v>
      </c>
      <c r="F49" s="6" t="s">
        <v>21</v>
      </c>
      <c r="G49" s="6" t="s">
        <v>22</v>
      </c>
      <c r="H49" s="6" t="s">
        <v>65</v>
      </c>
      <c r="I49" s="6" t="s">
        <v>66</v>
      </c>
      <c r="J49" s="6" t="s">
        <v>67</v>
      </c>
      <c r="K49" s="6" t="s">
        <v>67</v>
      </c>
      <c r="L49" s="6" t="s">
        <v>68</v>
      </c>
      <c r="M49" s="6" t="s">
        <v>69</v>
      </c>
      <c r="O49" s="7" t="s">
        <v>32</v>
      </c>
      <c r="P49" s="7" t="s">
        <v>33</v>
      </c>
      <c r="Q49" s="9">
        <v>7.2503000000000002</v>
      </c>
      <c r="R49" s="9">
        <v>9.25</v>
      </c>
      <c r="S49" s="9">
        <v>11.2845</v>
      </c>
      <c r="T49" s="9">
        <v>11.1812</v>
      </c>
      <c r="U49" s="9">
        <v>15.699199999999999</v>
      </c>
      <c r="V49" s="9">
        <v>13.074400000000001</v>
      </c>
      <c r="W49" s="9">
        <v>68.234899999999996</v>
      </c>
      <c r="X49" s="11">
        <v>71.511209906530297</v>
      </c>
      <c r="Y49" s="9">
        <v>38.3372365339578</v>
      </c>
      <c r="Z49" s="9">
        <v>27.013201320132001</v>
      </c>
    </row>
    <row r="50" spans="2:26" x14ac:dyDescent="0.25">
      <c r="B50" s="7" t="s">
        <v>23</v>
      </c>
      <c r="C50" s="7" t="s">
        <v>24</v>
      </c>
      <c r="D50" s="8">
        <v>64433.673799999997</v>
      </c>
      <c r="E50" s="8">
        <v>74296.080600000001</v>
      </c>
      <c r="F50" s="8">
        <v>65450.305999999997</v>
      </c>
      <c r="G50" s="8">
        <v>78234.667400000006</v>
      </c>
      <c r="H50" s="8">
        <v>66925.630399999995</v>
      </c>
      <c r="I50" s="8">
        <v>66862.240000000005</v>
      </c>
      <c r="J50" s="8">
        <v>76696.012900000002</v>
      </c>
      <c r="K50" s="10">
        <v>80496.199952320007</v>
      </c>
      <c r="L50" s="8"/>
      <c r="M50" s="8"/>
      <c r="O50" s="7" t="s">
        <v>34</v>
      </c>
      <c r="P50" s="7" t="s">
        <v>35</v>
      </c>
      <c r="Q50" s="9" t="s">
        <v>36</v>
      </c>
      <c r="R50" s="9" t="s">
        <v>36</v>
      </c>
      <c r="S50" s="9" t="s">
        <v>36</v>
      </c>
      <c r="T50" s="9" t="s">
        <v>36</v>
      </c>
      <c r="U50" s="9" t="s">
        <v>36</v>
      </c>
      <c r="V50" s="9" t="s">
        <v>36</v>
      </c>
      <c r="W50" s="9" t="s">
        <v>36</v>
      </c>
      <c r="X50" s="11"/>
      <c r="Y50" s="9"/>
      <c r="Z50" s="9"/>
    </row>
    <row r="51" spans="2:26" x14ac:dyDescent="0.25">
      <c r="B51" s="7" t="s">
        <v>51</v>
      </c>
      <c r="C51" s="7" t="s">
        <v>52</v>
      </c>
      <c r="D51" s="8">
        <v>74150.673800000004</v>
      </c>
      <c r="E51" s="8">
        <v>84094.080600000001</v>
      </c>
      <c r="F51" s="8">
        <v>80424.305999999997</v>
      </c>
      <c r="G51" s="8">
        <v>91694.667400000006</v>
      </c>
      <c r="H51" s="8">
        <v>81975.630399999995</v>
      </c>
      <c r="I51" s="8">
        <v>81353.240000000005</v>
      </c>
      <c r="J51" s="8">
        <v>94339.012900000002</v>
      </c>
      <c r="K51" s="10">
        <v>98139.199952320007</v>
      </c>
      <c r="L51" s="8"/>
      <c r="M51" s="8"/>
      <c r="O51" s="7" t="s">
        <v>37</v>
      </c>
      <c r="P51" s="7" t="s">
        <v>38</v>
      </c>
      <c r="Q51" s="9">
        <v>2.2208000000000001</v>
      </c>
      <c r="R51" s="9">
        <v>2.7015000000000002</v>
      </c>
      <c r="S51" s="9">
        <v>2.4809999999999999</v>
      </c>
      <c r="T51" s="9">
        <v>2.9371999999999998</v>
      </c>
      <c r="U51" s="9">
        <v>2.8757000000000001</v>
      </c>
      <c r="V51" s="9">
        <v>2.7725999999999997</v>
      </c>
      <c r="W51" s="9">
        <v>2.722</v>
      </c>
      <c r="X51" s="11">
        <v>2.8527355928973299</v>
      </c>
      <c r="Y51" s="9">
        <v>2.6896726396924899</v>
      </c>
      <c r="Z51" s="9">
        <v>2.5955531078459702</v>
      </c>
    </row>
    <row r="52" spans="2:26" x14ac:dyDescent="0.25">
      <c r="B52" s="7" t="s">
        <v>25</v>
      </c>
      <c r="C52" s="7" t="s">
        <v>26</v>
      </c>
      <c r="D52" s="8">
        <v>28392</v>
      </c>
      <c r="E52" s="8">
        <v>27387</v>
      </c>
      <c r="F52" s="8">
        <v>26431</v>
      </c>
      <c r="G52" s="8">
        <v>26505</v>
      </c>
      <c r="H52" s="8">
        <v>23006</v>
      </c>
      <c r="I52" s="8">
        <v>23923</v>
      </c>
      <c r="J52" s="8">
        <v>27889</v>
      </c>
      <c r="K52" s="10">
        <v>27889</v>
      </c>
      <c r="L52" s="8">
        <v>29927.88</v>
      </c>
      <c r="M52" s="8">
        <v>31013.119999999999</v>
      </c>
      <c r="O52" s="7" t="s">
        <v>39</v>
      </c>
      <c r="P52" s="7" t="s">
        <v>40</v>
      </c>
      <c r="Q52" s="9">
        <v>10.2577</v>
      </c>
      <c r="R52" s="9">
        <v>13.2049</v>
      </c>
      <c r="S52" s="9">
        <v>17.8582</v>
      </c>
      <c r="T52" s="9">
        <v>11.8857</v>
      </c>
      <c r="U52" s="9">
        <v>14.581899999999999</v>
      </c>
      <c r="V52" s="9">
        <v>34.709400000000002</v>
      </c>
      <c r="W52" s="9">
        <v>12.9214</v>
      </c>
      <c r="X52" s="11">
        <v>13.551655321409999</v>
      </c>
      <c r="Y52" s="9">
        <v>11.734767025089599</v>
      </c>
      <c r="Z52" s="9">
        <v>11.0608108108108</v>
      </c>
    </row>
    <row r="53" spans="2:26" x14ac:dyDescent="0.25">
      <c r="B53" s="7" t="s">
        <v>27</v>
      </c>
      <c r="C53" s="7" t="s">
        <v>28</v>
      </c>
      <c r="D53" s="8">
        <v>6867</v>
      </c>
      <c r="E53" s="8">
        <v>9810</v>
      </c>
      <c r="F53" s="8">
        <v>9267</v>
      </c>
      <c r="G53" s="8">
        <v>8923</v>
      </c>
      <c r="H53" s="8">
        <v>7485</v>
      </c>
      <c r="I53" s="8">
        <v>7181</v>
      </c>
      <c r="J53" s="8">
        <v>9162</v>
      </c>
      <c r="K53" s="10">
        <v>8957</v>
      </c>
      <c r="L53" s="8">
        <v>10336.786</v>
      </c>
      <c r="M53" s="8">
        <v>10701.8</v>
      </c>
      <c r="O53" s="7" t="s">
        <v>41</v>
      </c>
      <c r="P53" s="7" t="s">
        <v>42</v>
      </c>
      <c r="Q53" s="9">
        <v>12.284000000000001</v>
      </c>
      <c r="R53" s="9">
        <v>15.809200000000001</v>
      </c>
      <c r="S53" s="9">
        <v>25.019200000000001</v>
      </c>
      <c r="T53" s="9">
        <v>14.5191</v>
      </c>
      <c r="U53" s="9">
        <v>19.7546</v>
      </c>
      <c r="V53" s="9">
        <v>124.91459999999999</v>
      </c>
      <c r="W53" s="9">
        <v>17.523800000000001</v>
      </c>
      <c r="X53" s="11">
        <v>18.381791678080099</v>
      </c>
      <c r="Y53" s="9"/>
      <c r="Z53" s="9"/>
    </row>
    <row r="54" spans="2:26" x14ac:dyDescent="0.25">
      <c r="O54" s="7" t="s">
        <v>43</v>
      </c>
      <c r="P54" s="7" t="s">
        <v>44</v>
      </c>
      <c r="Q54" s="9">
        <v>2.6116999999999999</v>
      </c>
      <c r="R54" s="9">
        <v>3.0705999999999998</v>
      </c>
      <c r="S54" s="9">
        <v>3.0428000000000002</v>
      </c>
      <c r="T54" s="9">
        <v>3.4595000000000002</v>
      </c>
      <c r="U54" s="9">
        <v>3.5632000000000001</v>
      </c>
      <c r="V54" s="9">
        <v>3.4005999999999998</v>
      </c>
      <c r="W54" s="9">
        <v>3.3826999999999998</v>
      </c>
      <c r="X54" s="11">
        <v>3.5189214368503698</v>
      </c>
      <c r="Y54" s="9">
        <v>3.27918983744655</v>
      </c>
      <c r="Z54" s="9">
        <v>3.16444137037228</v>
      </c>
    </row>
    <row r="55" spans="2:26" x14ac:dyDescent="0.25">
      <c r="O55" s="7" t="s">
        <v>45</v>
      </c>
      <c r="P55" s="7" t="s">
        <v>46</v>
      </c>
      <c r="Q55" s="9">
        <v>13.4282</v>
      </c>
      <c r="R55" s="9">
        <v>9.0862999999999996</v>
      </c>
      <c r="S55" s="9">
        <v>9.1328999999999994</v>
      </c>
      <c r="T55" s="9">
        <v>10.809200000000001</v>
      </c>
      <c r="U55" s="9">
        <v>16.191099999999999</v>
      </c>
      <c r="V55" s="9">
        <v>6.78</v>
      </c>
      <c r="W55" s="9">
        <v>21.319600000000001</v>
      </c>
      <c r="X55" s="11">
        <v>22.178350271710698</v>
      </c>
      <c r="Y55" s="9">
        <v>9.4941696577640293</v>
      </c>
      <c r="Z55" s="9">
        <v>9.1703451755779408</v>
      </c>
    </row>
    <row r="56" spans="2:26" x14ac:dyDescent="0.25">
      <c r="O56" s="7" t="s">
        <v>47</v>
      </c>
      <c r="P56" s="7" t="s">
        <v>48</v>
      </c>
      <c r="Q56" s="9">
        <v>19.295000000000002</v>
      </c>
      <c r="R56" s="9">
        <v>10.7372</v>
      </c>
      <c r="S56" s="9">
        <v>10.925699999999999</v>
      </c>
      <c r="T56" s="9">
        <v>12.971399999999999</v>
      </c>
      <c r="U56" s="9">
        <v>22.904599999999999</v>
      </c>
      <c r="V56" s="9">
        <v>7.8457999999999997</v>
      </c>
      <c r="W56" s="9">
        <v>35.586199999999998</v>
      </c>
      <c r="X56" s="11">
        <v>37.019690664775602</v>
      </c>
      <c r="Y56" s="9">
        <v>11.504025908806099</v>
      </c>
      <c r="Z56" s="9">
        <v>11.047387301133</v>
      </c>
    </row>
    <row r="57" spans="2:26" x14ac:dyDescent="0.25">
      <c r="O57" s="7" t="s">
        <v>49</v>
      </c>
      <c r="P57" s="7" t="s">
        <v>50</v>
      </c>
      <c r="Q57" s="9">
        <v>12.4</v>
      </c>
      <c r="R57" s="9">
        <v>14.715</v>
      </c>
      <c r="S57" s="9">
        <v>13.35</v>
      </c>
      <c r="T57" s="9">
        <v>16.114999999999998</v>
      </c>
      <c r="U57" s="9">
        <v>13.76</v>
      </c>
      <c r="V57" s="9">
        <v>13.73</v>
      </c>
      <c r="W57" s="9">
        <v>15.62</v>
      </c>
      <c r="X57" s="11">
        <v>16.37</v>
      </c>
      <c r="Y57" s="9"/>
      <c r="Z57" s="9"/>
    </row>
    <row r="58" spans="2:26" x14ac:dyDescent="0.25">
      <c r="O58" s="7" t="s">
        <v>51</v>
      </c>
      <c r="P58" s="7" t="s">
        <v>52</v>
      </c>
      <c r="Q58" s="8">
        <v>74150.673800000004</v>
      </c>
      <c r="R58" s="8">
        <v>84094.080600000001</v>
      </c>
      <c r="S58" s="8">
        <v>80424.305999999997</v>
      </c>
      <c r="T58" s="8">
        <v>91694.667400000006</v>
      </c>
      <c r="U58" s="8">
        <v>81975.630399999995</v>
      </c>
      <c r="V58" s="8">
        <v>81353.240000000005</v>
      </c>
      <c r="W58" s="8">
        <v>94339.012900000002</v>
      </c>
      <c r="X58" s="10">
        <v>98139.199952320007</v>
      </c>
      <c r="Y58" s="8"/>
      <c r="Z58" s="8"/>
    </row>
    <row r="61" spans="2:26" ht="20.25" x14ac:dyDescent="0.25">
      <c r="B61" s="1" t="s">
        <v>73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O61" s="3" t="s">
        <v>29</v>
      </c>
      <c r="P61" s="3"/>
      <c r="Q61" s="4" t="s">
        <v>2</v>
      </c>
      <c r="R61" s="4" t="s">
        <v>3</v>
      </c>
      <c r="S61" s="4" t="s">
        <v>4</v>
      </c>
      <c r="T61" s="4" t="s">
        <v>5</v>
      </c>
      <c r="U61" s="4" t="s">
        <v>6</v>
      </c>
      <c r="V61" s="4" t="s">
        <v>7</v>
      </c>
      <c r="W61" s="4" t="s">
        <v>8</v>
      </c>
      <c r="X61" s="4" t="s">
        <v>9</v>
      </c>
      <c r="Y61" s="4" t="s">
        <v>10</v>
      </c>
      <c r="Z61" s="4" t="s">
        <v>11</v>
      </c>
    </row>
    <row r="62" spans="2:26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O62" s="5" t="s">
        <v>12</v>
      </c>
      <c r="P62" s="5"/>
      <c r="Q62" s="6" t="s">
        <v>13</v>
      </c>
      <c r="R62" s="6" t="s">
        <v>14</v>
      </c>
      <c r="S62" s="6" t="s">
        <v>15</v>
      </c>
      <c r="T62" s="6" t="s">
        <v>16</v>
      </c>
      <c r="U62" s="6" t="s">
        <v>17</v>
      </c>
      <c r="V62" s="6" t="s">
        <v>18</v>
      </c>
      <c r="W62" s="6" t="s">
        <v>19</v>
      </c>
      <c r="X62" s="6" t="s">
        <v>20</v>
      </c>
      <c r="Y62" s="6" t="s">
        <v>21</v>
      </c>
      <c r="Z62" s="6" t="s">
        <v>22</v>
      </c>
    </row>
    <row r="63" spans="2:26" x14ac:dyDescent="0.25">
      <c r="B63" s="3" t="s">
        <v>1</v>
      </c>
      <c r="C63" s="3"/>
      <c r="D63" s="4" t="s">
        <v>2</v>
      </c>
      <c r="E63" s="4" t="s">
        <v>3</v>
      </c>
      <c r="F63" s="4" t="s">
        <v>4</v>
      </c>
      <c r="G63" s="4" t="s">
        <v>5</v>
      </c>
      <c r="H63" s="4" t="s">
        <v>6</v>
      </c>
      <c r="I63" s="4" t="s">
        <v>7</v>
      </c>
      <c r="J63" s="4" t="s">
        <v>8</v>
      </c>
      <c r="K63" s="4" t="s">
        <v>9</v>
      </c>
      <c r="L63" s="4" t="s">
        <v>10</v>
      </c>
      <c r="M63" s="4" t="s">
        <v>11</v>
      </c>
      <c r="O63" s="7" t="s">
        <v>30</v>
      </c>
      <c r="P63" s="7" t="s">
        <v>31</v>
      </c>
      <c r="Q63" s="9">
        <v>23.645800000000001</v>
      </c>
      <c r="R63" s="9">
        <v>19.7178</v>
      </c>
      <c r="S63" s="9">
        <v>16.383600000000001</v>
      </c>
      <c r="T63" s="9">
        <v>15.081899999999999</v>
      </c>
      <c r="U63" s="9">
        <v>10.0174</v>
      </c>
      <c r="V63" s="9">
        <v>8.1655999999999995</v>
      </c>
      <c r="W63" s="9">
        <v>7.5651999999999999</v>
      </c>
      <c r="X63" s="9">
        <v>9.5670000000000002</v>
      </c>
      <c r="Y63" s="9">
        <v>13.052899999999999</v>
      </c>
      <c r="Z63" s="9">
        <v>12.4284</v>
      </c>
    </row>
    <row r="64" spans="2:26" x14ac:dyDescent="0.25">
      <c r="B64" s="5" t="s">
        <v>12</v>
      </c>
      <c r="C64" s="5"/>
      <c r="D64" s="6" t="s">
        <v>13</v>
      </c>
      <c r="E64" s="6" t="s">
        <v>14</v>
      </c>
      <c r="F64" s="6" t="s">
        <v>15</v>
      </c>
      <c r="G64" s="6" t="s">
        <v>16</v>
      </c>
      <c r="H64" s="6" t="s">
        <v>17</v>
      </c>
      <c r="I64" s="6" t="s">
        <v>18</v>
      </c>
      <c r="J64" s="6" t="s">
        <v>19</v>
      </c>
      <c r="K64" s="6" t="s">
        <v>20</v>
      </c>
      <c r="L64" s="6" t="s">
        <v>21</v>
      </c>
      <c r="M64" s="6" t="s">
        <v>22</v>
      </c>
      <c r="O64" s="7" t="s">
        <v>32</v>
      </c>
      <c r="P64" s="7" t="s">
        <v>33</v>
      </c>
      <c r="Q64" s="9">
        <v>5.8826000000000001</v>
      </c>
      <c r="R64" s="9">
        <v>5.9261999999999997</v>
      </c>
      <c r="S64" s="9">
        <v>5.3693999999999997</v>
      </c>
      <c r="T64" s="9">
        <v>4.4847000000000001</v>
      </c>
      <c r="U64" s="9">
        <v>6.7977999999999996</v>
      </c>
      <c r="V64" s="9">
        <v>4.3083999999999998</v>
      </c>
      <c r="W64" s="9">
        <v>3.2532999999999999</v>
      </c>
      <c r="X64" s="9">
        <v>3.5533000000000001</v>
      </c>
      <c r="Y64" s="9">
        <v>3.8201000000000001</v>
      </c>
      <c r="Z64" s="9">
        <v>3.2303999999999999</v>
      </c>
    </row>
    <row r="65" spans="2:26" x14ac:dyDescent="0.25">
      <c r="B65" s="7" t="s">
        <v>23</v>
      </c>
      <c r="C65" s="7" t="s">
        <v>24</v>
      </c>
      <c r="D65" s="8">
        <v>64237.715499999998</v>
      </c>
      <c r="E65" s="8">
        <v>63954.455399999999</v>
      </c>
      <c r="F65" s="8">
        <v>58959.937100000003</v>
      </c>
      <c r="G65" s="8">
        <v>60560.995000000003</v>
      </c>
      <c r="H65" s="8">
        <v>45784.9205</v>
      </c>
      <c r="I65" s="8">
        <v>41031.995799999997</v>
      </c>
      <c r="J65" s="8">
        <v>40406.516199999998</v>
      </c>
      <c r="K65" s="8">
        <v>48117.794000000002</v>
      </c>
      <c r="L65" s="8">
        <v>56404.472800000003</v>
      </c>
      <c r="M65" s="8">
        <v>56956.544999999998</v>
      </c>
      <c r="O65" s="7" t="s">
        <v>34</v>
      </c>
      <c r="P65" s="7" t="s">
        <v>35</v>
      </c>
      <c r="Q65" s="9" t="s">
        <v>36</v>
      </c>
      <c r="R65" s="9">
        <v>6.0038</v>
      </c>
      <c r="S65" s="9">
        <v>5.4337</v>
      </c>
      <c r="T65" s="9">
        <v>4.7468000000000004</v>
      </c>
      <c r="U65" s="9">
        <v>16.3156</v>
      </c>
      <c r="V65" s="9">
        <v>7.0453999999999999</v>
      </c>
      <c r="W65" s="9">
        <v>5.3155999999999999</v>
      </c>
      <c r="X65" s="9">
        <v>5.7190000000000003</v>
      </c>
      <c r="Y65" s="9">
        <v>5.6334</v>
      </c>
      <c r="Z65" s="9">
        <v>4.2824</v>
      </c>
    </row>
    <row r="66" spans="2:26" x14ac:dyDescent="0.25">
      <c r="B66" s="7" t="s">
        <v>51</v>
      </c>
      <c r="C66" s="7" t="s">
        <v>52</v>
      </c>
      <c r="D66" s="8">
        <v>63285.815499999997</v>
      </c>
      <c r="E66" s="8">
        <v>65414.955399999999</v>
      </c>
      <c r="F66" s="8">
        <v>58782.737099999998</v>
      </c>
      <c r="G66" s="8">
        <v>60736.995000000003</v>
      </c>
      <c r="H66" s="8">
        <v>50323.220500000003</v>
      </c>
      <c r="I66" s="8">
        <v>43198.095800000003</v>
      </c>
      <c r="J66" s="8">
        <v>40598.516199999998</v>
      </c>
      <c r="K66" s="8">
        <v>48201.593999999997</v>
      </c>
      <c r="L66" s="8">
        <v>56260.1728</v>
      </c>
      <c r="M66" s="8">
        <v>56781.445</v>
      </c>
      <c r="O66" s="7" t="s">
        <v>37</v>
      </c>
      <c r="P66" s="7" t="s">
        <v>38</v>
      </c>
      <c r="Q66" s="9">
        <v>4.4386999999999999</v>
      </c>
      <c r="R66" s="9">
        <v>4.2069999999999999</v>
      </c>
      <c r="S66" s="9">
        <v>3.6067</v>
      </c>
      <c r="T66" s="9">
        <v>3.1244000000000001</v>
      </c>
      <c r="U66" s="9">
        <v>2.1635</v>
      </c>
      <c r="V66" s="9">
        <v>1.7962</v>
      </c>
      <c r="W66" s="9">
        <v>1.6791</v>
      </c>
      <c r="X66" s="9">
        <v>1.9062000000000001</v>
      </c>
      <c r="Y66" s="9">
        <v>2.4289000000000001</v>
      </c>
      <c r="Z66" s="9">
        <v>2.3849999999999998</v>
      </c>
    </row>
    <row r="67" spans="2:26" x14ac:dyDescent="0.25">
      <c r="B67" s="7" t="s">
        <v>25</v>
      </c>
      <c r="C67" s="7" t="s">
        <v>26</v>
      </c>
      <c r="D67" s="8">
        <v>13857.9</v>
      </c>
      <c r="E67" s="8">
        <v>14645.3</v>
      </c>
      <c r="F67" s="8">
        <v>15691</v>
      </c>
      <c r="G67" s="8">
        <v>18633.5</v>
      </c>
      <c r="H67" s="8">
        <v>20371.900000000001</v>
      </c>
      <c r="I67" s="8">
        <v>21836</v>
      </c>
      <c r="J67" s="8">
        <v>23076</v>
      </c>
      <c r="K67" s="8">
        <v>24286.5</v>
      </c>
      <c r="L67" s="8">
        <v>22603.4</v>
      </c>
      <c r="M67" s="8">
        <v>23113.1</v>
      </c>
      <c r="O67" s="7" t="s">
        <v>39</v>
      </c>
      <c r="P67" s="7" t="s">
        <v>40</v>
      </c>
      <c r="Q67" s="9">
        <v>21.436</v>
      </c>
      <c r="R67" s="9">
        <v>32.197200000000002</v>
      </c>
      <c r="S67" s="9">
        <v>14.234</v>
      </c>
      <c r="T67" s="9">
        <v>11.294599999999999</v>
      </c>
      <c r="U67" s="9">
        <v>6.0414000000000003</v>
      </c>
      <c r="V67" s="9">
        <v>9.0465999999999998</v>
      </c>
      <c r="W67" s="9">
        <v>5.6509</v>
      </c>
      <c r="X67" s="9">
        <v>6.3990999999999998</v>
      </c>
      <c r="Y67" s="9">
        <v>10.349500000000001</v>
      </c>
      <c r="Z67" s="9">
        <v>9.6120000000000001</v>
      </c>
    </row>
    <row r="68" spans="2:26" x14ac:dyDescent="0.25">
      <c r="B68" s="7" t="s">
        <v>27</v>
      </c>
      <c r="C68" s="7" t="s">
        <v>28</v>
      </c>
      <c r="D68" s="8">
        <v>4256.2</v>
      </c>
      <c r="E68" s="8">
        <v>4375</v>
      </c>
      <c r="F68" s="8">
        <v>4927.2</v>
      </c>
      <c r="G68" s="8">
        <v>5850.8</v>
      </c>
      <c r="H68" s="8">
        <v>6650.5</v>
      </c>
      <c r="I68" s="8">
        <v>7690.2</v>
      </c>
      <c r="J68" s="8">
        <v>7920.4</v>
      </c>
      <c r="K68" s="8">
        <v>7718.3</v>
      </c>
      <c r="L68" s="8">
        <v>6489.7</v>
      </c>
      <c r="M68" s="8">
        <v>6993.7</v>
      </c>
      <c r="O68" s="7" t="s">
        <v>41</v>
      </c>
      <c r="P68" s="7" t="s">
        <v>42</v>
      </c>
      <c r="Q68" s="9">
        <v>63.321599999999997</v>
      </c>
      <c r="R68" s="9">
        <v>100.10169999999999</v>
      </c>
      <c r="S68" s="9">
        <v>19.5276</v>
      </c>
      <c r="T68" s="9">
        <v>14.296799999999999</v>
      </c>
      <c r="U68" s="9">
        <v>6.9428000000000001</v>
      </c>
      <c r="V68" s="9">
        <v>10.9849</v>
      </c>
      <c r="W68" s="9">
        <v>6.2874999999999996</v>
      </c>
      <c r="X68" s="9">
        <v>7.0544000000000002</v>
      </c>
      <c r="Y68" s="9">
        <v>12.4794</v>
      </c>
      <c r="Z68" s="9">
        <v>11.671799999999999</v>
      </c>
    </row>
    <row r="69" spans="2:26" x14ac:dyDescent="0.25">
      <c r="O69" s="7" t="s">
        <v>43</v>
      </c>
      <c r="P69" s="7" t="s">
        <v>44</v>
      </c>
      <c r="Q69" s="9">
        <v>4.5667999999999997</v>
      </c>
      <c r="R69" s="9">
        <v>4.4665999999999997</v>
      </c>
      <c r="S69" s="9">
        <v>3.7462999999999997</v>
      </c>
      <c r="T69" s="9">
        <v>3.2595999999999998</v>
      </c>
      <c r="U69" s="9">
        <v>2.4702000000000002</v>
      </c>
      <c r="V69" s="9">
        <v>1.9782999999999999</v>
      </c>
      <c r="W69" s="9">
        <v>1.7593000000000001</v>
      </c>
      <c r="X69" s="9">
        <v>1.9847000000000001</v>
      </c>
      <c r="Y69" s="9">
        <v>2.4889999999999999</v>
      </c>
      <c r="Z69" s="9">
        <v>2.4567000000000001</v>
      </c>
    </row>
    <row r="70" spans="2:26" x14ac:dyDescent="0.25">
      <c r="O70" s="7" t="s">
        <v>45</v>
      </c>
      <c r="P70" s="7" t="s">
        <v>46</v>
      </c>
      <c r="Q70" s="9">
        <v>14.8691</v>
      </c>
      <c r="R70" s="9">
        <v>14.952</v>
      </c>
      <c r="S70" s="9">
        <v>11.930300000000001</v>
      </c>
      <c r="T70" s="9">
        <v>10.381</v>
      </c>
      <c r="U70" s="9">
        <v>7.5667999999999997</v>
      </c>
      <c r="V70" s="9">
        <v>6.2740999999999998</v>
      </c>
      <c r="W70" s="9">
        <v>5.1662999999999997</v>
      </c>
      <c r="X70" s="9">
        <v>6.9836</v>
      </c>
      <c r="Y70" s="9">
        <v>9.0794999999999995</v>
      </c>
      <c r="Z70" s="9">
        <v>8.3306000000000004</v>
      </c>
    </row>
    <row r="71" spans="2:26" x14ac:dyDescent="0.25">
      <c r="O71" s="7" t="s">
        <v>47</v>
      </c>
      <c r="P71" s="7" t="s">
        <v>48</v>
      </c>
      <c r="Q71" s="9">
        <v>17.2974</v>
      </c>
      <c r="R71" s="9">
        <v>17.928799999999999</v>
      </c>
      <c r="S71" s="9">
        <v>14.249000000000001</v>
      </c>
      <c r="T71" s="9">
        <v>12.645899999999999</v>
      </c>
      <c r="U71" s="9">
        <v>9.1035000000000004</v>
      </c>
      <c r="V71" s="9">
        <v>7.7315000000000005</v>
      </c>
      <c r="W71" s="9">
        <v>6.2169999999999996</v>
      </c>
      <c r="X71" s="9">
        <v>8.7187000000000001</v>
      </c>
      <c r="Y71" s="9">
        <v>11.883800000000001</v>
      </c>
      <c r="Z71" s="9">
        <v>10.573</v>
      </c>
    </row>
    <row r="72" spans="2:26" x14ac:dyDescent="0.25">
      <c r="O72" s="7" t="s">
        <v>49</v>
      </c>
      <c r="P72" s="7" t="s">
        <v>50</v>
      </c>
      <c r="Q72" s="9">
        <v>56.75</v>
      </c>
      <c r="R72" s="9">
        <v>56.59</v>
      </c>
      <c r="S72" s="9">
        <v>52.1</v>
      </c>
      <c r="T72" s="9">
        <v>53.39</v>
      </c>
      <c r="U72" s="9">
        <v>40.270000000000003</v>
      </c>
      <c r="V72" s="9">
        <v>35.71</v>
      </c>
      <c r="W72" s="9">
        <v>35.04</v>
      </c>
      <c r="X72" s="9">
        <v>41.56</v>
      </c>
      <c r="Y72" s="9">
        <v>49.32</v>
      </c>
      <c r="Z72" s="9">
        <v>51</v>
      </c>
    </row>
    <row r="73" spans="2:26" x14ac:dyDescent="0.25">
      <c r="O73" s="7" t="s">
        <v>51</v>
      </c>
      <c r="P73" s="7" t="s">
        <v>52</v>
      </c>
      <c r="Q73" s="8">
        <v>63285.815499999997</v>
      </c>
      <c r="R73" s="8">
        <v>65414.955399999999</v>
      </c>
      <c r="S73" s="8">
        <v>58782.737099999998</v>
      </c>
      <c r="T73" s="8">
        <v>60736.995000000003</v>
      </c>
      <c r="U73" s="8">
        <v>50323.220500000003</v>
      </c>
      <c r="V73" s="8">
        <v>43198.095800000003</v>
      </c>
      <c r="W73" s="8">
        <v>40598.516199999998</v>
      </c>
      <c r="X73" s="8">
        <v>48201.593999999997</v>
      </c>
      <c r="Y73" s="8">
        <v>56260.1728</v>
      </c>
      <c r="Z73" s="8">
        <v>56781.445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Pharma Comps</vt:lpstr>
      <vt:lpstr>Input Data</vt:lpstr>
    </vt:vector>
  </TitlesOfParts>
  <Company>EBS Universitaet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Weitbrecht, Jens</dc:creator>
  <cp:lastModifiedBy>Kalu</cp:lastModifiedBy>
  <dcterms:created xsi:type="dcterms:W3CDTF">2017-04-08T13:11:32Z</dcterms:created>
  <dcterms:modified xsi:type="dcterms:W3CDTF">2017-04-20T14:50:24Z</dcterms:modified>
</cp:coreProperties>
</file>