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/Desktop/"/>
    </mc:Choice>
  </mc:AlternateContent>
  <xr:revisionPtr revIDLastSave="0" documentId="13_ncr:1_{AC06D3B3-0ADC-F146-8636-608B30ACF161}" xr6:coauthVersionLast="40" xr6:coauthVersionMax="40" xr10:uidLastSave="{00000000-0000-0000-0000-000000000000}"/>
  <bookViews>
    <workbookView xWindow="0" yWindow="460" windowWidth="31920" windowHeight="17060" tabRatio="897" xr2:uid="{00000000-000D-0000-FFFF-FFFF00000000}"/>
  </bookViews>
  <sheets>
    <sheet name="Table of Contents" sheetId="34" r:id="rId1"/>
    <sheet name="Summary" sheetId="53" r:id="rId2"/>
    <sheet name="Business Opportunity" sheetId="63" r:id="rId3"/>
    <sheet name="Free Cash Flows" sheetId="45" r:id="rId4"/>
    <sheet name="Beta Calculation" sheetId="55" r:id="rId5"/>
    <sheet name="Cost of Equity" sheetId="56" r:id="rId6"/>
    <sheet name="Cost of Debt" sheetId="35" r:id="rId7"/>
    <sheet name="WACC" sheetId="23" r:id="rId8"/>
    <sheet name="DCF" sheetId="22" r:id="rId9"/>
    <sheet name="Share Prices" sheetId="26" r:id="rId10"/>
    <sheet name="APV" sheetId="42" r:id="rId11"/>
    <sheet name="Trading Multiples" sheetId="60" r:id="rId12"/>
    <sheet name="Growth Scenarios" sheetId="21" r:id="rId13"/>
    <sheet name="Marginal Tax Rate" sheetId="46" r:id="rId14"/>
    <sheet name="Corporate Bond 1" sheetId="36" r:id="rId15"/>
    <sheet name="Corporate Bond 2" sheetId="37" r:id="rId16"/>
    <sheet name="Corporate Bond 3" sheetId="38" r:id="rId17"/>
    <sheet name="Corporate Bond 4" sheetId="39" r:id="rId18"/>
    <sheet name="Corporate Bond 5" sheetId="40" r:id="rId19"/>
    <sheet name="Balance Sheet" sheetId="9" r:id="rId20"/>
    <sheet name="Income Statement" sheetId="16" r:id="rId21"/>
    <sheet name="Cash Flow Statement " sheetId="19" r:id="rId22"/>
    <sheet name="SPX" sheetId="27" r:id="rId23"/>
    <sheet name="Trading Multiples Bloomberg" sheetId="61" r:id="rId24"/>
  </sheets>
  <externalReferences>
    <externalReference r:id="rId25"/>
    <externalReference r:id="rId26"/>
    <externalReference r:id="rId27"/>
    <externalReference r:id="rId28"/>
  </externalReferences>
  <definedNames>
    <definedName name="ScenarioSelection" localSheetId="4">'[1]Table of Contents'!$H$4:$H$7</definedName>
    <definedName name="ScenarioSelection" localSheetId="2">'[2]Table of Contents'!$J$1:$J$3</definedName>
    <definedName name="ScenarioSelection" localSheetId="5">'[1]Table of Contents'!$H$4:$H$7</definedName>
    <definedName name="ScenarioSelection" localSheetId="1">'[3]Table of Contents'!$H$9:$H$11</definedName>
    <definedName name="ScenarioSelection" localSheetId="11">'[4]Cover Sheet'!$B$1:$B$3</definedName>
    <definedName name="ScenarioSelection">'Table of Contents'!$J$1:$J$3</definedName>
    <definedName name="solver_adj" localSheetId="2" hidden="1">'Business Opportunity'!$B$8</definedName>
    <definedName name="solver_adj" localSheetId="14" hidden="1">'Corporate Bond 1'!$G$8</definedName>
    <definedName name="solver_adj" localSheetId="15" hidden="1">'Corporate Bond 2'!$G$8</definedName>
    <definedName name="solver_adj" localSheetId="16" hidden="1">'Corporate Bond 3'!$G$8</definedName>
    <definedName name="solver_adj" localSheetId="17" hidden="1">'Corporate Bond 4'!$G$8</definedName>
    <definedName name="solver_adj" localSheetId="18" hidden="1">'Corporate Bond 5'!$G$8</definedName>
    <definedName name="solver_cvg" localSheetId="2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drv" localSheetId="2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eng" localSheetId="4" hidden="1">1</definedName>
    <definedName name="solver_eng" localSheetId="2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st" localSheetId="2" hidden="1">1</definedName>
    <definedName name="solver_itr" localSheetId="2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lhs1" localSheetId="2" hidden="1">'Business Opportunity'!$B$8</definedName>
    <definedName name="solver_lin" localSheetId="14" hidden="1">2</definedName>
    <definedName name="solver_lin" localSheetId="15" hidden="1">2</definedName>
    <definedName name="solver_lin" localSheetId="16" hidden="1">2</definedName>
    <definedName name="solver_lin" localSheetId="17" hidden="1">2</definedName>
    <definedName name="solver_lin" localSheetId="18" hidden="1">2</definedName>
    <definedName name="solver_mip" localSheetId="2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ni" localSheetId="2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rt" localSheetId="2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sl" localSheetId="2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neg" localSheetId="4" hidden="1">1</definedName>
    <definedName name="solver_neg" localSheetId="2" hidden="1">1</definedName>
    <definedName name="solver_neg" localSheetId="14" hidden="1">2</definedName>
    <definedName name="solver_neg" localSheetId="15" hidden="1">2</definedName>
    <definedName name="solver_neg" localSheetId="16" hidden="1">2</definedName>
    <definedName name="solver_neg" localSheetId="17" hidden="1">2</definedName>
    <definedName name="solver_neg" localSheetId="18" hidden="1">2</definedName>
    <definedName name="solver_nod" localSheetId="2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um" localSheetId="4" hidden="1">0</definedName>
    <definedName name="solver_num" localSheetId="2" hidden="1">1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wt" localSheetId="2" hidden="1">1</definedName>
    <definedName name="solver_opt" localSheetId="4" hidden="1">'Beta Calculation'!#REF!</definedName>
    <definedName name="solver_opt" localSheetId="2" hidden="1">'Business Opportunity'!$B$28</definedName>
    <definedName name="solver_opt" localSheetId="14" hidden="1">'Corporate Bond 1'!$I$8</definedName>
    <definedName name="solver_opt" localSheetId="15" hidden="1">'Corporate Bond 2'!$I$8</definedName>
    <definedName name="solver_opt" localSheetId="16" hidden="1">'Corporate Bond 3'!$I$8</definedName>
    <definedName name="solver_opt" localSheetId="17" hidden="1">'Corporate Bond 4'!$I$8</definedName>
    <definedName name="solver_opt" localSheetId="18" hidden="1">'Corporate Bond 5'!$I$8</definedName>
    <definedName name="solver_pre" localSheetId="2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rbv" localSheetId="2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el1" localSheetId="2" hidden="1">1</definedName>
    <definedName name="solver_rhs1" localSheetId="2" hidden="1">1</definedName>
    <definedName name="solver_rlx" localSheetId="2" hidden="1">2</definedName>
    <definedName name="solver_rlx" localSheetId="14" hidden="1">1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sd" localSheetId="2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scl" localSheetId="2" hidden="1">1</definedName>
    <definedName name="solver_scl" localSheetId="14" hidden="1">2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ho" localSheetId="2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sz" localSheetId="2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tim" localSheetId="2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ol" localSheetId="2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yp" localSheetId="4" hidden="1">1</definedName>
    <definedName name="solver_typ" localSheetId="2" hidden="1">1</definedName>
    <definedName name="solver_typ" localSheetId="14" hidden="1">3</definedName>
    <definedName name="solver_typ" localSheetId="15" hidden="1">3</definedName>
    <definedName name="solver_typ" localSheetId="16" hidden="1">3</definedName>
    <definedName name="solver_typ" localSheetId="17" hidden="1">3</definedName>
    <definedName name="solver_typ" localSheetId="18" hidden="1">3</definedName>
    <definedName name="solver_val" localSheetId="4" hidden="1">0</definedName>
    <definedName name="solver_val" localSheetId="2" hidden="1">0</definedName>
    <definedName name="solver_val" localSheetId="14" hidden="1">997.87</definedName>
    <definedName name="solver_val" localSheetId="15" hidden="1">953.49</definedName>
    <definedName name="solver_val" localSheetId="16" hidden="1">979.35</definedName>
    <definedName name="solver_val" localSheetId="17" hidden="1">1015.53</definedName>
    <definedName name="solver_val" localSheetId="18" hidden="1">1015.53</definedName>
    <definedName name="solver_ver" localSheetId="4" hidden="1">3</definedName>
    <definedName name="solver_ver" localSheetId="2" hidden="1">3</definedName>
    <definedName name="solver_ver" localSheetId="14" hidden="1">2</definedName>
    <definedName name="solver_ver" localSheetId="15" hidden="1">2</definedName>
    <definedName name="solver_ver" localSheetId="16" hidden="1">2</definedName>
    <definedName name="solver_ver" localSheetId="17" hidden="1">2</definedName>
    <definedName name="solver_ver" localSheetId="18" hidden="1">2</definedName>
  </definedNames>
  <calcPr calcId="191029" concurrentCalc="0"/>
  <fileRecoveryPr autoRecover="0"/>
</workbook>
</file>

<file path=xl/calcChain.xml><?xml version="1.0" encoding="utf-8"?>
<calcChain xmlns="http://schemas.openxmlformats.org/spreadsheetml/2006/main">
  <c r="B11" i="23" l="1"/>
  <c r="B12" i="23"/>
  <c r="J32" i="22"/>
  <c r="J30" i="22"/>
  <c r="L25" i="35"/>
  <c r="L26" i="35"/>
  <c r="L30" i="35"/>
  <c r="L33" i="35"/>
  <c r="K25" i="35"/>
  <c r="K26" i="35"/>
  <c r="K30" i="35"/>
  <c r="K33" i="35"/>
  <c r="I25" i="35"/>
  <c r="I26" i="35"/>
  <c r="I30" i="35"/>
  <c r="I33" i="35"/>
  <c r="K34" i="35"/>
  <c r="L34" i="35"/>
  <c r="M34" i="35"/>
  <c r="M33" i="35"/>
  <c r="O33" i="35"/>
  <c r="P33" i="35"/>
  <c r="Q33" i="35"/>
  <c r="R33" i="35"/>
  <c r="B7" i="63"/>
  <c r="B14" i="63"/>
  <c r="G10" i="21"/>
  <c r="F10" i="21"/>
  <c r="G11" i="21"/>
  <c r="H10" i="21"/>
  <c r="H11" i="21"/>
  <c r="I10" i="21"/>
  <c r="I11" i="21"/>
  <c r="J10" i="21"/>
  <c r="J11" i="21"/>
  <c r="K10" i="21"/>
  <c r="K11" i="21"/>
  <c r="C11" i="21"/>
  <c r="D10" i="21"/>
  <c r="D11" i="21"/>
  <c r="E10" i="21"/>
  <c r="E11" i="21"/>
  <c r="F11" i="21"/>
  <c r="M11" i="21"/>
  <c r="M10" i="21"/>
  <c r="N11" i="21"/>
  <c r="N10" i="21"/>
  <c r="O11" i="21"/>
  <c r="O10" i="21"/>
  <c r="P11" i="21"/>
  <c r="P10" i="21"/>
  <c r="Q11" i="21"/>
  <c r="Q10" i="21"/>
  <c r="K16" i="21"/>
  <c r="K18" i="21"/>
  <c r="K15" i="21"/>
  <c r="K24" i="21"/>
  <c r="K12" i="21"/>
  <c r="K13" i="21"/>
  <c r="D16" i="21"/>
  <c r="D18" i="21"/>
  <c r="D15" i="21"/>
  <c r="D24" i="21"/>
  <c r="D12" i="21"/>
  <c r="D13" i="21"/>
  <c r="C16" i="21"/>
  <c r="C18" i="21"/>
  <c r="C15" i="21"/>
  <c r="C24" i="21"/>
  <c r="C12" i="21"/>
  <c r="C13" i="21"/>
  <c r="D14" i="21"/>
  <c r="E16" i="21"/>
  <c r="E18" i="21"/>
  <c r="E15" i="21"/>
  <c r="E24" i="21"/>
  <c r="E12" i="21"/>
  <c r="E13" i="21"/>
  <c r="E14" i="21"/>
  <c r="F16" i="21"/>
  <c r="F18" i="21"/>
  <c r="F15" i="21"/>
  <c r="F24" i="21"/>
  <c r="F12" i="21"/>
  <c r="F13" i="21"/>
  <c r="F14" i="21"/>
  <c r="G16" i="21"/>
  <c r="G18" i="21"/>
  <c r="G15" i="21"/>
  <c r="G24" i="21"/>
  <c r="G12" i="21"/>
  <c r="G13" i="21"/>
  <c r="G14" i="21"/>
  <c r="H16" i="21"/>
  <c r="H18" i="21"/>
  <c r="H15" i="21"/>
  <c r="H24" i="21"/>
  <c r="H12" i="21"/>
  <c r="H13" i="21"/>
  <c r="H14" i="21"/>
  <c r="I16" i="21"/>
  <c r="I18" i="21"/>
  <c r="I15" i="21"/>
  <c r="I24" i="21"/>
  <c r="I12" i="21"/>
  <c r="I13" i="21"/>
  <c r="I14" i="21"/>
  <c r="J16" i="21"/>
  <c r="J18" i="21"/>
  <c r="J15" i="21"/>
  <c r="J24" i="21"/>
  <c r="J12" i="21"/>
  <c r="J13" i="21"/>
  <c r="J14" i="21"/>
  <c r="K14" i="21"/>
  <c r="M13" i="21"/>
  <c r="N13" i="21"/>
  <c r="O13" i="21"/>
  <c r="P13" i="21"/>
  <c r="Q13" i="21"/>
  <c r="Q12" i="21"/>
  <c r="C19" i="21"/>
  <c r="B19" i="21"/>
  <c r="C21" i="21"/>
  <c r="D19" i="21"/>
  <c r="D21" i="21"/>
  <c r="E19" i="21"/>
  <c r="E21" i="21"/>
  <c r="F19" i="21"/>
  <c r="F21" i="21"/>
  <c r="G19" i="21"/>
  <c r="G21" i="21"/>
  <c r="H19" i="21"/>
  <c r="H21" i="21"/>
  <c r="I19" i="21"/>
  <c r="I21" i="21"/>
  <c r="J19" i="21"/>
  <c r="J21" i="21"/>
  <c r="K19" i="21"/>
  <c r="K21" i="21"/>
  <c r="M21" i="21"/>
  <c r="M17" i="21"/>
  <c r="M16" i="21"/>
  <c r="N21" i="21"/>
  <c r="N17" i="21"/>
  <c r="N16" i="21"/>
  <c r="O21" i="21"/>
  <c r="O17" i="21"/>
  <c r="O16" i="21"/>
  <c r="P21" i="21"/>
  <c r="P17" i="21"/>
  <c r="P16" i="21"/>
  <c r="Q21" i="21"/>
  <c r="Q17" i="21"/>
  <c r="Q16" i="21"/>
  <c r="M18" i="21"/>
  <c r="Q18" i="21"/>
  <c r="Q15" i="21"/>
  <c r="Q24" i="21"/>
  <c r="Q9" i="45"/>
  <c r="Q23" i="21"/>
  <c r="Q10" i="45"/>
  <c r="M19" i="21"/>
  <c r="N19" i="21"/>
  <c r="O19" i="21"/>
  <c r="P19" i="21"/>
  <c r="Q19" i="21"/>
  <c r="Q20" i="21"/>
  <c r="Q32" i="21"/>
  <c r="Q11" i="45"/>
  <c r="G30" i="21"/>
  <c r="F30" i="21"/>
  <c r="G31" i="21"/>
  <c r="H30" i="21"/>
  <c r="H31" i="21"/>
  <c r="I30" i="21"/>
  <c r="I31" i="21"/>
  <c r="J30" i="21"/>
  <c r="J31" i="21"/>
  <c r="K30" i="21"/>
  <c r="K31" i="21"/>
  <c r="D30" i="21"/>
  <c r="C30" i="21"/>
  <c r="D31" i="21"/>
  <c r="E30" i="21"/>
  <c r="E31" i="21"/>
  <c r="F31" i="21"/>
  <c r="M31" i="21"/>
  <c r="M30" i="21"/>
  <c r="N31" i="21"/>
  <c r="N30" i="21"/>
  <c r="O31" i="21"/>
  <c r="O30" i="21"/>
  <c r="P31" i="21"/>
  <c r="P30" i="21"/>
  <c r="Q31" i="21"/>
  <c r="Q30" i="21"/>
  <c r="Q29" i="21"/>
  <c r="Q12" i="45"/>
  <c r="C36" i="21"/>
  <c r="D36" i="21"/>
  <c r="E36" i="21"/>
  <c r="F36" i="21"/>
  <c r="G36" i="21"/>
  <c r="H36" i="21"/>
  <c r="I36" i="21"/>
  <c r="J36" i="21"/>
  <c r="K36" i="21"/>
  <c r="M36" i="21"/>
  <c r="Q36" i="21"/>
  <c r="Q13" i="45"/>
  <c r="K14" i="46"/>
  <c r="K16" i="46"/>
  <c r="M9" i="46"/>
  <c r="M10" i="46"/>
  <c r="M11" i="46"/>
  <c r="M13" i="46"/>
  <c r="K18" i="46"/>
  <c r="K8" i="45"/>
  <c r="Q8" i="45"/>
  <c r="Q15" i="45"/>
  <c r="H22" i="45"/>
  <c r="C22" i="45"/>
  <c r="D21" i="45"/>
  <c r="E21" i="45"/>
  <c r="F21" i="45"/>
  <c r="G21" i="45"/>
  <c r="H21" i="45"/>
  <c r="F11" i="22" a="1"/>
  <c r="F11" i="22"/>
  <c r="B16" i="22"/>
  <c r="O5" i="23"/>
  <c r="B39" i="35"/>
  <c r="B43" i="35"/>
  <c r="B6" i="23"/>
  <c r="H7" i="35"/>
  <c r="L7" i="35"/>
  <c r="H8" i="35"/>
  <c r="L8" i="35"/>
  <c r="H9" i="35"/>
  <c r="L9" i="35"/>
  <c r="H10" i="35"/>
  <c r="L10" i="35"/>
  <c r="H11" i="35"/>
  <c r="L11" i="35"/>
  <c r="L12" i="35"/>
  <c r="P7" i="35"/>
  <c r="M12" i="35"/>
  <c r="P8" i="35"/>
  <c r="P9" i="35"/>
  <c r="P10" i="35"/>
  <c r="P11" i="35"/>
  <c r="P12" i="35"/>
  <c r="L16" i="35"/>
  <c r="L17" i="35"/>
  <c r="L18" i="35"/>
  <c r="B5" i="23"/>
  <c r="B7" i="23"/>
  <c r="B9" i="23"/>
  <c r="K8" i="56"/>
  <c r="K12" i="56"/>
  <c r="N9" i="55"/>
  <c r="C199" i="56"/>
  <c r="E199" i="56"/>
  <c r="C200" i="56"/>
  <c r="E200" i="56"/>
  <c r="C201" i="56"/>
  <c r="E201" i="56"/>
  <c r="C202" i="56"/>
  <c r="E202" i="56"/>
  <c r="C203" i="56"/>
  <c r="E203" i="56"/>
  <c r="C204" i="56"/>
  <c r="E204" i="56"/>
  <c r="C205" i="56"/>
  <c r="E205" i="56"/>
  <c r="C206" i="56"/>
  <c r="E206" i="56"/>
  <c r="C207" i="56"/>
  <c r="E207" i="56"/>
  <c r="C208" i="56"/>
  <c r="E208" i="56"/>
  <c r="C209" i="56"/>
  <c r="E209" i="56"/>
  <c r="C210" i="56"/>
  <c r="E210" i="56"/>
  <c r="H8" i="56"/>
  <c r="H12" i="56"/>
  <c r="N8" i="56"/>
  <c r="K9" i="56"/>
  <c r="K13" i="56"/>
  <c r="N32" i="55"/>
  <c r="C151" i="56"/>
  <c r="E151" i="56"/>
  <c r="C152" i="56"/>
  <c r="E152" i="56"/>
  <c r="C153" i="56"/>
  <c r="E153" i="56"/>
  <c r="C154" i="56"/>
  <c r="E154" i="56"/>
  <c r="C155" i="56"/>
  <c r="E155" i="56"/>
  <c r="C156" i="56"/>
  <c r="E156" i="56"/>
  <c r="C157" i="56"/>
  <c r="E157" i="56"/>
  <c r="C158" i="56"/>
  <c r="E158" i="56"/>
  <c r="C159" i="56"/>
  <c r="E159" i="56"/>
  <c r="C160" i="56"/>
  <c r="E160" i="56"/>
  <c r="C161" i="56"/>
  <c r="E161" i="56"/>
  <c r="C162" i="56"/>
  <c r="E162" i="56"/>
  <c r="C163" i="56"/>
  <c r="E163" i="56"/>
  <c r="C164" i="56"/>
  <c r="E164" i="56"/>
  <c r="C165" i="56"/>
  <c r="E165" i="56"/>
  <c r="C166" i="56"/>
  <c r="E166" i="56"/>
  <c r="C167" i="56"/>
  <c r="E167" i="56"/>
  <c r="C168" i="56"/>
  <c r="E168" i="56"/>
  <c r="C169" i="56"/>
  <c r="E169" i="56"/>
  <c r="C170" i="56"/>
  <c r="E170" i="56"/>
  <c r="C171" i="56"/>
  <c r="E171" i="56"/>
  <c r="C172" i="56"/>
  <c r="E172" i="56"/>
  <c r="C173" i="56"/>
  <c r="E173" i="56"/>
  <c r="C174" i="56"/>
  <c r="E174" i="56"/>
  <c r="C175" i="56"/>
  <c r="E175" i="56"/>
  <c r="C176" i="56"/>
  <c r="E176" i="56"/>
  <c r="C177" i="56"/>
  <c r="E177" i="56"/>
  <c r="C178" i="56"/>
  <c r="E178" i="56"/>
  <c r="C179" i="56"/>
  <c r="E179" i="56"/>
  <c r="C180" i="56"/>
  <c r="E180" i="56"/>
  <c r="C181" i="56"/>
  <c r="E181" i="56"/>
  <c r="C182" i="56"/>
  <c r="E182" i="56"/>
  <c r="C183" i="56"/>
  <c r="E183" i="56"/>
  <c r="C184" i="56"/>
  <c r="E184" i="56"/>
  <c r="C185" i="56"/>
  <c r="E185" i="56"/>
  <c r="C186" i="56"/>
  <c r="E186" i="56"/>
  <c r="C187" i="56"/>
  <c r="E187" i="56"/>
  <c r="C188" i="56"/>
  <c r="E188" i="56"/>
  <c r="C189" i="56"/>
  <c r="E189" i="56"/>
  <c r="C190" i="56"/>
  <c r="E190" i="56"/>
  <c r="C191" i="56"/>
  <c r="E191" i="56"/>
  <c r="C192" i="56"/>
  <c r="E192" i="56"/>
  <c r="C193" i="56"/>
  <c r="E193" i="56"/>
  <c r="C194" i="56"/>
  <c r="E194" i="56"/>
  <c r="C195" i="56"/>
  <c r="E195" i="56"/>
  <c r="C196" i="56"/>
  <c r="E196" i="56"/>
  <c r="C197" i="56"/>
  <c r="E197" i="56"/>
  <c r="C198" i="56"/>
  <c r="E198" i="56"/>
  <c r="H9" i="56"/>
  <c r="H13" i="56"/>
  <c r="N9" i="56"/>
  <c r="K10" i="56"/>
  <c r="K14" i="56"/>
  <c r="N55" i="55"/>
  <c r="C91" i="56"/>
  <c r="E91" i="56"/>
  <c r="C92" i="56"/>
  <c r="E92" i="56"/>
  <c r="C93" i="56"/>
  <c r="E93" i="56"/>
  <c r="C94" i="56"/>
  <c r="E94" i="56"/>
  <c r="C95" i="56"/>
  <c r="E95" i="56"/>
  <c r="C96" i="56"/>
  <c r="E96" i="56"/>
  <c r="C97" i="56"/>
  <c r="E97" i="56"/>
  <c r="C98" i="56"/>
  <c r="E98" i="56"/>
  <c r="C99" i="56"/>
  <c r="E99" i="56"/>
  <c r="C100" i="56"/>
  <c r="E100" i="56"/>
  <c r="C101" i="56"/>
  <c r="E101" i="56"/>
  <c r="C102" i="56"/>
  <c r="E102" i="56"/>
  <c r="C103" i="56"/>
  <c r="E103" i="56"/>
  <c r="C104" i="56"/>
  <c r="E104" i="56"/>
  <c r="C105" i="56"/>
  <c r="E105" i="56"/>
  <c r="C106" i="56"/>
  <c r="E106" i="56"/>
  <c r="C107" i="56"/>
  <c r="E107" i="56"/>
  <c r="C108" i="56"/>
  <c r="E108" i="56"/>
  <c r="C109" i="56"/>
  <c r="E109" i="56"/>
  <c r="C110" i="56"/>
  <c r="E110" i="56"/>
  <c r="C111" i="56"/>
  <c r="E111" i="56"/>
  <c r="C112" i="56"/>
  <c r="E112" i="56"/>
  <c r="C113" i="56"/>
  <c r="E113" i="56"/>
  <c r="C114" i="56"/>
  <c r="E114" i="56"/>
  <c r="C115" i="56"/>
  <c r="E115" i="56"/>
  <c r="C116" i="56"/>
  <c r="E116" i="56"/>
  <c r="C117" i="56"/>
  <c r="E117" i="56"/>
  <c r="C118" i="56"/>
  <c r="E118" i="56"/>
  <c r="C119" i="56"/>
  <c r="E119" i="56"/>
  <c r="C120" i="56"/>
  <c r="E120" i="56"/>
  <c r="C121" i="56"/>
  <c r="E121" i="56"/>
  <c r="C122" i="56"/>
  <c r="E122" i="56"/>
  <c r="C123" i="56"/>
  <c r="E123" i="56"/>
  <c r="C124" i="56"/>
  <c r="E124" i="56"/>
  <c r="C125" i="56"/>
  <c r="E125" i="56"/>
  <c r="C126" i="56"/>
  <c r="E126" i="56"/>
  <c r="C127" i="56"/>
  <c r="E127" i="56"/>
  <c r="C128" i="56"/>
  <c r="E128" i="56"/>
  <c r="C129" i="56"/>
  <c r="E129" i="56"/>
  <c r="C130" i="56"/>
  <c r="E130" i="56"/>
  <c r="C131" i="56"/>
  <c r="E131" i="56"/>
  <c r="C132" i="56"/>
  <c r="E132" i="56"/>
  <c r="C133" i="56"/>
  <c r="E133" i="56"/>
  <c r="C134" i="56"/>
  <c r="E134" i="56"/>
  <c r="C135" i="56"/>
  <c r="E135" i="56"/>
  <c r="C136" i="56"/>
  <c r="E136" i="56"/>
  <c r="C137" i="56"/>
  <c r="E137" i="56"/>
  <c r="C138" i="56"/>
  <c r="E138" i="56"/>
  <c r="C139" i="56"/>
  <c r="E139" i="56"/>
  <c r="C140" i="56"/>
  <c r="E140" i="56"/>
  <c r="C141" i="56"/>
  <c r="E141" i="56"/>
  <c r="C142" i="56"/>
  <c r="E142" i="56"/>
  <c r="C143" i="56"/>
  <c r="E143" i="56"/>
  <c r="C144" i="56"/>
  <c r="E144" i="56"/>
  <c r="C145" i="56"/>
  <c r="E145" i="56"/>
  <c r="C146" i="56"/>
  <c r="E146" i="56"/>
  <c r="C147" i="56"/>
  <c r="E147" i="56"/>
  <c r="C148" i="56"/>
  <c r="E148" i="56"/>
  <c r="C149" i="56"/>
  <c r="E149" i="56"/>
  <c r="C150" i="56"/>
  <c r="E150" i="56"/>
  <c r="H10" i="56"/>
  <c r="H14" i="56"/>
  <c r="N10" i="56"/>
  <c r="N12" i="56"/>
  <c r="B8" i="23"/>
  <c r="B21" i="36"/>
  <c r="I7" i="35"/>
  <c r="B28" i="37"/>
  <c r="I8" i="35"/>
  <c r="B61" i="38"/>
  <c r="I9" i="35"/>
  <c r="B66" i="39"/>
  <c r="I10" i="35"/>
  <c r="B68" i="40"/>
  <c r="I11" i="35"/>
  <c r="B19" i="35"/>
  <c r="B18" i="23"/>
  <c r="B20" i="23"/>
  <c r="P5" i="23"/>
  <c r="K7" i="22"/>
  <c r="B19" i="22"/>
  <c r="B20" i="22"/>
  <c r="J13" i="22"/>
  <c r="K13" i="22"/>
  <c r="L13" i="22"/>
  <c r="M13" i="22"/>
  <c r="B21" i="22"/>
  <c r="B22" i="22"/>
  <c r="M12" i="21"/>
  <c r="M15" i="21"/>
  <c r="M24" i="21"/>
  <c r="M9" i="45"/>
  <c r="M23" i="21"/>
  <c r="M10" i="45"/>
  <c r="M20" i="21"/>
  <c r="M32" i="21"/>
  <c r="M11" i="45"/>
  <c r="M29" i="21"/>
  <c r="M12" i="45"/>
  <c r="M13" i="45"/>
  <c r="M8" i="45"/>
  <c r="M15" i="45"/>
  <c r="D22" i="45"/>
  <c r="B11" i="22" a="1"/>
  <c r="B11" i="22"/>
  <c r="I14" i="22"/>
  <c r="I11" i="22"/>
  <c r="N12" i="21"/>
  <c r="N18" i="21"/>
  <c r="N15" i="21"/>
  <c r="N24" i="21"/>
  <c r="N9" i="45"/>
  <c r="N23" i="21"/>
  <c r="N10" i="45"/>
  <c r="N20" i="21"/>
  <c r="N32" i="21"/>
  <c r="N11" i="45"/>
  <c r="N29" i="21"/>
  <c r="N12" i="45"/>
  <c r="N36" i="21"/>
  <c r="N13" i="45"/>
  <c r="N8" i="45"/>
  <c r="N15" i="45"/>
  <c r="E22" i="45"/>
  <c r="C11" i="22" a="1"/>
  <c r="C11" i="22"/>
  <c r="J14" i="22"/>
  <c r="J11" i="22"/>
  <c r="O12" i="21"/>
  <c r="O18" i="21"/>
  <c r="O15" i="21"/>
  <c r="O24" i="21"/>
  <c r="O9" i="45"/>
  <c r="O23" i="21"/>
  <c r="O10" i="45"/>
  <c r="O20" i="21"/>
  <c r="O32" i="21"/>
  <c r="O11" i="45"/>
  <c r="O29" i="21"/>
  <c r="O12" i="45"/>
  <c r="O36" i="21"/>
  <c r="O13" i="45"/>
  <c r="O8" i="45"/>
  <c r="O15" i="45"/>
  <c r="F22" i="45"/>
  <c r="D11" i="22" a="1"/>
  <c r="D11" i="22"/>
  <c r="K14" i="22"/>
  <c r="K11" i="22"/>
  <c r="P12" i="21"/>
  <c r="P18" i="21"/>
  <c r="P15" i="21"/>
  <c r="P24" i="21"/>
  <c r="P9" i="45"/>
  <c r="P23" i="21"/>
  <c r="P10" i="45"/>
  <c r="P20" i="21"/>
  <c r="P32" i="21"/>
  <c r="P11" i="45"/>
  <c r="P29" i="21"/>
  <c r="P12" i="45"/>
  <c r="P36" i="21"/>
  <c r="P13" i="45"/>
  <c r="P8" i="45"/>
  <c r="P15" i="45"/>
  <c r="G22" i="45"/>
  <c r="E11" i="22" a="1"/>
  <c r="E11" i="22"/>
  <c r="L14" i="22"/>
  <c r="L11" i="22"/>
  <c r="M14" i="22"/>
  <c r="M11" i="22"/>
  <c r="B24" i="22"/>
  <c r="B26" i="22"/>
  <c r="E24" i="22"/>
  <c r="C26" i="22"/>
  <c r="A24" i="63"/>
  <c r="A23" i="63"/>
  <c r="A22" i="63"/>
  <c r="A21" i="63"/>
  <c r="S8" i="45"/>
  <c r="K40" i="21"/>
  <c r="M41" i="21"/>
  <c r="M40" i="21"/>
  <c r="M43" i="21"/>
  <c r="M42" i="21"/>
  <c r="K46" i="21"/>
  <c r="M47" i="21"/>
  <c r="M46" i="21"/>
  <c r="M48" i="21"/>
  <c r="M45" i="21"/>
  <c r="M54" i="21"/>
  <c r="S9" i="45"/>
  <c r="M53" i="21"/>
  <c r="S10" i="45"/>
  <c r="K49" i="21"/>
  <c r="M51" i="21"/>
  <c r="M49" i="21"/>
  <c r="M50" i="21"/>
  <c r="M62" i="21"/>
  <c r="S11" i="45"/>
  <c r="K60" i="21"/>
  <c r="M61" i="21"/>
  <c r="M60" i="21"/>
  <c r="M59" i="21"/>
  <c r="S12" i="45"/>
  <c r="C66" i="21"/>
  <c r="D66" i="21"/>
  <c r="E66" i="21"/>
  <c r="F66" i="21"/>
  <c r="G66" i="21"/>
  <c r="H66" i="21"/>
  <c r="I66" i="21"/>
  <c r="J66" i="21"/>
  <c r="K66" i="21"/>
  <c r="M66" i="21"/>
  <c r="S13" i="45"/>
  <c r="S15" i="45"/>
  <c r="D23" i="45"/>
  <c r="T8" i="45"/>
  <c r="N41" i="21"/>
  <c r="N40" i="21"/>
  <c r="N42" i="21"/>
  <c r="N47" i="21"/>
  <c r="N46" i="21"/>
  <c r="N48" i="21"/>
  <c r="N45" i="21"/>
  <c r="N54" i="21"/>
  <c r="T9" i="45"/>
  <c r="N53" i="21"/>
  <c r="T10" i="45"/>
  <c r="N51" i="21"/>
  <c r="N49" i="21"/>
  <c r="N50" i="21"/>
  <c r="N62" i="21"/>
  <c r="T11" i="45"/>
  <c r="N61" i="21"/>
  <c r="N60" i="21"/>
  <c r="N59" i="21"/>
  <c r="T12" i="45"/>
  <c r="N66" i="21"/>
  <c r="T13" i="45"/>
  <c r="T15" i="45"/>
  <c r="E23" i="45"/>
  <c r="U8" i="45"/>
  <c r="O41" i="21"/>
  <c r="O40" i="21"/>
  <c r="O42" i="21"/>
  <c r="O47" i="21"/>
  <c r="O46" i="21"/>
  <c r="O48" i="21"/>
  <c r="O45" i="21"/>
  <c r="O54" i="21"/>
  <c r="U9" i="45"/>
  <c r="O53" i="21"/>
  <c r="U10" i="45"/>
  <c r="O51" i="21"/>
  <c r="O49" i="21"/>
  <c r="O50" i="21"/>
  <c r="O62" i="21"/>
  <c r="U11" i="45"/>
  <c r="O61" i="21"/>
  <c r="O60" i="21"/>
  <c r="O59" i="21"/>
  <c r="U12" i="45"/>
  <c r="O66" i="21"/>
  <c r="U13" i="45"/>
  <c r="U15" i="45"/>
  <c r="F23" i="45"/>
  <c r="V8" i="45"/>
  <c r="P41" i="21"/>
  <c r="P40" i="21"/>
  <c r="P42" i="21"/>
  <c r="P47" i="21"/>
  <c r="P46" i="21"/>
  <c r="P48" i="21"/>
  <c r="P45" i="21"/>
  <c r="P54" i="21"/>
  <c r="V9" i="45"/>
  <c r="P53" i="21"/>
  <c r="V10" i="45"/>
  <c r="P51" i="21"/>
  <c r="P49" i="21"/>
  <c r="P50" i="21"/>
  <c r="P62" i="21"/>
  <c r="V11" i="45"/>
  <c r="P61" i="21"/>
  <c r="P60" i="21"/>
  <c r="P59" i="21"/>
  <c r="V12" i="45"/>
  <c r="P66" i="21"/>
  <c r="V13" i="45"/>
  <c r="V15" i="45"/>
  <c r="G23" i="45"/>
  <c r="W8" i="45"/>
  <c r="Q41" i="21"/>
  <c r="Q40" i="21"/>
  <c r="Q42" i="21"/>
  <c r="Q47" i="21"/>
  <c r="Q46" i="21"/>
  <c r="Q48" i="21"/>
  <c r="Q45" i="21"/>
  <c r="Q54" i="21"/>
  <c r="W9" i="45"/>
  <c r="Q53" i="21"/>
  <c r="W10" i="45"/>
  <c r="Q51" i="21"/>
  <c r="Q49" i="21"/>
  <c r="Q50" i="21"/>
  <c r="Q62" i="21"/>
  <c r="W11" i="45"/>
  <c r="Q61" i="21"/>
  <c r="Q60" i="21"/>
  <c r="Q59" i="21"/>
  <c r="W12" i="45"/>
  <c r="Q66" i="21"/>
  <c r="W13" i="45"/>
  <c r="W15" i="45"/>
  <c r="H23" i="45"/>
  <c r="Y8" i="45"/>
  <c r="K70" i="21"/>
  <c r="M71" i="21"/>
  <c r="M70" i="21"/>
  <c r="M73" i="21"/>
  <c r="M72" i="21"/>
  <c r="K76" i="21"/>
  <c r="M77" i="21"/>
  <c r="M76" i="21"/>
  <c r="M78" i="21"/>
  <c r="M75" i="21"/>
  <c r="M84" i="21"/>
  <c r="Y9" i="45"/>
  <c r="M83" i="21"/>
  <c r="Y10" i="45"/>
  <c r="K79" i="21"/>
  <c r="M81" i="21"/>
  <c r="M79" i="21"/>
  <c r="M80" i="21"/>
  <c r="M92" i="21"/>
  <c r="Y11" i="45"/>
  <c r="K90" i="21"/>
  <c r="M91" i="21"/>
  <c r="M90" i="21"/>
  <c r="M89" i="21"/>
  <c r="Y12" i="45"/>
  <c r="C96" i="21"/>
  <c r="D96" i="21"/>
  <c r="E96" i="21"/>
  <c r="F96" i="21"/>
  <c r="G96" i="21"/>
  <c r="H96" i="21"/>
  <c r="I96" i="21"/>
  <c r="J96" i="21"/>
  <c r="K96" i="21"/>
  <c r="M96" i="21"/>
  <c r="Y13" i="45"/>
  <c r="Y15" i="45"/>
  <c r="D24" i="45"/>
  <c r="Z8" i="45"/>
  <c r="N71" i="21"/>
  <c r="N70" i="21"/>
  <c r="N72" i="21"/>
  <c r="N77" i="21"/>
  <c r="N76" i="21"/>
  <c r="N78" i="21"/>
  <c r="N75" i="21"/>
  <c r="N84" i="21"/>
  <c r="Z9" i="45"/>
  <c r="N83" i="21"/>
  <c r="Z10" i="45"/>
  <c r="N81" i="21"/>
  <c r="N79" i="21"/>
  <c r="N80" i="21"/>
  <c r="N92" i="21"/>
  <c r="Z11" i="45"/>
  <c r="N91" i="21"/>
  <c r="N90" i="21"/>
  <c r="N89" i="21"/>
  <c r="Z12" i="45"/>
  <c r="N96" i="21"/>
  <c r="Z13" i="45"/>
  <c r="Z15" i="45"/>
  <c r="E24" i="45"/>
  <c r="AA8" i="45"/>
  <c r="O71" i="21"/>
  <c r="O70" i="21"/>
  <c r="O72" i="21"/>
  <c r="O77" i="21"/>
  <c r="O76" i="21"/>
  <c r="O78" i="21"/>
  <c r="O75" i="21"/>
  <c r="O84" i="21"/>
  <c r="AA9" i="45"/>
  <c r="O83" i="21"/>
  <c r="AA10" i="45"/>
  <c r="O81" i="21"/>
  <c r="O79" i="21"/>
  <c r="O80" i="21"/>
  <c r="O92" i="21"/>
  <c r="AA11" i="45"/>
  <c r="O91" i="21"/>
  <c r="O90" i="21"/>
  <c r="O89" i="21"/>
  <c r="AA12" i="45"/>
  <c r="O96" i="21"/>
  <c r="AA13" i="45"/>
  <c r="AA15" i="45"/>
  <c r="F24" i="45"/>
  <c r="AB8" i="45"/>
  <c r="P71" i="21"/>
  <c r="P70" i="21"/>
  <c r="P72" i="21"/>
  <c r="P77" i="21"/>
  <c r="P76" i="21"/>
  <c r="P78" i="21"/>
  <c r="P75" i="21"/>
  <c r="P84" i="21"/>
  <c r="AB9" i="45"/>
  <c r="P83" i="21"/>
  <c r="AB10" i="45"/>
  <c r="P81" i="21"/>
  <c r="P79" i="21"/>
  <c r="P80" i="21"/>
  <c r="P92" i="21"/>
  <c r="AB11" i="45"/>
  <c r="P91" i="21"/>
  <c r="P90" i="21"/>
  <c r="P89" i="21"/>
  <c r="AB12" i="45"/>
  <c r="P96" i="21"/>
  <c r="AB13" i="45"/>
  <c r="AB15" i="45"/>
  <c r="G24" i="45"/>
  <c r="AC8" i="45"/>
  <c r="Q71" i="21"/>
  <c r="Q70" i="21"/>
  <c r="Q72" i="21"/>
  <c r="Q77" i="21"/>
  <c r="Q76" i="21"/>
  <c r="Q78" i="21"/>
  <c r="Q75" i="21"/>
  <c r="Q84" i="21"/>
  <c r="AC9" i="45"/>
  <c r="Q83" i="21"/>
  <c r="AC10" i="45"/>
  <c r="Q81" i="21"/>
  <c r="Q79" i="21"/>
  <c r="Q80" i="21"/>
  <c r="Q92" i="21"/>
  <c r="AC11" i="45"/>
  <c r="Q91" i="21"/>
  <c r="Q90" i="21"/>
  <c r="Q89" i="21"/>
  <c r="AC12" i="45"/>
  <c r="Q96" i="21"/>
  <c r="AC13" i="45"/>
  <c r="AC15" i="45"/>
  <c r="H24" i="45"/>
  <c r="M20" i="42" a="1"/>
  <c r="M20" i="42"/>
  <c r="B36" i="42"/>
  <c r="O10" i="23"/>
  <c r="B14" i="23"/>
  <c r="P10" i="23"/>
  <c r="I21" i="42" a="1"/>
  <c r="I21" i="42"/>
  <c r="J13" i="42"/>
  <c r="K13" i="42"/>
  <c r="L13" i="42"/>
  <c r="M13" i="42"/>
  <c r="M22" i="42"/>
  <c r="I29" i="42"/>
  <c r="I20" i="42" a="1"/>
  <c r="I20" i="42"/>
  <c r="I22" i="42"/>
  <c r="I23" i="42"/>
  <c r="J20" i="42" a="1"/>
  <c r="J20" i="42"/>
  <c r="J22" i="42"/>
  <c r="J23" i="42"/>
  <c r="K20" i="42" a="1"/>
  <c r="K20" i="42"/>
  <c r="K22" i="42"/>
  <c r="K23" i="42"/>
  <c r="L20" i="42" a="1"/>
  <c r="L20" i="42"/>
  <c r="L22" i="42"/>
  <c r="L23" i="42"/>
  <c r="M23" i="42"/>
  <c r="B16" i="42"/>
  <c r="G25" i="35"/>
  <c r="G26" i="35"/>
  <c r="G30" i="35"/>
  <c r="G33" i="35"/>
  <c r="G27" i="35"/>
  <c r="H25" i="35"/>
  <c r="H26" i="35"/>
  <c r="H30" i="35"/>
  <c r="H33" i="35"/>
  <c r="H27" i="35"/>
  <c r="I27" i="35"/>
  <c r="K27" i="35"/>
  <c r="L27" i="35"/>
  <c r="B25" i="35"/>
  <c r="B26" i="35"/>
  <c r="B30" i="35"/>
  <c r="B33" i="35"/>
  <c r="B27" i="35"/>
  <c r="C25" i="35"/>
  <c r="C26" i="35"/>
  <c r="C30" i="35"/>
  <c r="C33" i="35"/>
  <c r="C27" i="35"/>
  <c r="D25" i="35"/>
  <c r="D26" i="35"/>
  <c r="D30" i="35"/>
  <c r="D33" i="35"/>
  <c r="D27" i="35"/>
  <c r="E25" i="35"/>
  <c r="E26" i="35"/>
  <c r="E30" i="35"/>
  <c r="E33" i="35"/>
  <c r="E27" i="35"/>
  <c r="F25" i="35"/>
  <c r="F26" i="35"/>
  <c r="F30" i="35"/>
  <c r="F33" i="35"/>
  <c r="F27" i="35"/>
  <c r="M27" i="35"/>
  <c r="R27" i="35"/>
  <c r="B17" i="42"/>
  <c r="B23" i="42"/>
  <c r="B21" i="42"/>
  <c r="B24" i="42"/>
  <c r="I30" i="42"/>
  <c r="B28" i="42"/>
  <c r="B29" i="42"/>
  <c r="B31" i="42"/>
  <c r="I31" i="42"/>
  <c r="I33" i="42"/>
  <c r="H10" i="63"/>
  <c r="H8" i="63"/>
  <c r="H7" i="63"/>
  <c r="H6" i="63"/>
  <c r="H5" i="63"/>
  <c r="E32" i="63"/>
  <c r="B33" i="63"/>
  <c r="E33" i="63"/>
  <c r="E30" i="63"/>
  <c r="E34" i="63"/>
  <c r="E35" i="63"/>
  <c r="E36" i="63"/>
  <c r="E7" i="63"/>
  <c r="E14" i="63"/>
  <c r="E12" i="63"/>
  <c r="E15" i="63"/>
  <c r="K7" i="42"/>
  <c r="B22" i="42"/>
  <c r="E13" i="63"/>
  <c r="E17" i="63"/>
  <c r="E21" i="63"/>
  <c r="E23" i="63"/>
  <c r="E22" i="63"/>
  <c r="E24" i="63"/>
  <c r="E26" i="63"/>
  <c r="E28" i="63"/>
  <c r="E38" i="63"/>
  <c r="F11" i="42" a="1"/>
  <c r="F11" i="42"/>
  <c r="B35" i="42"/>
  <c r="B37" i="42"/>
  <c r="B38" i="42"/>
  <c r="B39" i="42"/>
  <c r="I14" i="42"/>
  <c r="B11" i="42" a="1"/>
  <c r="B11" i="42"/>
  <c r="I11" i="42"/>
  <c r="J14" i="42"/>
  <c r="C11" i="42" a="1"/>
  <c r="C11" i="42"/>
  <c r="J11" i="42"/>
  <c r="K14" i="42"/>
  <c r="D11" i="42" a="1"/>
  <c r="D11" i="42"/>
  <c r="K11" i="42"/>
  <c r="L14" i="42"/>
  <c r="E11" i="42" a="1"/>
  <c r="E11" i="42"/>
  <c r="L11" i="42"/>
  <c r="M14" i="42"/>
  <c r="M11" i="42"/>
  <c r="B33" i="42"/>
  <c r="B24" i="63"/>
  <c r="B26" i="63"/>
  <c r="B12" i="63"/>
  <c r="B15" i="63"/>
  <c r="B13" i="63"/>
  <c r="B17" i="63"/>
  <c r="B28" i="63"/>
  <c r="B32" i="63"/>
  <c r="B30" i="63"/>
  <c r="B34" i="63"/>
  <c r="B35" i="63"/>
  <c r="B36" i="63"/>
  <c r="B38" i="63"/>
  <c r="B23" i="63"/>
  <c r="B22" i="63"/>
  <c r="B21" i="63"/>
  <c r="I6" i="63"/>
  <c r="J6" i="63"/>
  <c r="I7" i="63"/>
  <c r="J7" i="63"/>
  <c r="I8" i="63"/>
  <c r="J8" i="63"/>
  <c r="H9" i="63"/>
  <c r="I9" i="63"/>
  <c r="J9" i="63"/>
  <c r="I10" i="63"/>
  <c r="J10" i="63"/>
  <c r="D21" i="63"/>
  <c r="D22" i="63"/>
  <c r="D23" i="63"/>
  <c r="D24" i="63"/>
  <c r="F33" i="60"/>
  <c r="E65" i="60"/>
  <c r="F65" i="60"/>
  <c r="H65" i="60"/>
  <c r="J65" i="60"/>
  <c r="E66" i="60"/>
  <c r="F66" i="60"/>
  <c r="H66" i="60"/>
  <c r="J66" i="60"/>
  <c r="E67" i="60"/>
  <c r="F67" i="60"/>
  <c r="H67" i="60"/>
  <c r="J67" i="60"/>
  <c r="E68" i="60"/>
  <c r="F68" i="60"/>
  <c r="H68" i="60"/>
  <c r="J68" i="60"/>
  <c r="E69" i="60"/>
  <c r="F69" i="60"/>
  <c r="H69" i="60"/>
  <c r="J69" i="60"/>
  <c r="E70" i="60"/>
  <c r="F70" i="60"/>
  <c r="H70" i="60"/>
  <c r="J70" i="60"/>
  <c r="E71" i="60"/>
  <c r="F71" i="60"/>
  <c r="H71" i="60"/>
  <c r="J71" i="60"/>
  <c r="E72" i="60"/>
  <c r="F72" i="60"/>
  <c r="H72" i="60"/>
  <c r="J72" i="60"/>
  <c r="G12" i="53"/>
  <c r="G65" i="60"/>
  <c r="I65" i="60"/>
  <c r="G66" i="60"/>
  <c r="I66" i="60"/>
  <c r="G67" i="60"/>
  <c r="I67" i="60"/>
  <c r="G68" i="60"/>
  <c r="I68" i="60"/>
  <c r="G69" i="60"/>
  <c r="I69" i="60"/>
  <c r="G70" i="60"/>
  <c r="I70" i="60"/>
  <c r="G71" i="60"/>
  <c r="I71" i="60"/>
  <c r="G72" i="60"/>
  <c r="I72" i="60"/>
  <c r="G11" i="53"/>
  <c r="B65" i="60"/>
  <c r="B66" i="60"/>
  <c r="B67" i="60"/>
  <c r="B68" i="60"/>
  <c r="B69" i="60"/>
  <c r="B70" i="60"/>
  <c r="B71" i="60"/>
  <c r="B72" i="60"/>
  <c r="B76" i="60"/>
  <c r="B75" i="60"/>
  <c r="B74" i="60"/>
  <c r="D65" i="60"/>
  <c r="D66" i="60"/>
  <c r="D67" i="60"/>
  <c r="D68" i="60"/>
  <c r="D69" i="60"/>
  <c r="D70" i="60"/>
  <c r="D71" i="60"/>
  <c r="D72" i="60"/>
  <c r="D74" i="60"/>
  <c r="E74" i="60"/>
  <c r="F74" i="60"/>
  <c r="G74" i="60"/>
  <c r="H74" i="60"/>
  <c r="I74" i="60"/>
  <c r="J74" i="60"/>
  <c r="D75" i="60"/>
  <c r="E75" i="60"/>
  <c r="F75" i="60"/>
  <c r="G75" i="60"/>
  <c r="H75" i="60"/>
  <c r="I75" i="60"/>
  <c r="J75" i="60"/>
  <c r="D76" i="60"/>
  <c r="E76" i="60"/>
  <c r="F76" i="60"/>
  <c r="G76" i="60"/>
  <c r="H76" i="60"/>
  <c r="I76" i="60"/>
  <c r="J76" i="60"/>
  <c r="C76" i="60"/>
  <c r="C75" i="60"/>
  <c r="C74" i="60"/>
  <c r="G46" i="60"/>
  <c r="I6" i="60"/>
  <c r="E45" i="60"/>
  <c r="I46" i="60"/>
  <c r="J46" i="60"/>
  <c r="G47" i="60"/>
  <c r="I47" i="60"/>
  <c r="J47" i="60"/>
  <c r="G48" i="60"/>
  <c r="I48" i="60"/>
  <c r="J48" i="60"/>
  <c r="G49" i="60"/>
  <c r="I49" i="60"/>
  <c r="J49" i="60"/>
  <c r="G50" i="60"/>
  <c r="I50" i="60"/>
  <c r="J50" i="60"/>
  <c r="G51" i="60"/>
  <c r="I51" i="60"/>
  <c r="J51" i="60"/>
  <c r="G52" i="60"/>
  <c r="I52" i="60"/>
  <c r="J52" i="60"/>
  <c r="G53" i="60"/>
  <c r="I53" i="60"/>
  <c r="J53" i="60"/>
  <c r="G54" i="60"/>
  <c r="I54" i="60"/>
  <c r="J54" i="60"/>
  <c r="J56" i="60"/>
  <c r="B73" i="60"/>
  <c r="D73" i="60"/>
  <c r="E73" i="60"/>
  <c r="F73" i="60"/>
  <c r="G73" i="60"/>
  <c r="H73" i="60"/>
  <c r="I73" i="60"/>
  <c r="J73" i="60"/>
  <c r="C46" i="60"/>
  <c r="C47" i="60"/>
  <c r="C48" i="60"/>
  <c r="C49" i="60"/>
  <c r="C50" i="60"/>
  <c r="C51" i="60"/>
  <c r="C52" i="60"/>
  <c r="C53" i="60"/>
  <c r="C54" i="60"/>
  <c r="C57" i="60"/>
  <c r="B46" i="60"/>
  <c r="D46" i="60"/>
  <c r="B47" i="60"/>
  <c r="D47" i="60"/>
  <c r="B48" i="60"/>
  <c r="D48" i="60"/>
  <c r="B49" i="60"/>
  <c r="D49" i="60"/>
  <c r="B50" i="60"/>
  <c r="D50" i="60"/>
  <c r="B51" i="60"/>
  <c r="D51" i="60"/>
  <c r="B52" i="60"/>
  <c r="D52" i="60"/>
  <c r="B53" i="60"/>
  <c r="D53" i="60"/>
  <c r="B54" i="60"/>
  <c r="D54" i="60"/>
  <c r="D57" i="60"/>
  <c r="I7" i="60"/>
  <c r="E46" i="60"/>
  <c r="I8" i="60"/>
  <c r="E47" i="60"/>
  <c r="I9" i="60"/>
  <c r="E48" i="60"/>
  <c r="I10" i="60"/>
  <c r="E49" i="60"/>
  <c r="I11" i="60"/>
  <c r="E50" i="60"/>
  <c r="I12" i="60"/>
  <c r="E51" i="60"/>
  <c r="I13" i="60"/>
  <c r="E52" i="60"/>
  <c r="I14" i="60"/>
  <c r="E53" i="60"/>
  <c r="I15" i="60"/>
  <c r="E54" i="60"/>
  <c r="E57" i="60"/>
  <c r="F46" i="60"/>
  <c r="F47" i="60"/>
  <c r="F48" i="60"/>
  <c r="F49" i="60"/>
  <c r="F50" i="60"/>
  <c r="F51" i="60"/>
  <c r="F52" i="60"/>
  <c r="F53" i="60"/>
  <c r="F54" i="60"/>
  <c r="F57" i="60"/>
  <c r="G57" i="60"/>
  <c r="H46" i="60"/>
  <c r="H47" i="60"/>
  <c r="H48" i="60"/>
  <c r="H49" i="60"/>
  <c r="H50" i="60"/>
  <c r="H51" i="60"/>
  <c r="H52" i="60"/>
  <c r="H53" i="60"/>
  <c r="H54" i="60"/>
  <c r="H57" i="60"/>
  <c r="I57" i="60"/>
  <c r="J57" i="60"/>
  <c r="C56" i="60"/>
  <c r="D56" i="60"/>
  <c r="E56" i="60"/>
  <c r="F56" i="60"/>
  <c r="G56" i="60"/>
  <c r="H56" i="60"/>
  <c r="I56" i="60"/>
  <c r="B57" i="60"/>
  <c r="G45" i="60"/>
  <c r="B45" i="60"/>
  <c r="C45" i="60"/>
  <c r="D45" i="60"/>
  <c r="F45" i="60"/>
  <c r="B56" i="60"/>
  <c r="C27" i="60"/>
  <c r="C28" i="60"/>
  <c r="C29" i="60"/>
  <c r="C30" i="60"/>
  <c r="C31" i="60"/>
  <c r="C32" i="60"/>
  <c r="C33" i="60"/>
  <c r="C34" i="60"/>
  <c r="C35" i="60"/>
  <c r="C38" i="60"/>
  <c r="B27" i="60"/>
  <c r="F27" i="60"/>
  <c r="D27" i="60"/>
  <c r="B28" i="60"/>
  <c r="F28" i="60"/>
  <c r="D28" i="60"/>
  <c r="B29" i="60"/>
  <c r="F29" i="60"/>
  <c r="D29" i="60"/>
  <c r="B30" i="60"/>
  <c r="F30" i="60"/>
  <c r="D30" i="60"/>
  <c r="B31" i="60"/>
  <c r="F31" i="60"/>
  <c r="D31" i="60"/>
  <c r="B32" i="60"/>
  <c r="F32" i="60"/>
  <c r="D32" i="60"/>
  <c r="B33" i="60"/>
  <c r="D33" i="60"/>
  <c r="B34" i="60"/>
  <c r="F34" i="60"/>
  <c r="D34" i="60"/>
  <c r="B35" i="60"/>
  <c r="F35" i="60"/>
  <c r="D35" i="60"/>
  <c r="D38" i="60"/>
  <c r="E27" i="60"/>
  <c r="E28" i="60"/>
  <c r="E29" i="60"/>
  <c r="E30" i="60"/>
  <c r="E31" i="60"/>
  <c r="E32" i="60"/>
  <c r="E33" i="60"/>
  <c r="E34" i="60"/>
  <c r="E35" i="60"/>
  <c r="E38" i="60"/>
  <c r="F38" i="60"/>
  <c r="C26" i="60"/>
  <c r="G27" i="60"/>
  <c r="G28" i="60"/>
  <c r="G29" i="60"/>
  <c r="G30" i="60"/>
  <c r="G31" i="60"/>
  <c r="G32" i="60"/>
  <c r="G33" i="60"/>
  <c r="G34" i="60"/>
  <c r="G35" i="60"/>
  <c r="G38" i="60"/>
  <c r="B26" i="60"/>
  <c r="F26" i="60"/>
  <c r="D26" i="60"/>
  <c r="H27" i="60"/>
  <c r="H28" i="60"/>
  <c r="H29" i="60"/>
  <c r="H30" i="60"/>
  <c r="H31" i="60"/>
  <c r="H32" i="60"/>
  <c r="H33" i="60"/>
  <c r="H34" i="60"/>
  <c r="H35" i="60"/>
  <c r="H38" i="60"/>
  <c r="C37" i="60"/>
  <c r="D37" i="60"/>
  <c r="E37" i="60"/>
  <c r="F37" i="60"/>
  <c r="G37" i="60"/>
  <c r="H37" i="60"/>
  <c r="B38" i="60"/>
  <c r="B37" i="60"/>
  <c r="E49" i="53"/>
  <c r="E50" i="53"/>
  <c r="E52" i="53"/>
  <c r="E53" i="53"/>
  <c r="E54" i="53"/>
  <c r="E56" i="53"/>
  <c r="E57" i="53"/>
  <c r="E58" i="53"/>
  <c r="E48" i="53"/>
  <c r="G9" i="53"/>
  <c r="F9" i="53"/>
  <c r="E9" i="53"/>
  <c r="D9" i="53"/>
  <c r="C9" i="53"/>
  <c r="G8" i="53"/>
  <c r="F8" i="53"/>
  <c r="L8" i="53"/>
  <c r="C8" i="53"/>
  <c r="H8" i="53"/>
  <c r="D8" i="53"/>
  <c r="I8" i="53"/>
  <c r="E8" i="53"/>
  <c r="J8" i="53"/>
  <c r="K8" i="53"/>
  <c r="C10" i="53"/>
  <c r="D10" i="53"/>
  <c r="J55" i="60"/>
  <c r="E10" i="53"/>
  <c r="F10" i="53"/>
  <c r="G10" i="53"/>
  <c r="H10" i="53"/>
  <c r="I10" i="53"/>
  <c r="J10" i="53"/>
  <c r="K10" i="53"/>
  <c r="B26" i="42"/>
  <c r="B41" i="42"/>
  <c r="B43" i="42"/>
  <c r="E41" i="42"/>
  <c r="C43" i="42"/>
  <c r="C26" i="37"/>
  <c r="D26" i="37"/>
  <c r="E26" i="37"/>
  <c r="C25" i="37"/>
  <c r="D25" i="37"/>
  <c r="E25" i="37"/>
  <c r="C24" i="37"/>
  <c r="D24" i="37"/>
  <c r="E24" i="37"/>
  <c r="C23" i="37"/>
  <c r="D23" i="37"/>
  <c r="E23" i="37"/>
  <c r="C22" i="37"/>
  <c r="D22" i="37"/>
  <c r="E22" i="37"/>
  <c r="C21" i="37"/>
  <c r="D21" i="37"/>
  <c r="E21" i="37"/>
  <c r="C20" i="37"/>
  <c r="D20" i="37"/>
  <c r="E20" i="37"/>
  <c r="C19" i="37"/>
  <c r="D19" i="37"/>
  <c r="E19" i="37"/>
  <c r="C18" i="37"/>
  <c r="D18" i="37"/>
  <c r="E18" i="37"/>
  <c r="C17" i="37"/>
  <c r="D17" i="37"/>
  <c r="E17" i="37"/>
  <c r="C16" i="37"/>
  <c r="D16" i="37"/>
  <c r="E16" i="37"/>
  <c r="C15" i="37"/>
  <c r="D15" i="37"/>
  <c r="E15" i="37"/>
  <c r="C14" i="37"/>
  <c r="D14" i="37"/>
  <c r="E14" i="37"/>
  <c r="C13" i="37"/>
  <c r="D13" i="37"/>
  <c r="E13" i="37"/>
  <c r="C12" i="37"/>
  <c r="D12" i="37"/>
  <c r="E12" i="37"/>
  <c r="C11" i="37"/>
  <c r="D11" i="37"/>
  <c r="E11" i="37"/>
  <c r="C10" i="37"/>
  <c r="D10" i="37"/>
  <c r="E10" i="37"/>
  <c r="C9" i="37"/>
  <c r="D9" i="37"/>
  <c r="E9" i="37"/>
  <c r="C8" i="37"/>
  <c r="D8" i="37"/>
  <c r="E8" i="37"/>
  <c r="I8" i="37"/>
  <c r="H5" i="37"/>
  <c r="H8" i="37"/>
  <c r="F8" i="37"/>
  <c r="H5" i="36"/>
  <c r="C12" i="53"/>
  <c r="D12" i="53"/>
  <c r="E12" i="53"/>
  <c r="F12" i="53"/>
  <c r="H12" i="53"/>
  <c r="I12" i="53"/>
  <c r="J12" i="53"/>
  <c r="K12" i="53"/>
  <c r="H9" i="53"/>
  <c r="I9" i="53"/>
  <c r="J9" i="53"/>
  <c r="K9" i="53"/>
  <c r="L9" i="53"/>
  <c r="H36" i="60"/>
  <c r="E13" i="53"/>
  <c r="D13" i="53"/>
  <c r="J13" i="53"/>
  <c r="F13" i="53"/>
  <c r="K13" i="53"/>
  <c r="G13" i="53"/>
  <c r="L13" i="53"/>
  <c r="L10" i="53"/>
  <c r="E11" i="53"/>
  <c r="D11" i="53"/>
  <c r="J11" i="53"/>
  <c r="F11" i="53"/>
  <c r="K11" i="53"/>
  <c r="L11" i="53"/>
  <c r="L12" i="53"/>
  <c r="C11" i="53"/>
  <c r="I11" i="53"/>
  <c r="C13" i="53"/>
  <c r="I13" i="53"/>
  <c r="H11" i="53"/>
  <c r="H13" i="53"/>
  <c r="B11" i="45"/>
  <c r="B10" i="45"/>
  <c r="C10" i="45"/>
  <c r="B9" i="45"/>
  <c r="D12" i="45"/>
  <c r="E12" i="45"/>
  <c r="F12" i="45"/>
  <c r="G12" i="45"/>
  <c r="H12" i="45"/>
  <c r="I12" i="45"/>
  <c r="J12" i="45"/>
  <c r="K12" i="45"/>
  <c r="C12" i="45"/>
  <c r="D13" i="45"/>
  <c r="E13" i="45"/>
  <c r="F13" i="45"/>
  <c r="G13" i="45"/>
  <c r="H13" i="45"/>
  <c r="I13" i="45"/>
  <c r="J13" i="45"/>
  <c r="K13" i="45"/>
  <c r="C13" i="45"/>
  <c r="D11" i="45"/>
  <c r="E11" i="45"/>
  <c r="F11" i="45"/>
  <c r="G11" i="45"/>
  <c r="H11" i="45"/>
  <c r="I11" i="45"/>
  <c r="J11" i="45"/>
  <c r="K11" i="45"/>
  <c r="C11" i="45"/>
  <c r="D10" i="45"/>
  <c r="E10" i="45"/>
  <c r="F10" i="45"/>
  <c r="G10" i="45"/>
  <c r="H10" i="45"/>
  <c r="I10" i="45"/>
  <c r="J10" i="45"/>
  <c r="K10" i="45"/>
  <c r="D9" i="45"/>
  <c r="E9" i="45"/>
  <c r="F9" i="45"/>
  <c r="G9" i="45"/>
  <c r="H9" i="45"/>
  <c r="I9" i="45"/>
  <c r="J9" i="45"/>
  <c r="K9" i="45"/>
  <c r="C9" i="45"/>
  <c r="E86" i="61"/>
  <c r="E85" i="61"/>
  <c r="E84" i="61"/>
  <c r="E83" i="61"/>
  <c r="E82" i="61"/>
  <c r="E81" i="61"/>
  <c r="E80" i="61"/>
  <c r="E79" i="61"/>
  <c r="E78" i="61"/>
  <c r="E77" i="61"/>
  <c r="E76" i="61"/>
  <c r="E64" i="60"/>
  <c r="F64" i="60"/>
  <c r="B64" i="60"/>
  <c r="D64" i="60"/>
  <c r="I55" i="60"/>
  <c r="H55" i="60"/>
  <c r="G55" i="60"/>
  <c r="F55" i="60"/>
  <c r="E55" i="60"/>
  <c r="D55" i="60"/>
  <c r="C55" i="60"/>
  <c r="B55" i="60"/>
  <c r="G36" i="60"/>
  <c r="F36" i="60"/>
  <c r="E36" i="60"/>
  <c r="D36" i="60"/>
  <c r="C36" i="60"/>
  <c r="B36" i="60"/>
  <c r="E26" i="60"/>
  <c r="N19" i="60"/>
  <c r="M19" i="60"/>
  <c r="L7" i="60"/>
  <c r="L8" i="60"/>
  <c r="L9" i="60"/>
  <c r="L10" i="60"/>
  <c r="L11" i="60"/>
  <c r="L12" i="60"/>
  <c r="L13" i="60"/>
  <c r="L14" i="60"/>
  <c r="L15" i="60"/>
  <c r="L19" i="60"/>
  <c r="K19" i="60"/>
  <c r="J19" i="60"/>
  <c r="I19" i="60"/>
  <c r="H19" i="60"/>
  <c r="G19" i="60"/>
  <c r="F19" i="60"/>
  <c r="E19" i="60"/>
  <c r="D19" i="60"/>
  <c r="C19" i="60"/>
  <c r="B19" i="60"/>
  <c r="N18" i="60"/>
  <c r="M18" i="60"/>
  <c r="L6" i="60"/>
  <c r="L18" i="60"/>
  <c r="K18" i="60"/>
  <c r="J18" i="60"/>
  <c r="I18" i="60"/>
  <c r="H18" i="60"/>
  <c r="G18" i="60"/>
  <c r="F18" i="60"/>
  <c r="E18" i="60"/>
  <c r="D18" i="60"/>
  <c r="C18" i="60"/>
  <c r="B18" i="60"/>
  <c r="N17" i="60"/>
  <c r="M17" i="60"/>
  <c r="L17" i="60"/>
  <c r="K17" i="60"/>
  <c r="J17" i="60"/>
  <c r="I17" i="60"/>
  <c r="H17" i="60"/>
  <c r="G17" i="60"/>
  <c r="F17" i="60"/>
  <c r="E17" i="60"/>
  <c r="D17" i="60"/>
  <c r="C17" i="60"/>
  <c r="B17" i="60"/>
  <c r="N16" i="60"/>
  <c r="M16" i="60"/>
  <c r="L16" i="60"/>
  <c r="K16" i="60"/>
  <c r="J16" i="60"/>
  <c r="I16" i="60"/>
  <c r="H16" i="60"/>
  <c r="G16" i="60"/>
  <c r="F16" i="60"/>
  <c r="E16" i="60"/>
  <c r="D16" i="60"/>
  <c r="C16" i="60"/>
  <c r="B16" i="60"/>
  <c r="B15" i="23"/>
  <c r="B16" i="23"/>
  <c r="C90" i="56"/>
  <c r="E90" i="56"/>
  <c r="C89" i="56"/>
  <c r="E89" i="56"/>
  <c r="C88" i="56"/>
  <c r="E88" i="56"/>
  <c r="C87" i="56"/>
  <c r="E87" i="56"/>
  <c r="C86" i="56"/>
  <c r="E86" i="56"/>
  <c r="C85" i="56"/>
  <c r="E85" i="56"/>
  <c r="C84" i="56"/>
  <c r="E84" i="56"/>
  <c r="C83" i="56"/>
  <c r="E83" i="56"/>
  <c r="C82" i="56"/>
  <c r="E82" i="56"/>
  <c r="C81" i="56"/>
  <c r="E81" i="56"/>
  <c r="C80" i="56"/>
  <c r="E80" i="56"/>
  <c r="C79" i="56"/>
  <c r="E79" i="56"/>
  <c r="C78" i="56"/>
  <c r="E78" i="56"/>
  <c r="C77" i="56"/>
  <c r="E77" i="56"/>
  <c r="C76" i="56"/>
  <c r="E76" i="56"/>
  <c r="C75" i="56"/>
  <c r="E75" i="56"/>
  <c r="C74" i="56"/>
  <c r="E74" i="56"/>
  <c r="C73" i="56"/>
  <c r="E73" i="56"/>
  <c r="C72" i="56"/>
  <c r="E72" i="56"/>
  <c r="C71" i="56"/>
  <c r="E71" i="56"/>
  <c r="C70" i="56"/>
  <c r="E70" i="56"/>
  <c r="C69" i="56"/>
  <c r="E69" i="56"/>
  <c r="C68" i="56"/>
  <c r="E68" i="56"/>
  <c r="C67" i="56"/>
  <c r="E67" i="56"/>
  <c r="C66" i="56"/>
  <c r="E66" i="56"/>
  <c r="C65" i="56"/>
  <c r="E65" i="56"/>
  <c r="C64" i="56"/>
  <c r="E64" i="56"/>
  <c r="C63" i="56"/>
  <c r="E63" i="56"/>
  <c r="C62" i="56"/>
  <c r="E62" i="56"/>
  <c r="C61" i="56"/>
  <c r="E61" i="56"/>
  <c r="C60" i="56"/>
  <c r="E60" i="56"/>
  <c r="C59" i="56"/>
  <c r="E59" i="56"/>
  <c r="C58" i="56"/>
  <c r="E58" i="56"/>
  <c r="C57" i="56"/>
  <c r="E57" i="56"/>
  <c r="C56" i="56"/>
  <c r="E56" i="56"/>
  <c r="C55" i="56"/>
  <c r="E55" i="56"/>
  <c r="C54" i="56"/>
  <c r="E54" i="56"/>
  <c r="C53" i="56"/>
  <c r="E53" i="56"/>
  <c r="C52" i="56"/>
  <c r="E52" i="56"/>
  <c r="C51" i="56"/>
  <c r="E51" i="56"/>
  <c r="C50" i="56"/>
  <c r="E50" i="56"/>
  <c r="C49" i="56"/>
  <c r="E49" i="56"/>
  <c r="C48" i="56"/>
  <c r="E48" i="56"/>
  <c r="C47" i="56"/>
  <c r="E47" i="56"/>
  <c r="C46" i="56"/>
  <c r="E46" i="56"/>
  <c r="C45" i="56"/>
  <c r="E45" i="56"/>
  <c r="C44" i="56"/>
  <c r="E44" i="56"/>
  <c r="C43" i="56"/>
  <c r="E43" i="56"/>
  <c r="C42" i="56"/>
  <c r="E42" i="56"/>
  <c r="C41" i="56"/>
  <c r="E41" i="56"/>
  <c r="C40" i="56"/>
  <c r="E40" i="56"/>
  <c r="C39" i="56"/>
  <c r="E39" i="56"/>
  <c r="C38" i="56"/>
  <c r="E38" i="56"/>
  <c r="C37" i="56"/>
  <c r="E37" i="56"/>
  <c r="C36" i="56"/>
  <c r="E36" i="56"/>
  <c r="C35" i="56"/>
  <c r="E35" i="56"/>
  <c r="C34" i="56"/>
  <c r="E34" i="56"/>
  <c r="C33" i="56"/>
  <c r="E33" i="56"/>
  <c r="C32" i="56"/>
  <c r="E32" i="56"/>
  <c r="C31" i="56"/>
  <c r="E31" i="56"/>
  <c r="C30" i="56"/>
  <c r="E30" i="56"/>
  <c r="C29" i="56"/>
  <c r="E29" i="56"/>
  <c r="C28" i="56"/>
  <c r="E28" i="56"/>
  <c r="C27" i="56"/>
  <c r="E27" i="56"/>
  <c r="C26" i="56"/>
  <c r="E26" i="56"/>
  <c r="C25" i="56"/>
  <c r="E25" i="56"/>
  <c r="C24" i="56"/>
  <c r="E24" i="56"/>
  <c r="C23" i="56"/>
  <c r="E23" i="56"/>
  <c r="C22" i="56"/>
  <c r="E22" i="56"/>
  <c r="C21" i="56"/>
  <c r="E21" i="56"/>
  <c r="C20" i="56"/>
  <c r="E20" i="56"/>
  <c r="C19" i="56"/>
  <c r="E19" i="56"/>
  <c r="C18" i="56"/>
  <c r="E18" i="56"/>
  <c r="C17" i="56"/>
  <c r="E17" i="56"/>
  <c r="C16" i="56"/>
  <c r="E16" i="56"/>
  <c r="C15" i="56"/>
  <c r="E15" i="56"/>
  <c r="C14" i="56"/>
  <c r="E14" i="56"/>
  <c r="C13" i="56"/>
  <c r="E13" i="56"/>
  <c r="C12" i="56"/>
  <c r="E12" i="56"/>
  <c r="C11" i="56"/>
  <c r="E11" i="56"/>
  <c r="C10" i="56"/>
  <c r="E10" i="56"/>
  <c r="C9" i="56"/>
  <c r="E9" i="56"/>
  <c r="C8" i="56"/>
  <c r="E8" i="56"/>
  <c r="K258" i="55"/>
  <c r="I258" i="55"/>
  <c r="K257" i="55"/>
  <c r="I257" i="55"/>
  <c r="K256" i="55"/>
  <c r="I256" i="55"/>
  <c r="K255" i="55"/>
  <c r="I255" i="55"/>
  <c r="K254" i="55"/>
  <c r="I254" i="55"/>
  <c r="K253" i="55"/>
  <c r="I253" i="55"/>
  <c r="K252" i="55"/>
  <c r="I252" i="55"/>
  <c r="K251" i="55"/>
  <c r="I251" i="55"/>
  <c r="K250" i="55"/>
  <c r="I250" i="55"/>
  <c r="K249" i="55"/>
  <c r="I249" i="55"/>
  <c r="K248" i="55"/>
  <c r="I248" i="55"/>
  <c r="K247" i="55"/>
  <c r="I247" i="55"/>
  <c r="K246" i="55"/>
  <c r="I246" i="55"/>
  <c r="K245" i="55"/>
  <c r="I245" i="55"/>
  <c r="K244" i="55"/>
  <c r="I244" i="55"/>
  <c r="K243" i="55"/>
  <c r="I243" i="55"/>
  <c r="K242" i="55"/>
  <c r="I242" i="55"/>
  <c r="K241" i="55"/>
  <c r="I241" i="55"/>
  <c r="K240" i="55"/>
  <c r="I240" i="55"/>
  <c r="K239" i="55"/>
  <c r="I239" i="55"/>
  <c r="K238" i="55"/>
  <c r="I238" i="55"/>
  <c r="K237" i="55"/>
  <c r="I237" i="55"/>
  <c r="K236" i="55"/>
  <c r="I236" i="55"/>
  <c r="K235" i="55"/>
  <c r="I235" i="55"/>
  <c r="K234" i="55"/>
  <c r="I234" i="55"/>
  <c r="K233" i="55"/>
  <c r="I233" i="55"/>
  <c r="K232" i="55"/>
  <c r="I232" i="55"/>
  <c r="K231" i="55"/>
  <c r="I231" i="55"/>
  <c r="K230" i="55"/>
  <c r="I230" i="55"/>
  <c r="K229" i="55"/>
  <c r="I229" i="55"/>
  <c r="K228" i="55"/>
  <c r="I228" i="55"/>
  <c r="K227" i="55"/>
  <c r="I227" i="55"/>
  <c r="K226" i="55"/>
  <c r="I226" i="55"/>
  <c r="K225" i="55"/>
  <c r="I225" i="55"/>
  <c r="K224" i="55"/>
  <c r="I224" i="55"/>
  <c r="K223" i="55"/>
  <c r="I223" i="55"/>
  <c r="K222" i="55"/>
  <c r="I222" i="55"/>
  <c r="K221" i="55"/>
  <c r="I221" i="55"/>
  <c r="K220" i="55"/>
  <c r="I220" i="55"/>
  <c r="K219" i="55"/>
  <c r="I219" i="55"/>
  <c r="K218" i="55"/>
  <c r="I218" i="55"/>
  <c r="K217" i="55"/>
  <c r="I217" i="55"/>
  <c r="K216" i="55"/>
  <c r="I216" i="55"/>
  <c r="K215" i="55"/>
  <c r="I215" i="55"/>
  <c r="K214" i="55"/>
  <c r="I214" i="55"/>
  <c r="K213" i="55"/>
  <c r="I213" i="55"/>
  <c r="K212" i="55"/>
  <c r="I212" i="55"/>
  <c r="K211" i="55"/>
  <c r="I211" i="55"/>
  <c r="K210" i="55"/>
  <c r="I210" i="55"/>
  <c r="E210" i="55"/>
  <c r="C210" i="55"/>
  <c r="K209" i="55"/>
  <c r="I209" i="55"/>
  <c r="E209" i="55"/>
  <c r="C209" i="55"/>
  <c r="K208" i="55"/>
  <c r="I208" i="55"/>
  <c r="E208" i="55"/>
  <c r="C208" i="55"/>
  <c r="K207" i="55"/>
  <c r="I207" i="55"/>
  <c r="E207" i="55"/>
  <c r="C207" i="55"/>
  <c r="K206" i="55"/>
  <c r="I206" i="55"/>
  <c r="E206" i="55"/>
  <c r="C206" i="55"/>
  <c r="K205" i="55"/>
  <c r="I205" i="55"/>
  <c r="E205" i="55"/>
  <c r="C205" i="55"/>
  <c r="K204" i="55"/>
  <c r="I204" i="55"/>
  <c r="E204" i="55"/>
  <c r="C204" i="55"/>
  <c r="K203" i="55"/>
  <c r="I203" i="55"/>
  <c r="E203" i="55"/>
  <c r="C203" i="55"/>
  <c r="K202" i="55"/>
  <c r="I202" i="55"/>
  <c r="E202" i="55"/>
  <c r="C202" i="55"/>
  <c r="K201" i="55"/>
  <c r="I201" i="55"/>
  <c r="E201" i="55"/>
  <c r="C201" i="55"/>
  <c r="K200" i="55"/>
  <c r="I200" i="55"/>
  <c r="E200" i="55"/>
  <c r="C200" i="55"/>
  <c r="K199" i="55"/>
  <c r="I199" i="55"/>
  <c r="E199" i="55"/>
  <c r="C199" i="55"/>
  <c r="K198" i="55"/>
  <c r="I198" i="55"/>
  <c r="E198" i="55"/>
  <c r="C198" i="55"/>
  <c r="K197" i="55"/>
  <c r="I197" i="55"/>
  <c r="E197" i="55"/>
  <c r="C197" i="55"/>
  <c r="K196" i="55"/>
  <c r="I196" i="55"/>
  <c r="E196" i="55"/>
  <c r="C196" i="55"/>
  <c r="K195" i="55"/>
  <c r="I195" i="55"/>
  <c r="E195" i="55"/>
  <c r="C195" i="55"/>
  <c r="K194" i="55"/>
  <c r="I194" i="55"/>
  <c r="E194" i="55"/>
  <c r="C194" i="55"/>
  <c r="K193" i="55"/>
  <c r="I193" i="55"/>
  <c r="E193" i="55"/>
  <c r="C193" i="55"/>
  <c r="K192" i="55"/>
  <c r="I192" i="55"/>
  <c r="E192" i="55"/>
  <c r="C192" i="55"/>
  <c r="K191" i="55"/>
  <c r="I191" i="55"/>
  <c r="E191" i="55"/>
  <c r="C191" i="55"/>
  <c r="K190" i="55"/>
  <c r="I190" i="55"/>
  <c r="E190" i="55"/>
  <c r="C190" i="55"/>
  <c r="K189" i="55"/>
  <c r="I189" i="55"/>
  <c r="E189" i="55"/>
  <c r="C189" i="55"/>
  <c r="K188" i="55"/>
  <c r="I188" i="55"/>
  <c r="E188" i="55"/>
  <c r="C188" i="55"/>
  <c r="K187" i="55"/>
  <c r="I187" i="55"/>
  <c r="E187" i="55"/>
  <c r="C187" i="55"/>
  <c r="K186" i="55"/>
  <c r="I186" i="55"/>
  <c r="E186" i="55"/>
  <c r="C186" i="55"/>
  <c r="K185" i="55"/>
  <c r="I185" i="55"/>
  <c r="E185" i="55"/>
  <c r="C185" i="55"/>
  <c r="K184" i="55"/>
  <c r="I184" i="55"/>
  <c r="E184" i="55"/>
  <c r="C184" i="55"/>
  <c r="K183" i="55"/>
  <c r="I183" i="55"/>
  <c r="E183" i="55"/>
  <c r="C183" i="55"/>
  <c r="K182" i="55"/>
  <c r="I182" i="55"/>
  <c r="E182" i="55"/>
  <c r="C182" i="55"/>
  <c r="K181" i="55"/>
  <c r="I181" i="55"/>
  <c r="E181" i="55"/>
  <c r="C181" i="55"/>
  <c r="K180" i="55"/>
  <c r="I180" i="55"/>
  <c r="E180" i="55"/>
  <c r="C180" i="55"/>
  <c r="K179" i="55"/>
  <c r="I179" i="55"/>
  <c r="E179" i="55"/>
  <c r="C179" i="55"/>
  <c r="K178" i="55"/>
  <c r="I178" i="55"/>
  <c r="E178" i="55"/>
  <c r="C178" i="55"/>
  <c r="K177" i="55"/>
  <c r="I177" i="55"/>
  <c r="E177" i="55"/>
  <c r="C177" i="55"/>
  <c r="K176" i="55"/>
  <c r="I176" i="55"/>
  <c r="E176" i="55"/>
  <c r="C176" i="55"/>
  <c r="K175" i="55"/>
  <c r="I175" i="55"/>
  <c r="E175" i="55"/>
  <c r="C175" i="55"/>
  <c r="K174" i="55"/>
  <c r="I174" i="55"/>
  <c r="E174" i="55"/>
  <c r="C174" i="55"/>
  <c r="K173" i="55"/>
  <c r="I173" i="55"/>
  <c r="E173" i="55"/>
  <c r="C173" i="55"/>
  <c r="K172" i="55"/>
  <c r="I172" i="55"/>
  <c r="E172" i="55"/>
  <c r="C172" i="55"/>
  <c r="K171" i="55"/>
  <c r="I171" i="55"/>
  <c r="E171" i="55"/>
  <c r="C171" i="55"/>
  <c r="K170" i="55"/>
  <c r="I170" i="55"/>
  <c r="E170" i="55"/>
  <c r="C170" i="55"/>
  <c r="K169" i="55"/>
  <c r="I169" i="55"/>
  <c r="E169" i="55"/>
  <c r="C169" i="55"/>
  <c r="K168" i="55"/>
  <c r="I168" i="55"/>
  <c r="E168" i="55"/>
  <c r="C168" i="55"/>
  <c r="K167" i="55"/>
  <c r="I167" i="55"/>
  <c r="E167" i="55"/>
  <c r="C167" i="55"/>
  <c r="K166" i="55"/>
  <c r="I166" i="55"/>
  <c r="E166" i="55"/>
  <c r="C166" i="55"/>
  <c r="K165" i="55"/>
  <c r="I165" i="55"/>
  <c r="E165" i="55"/>
  <c r="C165" i="55"/>
  <c r="K164" i="55"/>
  <c r="I164" i="55"/>
  <c r="E164" i="55"/>
  <c r="C164" i="55"/>
  <c r="K163" i="55"/>
  <c r="I163" i="55"/>
  <c r="E163" i="55"/>
  <c r="C163" i="55"/>
  <c r="K162" i="55"/>
  <c r="I162" i="55"/>
  <c r="E162" i="55"/>
  <c r="C162" i="55"/>
  <c r="K161" i="55"/>
  <c r="I161" i="55"/>
  <c r="E161" i="55"/>
  <c r="C161" i="55"/>
  <c r="K160" i="55"/>
  <c r="I160" i="55"/>
  <c r="E160" i="55"/>
  <c r="C160" i="55"/>
  <c r="K159" i="55"/>
  <c r="I159" i="55"/>
  <c r="E159" i="55"/>
  <c r="C159" i="55"/>
  <c r="K158" i="55"/>
  <c r="I158" i="55"/>
  <c r="E158" i="55"/>
  <c r="C158" i="55"/>
  <c r="K157" i="55"/>
  <c r="I157" i="55"/>
  <c r="E157" i="55"/>
  <c r="C157" i="55"/>
  <c r="K156" i="55"/>
  <c r="I156" i="55"/>
  <c r="E156" i="55"/>
  <c r="C156" i="55"/>
  <c r="K155" i="55"/>
  <c r="I155" i="55"/>
  <c r="E155" i="55"/>
  <c r="C155" i="55"/>
  <c r="K154" i="55"/>
  <c r="I154" i="55"/>
  <c r="E154" i="55"/>
  <c r="C154" i="55"/>
  <c r="K153" i="55"/>
  <c r="I153" i="55"/>
  <c r="E153" i="55"/>
  <c r="C153" i="55"/>
  <c r="K152" i="55"/>
  <c r="I152" i="55"/>
  <c r="E152" i="55"/>
  <c r="C152" i="55"/>
  <c r="K151" i="55"/>
  <c r="I151" i="55"/>
  <c r="E151" i="55"/>
  <c r="C151" i="55"/>
  <c r="K150" i="55"/>
  <c r="I150" i="55"/>
  <c r="E150" i="55"/>
  <c r="C150" i="55"/>
  <c r="K149" i="55"/>
  <c r="I149" i="55"/>
  <c r="E149" i="55"/>
  <c r="C149" i="55"/>
  <c r="K148" i="55"/>
  <c r="I148" i="55"/>
  <c r="E148" i="55"/>
  <c r="C148" i="55"/>
  <c r="K147" i="55"/>
  <c r="I147" i="55"/>
  <c r="E147" i="55"/>
  <c r="C147" i="55"/>
  <c r="K146" i="55"/>
  <c r="I146" i="55"/>
  <c r="E146" i="55"/>
  <c r="C146" i="55"/>
  <c r="K145" i="55"/>
  <c r="I145" i="55"/>
  <c r="E145" i="55"/>
  <c r="C145" i="55"/>
  <c r="K144" i="55"/>
  <c r="I144" i="55"/>
  <c r="E144" i="55"/>
  <c r="C144" i="55"/>
  <c r="K143" i="55"/>
  <c r="I143" i="55"/>
  <c r="E143" i="55"/>
  <c r="C143" i="55"/>
  <c r="K142" i="55"/>
  <c r="I142" i="55"/>
  <c r="E142" i="55"/>
  <c r="C142" i="55"/>
  <c r="K141" i="55"/>
  <c r="I141" i="55"/>
  <c r="E141" i="55"/>
  <c r="C141" i="55"/>
  <c r="K140" i="55"/>
  <c r="I140" i="55"/>
  <c r="E140" i="55"/>
  <c r="C140" i="55"/>
  <c r="K139" i="55"/>
  <c r="I139" i="55"/>
  <c r="E139" i="55"/>
  <c r="C139" i="55"/>
  <c r="K138" i="55"/>
  <c r="I138" i="55"/>
  <c r="E138" i="55"/>
  <c r="C138" i="55"/>
  <c r="K137" i="55"/>
  <c r="I137" i="55"/>
  <c r="E137" i="55"/>
  <c r="C137" i="55"/>
  <c r="K136" i="55"/>
  <c r="I136" i="55"/>
  <c r="E136" i="55"/>
  <c r="C136" i="55"/>
  <c r="K135" i="55"/>
  <c r="I135" i="55"/>
  <c r="E135" i="55"/>
  <c r="C135" i="55"/>
  <c r="K134" i="55"/>
  <c r="I134" i="55"/>
  <c r="E134" i="55"/>
  <c r="C134" i="55"/>
  <c r="K133" i="55"/>
  <c r="I133" i="55"/>
  <c r="E133" i="55"/>
  <c r="C133" i="55"/>
  <c r="K132" i="55"/>
  <c r="I132" i="55"/>
  <c r="E132" i="55"/>
  <c r="C132" i="55"/>
  <c r="K131" i="55"/>
  <c r="I131" i="55"/>
  <c r="E131" i="55"/>
  <c r="C131" i="55"/>
  <c r="K130" i="55"/>
  <c r="I130" i="55"/>
  <c r="E130" i="55"/>
  <c r="C130" i="55"/>
  <c r="K129" i="55"/>
  <c r="I129" i="55"/>
  <c r="E129" i="55"/>
  <c r="C129" i="55"/>
  <c r="K128" i="55"/>
  <c r="I128" i="55"/>
  <c r="E128" i="55"/>
  <c r="C128" i="55"/>
  <c r="K127" i="55"/>
  <c r="I127" i="55"/>
  <c r="E127" i="55"/>
  <c r="C127" i="55"/>
  <c r="K126" i="55"/>
  <c r="I126" i="55"/>
  <c r="E126" i="55"/>
  <c r="C126" i="55"/>
  <c r="K125" i="55"/>
  <c r="I125" i="55"/>
  <c r="E125" i="55"/>
  <c r="C125" i="55"/>
  <c r="K124" i="55"/>
  <c r="I124" i="55"/>
  <c r="E124" i="55"/>
  <c r="C124" i="55"/>
  <c r="K123" i="55"/>
  <c r="I123" i="55"/>
  <c r="E123" i="55"/>
  <c r="C123" i="55"/>
  <c r="K122" i="55"/>
  <c r="I122" i="55"/>
  <c r="E122" i="55"/>
  <c r="C122" i="55"/>
  <c r="K121" i="55"/>
  <c r="I121" i="55"/>
  <c r="E121" i="55"/>
  <c r="C121" i="55"/>
  <c r="K120" i="55"/>
  <c r="I120" i="55"/>
  <c r="E120" i="55"/>
  <c r="C120" i="55"/>
  <c r="K119" i="55"/>
  <c r="I119" i="55"/>
  <c r="E119" i="55"/>
  <c r="C119" i="55"/>
  <c r="K118" i="55"/>
  <c r="I118" i="55"/>
  <c r="E118" i="55"/>
  <c r="C118" i="55"/>
  <c r="K117" i="55"/>
  <c r="I117" i="55"/>
  <c r="E117" i="55"/>
  <c r="C117" i="55"/>
  <c r="K116" i="55"/>
  <c r="I116" i="55"/>
  <c r="E116" i="55"/>
  <c r="C116" i="55"/>
  <c r="K115" i="55"/>
  <c r="I115" i="55"/>
  <c r="E115" i="55"/>
  <c r="C115" i="55"/>
  <c r="K114" i="55"/>
  <c r="I114" i="55"/>
  <c r="E114" i="55"/>
  <c r="C114" i="55"/>
  <c r="K113" i="55"/>
  <c r="I113" i="55"/>
  <c r="E113" i="55"/>
  <c r="C113" i="55"/>
  <c r="K112" i="55"/>
  <c r="I112" i="55"/>
  <c r="E112" i="55"/>
  <c r="C112" i="55"/>
  <c r="K111" i="55"/>
  <c r="I111" i="55"/>
  <c r="E111" i="55"/>
  <c r="C111" i="55"/>
  <c r="K110" i="55"/>
  <c r="I110" i="55"/>
  <c r="E110" i="55"/>
  <c r="C110" i="55"/>
  <c r="K109" i="55"/>
  <c r="I109" i="55"/>
  <c r="E109" i="55"/>
  <c r="C109" i="55"/>
  <c r="K108" i="55"/>
  <c r="I108" i="55"/>
  <c r="E108" i="55"/>
  <c r="C108" i="55"/>
  <c r="K107" i="55"/>
  <c r="I107" i="55"/>
  <c r="E107" i="55"/>
  <c r="C107" i="55"/>
  <c r="K106" i="55"/>
  <c r="I106" i="55"/>
  <c r="E106" i="55"/>
  <c r="C106" i="55"/>
  <c r="K105" i="55"/>
  <c r="I105" i="55"/>
  <c r="E105" i="55"/>
  <c r="C105" i="55"/>
  <c r="K104" i="55"/>
  <c r="I104" i="55"/>
  <c r="E104" i="55"/>
  <c r="C104" i="55"/>
  <c r="K103" i="55"/>
  <c r="I103" i="55"/>
  <c r="E103" i="55"/>
  <c r="C103" i="55"/>
  <c r="K102" i="55"/>
  <c r="I102" i="55"/>
  <c r="E102" i="55"/>
  <c r="C102" i="55"/>
  <c r="K101" i="55"/>
  <c r="I101" i="55"/>
  <c r="E101" i="55"/>
  <c r="C101" i="55"/>
  <c r="K100" i="55"/>
  <c r="I100" i="55"/>
  <c r="E100" i="55"/>
  <c r="C100" i="55"/>
  <c r="K99" i="55"/>
  <c r="I99" i="55"/>
  <c r="E99" i="55"/>
  <c r="C99" i="55"/>
  <c r="K98" i="55"/>
  <c r="I98" i="55"/>
  <c r="E98" i="55"/>
  <c r="C98" i="55"/>
  <c r="K97" i="55"/>
  <c r="I97" i="55"/>
  <c r="E97" i="55"/>
  <c r="C97" i="55"/>
  <c r="K96" i="55"/>
  <c r="I96" i="55"/>
  <c r="E96" i="55"/>
  <c r="C96" i="55"/>
  <c r="K95" i="55"/>
  <c r="I95" i="55"/>
  <c r="E95" i="55"/>
  <c r="C95" i="55"/>
  <c r="K94" i="55"/>
  <c r="I94" i="55"/>
  <c r="E94" i="55"/>
  <c r="C94" i="55"/>
  <c r="K93" i="55"/>
  <c r="I93" i="55"/>
  <c r="E93" i="55"/>
  <c r="C93" i="55"/>
  <c r="K92" i="55"/>
  <c r="I92" i="55"/>
  <c r="E92" i="55"/>
  <c r="C92" i="55"/>
  <c r="K91" i="55"/>
  <c r="I91" i="55"/>
  <c r="E91" i="55"/>
  <c r="C91" i="55"/>
  <c r="K90" i="55"/>
  <c r="I90" i="55"/>
  <c r="E90" i="55"/>
  <c r="C90" i="55"/>
  <c r="K89" i="55"/>
  <c r="I89" i="55"/>
  <c r="E89" i="55"/>
  <c r="C89" i="55"/>
  <c r="K88" i="55"/>
  <c r="I88" i="55"/>
  <c r="E88" i="55"/>
  <c r="C88" i="55"/>
  <c r="K87" i="55"/>
  <c r="I87" i="55"/>
  <c r="E87" i="55"/>
  <c r="C87" i="55"/>
  <c r="K86" i="55"/>
  <c r="I86" i="55"/>
  <c r="E86" i="55"/>
  <c r="C86" i="55"/>
  <c r="K85" i="55"/>
  <c r="I85" i="55"/>
  <c r="E85" i="55"/>
  <c r="C85" i="55"/>
  <c r="K84" i="55"/>
  <c r="I84" i="55"/>
  <c r="E84" i="55"/>
  <c r="C84" i="55"/>
  <c r="K83" i="55"/>
  <c r="I83" i="55"/>
  <c r="E83" i="55"/>
  <c r="C83" i="55"/>
  <c r="K82" i="55"/>
  <c r="I82" i="55"/>
  <c r="E82" i="55"/>
  <c r="C82" i="55"/>
  <c r="K81" i="55"/>
  <c r="I81" i="55"/>
  <c r="E81" i="55"/>
  <c r="C81" i="55"/>
  <c r="K80" i="55"/>
  <c r="I80" i="55"/>
  <c r="E80" i="55"/>
  <c r="C80" i="55"/>
  <c r="K79" i="55"/>
  <c r="I79" i="55"/>
  <c r="E79" i="55"/>
  <c r="C79" i="55"/>
  <c r="K78" i="55"/>
  <c r="I78" i="55"/>
  <c r="E78" i="55"/>
  <c r="C78" i="55"/>
  <c r="K77" i="55"/>
  <c r="I77" i="55"/>
  <c r="E77" i="55"/>
  <c r="C77" i="55"/>
  <c r="K76" i="55"/>
  <c r="I76" i="55"/>
  <c r="E76" i="55"/>
  <c r="C76" i="55"/>
  <c r="K75" i="55"/>
  <c r="I75" i="55"/>
  <c r="E75" i="55"/>
  <c r="C75" i="55"/>
  <c r="K74" i="55"/>
  <c r="I74" i="55"/>
  <c r="E74" i="55"/>
  <c r="C74" i="55"/>
  <c r="K73" i="55"/>
  <c r="I73" i="55"/>
  <c r="E73" i="55"/>
  <c r="C73" i="55"/>
  <c r="K72" i="55"/>
  <c r="I72" i="55"/>
  <c r="E72" i="55"/>
  <c r="C72" i="55"/>
  <c r="K71" i="55"/>
  <c r="I71" i="55"/>
  <c r="E71" i="55"/>
  <c r="C71" i="55"/>
  <c r="K70" i="55"/>
  <c r="I70" i="55"/>
  <c r="E70" i="55"/>
  <c r="C70" i="55"/>
  <c r="K69" i="55"/>
  <c r="I69" i="55"/>
  <c r="E69" i="55"/>
  <c r="C69" i="55"/>
  <c r="K68" i="55"/>
  <c r="I68" i="55"/>
  <c r="E68" i="55"/>
  <c r="C68" i="55"/>
  <c r="K67" i="55"/>
  <c r="I67" i="55"/>
  <c r="E67" i="55"/>
  <c r="C67" i="55"/>
  <c r="K66" i="55"/>
  <c r="I66" i="55"/>
  <c r="E66" i="55"/>
  <c r="C66" i="55"/>
  <c r="K65" i="55"/>
  <c r="I65" i="55"/>
  <c r="E65" i="55"/>
  <c r="C65" i="55"/>
  <c r="K64" i="55"/>
  <c r="I64" i="55"/>
  <c r="E64" i="55"/>
  <c r="C64" i="55"/>
  <c r="K63" i="55"/>
  <c r="I63" i="55"/>
  <c r="E63" i="55"/>
  <c r="C63" i="55"/>
  <c r="K62" i="55"/>
  <c r="I62" i="55"/>
  <c r="E62" i="55"/>
  <c r="C62" i="55"/>
  <c r="K61" i="55"/>
  <c r="I61" i="55"/>
  <c r="E61" i="55"/>
  <c r="C61" i="55"/>
  <c r="K60" i="55"/>
  <c r="I60" i="55"/>
  <c r="E60" i="55"/>
  <c r="C60" i="55"/>
  <c r="K59" i="55"/>
  <c r="I59" i="55"/>
  <c r="E59" i="55"/>
  <c r="C59" i="55"/>
  <c r="K58" i="55"/>
  <c r="I58" i="55"/>
  <c r="E58" i="55"/>
  <c r="C58" i="55"/>
  <c r="K57" i="55"/>
  <c r="I57" i="55"/>
  <c r="E57" i="55"/>
  <c r="C57" i="55"/>
  <c r="K56" i="55"/>
  <c r="I56" i="55"/>
  <c r="E56" i="55"/>
  <c r="C56" i="55"/>
  <c r="Q55" i="55"/>
  <c r="K55" i="55"/>
  <c r="I55" i="55"/>
  <c r="E55" i="55"/>
  <c r="C55" i="55"/>
  <c r="K54" i="55"/>
  <c r="I54" i="55"/>
  <c r="E54" i="55"/>
  <c r="C54" i="55"/>
  <c r="K53" i="55"/>
  <c r="I53" i="55"/>
  <c r="E53" i="55"/>
  <c r="C53" i="55"/>
  <c r="K52" i="55"/>
  <c r="I52" i="55"/>
  <c r="E52" i="55"/>
  <c r="C52" i="55"/>
  <c r="K51" i="55"/>
  <c r="I51" i="55"/>
  <c r="E51" i="55"/>
  <c r="C51" i="55"/>
  <c r="K50" i="55"/>
  <c r="I50" i="55"/>
  <c r="E50" i="55"/>
  <c r="C50" i="55"/>
  <c r="K49" i="55"/>
  <c r="I49" i="55"/>
  <c r="E49" i="55"/>
  <c r="C49" i="55"/>
  <c r="K48" i="55"/>
  <c r="I48" i="55"/>
  <c r="E48" i="55"/>
  <c r="C48" i="55"/>
  <c r="K47" i="55"/>
  <c r="I47" i="55"/>
  <c r="E47" i="55"/>
  <c r="C47" i="55"/>
  <c r="K46" i="55"/>
  <c r="I46" i="55"/>
  <c r="E46" i="55"/>
  <c r="C46" i="55"/>
  <c r="K45" i="55"/>
  <c r="I45" i="55"/>
  <c r="E45" i="55"/>
  <c r="C45" i="55"/>
  <c r="K44" i="55"/>
  <c r="I44" i="55"/>
  <c r="E44" i="55"/>
  <c r="C44" i="55"/>
  <c r="K43" i="55"/>
  <c r="I43" i="55"/>
  <c r="E43" i="55"/>
  <c r="C43" i="55"/>
  <c r="K42" i="55"/>
  <c r="I42" i="55"/>
  <c r="E42" i="55"/>
  <c r="C42" i="55"/>
  <c r="K41" i="55"/>
  <c r="I41" i="55"/>
  <c r="E41" i="55"/>
  <c r="C41" i="55"/>
  <c r="K40" i="55"/>
  <c r="I40" i="55"/>
  <c r="E40" i="55"/>
  <c r="C40" i="55"/>
  <c r="K39" i="55"/>
  <c r="I39" i="55"/>
  <c r="E39" i="55"/>
  <c r="C39" i="55"/>
  <c r="K38" i="55"/>
  <c r="I38" i="55"/>
  <c r="E38" i="55"/>
  <c r="C38" i="55"/>
  <c r="K37" i="55"/>
  <c r="I37" i="55"/>
  <c r="E37" i="55"/>
  <c r="C37" i="55"/>
  <c r="K36" i="55"/>
  <c r="I36" i="55"/>
  <c r="E36" i="55"/>
  <c r="C36" i="55"/>
  <c r="K35" i="55"/>
  <c r="I35" i="55"/>
  <c r="E35" i="55"/>
  <c r="C35" i="55"/>
  <c r="K34" i="55"/>
  <c r="I34" i="55"/>
  <c r="E34" i="55"/>
  <c r="C34" i="55"/>
  <c r="K33" i="55"/>
  <c r="I33" i="55"/>
  <c r="E33" i="55"/>
  <c r="C33" i="55"/>
  <c r="Q32" i="55"/>
  <c r="K32" i="55"/>
  <c r="I32" i="55"/>
  <c r="E32" i="55"/>
  <c r="C32" i="55"/>
  <c r="K31" i="55"/>
  <c r="I31" i="55"/>
  <c r="E31" i="55"/>
  <c r="C31" i="55"/>
  <c r="K30" i="55"/>
  <c r="I30" i="55"/>
  <c r="E30" i="55"/>
  <c r="C30" i="55"/>
  <c r="K29" i="55"/>
  <c r="I29" i="55"/>
  <c r="E29" i="55"/>
  <c r="C29" i="55"/>
  <c r="K28" i="55"/>
  <c r="I28" i="55"/>
  <c r="E28" i="55"/>
  <c r="C28" i="55"/>
  <c r="K27" i="55"/>
  <c r="I27" i="55"/>
  <c r="E27" i="55"/>
  <c r="C27" i="55"/>
  <c r="K26" i="55"/>
  <c r="I26" i="55"/>
  <c r="E26" i="55"/>
  <c r="C26" i="55"/>
  <c r="K25" i="55"/>
  <c r="I25" i="55"/>
  <c r="E25" i="55"/>
  <c r="C25" i="55"/>
  <c r="K24" i="55"/>
  <c r="I24" i="55"/>
  <c r="E24" i="55"/>
  <c r="C24" i="55"/>
  <c r="K23" i="55"/>
  <c r="I23" i="55"/>
  <c r="E23" i="55"/>
  <c r="C23" i="55"/>
  <c r="K22" i="55"/>
  <c r="I22" i="55"/>
  <c r="E22" i="55"/>
  <c r="C22" i="55"/>
  <c r="K21" i="55"/>
  <c r="I21" i="55"/>
  <c r="E21" i="55"/>
  <c r="C21" i="55"/>
  <c r="K20" i="55"/>
  <c r="I20" i="55"/>
  <c r="E20" i="55"/>
  <c r="C20" i="55"/>
  <c r="K19" i="55"/>
  <c r="I19" i="55"/>
  <c r="E19" i="55"/>
  <c r="C19" i="55"/>
  <c r="K18" i="55"/>
  <c r="I18" i="55"/>
  <c r="E18" i="55"/>
  <c r="C18" i="55"/>
  <c r="K17" i="55"/>
  <c r="I17" i="55"/>
  <c r="E17" i="55"/>
  <c r="C17" i="55"/>
  <c r="K16" i="55"/>
  <c r="I16" i="55"/>
  <c r="E16" i="55"/>
  <c r="C16" i="55"/>
  <c r="K15" i="55"/>
  <c r="I15" i="55"/>
  <c r="E15" i="55"/>
  <c r="C15" i="55"/>
  <c r="K14" i="55"/>
  <c r="I14" i="55"/>
  <c r="E14" i="55"/>
  <c r="C14" i="55"/>
  <c r="K13" i="55"/>
  <c r="I13" i="55"/>
  <c r="E13" i="55"/>
  <c r="C13" i="55"/>
  <c r="K12" i="55"/>
  <c r="I12" i="55"/>
  <c r="E12" i="55"/>
  <c r="C12" i="55"/>
  <c r="K11" i="55"/>
  <c r="I11" i="55"/>
  <c r="E11" i="55"/>
  <c r="C11" i="55"/>
  <c r="K10" i="55"/>
  <c r="I10" i="55"/>
  <c r="E10" i="55"/>
  <c r="C10" i="55"/>
  <c r="K8" i="55"/>
  <c r="I8" i="55"/>
  <c r="K9" i="55"/>
  <c r="I9" i="55"/>
  <c r="Q9" i="55"/>
  <c r="E9" i="55"/>
  <c r="C9" i="55"/>
  <c r="E8" i="55"/>
  <c r="C8" i="55"/>
  <c r="X11" i="21"/>
  <c r="S11" i="21"/>
  <c r="K15" i="45"/>
  <c r="O6" i="23"/>
  <c r="B22" i="23"/>
  <c r="B21" i="23"/>
  <c r="P12" i="23"/>
  <c r="O11" i="23"/>
  <c r="O12" i="23"/>
  <c r="C23" i="45"/>
  <c r="C24" i="45"/>
  <c r="Q73" i="21"/>
  <c r="N73" i="21"/>
  <c r="O73" i="21"/>
  <c r="P73" i="21"/>
  <c r="O27" i="35"/>
  <c r="O25" i="35"/>
  <c r="P27" i="35"/>
  <c r="P25" i="35"/>
  <c r="Q27" i="35"/>
  <c r="Q25" i="35"/>
  <c r="R26" i="35"/>
  <c r="M25" i="35"/>
  <c r="G34" i="35"/>
  <c r="H34" i="35"/>
  <c r="I34" i="35"/>
  <c r="C34" i="35"/>
  <c r="D34" i="35"/>
  <c r="E34" i="35"/>
  <c r="F34" i="35"/>
  <c r="M18" i="35"/>
  <c r="B38" i="35"/>
  <c r="L31" i="35"/>
  <c r="K31" i="35"/>
  <c r="I31" i="35"/>
  <c r="H31" i="35"/>
  <c r="G31" i="35"/>
  <c r="F31" i="35"/>
  <c r="E31" i="35"/>
  <c r="D31" i="35"/>
  <c r="C31" i="35"/>
  <c r="B31" i="35"/>
  <c r="X13" i="21"/>
  <c r="S12" i="21"/>
  <c r="S13" i="21"/>
  <c r="N43" i="21"/>
  <c r="U12" i="21"/>
  <c r="O43" i="21"/>
  <c r="V12" i="21"/>
  <c r="P43" i="21"/>
  <c r="W12" i="21"/>
  <c r="Q43" i="21"/>
  <c r="X12" i="21"/>
  <c r="U13" i="21"/>
  <c r="V13" i="21"/>
  <c r="W13" i="21"/>
  <c r="T13" i="21"/>
  <c r="T12" i="21"/>
  <c r="U11" i="21"/>
  <c r="V11" i="21"/>
  <c r="W11" i="21"/>
  <c r="T11" i="21"/>
  <c r="U10" i="21"/>
  <c r="V10" i="21"/>
  <c r="W10" i="21"/>
  <c r="X10" i="21"/>
  <c r="T10" i="21"/>
  <c r="J14" i="46"/>
  <c r="J16" i="46"/>
  <c r="J18" i="46"/>
  <c r="I14" i="46"/>
  <c r="I16" i="46"/>
  <c r="I18" i="46"/>
  <c r="H14" i="46"/>
  <c r="H16" i="46"/>
  <c r="H18" i="46"/>
  <c r="G14" i="46"/>
  <c r="G16" i="46"/>
  <c r="G18" i="46"/>
  <c r="F14" i="46"/>
  <c r="F16" i="46"/>
  <c r="F18" i="46"/>
  <c r="E14" i="46"/>
  <c r="E16" i="46"/>
  <c r="E18" i="46"/>
  <c r="D14" i="46"/>
  <c r="D16" i="46"/>
  <c r="D18" i="46"/>
  <c r="C18" i="46"/>
  <c r="M34" i="21"/>
  <c r="M26" i="21"/>
  <c r="N26" i="21"/>
  <c r="O26" i="21"/>
  <c r="P26" i="21"/>
  <c r="Q26" i="21"/>
  <c r="O7" i="23"/>
  <c r="A23" i="45"/>
  <c r="A24" i="45"/>
  <c r="A22" i="45"/>
  <c r="D8" i="45"/>
  <c r="E8" i="45"/>
  <c r="F8" i="45"/>
  <c r="G8" i="45"/>
  <c r="H8" i="45"/>
  <c r="I8" i="45"/>
  <c r="J8" i="45"/>
  <c r="C8" i="45"/>
  <c r="D32" i="21"/>
  <c r="E32" i="21"/>
  <c r="F32" i="21"/>
  <c r="G32" i="21"/>
  <c r="H32" i="21"/>
  <c r="I32" i="21"/>
  <c r="J32" i="21"/>
  <c r="K32" i="21"/>
  <c r="C32" i="21"/>
  <c r="D29" i="21"/>
  <c r="E29" i="21"/>
  <c r="F29" i="21"/>
  <c r="G29" i="21"/>
  <c r="H29" i="21"/>
  <c r="I29" i="21"/>
  <c r="J29" i="21"/>
  <c r="K29" i="21"/>
  <c r="C29" i="21"/>
  <c r="D28" i="21"/>
  <c r="E28" i="21"/>
  <c r="F28" i="21"/>
  <c r="G28" i="21"/>
  <c r="H28" i="21"/>
  <c r="I28" i="21"/>
  <c r="J28" i="21"/>
  <c r="K28" i="21"/>
  <c r="C28" i="21"/>
  <c r="J15" i="45"/>
  <c r="I15" i="45"/>
  <c r="H15" i="45"/>
  <c r="G15" i="45"/>
  <c r="F15" i="45"/>
  <c r="E15" i="45"/>
  <c r="D15" i="45"/>
  <c r="C15" i="45"/>
  <c r="M64" i="21"/>
  <c r="M56" i="21"/>
  <c r="M94" i="21"/>
  <c r="N86" i="21"/>
  <c r="O86" i="21"/>
  <c r="P86" i="21"/>
  <c r="Q86" i="21"/>
  <c r="M86" i="21"/>
  <c r="M25" i="21"/>
  <c r="N25" i="21"/>
  <c r="O25" i="21"/>
  <c r="P25" i="21"/>
  <c r="Q25" i="21"/>
  <c r="M28" i="21"/>
  <c r="N28" i="21"/>
  <c r="O28" i="21"/>
  <c r="P28" i="21"/>
  <c r="Q28" i="21"/>
  <c r="A40" i="21"/>
  <c r="A41" i="21"/>
  <c r="A42" i="21"/>
  <c r="A43" i="21"/>
  <c r="A46" i="21"/>
  <c r="A47" i="21"/>
  <c r="A48" i="21"/>
  <c r="A49" i="21"/>
  <c r="C40" i="21"/>
  <c r="D40" i="21"/>
  <c r="E40" i="21"/>
  <c r="F40" i="21"/>
  <c r="G40" i="21"/>
  <c r="H40" i="21"/>
  <c r="I40" i="21"/>
  <c r="J40" i="21"/>
  <c r="C41" i="21"/>
  <c r="D41" i="21"/>
  <c r="E41" i="21"/>
  <c r="F41" i="21"/>
  <c r="G41" i="21"/>
  <c r="H41" i="21"/>
  <c r="I41" i="21"/>
  <c r="J41" i="21"/>
  <c r="K41" i="21"/>
  <c r="C42" i="21"/>
  <c r="D42" i="21"/>
  <c r="E42" i="21"/>
  <c r="F42" i="21"/>
  <c r="G42" i="21"/>
  <c r="H42" i="21"/>
  <c r="I42" i="21"/>
  <c r="J42" i="21"/>
  <c r="K42" i="21"/>
  <c r="C43" i="21"/>
  <c r="D43" i="21"/>
  <c r="E43" i="21"/>
  <c r="F43" i="21"/>
  <c r="G43" i="21"/>
  <c r="H43" i="21"/>
  <c r="I43" i="21"/>
  <c r="J43" i="21"/>
  <c r="K43" i="21"/>
  <c r="D44" i="21"/>
  <c r="E44" i="21"/>
  <c r="F44" i="21"/>
  <c r="G44" i="21"/>
  <c r="H44" i="21"/>
  <c r="I44" i="21"/>
  <c r="J44" i="21"/>
  <c r="K44" i="21"/>
  <c r="C45" i="21"/>
  <c r="D45" i="21"/>
  <c r="E45" i="21"/>
  <c r="F45" i="21"/>
  <c r="G45" i="21"/>
  <c r="H45" i="21"/>
  <c r="I45" i="21"/>
  <c r="J45" i="21"/>
  <c r="K45" i="21"/>
  <c r="C46" i="21"/>
  <c r="D46" i="21"/>
  <c r="E46" i="21"/>
  <c r="F46" i="21"/>
  <c r="G46" i="21"/>
  <c r="H46" i="21"/>
  <c r="I46" i="21"/>
  <c r="J46" i="21"/>
  <c r="B16" i="21"/>
  <c r="C17" i="21"/>
  <c r="C47" i="21"/>
  <c r="D17" i="21"/>
  <c r="D47" i="21"/>
  <c r="E17" i="21"/>
  <c r="E47" i="21"/>
  <c r="F17" i="21"/>
  <c r="F47" i="21"/>
  <c r="G17" i="21"/>
  <c r="G47" i="21"/>
  <c r="H17" i="21"/>
  <c r="H47" i="21"/>
  <c r="I17" i="21"/>
  <c r="I47" i="21"/>
  <c r="J17" i="21"/>
  <c r="J47" i="21"/>
  <c r="K17" i="21"/>
  <c r="K47" i="21"/>
  <c r="C48" i="21"/>
  <c r="D48" i="21"/>
  <c r="E48" i="21"/>
  <c r="F48" i="21"/>
  <c r="G48" i="21"/>
  <c r="H48" i="21"/>
  <c r="I48" i="21"/>
  <c r="J48" i="21"/>
  <c r="K48" i="21"/>
  <c r="C49" i="21"/>
  <c r="D49" i="21"/>
  <c r="E49" i="21"/>
  <c r="F49" i="21"/>
  <c r="G49" i="21"/>
  <c r="H49" i="21"/>
  <c r="I49" i="21"/>
  <c r="J49" i="21"/>
  <c r="A50" i="21"/>
  <c r="C20" i="21"/>
  <c r="C50" i="21"/>
  <c r="D20" i="21"/>
  <c r="D50" i="21"/>
  <c r="E20" i="21"/>
  <c r="E50" i="21"/>
  <c r="F20" i="21"/>
  <c r="F50" i="21"/>
  <c r="G20" i="21"/>
  <c r="G50" i="21"/>
  <c r="H20" i="21"/>
  <c r="H50" i="21"/>
  <c r="I20" i="21"/>
  <c r="I50" i="21"/>
  <c r="J20" i="21"/>
  <c r="J50" i="21"/>
  <c r="K20" i="21"/>
  <c r="K50" i="21"/>
  <c r="A51" i="21"/>
  <c r="C51" i="21"/>
  <c r="D51" i="21"/>
  <c r="E51" i="21"/>
  <c r="F51" i="21"/>
  <c r="G51" i="21"/>
  <c r="H51" i="21"/>
  <c r="I51" i="21"/>
  <c r="J51" i="21"/>
  <c r="K51" i="21"/>
  <c r="A52" i="21"/>
  <c r="C22" i="21"/>
  <c r="C52" i="21"/>
  <c r="D22" i="21"/>
  <c r="D52" i="21"/>
  <c r="E22" i="21"/>
  <c r="E52" i="21"/>
  <c r="F22" i="21"/>
  <c r="F52" i="21"/>
  <c r="G22" i="21"/>
  <c r="G52" i="21"/>
  <c r="H22" i="21"/>
  <c r="H52" i="21"/>
  <c r="I22" i="21"/>
  <c r="I52" i="21"/>
  <c r="J22" i="21"/>
  <c r="J52" i="21"/>
  <c r="K22" i="21"/>
  <c r="K52" i="21"/>
  <c r="A53" i="21"/>
  <c r="C23" i="21"/>
  <c r="C53" i="21"/>
  <c r="D23" i="21"/>
  <c r="D53" i="21"/>
  <c r="E23" i="21"/>
  <c r="E53" i="21"/>
  <c r="F23" i="21"/>
  <c r="F53" i="21"/>
  <c r="G23" i="21"/>
  <c r="G53" i="21"/>
  <c r="H23" i="21"/>
  <c r="H53" i="21"/>
  <c r="I23" i="21"/>
  <c r="I53" i="21"/>
  <c r="J23" i="21"/>
  <c r="J53" i="21"/>
  <c r="K23" i="21"/>
  <c r="K53" i="21"/>
  <c r="A54" i="21"/>
  <c r="C54" i="21"/>
  <c r="D54" i="21"/>
  <c r="E54" i="21"/>
  <c r="F54" i="21"/>
  <c r="G54" i="21"/>
  <c r="H54" i="21"/>
  <c r="I54" i="21"/>
  <c r="J54" i="21"/>
  <c r="K54" i="21"/>
  <c r="A55" i="21"/>
  <c r="B24" i="21"/>
  <c r="C25" i="21"/>
  <c r="C55" i="21"/>
  <c r="D25" i="21"/>
  <c r="D55" i="21"/>
  <c r="E25" i="21"/>
  <c r="E55" i="21"/>
  <c r="F25" i="21"/>
  <c r="F55" i="21"/>
  <c r="G25" i="21"/>
  <c r="G55" i="21"/>
  <c r="H25" i="21"/>
  <c r="H55" i="21"/>
  <c r="I25" i="21"/>
  <c r="I55" i="21"/>
  <c r="J25" i="21"/>
  <c r="J55" i="21"/>
  <c r="K25" i="21"/>
  <c r="K55" i="21"/>
  <c r="M55" i="21"/>
  <c r="N55" i="21"/>
  <c r="O55" i="21"/>
  <c r="P55" i="21"/>
  <c r="Q55" i="21"/>
  <c r="A56" i="21"/>
  <c r="C56" i="21"/>
  <c r="D56" i="21"/>
  <c r="E56" i="21"/>
  <c r="F56" i="21"/>
  <c r="G56" i="21"/>
  <c r="H56" i="21"/>
  <c r="I56" i="21"/>
  <c r="J56" i="21"/>
  <c r="K56" i="21"/>
  <c r="N56" i="21"/>
  <c r="O56" i="21"/>
  <c r="P56" i="21"/>
  <c r="Q56" i="21"/>
  <c r="A58" i="21"/>
  <c r="C58" i="21"/>
  <c r="D58" i="21"/>
  <c r="E58" i="21"/>
  <c r="F58" i="21"/>
  <c r="G58" i="21"/>
  <c r="H58" i="21"/>
  <c r="I58" i="21"/>
  <c r="J58" i="21"/>
  <c r="K58" i="21"/>
  <c r="M58" i="21"/>
  <c r="N58" i="21"/>
  <c r="O58" i="21"/>
  <c r="P58" i="21"/>
  <c r="Q58" i="21"/>
  <c r="A59" i="21"/>
  <c r="C59" i="21"/>
  <c r="D59" i="21"/>
  <c r="E59" i="21"/>
  <c r="F59" i="21"/>
  <c r="G59" i="21"/>
  <c r="H59" i="21"/>
  <c r="I59" i="21"/>
  <c r="J59" i="21"/>
  <c r="K59" i="21"/>
  <c r="A60" i="21"/>
  <c r="C60" i="21"/>
  <c r="D60" i="21"/>
  <c r="E60" i="21"/>
  <c r="F60" i="21"/>
  <c r="G60" i="21"/>
  <c r="H60" i="21"/>
  <c r="I60" i="21"/>
  <c r="J60" i="21"/>
  <c r="A61" i="21"/>
  <c r="D61" i="21"/>
  <c r="E61" i="21"/>
  <c r="F61" i="21"/>
  <c r="G61" i="21"/>
  <c r="H61" i="21"/>
  <c r="I61" i="21"/>
  <c r="J61" i="21"/>
  <c r="K61" i="21"/>
  <c r="A62" i="21"/>
  <c r="C62" i="21"/>
  <c r="D62" i="21"/>
  <c r="E62" i="21"/>
  <c r="F62" i="21"/>
  <c r="G62" i="21"/>
  <c r="H62" i="21"/>
  <c r="I62" i="21"/>
  <c r="J62" i="21"/>
  <c r="K62" i="21"/>
  <c r="K84" i="21"/>
  <c r="M85" i="21"/>
  <c r="N85" i="21"/>
  <c r="O85" i="21"/>
  <c r="P85" i="21"/>
  <c r="Q85" i="21"/>
  <c r="M88" i="21"/>
  <c r="N88" i="21"/>
  <c r="O88" i="21"/>
  <c r="P88" i="21"/>
  <c r="Q88" i="21"/>
  <c r="P11" i="23"/>
  <c r="F7" i="23"/>
  <c r="C66" i="40"/>
  <c r="D66" i="40"/>
  <c r="E66" i="40"/>
  <c r="C65" i="40"/>
  <c r="D65" i="40"/>
  <c r="E65" i="40"/>
  <c r="C64" i="40"/>
  <c r="D64" i="40"/>
  <c r="E64" i="40"/>
  <c r="C63" i="40"/>
  <c r="D63" i="40"/>
  <c r="E63" i="40"/>
  <c r="C62" i="40"/>
  <c r="D62" i="40"/>
  <c r="E62" i="40"/>
  <c r="C61" i="40"/>
  <c r="D61" i="40"/>
  <c r="E61" i="40"/>
  <c r="C60" i="40"/>
  <c r="D60" i="40"/>
  <c r="E60" i="40"/>
  <c r="C59" i="40"/>
  <c r="D59" i="40"/>
  <c r="E59" i="40"/>
  <c r="C58" i="40"/>
  <c r="D58" i="40"/>
  <c r="E58" i="40"/>
  <c r="C57" i="40"/>
  <c r="D57" i="40"/>
  <c r="E57" i="40"/>
  <c r="C56" i="40"/>
  <c r="D56" i="40"/>
  <c r="E56" i="40"/>
  <c r="C55" i="40"/>
  <c r="D55" i="40"/>
  <c r="E55" i="40"/>
  <c r="C54" i="40"/>
  <c r="D54" i="40"/>
  <c r="E54" i="40"/>
  <c r="C53" i="40"/>
  <c r="D53" i="40"/>
  <c r="E53" i="40"/>
  <c r="C52" i="40"/>
  <c r="D52" i="40"/>
  <c r="E52" i="40"/>
  <c r="C51" i="40"/>
  <c r="D51" i="40"/>
  <c r="E51" i="40"/>
  <c r="C50" i="40"/>
  <c r="D50" i="40"/>
  <c r="E50" i="40"/>
  <c r="C49" i="40"/>
  <c r="D49" i="40"/>
  <c r="E49" i="40"/>
  <c r="C48" i="40"/>
  <c r="D48" i="40"/>
  <c r="E48" i="40"/>
  <c r="C47" i="40"/>
  <c r="D47" i="40"/>
  <c r="E47" i="40"/>
  <c r="C46" i="40"/>
  <c r="D46" i="40"/>
  <c r="E46" i="40"/>
  <c r="C45" i="40"/>
  <c r="D45" i="40"/>
  <c r="E45" i="40"/>
  <c r="C44" i="40"/>
  <c r="D44" i="40"/>
  <c r="E44" i="40"/>
  <c r="C43" i="40"/>
  <c r="D43" i="40"/>
  <c r="E43" i="40"/>
  <c r="C42" i="40"/>
  <c r="D42" i="40"/>
  <c r="E42" i="40"/>
  <c r="C41" i="40"/>
  <c r="D41" i="40"/>
  <c r="E41" i="40"/>
  <c r="C40" i="40"/>
  <c r="D40" i="40"/>
  <c r="E40" i="40"/>
  <c r="C39" i="40"/>
  <c r="D39" i="40"/>
  <c r="E39" i="40"/>
  <c r="C38" i="40"/>
  <c r="D38" i="40"/>
  <c r="E38" i="40"/>
  <c r="C37" i="40"/>
  <c r="D37" i="40"/>
  <c r="E37" i="40"/>
  <c r="C36" i="40"/>
  <c r="D36" i="40"/>
  <c r="E36" i="40"/>
  <c r="C35" i="40"/>
  <c r="D35" i="40"/>
  <c r="E35" i="40"/>
  <c r="C34" i="40"/>
  <c r="D34" i="40"/>
  <c r="E34" i="40"/>
  <c r="C33" i="40"/>
  <c r="D33" i="40"/>
  <c r="E33" i="40"/>
  <c r="C32" i="40"/>
  <c r="D32" i="40"/>
  <c r="E32" i="40"/>
  <c r="C31" i="40"/>
  <c r="D31" i="40"/>
  <c r="E31" i="40"/>
  <c r="C30" i="40"/>
  <c r="D30" i="40"/>
  <c r="E30" i="40"/>
  <c r="C29" i="40"/>
  <c r="D29" i="40"/>
  <c r="E29" i="40"/>
  <c r="C28" i="40"/>
  <c r="D28" i="40"/>
  <c r="E28" i="40"/>
  <c r="C27" i="40"/>
  <c r="D27" i="40"/>
  <c r="E27" i="40"/>
  <c r="C26" i="40"/>
  <c r="D26" i="40"/>
  <c r="E26" i="40"/>
  <c r="C25" i="40"/>
  <c r="D25" i="40"/>
  <c r="E25" i="40"/>
  <c r="C24" i="40"/>
  <c r="D24" i="40"/>
  <c r="E24" i="40"/>
  <c r="C23" i="40"/>
  <c r="D23" i="40"/>
  <c r="E23" i="40"/>
  <c r="C22" i="40"/>
  <c r="D22" i="40"/>
  <c r="E22" i="40"/>
  <c r="C21" i="40"/>
  <c r="D21" i="40"/>
  <c r="E21" i="40"/>
  <c r="C20" i="40"/>
  <c r="D20" i="40"/>
  <c r="E20" i="40"/>
  <c r="C19" i="40"/>
  <c r="D19" i="40"/>
  <c r="E19" i="40"/>
  <c r="C18" i="40"/>
  <c r="D18" i="40"/>
  <c r="E18" i="40"/>
  <c r="C17" i="40"/>
  <c r="D17" i="40"/>
  <c r="E17" i="40"/>
  <c r="C16" i="40"/>
  <c r="D16" i="40"/>
  <c r="E16" i="40"/>
  <c r="C15" i="40"/>
  <c r="D15" i="40"/>
  <c r="E15" i="40"/>
  <c r="C14" i="40"/>
  <c r="D14" i="40"/>
  <c r="E14" i="40"/>
  <c r="C13" i="40"/>
  <c r="D13" i="40"/>
  <c r="E13" i="40"/>
  <c r="C12" i="40"/>
  <c r="D12" i="40"/>
  <c r="E12" i="40"/>
  <c r="C11" i="40"/>
  <c r="D11" i="40"/>
  <c r="E11" i="40"/>
  <c r="C10" i="40"/>
  <c r="D10" i="40"/>
  <c r="E10" i="40"/>
  <c r="C9" i="40"/>
  <c r="D9" i="40"/>
  <c r="E9" i="40"/>
  <c r="C8" i="40"/>
  <c r="D8" i="40"/>
  <c r="E8" i="40"/>
  <c r="I8" i="40"/>
  <c r="H5" i="40"/>
  <c r="H8" i="40"/>
  <c r="F8" i="40"/>
  <c r="C64" i="39"/>
  <c r="D64" i="39"/>
  <c r="E64" i="39"/>
  <c r="C63" i="39"/>
  <c r="D63" i="39"/>
  <c r="E63" i="39"/>
  <c r="C62" i="39"/>
  <c r="D62" i="39"/>
  <c r="E62" i="39"/>
  <c r="C61" i="39"/>
  <c r="D61" i="39"/>
  <c r="E61" i="39"/>
  <c r="C60" i="39"/>
  <c r="D60" i="39"/>
  <c r="E60" i="39"/>
  <c r="C59" i="39"/>
  <c r="D59" i="39"/>
  <c r="E59" i="39"/>
  <c r="C58" i="39"/>
  <c r="D58" i="39"/>
  <c r="E58" i="39"/>
  <c r="C57" i="39"/>
  <c r="D57" i="39"/>
  <c r="E57" i="39"/>
  <c r="C56" i="39"/>
  <c r="D56" i="39"/>
  <c r="E56" i="39"/>
  <c r="C55" i="39"/>
  <c r="D55" i="39"/>
  <c r="E55" i="39"/>
  <c r="C54" i="39"/>
  <c r="D54" i="39"/>
  <c r="E54" i="39"/>
  <c r="C53" i="39"/>
  <c r="D53" i="39"/>
  <c r="E53" i="39"/>
  <c r="C52" i="39"/>
  <c r="D52" i="39"/>
  <c r="E52" i="39"/>
  <c r="C51" i="39"/>
  <c r="D51" i="39"/>
  <c r="E51" i="39"/>
  <c r="C50" i="39"/>
  <c r="D50" i="39"/>
  <c r="E50" i="39"/>
  <c r="C49" i="39"/>
  <c r="D49" i="39"/>
  <c r="E49" i="39"/>
  <c r="C48" i="39"/>
  <c r="D48" i="39"/>
  <c r="E48" i="39"/>
  <c r="C47" i="39"/>
  <c r="D47" i="39"/>
  <c r="E47" i="39"/>
  <c r="C46" i="39"/>
  <c r="D46" i="39"/>
  <c r="E46" i="39"/>
  <c r="C45" i="39"/>
  <c r="D45" i="39"/>
  <c r="E45" i="39"/>
  <c r="C44" i="39"/>
  <c r="D44" i="39"/>
  <c r="E44" i="39"/>
  <c r="C43" i="39"/>
  <c r="D43" i="39"/>
  <c r="E43" i="39"/>
  <c r="C42" i="39"/>
  <c r="D42" i="39"/>
  <c r="E42" i="39"/>
  <c r="C41" i="39"/>
  <c r="D41" i="39"/>
  <c r="E41" i="39"/>
  <c r="C40" i="39"/>
  <c r="D40" i="39"/>
  <c r="E40" i="39"/>
  <c r="C39" i="39"/>
  <c r="D39" i="39"/>
  <c r="E39" i="39"/>
  <c r="C38" i="39"/>
  <c r="D38" i="39"/>
  <c r="E38" i="39"/>
  <c r="C37" i="39"/>
  <c r="D37" i="39"/>
  <c r="E37" i="39"/>
  <c r="C36" i="39"/>
  <c r="D36" i="39"/>
  <c r="E36" i="39"/>
  <c r="C35" i="39"/>
  <c r="D35" i="39"/>
  <c r="E35" i="39"/>
  <c r="C34" i="39"/>
  <c r="D34" i="39"/>
  <c r="E34" i="39"/>
  <c r="C33" i="39"/>
  <c r="D33" i="39"/>
  <c r="E33" i="39"/>
  <c r="C32" i="39"/>
  <c r="D32" i="39"/>
  <c r="E32" i="39"/>
  <c r="C31" i="39"/>
  <c r="D31" i="39"/>
  <c r="E31" i="39"/>
  <c r="C30" i="39"/>
  <c r="D30" i="39"/>
  <c r="E30" i="39"/>
  <c r="C29" i="39"/>
  <c r="D29" i="39"/>
  <c r="E29" i="39"/>
  <c r="C28" i="39"/>
  <c r="D28" i="39"/>
  <c r="E28" i="39"/>
  <c r="C27" i="39"/>
  <c r="D27" i="39"/>
  <c r="E27" i="39"/>
  <c r="C26" i="39"/>
  <c r="D26" i="39"/>
  <c r="E26" i="39"/>
  <c r="C25" i="39"/>
  <c r="D25" i="39"/>
  <c r="E25" i="39"/>
  <c r="C24" i="39"/>
  <c r="D24" i="39"/>
  <c r="E24" i="39"/>
  <c r="C23" i="39"/>
  <c r="D23" i="39"/>
  <c r="E23" i="39"/>
  <c r="C22" i="39"/>
  <c r="D22" i="39"/>
  <c r="E22" i="39"/>
  <c r="C21" i="39"/>
  <c r="D21" i="39"/>
  <c r="E21" i="39"/>
  <c r="C20" i="39"/>
  <c r="D20" i="39"/>
  <c r="E20" i="39"/>
  <c r="C19" i="39"/>
  <c r="D19" i="39"/>
  <c r="E19" i="39"/>
  <c r="C18" i="39"/>
  <c r="D18" i="39"/>
  <c r="E18" i="39"/>
  <c r="C17" i="39"/>
  <c r="D17" i="39"/>
  <c r="E17" i="39"/>
  <c r="C16" i="39"/>
  <c r="D16" i="39"/>
  <c r="E16" i="39"/>
  <c r="C15" i="39"/>
  <c r="D15" i="39"/>
  <c r="E15" i="39"/>
  <c r="C14" i="39"/>
  <c r="D14" i="39"/>
  <c r="E14" i="39"/>
  <c r="C13" i="39"/>
  <c r="D13" i="39"/>
  <c r="E13" i="39"/>
  <c r="C12" i="39"/>
  <c r="D12" i="39"/>
  <c r="E12" i="39"/>
  <c r="C11" i="39"/>
  <c r="D11" i="39"/>
  <c r="E11" i="39"/>
  <c r="C10" i="39"/>
  <c r="D10" i="39"/>
  <c r="E10" i="39"/>
  <c r="C9" i="39"/>
  <c r="D9" i="39"/>
  <c r="E9" i="39"/>
  <c r="C8" i="39"/>
  <c r="D8" i="39"/>
  <c r="E8" i="39"/>
  <c r="I8" i="39"/>
  <c r="H5" i="39"/>
  <c r="H8" i="39"/>
  <c r="F8" i="39"/>
  <c r="C59" i="38"/>
  <c r="D59" i="38"/>
  <c r="E59" i="38"/>
  <c r="C58" i="38"/>
  <c r="D58" i="38"/>
  <c r="E58" i="38"/>
  <c r="C57" i="38"/>
  <c r="D57" i="38"/>
  <c r="E57" i="38"/>
  <c r="C56" i="38"/>
  <c r="D56" i="38"/>
  <c r="E56" i="38"/>
  <c r="C55" i="38"/>
  <c r="D55" i="38"/>
  <c r="E55" i="38"/>
  <c r="C54" i="38"/>
  <c r="D54" i="38"/>
  <c r="E54" i="38"/>
  <c r="C53" i="38"/>
  <c r="D53" i="38"/>
  <c r="E53" i="38"/>
  <c r="C52" i="38"/>
  <c r="D52" i="38"/>
  <c r="E52" i="38"/>
  <c r="C51" i="38"/>
  <c r="D51" i="38"/>
  <c r="E51" i="38"/>
  <c r="C50" i="38"/>
  <c r="D50" i="38"/>
  <c r="E50" i="38"/>
  <c r="C49" i="38"/>
  <c r="D49" i="38"/>
  <c r="E49" i="38"/>
  <c r="C48" i="38"/>
  <c r="D48" i="38"/>
  <c r="E48" i="38"/>
  <c r="C47" i="38"/>
  <c r="D47" i="38"/>
  <c r="E47" i="38"/>
  <c r="C46" i="38"/>
  <c r="D46" i="38"/>
  <c r="E46" i="38"/>
  <c r="C45" i="38"/>
  <c r="D45" i="38"/>
  <c r="E45" i="38"/>
  <c r="C44" i="38"/>
  <c r="D44" i="38"/>
  <c r="E44" i="38"/>
  <c r="C43" i="38"/>
  <c r="D43" i="38"/>
  <c r="E43" i="38"/>
  <c r="C42" i="38"/>
  <c r="D42" i="38"/>
  <c r="E42" i="38"/>
  <c r="C41" i="38"/>
  <c r="D41" i="38"/>
  <c r="E41" i="38"/>
  <c r="C40" i="38"/>
  <c r="D40" i="38"/>
  <c r="E40" i="38"/>
  <c r="C39" i="38"/>
  <c r="D39" i="38"/>
  <c r="E39" i="38"/>
  <c r="C38" i="38"/>
  <c r="D38" i="38"/>
  <c r="E38" i="38"/>
  <c r="C37" i="38"/>
  <c r="D37" i="38"/>
  <c r="E37" i="38"/>
  <c r="C36" i="38"/>
  <c r="D36" i="38"/>
  <c r="E36" i="38"/>
  <c r="C35" i="38"/>
  <c r="D35" i="38"/>
  <c r="E35" i="38"/>
  <c r="C34" i="38"/>
  <c r="D34" i="38"/>
  <c r="E34" i="38"/>
  <c r="C33" i="38"/>
  <c r="D33" i="38"/>
  <c r="E33" i="38"/>
  <c r="C32" i="38"/>
  <c r="D32" i="38"/>
  <c r="E32" i="38"/>
  <c r="C31" i="38"/>
  <c r="D31" i="38"/>
  <c r="E31" i="38"/>
  <c r="C30" i="38"/>
  <c r="D30" i="38"/>
  <c r="E30" i="38"/>
  <c r="C29" i="38"/>
  <c r="D29" i="38"/>
  <c r="E29" i="38"/>
  <c r="C28" i="38"/>
  <c r="D28" i="38"/>
  <c r="E28" i="38"/>
  <c r="C27" i="38"/>
  <c r="D27" i="38"/>
  <c r="E27" i="38"/>
  <c r="C26" i="38"/>
  <c r="D26" i="38"/>
  <c r="E26" i="38"/>
  <c r="C25" i="38"/>
  <c r="D25" i="38"/>
  <c r="E25" i="38"/>
  <c r="C24" i="38"/>
  <c r="D24" i="38"/>
  <c r="E24" i="38"/>
  <c r="C23" i="38"/>
  <c r="D23" i="38"/>
  <c r="E23" i="38"/>
  <c r="C22" i="38"/>
  <c r="D22" i="38"/>
  <c r="E22" i="38"/>
  <c r="C21" i="38"/>
  <c r="D21" i="38"/>
  <c r="E21" i="38"/>
  <c r="C20" i="38"/>
  <c r="D20" i="38"/>
  <c r="E20" i="38"/>
  <c r="C19" i="38"/>
  <c r="D19" i="38"/>
  <c r="E19" i="38"/>
  <c r="C18" i="38"/>
  <c r="D18" i="38"/>
  <c r="E18" i="38"/>
  <c r="C17" i="38"/>
  <c r="D17" i="38"/>
  <c r="E17" i="38"/>
  <c r="C16" i="38"/>
  <c r="D16" i="38"/>
  <c r="E16" i="38"/>
  <c r="C15" i="38"/>
  <c r="D15" i="38"/>
  <c r="E15" i="38"/>
  <c r="C14" i="38"/>
  <c r="D14" i="38"/>
  <c r="E14" i="38"/>
  <c r="C13" i="38"/>
  <c r="D13" i="38"/>
  <c r="E13" i="38"/>
  <c r="C12" i="38"/>
  <c r="D12" i="38"/>
  <c r="E12" i="38"/>
  <c r="C11" i="38"/>
  <c r="D11" i="38"/>
  <c r="E11" i="38"/>
  <c r="C10" i="38"/>
  <c r="D10" i="38"/>
  <c r="E10" i="38"/>
  <c r="C9" i="38"/>
  <c r="D9" i="38"/>
  <c r="E9" i="38"/>
  <c r="C8" i="38"/>
  <c r="D8" i="38"/>
  <c r="E8" i="38"/>
  <c r="I8" i="38"/>
  <c r="H5" i="38"/>
  <c r="H8" i="38"/>
  <c r="F8" i="38"/>
  <c r="C19" i="36"/>
  <c r="D19" i="36"/>
  <c r="E19" i="36"/>
  <c r="C18" i="36"/>
  <c r="D18" i="36"/>
  <c r="E18" i="36"/>
  <c r="C17" i="36"/>
  <c r="D17" i="36"/>
  <c r="E17" i="36"/>
  <c r="C16" i="36"/>
  <c r="D16" i="36"/>
  <c r="E16" i="36"/>
  <c r="C15" i="36"/>
  <c r="D15" i="36"/>
  <c r="E15" i="36"/>
  <c r="C14" i="36"/>
  <c r="D14" i="36"/>
  <c r="E14" i="36"/>
  <c r="C13" i="36"/>
  <c r="D13" i="36"/>
  <c r="E13" i="36"/>
  <c r="C12" i="36"/>
  <c r="D12" i="36"/>
  <c r="E12" i="36"/>
  <c r="C11" i="36"/>
  <c r="D11" i="36"/>
  <c r="E11" i="36"/>
  <c r="C10" i="36"/>
  <c r="D10" i="36"/>
  <c r="E10" i="36"/>
  <c r="C9" i="36"/>
  <c r="D9" i="36"/>
  <c r="E9" i="36"/>
  <c r="C8" i="36"/>
  <c r="D8" i="36"/>
  <c r="E8" i="36"/>
  <c r="I8" i="36"/>
  <c r="H8" i="36"/>
  <c r="F8" i="36"/>
  <c r="P6" i="23"/>
  <c r="P7" i="23"/>
  <c r="B72" i="21"/>
  <c r="C72" i="21"/>
  <c r="D72" i="21"/>
  <c r="E72" i="21"/>
  <c r="F72" i="21"/>
  <c r="G72" i="21"/>
  <c r="H72" i="21"/>
  <c r="I72" i="21"/>
  <c r="J72" i="21"/>
  <c r="K72" i="21"/>
  <c r="B73" i="21"/>
  <c r="C73" i="21"/>
  <c r="D73" i="21"/>
  <c r="E73" i="21"/>
  <c r="F73" i="21"/>
  <c r="G73" i="21"/>
  <c r="H73" i="21"/>
  <c r="I73" i="21"/>
  <c r="J73" i="21"/>
  <c r="K73" i="21"/>
  <c r="B74" i="21"/>
  <c r="D74" i="21"/>
  <c r="E74" i="21"/>
  <c r="F74" i="21"/>
  <c r="G74" i="21"/>
  <c r="H74" i="21"/>
  <c r="I74" i="21"/>
  <c r="J74" i="21"/>
  <c r="K74" i="21"/>
  <c r="B15" i="21"/>
  <c r="B75" i="21"/>
  <c r="C75" i="21"/>
  <c r="D75" i="21"/>
  <c r="E75" i="21"/>
  <c r="F75" i="21"/>
  <c r="G75" i="21"/>
  <c r="H75" i="21"/>
  <c r="I75" i="21"/>
  <c r="J75" i="21"/>
  <c r="K75" i="21"/>
  <c r="B76" i="21"/>
  <c r="C76" i="21"/>
  <c r="D76" i="21"/>
  <c r="E76" i="21"/>
  <c r="F76" i="21"/>
  <c r="G76" i="21"/>
  <c r="H76" i="21"/>
  <c r="I76" i="21"/>
  <c r="J76" i="21"/>
  <c r="B77" i="21"/>
  <c r="C77" i="21"/>
  <c r="D77" i="21"/>
  <c r="E77" i="21"/>
  <c r="F77" i="21"/>
  <c r="G77" i="21"/>
  <c r="H77" i="21"/>
  <c r="I77" i="21"/>
  <c r="J77" i="21"/>
  <c r="K77" i="21"/>
  <c r="B78" i="21"/>
  <c r="C78" i="21"/>
  <c r="D78" i="21"/>
  <c r="E78" i="21"/>
  <c r="F78" i="21"/>
  <c r="G78" i="21"/>
  <c r="H78" i="21"/>
  <c r="I78" i="21"/>
  <c r="J78" i="21"/>
  <c r="K78" i="21"/>
  <c r="B79" i="21"/>
  <c r="C79" i="21"/>
  <c r="D79" i="21"/>
  <c r="E79" i="21"/>
  <c r="F79" i="21"/>
  <c r="G79" i="21"/>
  <c r="H79" i="21"/>
  <c r="I79" i="21"/>
  <c r="J79" i="21"/>
  <c r="B80" i="21"/>
  <c r="C80" i="21"/>
  <c r="D80" i="21"/>
  <c r="E80" i="21"/>
  <c r="F80" i="21"/>
  <c r="G80" i="21"/>
  <c r="H80" i="21"/>
  <c r="I80" i="21"/>
  <c r="J80" i="21"/>
  <c r="K80" i="21"/>
  <c r="B81" i="21"/>
  <c r="C81" i="21"/>
  <c r="D81" i="21"/>
  <c r="E81" i="21"/>
  <c r="F81" i="21"/>
  <c r="G81" i="21"/>
  <c r="H81" i="21"/>
  <c r="I81" i="21"/>
  <c r="J81" i="21"/>
  <c r="K81" i="21"/>
  <c r="B82" i="21"/>
  <c r="C82" i="21"/>
  <c r="D82" i="21"/>
  <c r="E82" i="21"/>
  <c r="F82" i="21"/>
  <c r="G82" i="21"/>
  <c r="H82" i="21"/>
  <c r="I82" i="21"/>
  <c r="J82" i="21"/>
  <c r="K82" i="21"/>
  <c r="B23" i="21"/>
  <c r="B83" i="21"/>
  <c r="C83" i="21"/>
  <c r="D83" i="21"/>
  <c r="E83" i="21"/>
  <c r="F83" i="21"/>
  <c r="G83" i="21"/>
  <c r="H83" i="21"/>
  <c r="I83" i="21"/>
  <c r="J83" i="21"/>
  <c r="K83" i="21"/>
  <c r="B84" i="21"/>
  <c r="C84" i="21"/>
  <c r="D84" i="21"/>
  <c r="E84" i="21"/>
  <c r="F84" i="21"/>
  <c r="G84" i="21"/>
  <c r="H84" i="21"/>
  <c r="I84" i="21"/>
  <c r="J84" i="21"/>
  <c r="B85" i="21"/>
  <c r="C85" i="21"/>
  <c r="D85" i="21"/>
  <c r="E85" i="21"/>
  <c r="F85" i="21"/>
  <c r="G85" i="21"/>
  <c r="H85" i="21"/>
  <c r="I85" i="21"/>
  <c r="J85" i="21"/>
  <c r="K85" i="21"/>
  <c r="B86" i="21"/>
  <c r="C86" i="21"/>
  <c r="D86" i="21"/>
  <c r="E86" i="21"/>
  <c r="F86" i="21"/>
  <c r="G86" i="21"/>
  <c r="H86" i="21"/>
  <c r="I86" i="21"/>
  <c r="J86" i="21"/>
  <c r="K86" i="21"/>
  <c r="B88" i="21"/>
  <c r="C88" i="21"/>
  <c r="D88" i="21"/>
  <c r="E88" i="21"/>
  <c r="F88" i="21"/>
  <c r="G88" i="21"/>
  <c r="H88" i="21"/>
  <c r="I88" i="21"/>
  <c r="J88" i="21"/>
  <c r="K88" i="21"/>
  <c r="B89" i="21"/>
  <c r="C89" i="21"/>
  <c r="D89" i="21"/>
  <c r="E89" i="21"/>
  <c r="F89" i="21"/>
  <c r="G89" i="21"/>
  <c r="H89" i="21"/>
  <c r="I89" i="21"/>
  <c r="J89" i="21"/>
  <c r="K89" i="21"/>
  <c r="B90" i="21"/>
  <c r="C90" i="21"/>
  <c r="D90" i="21"/>
  <c r="E90" i="21"/>
  <c r="F90" i="21"/>
  <c r="G90" i="21"/>
  <c r="H90" i="21"/>
  <c r="I90" i="21"/>
  <c r="J90" i="21"/>
  <c r="B91" i="21"/>
  <c r="D91" i="21"/>
  <c r="E91" i="21"/>
  <c r="F91" i="21"/>
  <c r="G91" i="21"/>
  <c r="H91" i="21"/>
  <c r="I91" i="21"/>
  <c r="J91" i="21"/>
  <c r="K91" i="21"/>
  <c r="B92" i="21"/>
  <c r="C92" i="21"/>
  <c r="D92" i="21"/>
  <c r="E92" i="21"/>
  <c r="F92" i="21"/>
  <c r="G92" i="21"/>
  <c r="H92" i="21"/>
  <c r="I92" i="21"/>
  <c r="J92" i="21"/>
  <c r="K92" i="21"/>
  <c r="C71" i="21"/>
  <c r="D71" i="21"/>
  <c r="E71" i="21"/>
  <c r="F71" i="21"/>
  <c r="G71" i="21"/>
  <c r="H71" i="21"/>
  <c r="I71" i="21"/>
  <c r="J71" i="21"/>
  <c r="K71" i="21"/>
  <c r="B71" i="21"/>
  <c r="C70" i="21"/>
  <c r="D70" i="21"/>
  <c r="E70" i="21"/>
  <c r="F70" i="21"/>
  <c r="G70" i="21"/>
  <c r="H70" i="21"/>
  <c r="I70" i="21"/>
  <c r="J70" i="21"/>
  <c r="B70" i="21"/>
  <c r="L14" i="21"/>
  <c r="G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Meggle, Daniel Florian</author>
  </authors>
  <commentList>
    <comment ref="E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Assumption: </t>
        </r>
        <r>
          <rPr>
            <sz val="9"/>
            <color indexed="81"/>
            <rFont val="Tahoma"/>
            <family val="2"/>
          </rPr>
          <t>Nike's A1 respective AA- Rating from Moody's/S&amp;P will be changed to overall Baa Rating, if debt will increase to 10% (still Investment grade) due to high cash positions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Meggle, Daniel Florian</author>
  </authors>
  <commentList>
    <comment ref="A11" authorId="0" shapeId="0" xr:uid="{00000000-0006-0000-0300-000001000000}">
      <text>
        <r>
          <rPr>
            <sz val="9"/>
            <color indexed="81"/>
            <rFont val="Tahoma"/>
            <family val="2"/>
          </rPr>
          <t>No R&amp;D Adjustment due to absence of reported R&amp;D expenses</t>
        </r>
      </text>
    </comment>
    <comment ref="A13" authorId="0" shapeId="0" xr:uid="{00000000-0006-0000-0300-000002000000}">
      <text>
        <r>
          <rPr>
            <sz val="9"/>
            <color indexed="81"/>
            <rFont val="Tahoma"/>
            <family val="2"/>
          </rPr>
          <t>short-term debt has been substracted from NWC, due to high cash positions (and temporary nature of short-term debt)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Bihrer, Nadine</author>
  </authors>
  <commentList>
    <comment ref="D6" authorId="0" shapeId="0" xr:uid="{00000000-0006-0000-0400-000001000000}">
      <text>
        <r>
          <rPr>
            <sz val="9"/>
            <color indexed="81"/>
            <rFont val="Tahoma"/>
            <family val="2"/>
          </rPr>
          <t>i.e. total returns incl. dividends</t>
        </r>
      </text>
    </comment>
    <comment ref="J6" authorId="0" shapeId="0" xr:uid="{00000000-0006-0000-0400-000002000000}">
      <text>
        <r>
          <rPr>
            <sz val="9"/>
            <color indexed="81"/>
            <rFont val="Tahoma"/>
            <family val="2"/>
          </rPr>
          <t>i.e. total returns incl. dividends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Bihrer, Nadine</author>
  </authors>
  <commentList>
    <comment ref="N12" authorId="0" shapeId="0" xr:uid="{00000000-0006-0000-0500-000001000000}">
      <text>
        <r>
          <rPr>
            <sz val="9"/>
            <color indexed="81"/>
            <rFont val="Tahoma"/>
            <family val="2"/>
          </rPr>
          <t>different weighting of average costs of equity of respective time intervals due to higher influence of recent low interest environment</t>
        </r>
      </text>
    </comment>
    <comment ref="D210" authorId="0" shapeId="0" xr:uid="{00000000-0006-0000-0500-000002000000}">
      <text>
        <r>
          <rPr>
            <sz val="9"/>
            <color indexed="81"/>
            <rFont val="Tahoma"/>
            <family val="2"/>
          </rPr>
          <t>Data not available; risk-free rate is expected to be the equal to the previous month.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Bihrer, Nadine</author>
  </authors>
  <commentList>
    <comment ref="R31" authorId="0" shapeId="0" xr:uid="{00000000-0006-0000-0600-000001000000}">
      <text>
        <r>
          <rPr>
            <sz val="9"/>
            <color indexed="81"/>
            <rFont val="Tahoma"/>
            <family val="2"/>
          </rPr>
          <t>Only those values required for further calculations have been forecasted.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Bihrer, Nadine</author>
  </authors>
  <commentList>
    <comment ref="B19" authorId="0" shapeId="0" xr:uid="{00000000-0006-0000-0800-000001000000}">
      <text>
        <r>
          <rPr>
            <sz val="9"/>
            <color indexed="81"/>
            <rFont val="Tahoma"/>
            <family val="2"/>
          </rPr>
          <t>higher weighting of GDP growth rate in order to derive a higher perpetuity growth rate because of Nike Inc's tendency to outperform overall GDP growth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Bihrer, Nadine</author>
  </authors>
  <commentList>
    <comment ref="B22" authorId="0" shapeId="0" xr:uid="{00000000-0006-0000-0900-000001000000}">
      <text>
        <r>
          <rPr>
            <sz val="9"/>
            <color indexed="81"/>
            <rFont val="Tahoma"/>
            <family val="2"/>
          </rPr>
          <t>The value of the tax shield is discounted by using the r</t>
        </r>
        <r>
          <rPr>
            <vertAlign val="subscript"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 xml:space="preserve"> as the D/V-ratio is close to constant.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Benedict Rasche</author>
  </authors>
  <commentList>
    <comment ref="C24" authorId="0" shapeId="0" xr:uid="{00000000-0006-0000-0A00-000001000000}">
      <text>
        <r>
          <rPr>
            <sz val="9"/>
            <color indexed="81"/>
            <rFont val="Tahoma"/>
            <family val="2"/>
          </rPr>
          <t xml:space="preserve">LTM Data based on Bloomberg LTM calculations
</t>
        </r>
      </text>
    </comment>
    <comment ref="D24" authorId="0" shapeId="0" xr:uid="{00000000-0006-0000-0A00-000002000000}">
      <text>
        <r>
          <rPr>
            <sz val="9"/>
            <color indexed="81"/>
            <rFont val="Tahoma"/>
            <family val="2"/>
          </rPr>
          <t xml:space="preserve">Calculated based on EV/EVITDA LTM FY 2017 Multiple*Enterprise Value (Bloomberg)
</t>
        </r>
      </text>
    </comment>
    <comment ref="E24" authorId="0" shapeId="0" xr:uid="{00000000-0006-0000-0A00-000003000000}">
      <text>
        <r>
          <rPr>
            <sz val="9"/>
            <color indexed="81"/>
            <rFont val="Tahoma"/>
            <family val="2"/>
          </rPr>
          <t xml:space="preserve">Calculated based on EBITDA LTM (1)
</t>
        </r>
      </text>
    </comment>
    <comment ref="F24" authorId="0" shapeId="0" xr:uid="{00000000-0006-0000-0A00-000004000000}">
      <text>
        <r>
          <rPr>
            <sz val="9"/>
            <color indexed="81"/>
            <rFont val="Tahoma"/>
            <family val="2"/>
          </rPr>
          <t>Ratios based on Bloomberg</t>
        </r>
      </text>
    </comment>
    <comment ref="H24" authorId="0" shapeId="0" xr:uid="{00000000-0006-0000-0A00-000005000000}">
      <text>
        <r>
          <rPr>
            <sz val="9"/>
            <color indexed="81"/>
            <rFont val="Tahoma"/>
            <family val="2"/>
          </rPr>
          <t>Based on Bloomberg EV/EBITDA and EBITDA LTM (2)</t>
        </r>
      </text>
    </comment>
    <comment ref="F31" authorId="0" shapeId="0" xr:uid="{00000000-0006-0000-0A00-000006000000}">
      <text>
        <r>
          <rPr>
            <sz val="9"/>
            <color indexed="81"/>
            <rFont val="Tahoma"/>
            <family val="2"/>
          </rPr>
          <t>Used EBITDA Multiple for FY 2018</t>
        </r>
      </text>
    </comment>
    <comment ref="F33" authorId="0" shapeId="0" xr:uid="{00000000-0006-0000-0A00-000007000000}">
      <text>
        <r>
          <rPr>
            <sz val="9"/>
            <color indexed="81"/>
            <rFont val="Tahoma"/>
            <family val="2"/>
          </rPr>
          <t>Used EBITDA Multiple for FY 2018</t>
        </r>
      </text>
    </comment>
    <comment ref="H43" authorId="0" shapeId="0" xr:uid="{00000000-0006-0000-0A00-000008000000}">
      <text>
        <r>
          <rPr>
            <sz val="9"/>
            <color indexed="81"/>
            <rFont val="Tahoma"/>
            <family val="2"/>
          </rPr>
          <t>Calculated based on Bloomberg Data</t>
        </r>
      </text>
    </comment>
    <comment ref="I43" authorId="0" shapeId="0" xr:uid="{00000000-0006-0000-0A00-000009000000}">
      <text>
        <r>
          <rPr>
            <sz val="9"/>
            <color indexed="81"/>
            <rFont val="Tahoma"/>
            <family val="2"/>
          </rPr>
          <t>Calculated based on Bloomberg Data</t>
        </r>
      </text>
    </comment>
    <comment ref="D45" authorId="0" shapeId="0" xr:uid="{00000000-0006-0000-0A00-00000A000000}">
      <text>
        <r>
          <rPr>
            <sz val="9"/>
            <color indexed="81"/>
            <rFont val="Tahoma"/>
            <family val="2"/>
          </rPr>
          <t>Different to Market Cap based on Bloomberg Data. Number of shares outstanding based on Bloomberg data (no influence on further calculation)</t>
        </r>
      </text>
    </comment>
    <comment ref="G62" authorId="0" shapeId="0" xr:uid="{00000000-0006-0000-0A00-00000B000000}">
      <text>
        <r>
          <rPr>
            <sz val="9"/>
            <color indexed="81"/>
            <rFont val="Tahoma"/>
            <family val="2"/>
          </rPr>
          <t>Based on 1,636.99m outstanding shares</t>
        </r>
      </text>
    </comment>
    <comment ref="H62" authorId="0" shapeId="0" xr:uid="{00000000-0006-0000-0A00-00000C000000}">
      <text>
        <r>
          <rPr>
            <sz val="9"/>
            <color indexed="81"/>
            <rFont val="Tahoma"/>
            <family val="2"/>
          </rPr>
          <t>Based on 1,302.27m outstanding shares</t>
        </r>
      </text>
    </comment>
    <comment ref="I62" authorId="0" shapeId="0" xr:uid="{00000000-0006-0000-0A00-00000D000000}">
      <text>
        <r>
          <rPr>
            <sz val="9"/>
            <color indexed="81"/>
            <rFont val="Tahoma"/>
            <family val="2"/>
          </rPr>
          <t>Based on 1,636.99m outstanding shares</t>
        </r>
      </text>
    </comment>
    <comment ref="J62" authorId="0" shapeId="0" xr:uid="{00000000-0006-0000-0A00-00000E000000}">
      <text>
        <r>
          <rPr>
            <sz val="9"/>
            <color indexed="81"/>
            <rFont val="Tahoma"/>
            <family val="2"/>
          </rPr>
          <t>Based on 1,302.27m outstanding shares</t>
        </r>
      </text>
    </comment>
    <comment ref="A73" authorId="0" shapeId="0" xr:uid="{00000000-0006-0000-0A00-00000F000000}">
      <text>
        <r>
          <rPr>
            <sz val="9"/>
            <color indexed="81"/>
            <rFont val="Tahoma"/>
            <family val="2"/>
          </rPr>
          <t>Excluding Geox for the Price Multiples Based on Cash Flows since Geox produces large outliers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Benedict Rasche</author>
  </authors>
  <commentList>
    <comment ref="M17" authorId="0" shapeId="0" xr:uid="{00000000-0006-0000-0B00-000001000000}">
      <text>
        <r>
          <rPr>
            <sz val="9"/>
            <color indexed="81"/>
            <rFont val="Tahoma"/>
            <family val="2"/>
          </rPr>
          <t>Do not take into account any changes of Intangible Assets (are not predictable). Therefore, % Change in PPE= Change in PPE &amp; Intangible Assets</t>
        </r>
      </text>
    </comment>
    <comment ref="A23" authorId="0" shapeId="0" xr:uid="{00000000-0006-0000-0B00-000002000000}">
      <text>
        <r>
          <rPr>
            <sz val="9"/>
            <color indexed="81"/>
            <rFont val="Tahoma"/>
            <family val="2"/>
          </rPr>
          <t>No amortization in forecast period due to absence of amortization cost in previous three years</t>
        </r>
      </text>
    </comment>
    <comment ref="M25" authorId="0" shapeId="0" xr:uid="{00000000-0006-0000-0B00-000003000000}">
      <text>
        <r>
          <rPr>
            <sz val="9"/>
            <color indexed="81"/>
            <rFont val="Tahoma"/>
            <family val="2"/>
          </rPr>
          <t xml:space="preserve">Difference to flat EBIT Growth in the following periods due to calculation based on actual EBIT value of 2017
</t>
        </r>
      </text>
    </comment>
    <comment ref="M55" authorId="0" shapeId="0" xr:uid="{00000000-0006-0000-0B00-000004000000}">
      <text>
        <r>
          <rPr>
            <sz val="9"/>
            <color indexed="81"/>
            <rFont val="Tahoma"/>
            <family val="2"/>
          </rPr>
          <t>Increase is smaller than between FY 2009 to FY 2010</t>
        </r>
      </text>
    </comment>
    <comment ref="A83" authorId="0" shapeId="0" xr:uid="{00000000-0006-0000-0B00-000005000000}">
      <text>
        <r>
          <rPr>
            <sz val="9"/>
            <color indexed="81"/>
            <rFont val="Tahoma"/>
            <family val="2"/>
          </rPr>
          <t>No amortization in forecast period due to absence of amortization cost in previous three years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Bihrer, Nadine</author>
  </authors>
  <commentList>
    <comment ref="C18" authorId="0" shapeId="0" xr:uid="{00000000-0006-0000-0C00-000001000000}">
      <text>
        <r>
          <rPr>
            <sz val="9"/>
            <color indexed="81"/>
            <rFont val="Tahoma"/>
            <family val="2"/>
          </rPr>
          <t>Data not available; assumed to be equal to 2010.</t>
        </r>
      </text>
    </comment>
  </commentList>
</comments>
</file>

<file path=xl/sharedStrings.xml><?xml version="1.0" encoding="utf-8"?>
<sst xmlns="http://schemas.openxmlformats.org/spreadsheetml/2006/main" count="1430" uniqueCount="654">
  <si>
    <t>Gross Profit</t>
  </si>
  <si>
    <t>Security</t>
  </si>
  <si>
    <t>Start Date</t>
  </si>
  <si>
    <t>End Date</t>
  </si>
  <si>
    <t>Period</t>
  </si>
  <si>
    <t>Date</t>
  </si>
  <si>
    <t>PX_LAST</t>
  </si>
  <si>
    <t>PX_VOLUME</t>
  </si>
  <si>
    <t>USD</t>
  </si>
  <si>
    <t>Currency</t>
  </si>
  <si>
    <t xml:space="preserve">NKE US Equity                                                   </t>
  </si>
  <si>
    <t>Source: Bloomberg</t>
  </si>
  <si>
    <t>Discontinued Operations Per Share - Basic</t>
  </si>
  <si>
    <t>Weighted Avg. Shares - Diluted</t>
  </si>
  <si>
    <t>Diluted EPS</t>
  </si>
  <si>
    <t>Diluted EPS Before XO Items</t>
  </si>
  <si>
    <t>Weighted Avg. Shares - Basic</t>
  </si>
  <si>
    <t>Basic EPS</t>
  </si>
  <si>
    <t>Basic EPS Before XO Items</t>
  </si>
  <si>
    <t>Dividends Per Share</t>
  </si>
  <si>
    <t>Income Tax Expense (Benefit)</t>
  </si>
  <si>
    <t>Interest Expense - Net</t>
  </si>
  <si>
    <t>Depreciation Expense</t>
  </si>
  <si>
    <t>Amortization Expense</t>
  </si>
  <si>
    <t>Revenues</t>
  </si>
  <si>
    <t>Net Income</t>
  </si>
  <si>
    <t>Discontinued Operations Per Share - Diluted</t>
  </si>
  <si>
    <t>Discontinued Operations Loss/(Benefit) - Net</t>
  </si>
  <si>
    <t>Income Before Income Taxes</t>
  </si>
  <si>
    <t>Interest Income - Net</t>
  </si>
  <si>
    <t>Cost of Goods Sold</t>
  </si>
  <si>
    <t>05/31/2017</t>
  </si>
  <si>
    <t>05/31/2016</t>
  </si>
  <si>
    <t>05/31/2015</t>
  </si>
  <si>
    <t>05/31/2014</t>
  </si>
  <si>
    <t>05/31/2013</t>
  </si>
  <si>
    <t>05/31/2012</t>
  </si>
  <si>
    <t>05/31/2011</t>
  </si>
  <si>
    <t>05/31/2010</t>
  </si>
  <si>
    <t>05/31/2009</t>
  </si>
  <si>
    <t>05/31/2008</t>
  </si>
  <si>
    <t>12 Months Ending</t>
  </si>
  <si>
    <t>FY 2017</t>
  </si>
  <si>
    <t>FY 2016</t>
  </si>
  <si>
    <t>FY 2015</t>
  </si>
  <si>
    <t>FY 2014</t>
  </si>
  <si>
    <t>FY 2013</t>
  </si>
  <si>
    <t>FY 2012</t>
  </si>
  <si>
    <t>FY 2011</t>
  </si>
  <si>
    <t>FY 2010</t>
  </si>
  <si>
    <t>FY 2009</t>
  </si>
  <si>
    <t>FY 2008</t>
  </si>
  <si>
    <t>In Millions of USD except Per Share</t>
  </si>
  <si>
    <t>Short-Term Investments</t>
  </si>
  <si>
    <t>Total Shareholders Equity</t>
  </si>
  <si>
    <t>Shares Outstanding</t>
  </si>
  <si>
    <t>Retained Earnings (Accumulated Deficit)</t>
  </si>
  <si>
    <t>Accumulated Other Comprehensive Income</t>
  </si>
  <si>
    <t>Deferred Income Taxes (Liabilities)</t>
  </si>
  <si>
    <t>Current Portion of Long-Term Debt</t>
  </si>
  <si>
    <t>Goodwill</t>
  </si>
  <si>
    <t>Property Plant &amp; Equipment - Net</t>
  </si>
  <si>
    <t>Inventories</t>
  </si>
  <si>
    <t>Total Liabilities and Shareholders Equity</t>
  </si>
  <si>
    <t>Long Term Debt</t>
  </si>
  <si>
    <t>Total Current Liabilities</t>
  </si>
  <si>
    <t>Income Taxes Accrued/Payable</t>
  </si>
  <si>
    <t>Notes Payable (Short-Term)</t>
  </si>
  <si>
    <t>Total Assets</t>
  </si>
  <si>
    <t>Deferred Income Tax Asset (Long-Term)</t>
  </si>
  <si>
    <t>Total Current Assets</t>
  </si>
  <si>
    <t>Deferred Income Tax Asset (Short-Term)</t>
  </si>
  <si>
    <t>Cash and Equivalents</t>
  </si>
  <si>
    <t>Cash Paid For Interest</t>
  </si>
  <si>
    <t>Cash Paid For Taxes</t>
  </si>
  <si>
    <t>Tax Benefit From Stock Options - Financing</t>
  </si>
  <si>
    <t>Cash and Cash Equivalents (Beg of Period)</t>
  </si>
  <si>
    <t>Cash and Cash Equivalents (End of Period)</t>
  </si>
  <si>
    <t>Net Change In Cash</t>
  </si>
  <si>
    <t>Exercise of Stock Options</t>
  </si>
  <si>
    <t>Repurchase of Common Stock</t>
  </si>
  <si>
    <t>Increase (Decrease) Long-Term Borrowings - Net</t>
  </si>
  <si>
    <t>Decrease In Long-Term Borrowings</t>
  </si>
  <si>
    <t>Increase In Long-Term Borrowings</t>
  </si>
  <si>
    <t>Increase In Short-Term Borrowings</t>
  </si>
  <si>
    <t>Dividends Paid</t>
  </si>
  <si>
    <t>Purchase of Assets</t>
  </si>
  <si>
    <t>Divestiture of Business</t>
  </si>
  <si>
    <t>Other Investing Activities</t>
  </si>
  <si>
    <t>Acquisition of Business</t>
  </si>
  <si>
    <t>Purchases of Investments</t>
  </si>
  <si>
    <t>Purchases of Short-Term Investments</t>
  </si>
  <si>
    <t>Proceeds From Short-Term Investments</t>
  </si>
  <si>
    <t>Capital Expenditures</t>
  </si>
  <si>
    <t>Disposal of Fixed Assets</t>
  </si>
  <si>
    <t>Impairment Of Goodwill-CF</t>
  </si>
  <si>
    <t>Foreign Exchange Gains/Losses</t>
  </si>
  <si>
    <t>Total Cash Flows From Operations</t>
  </si>
  <si>
    <t>Other Amortization of Non-Cash Expenses/Gains</t>
  </si>
  <si>
    <t>Change in Accounts Payable &amp; Accrued Expenses</t>
  </si>
  <si>
    <t>Change in Prepaid Expenses</t>
  </si>
  <si>
    <t>Change in Accounts Receivable</t>
  </si>
  <si>
    <t>Change in Inventories</t>
  </si>
  <si>
    <t>Other Non-Cash Items</t>
  </si>
  <si>
    <t>Stock Based Compensation</t>
  </si>
  <si>
    <t>Deferred Income Taxes - CF</t>
  </si>
  <si>
    <t>Depreciation</t>
  </si>
  <si>
    <t xml:space="preserve">SPX Index                                                       </t>
  </si>
  <si>
    <t>NIKE Inc (NKE US) - Income Statement</t>
  </si>
  <si>
    <t>Total Operating Expenses</t>
  </si>
  <si>
    <t>Net Income From Continuing Operations</t>
  </si>
  <si>
    <t>Income Before Interest and Taxes</t>
  </si>
  <si>
    <t>Other Non-Operating Income / Expenses - Net</t>
  </si>
  <si>
    <t>Operating Income / Loss</t>
  </si>
  <si>
    <t>Earnings per Share</t>
  </si>
  <si>
    <t>Reference Items</t>
  </si>
  <si>
    <t>(% of net sales)</t>
  </si>
  <si>
    <t>(% of income before taxes)</t>
  </si>
  <si>
    <t>NIKE Inc (NKE US) - Balance Sheet</t>
  </si>
  <si>
    <t>Assets</t>
  </si>
  <si>
    <t>Accounts Receivable, net</t>
  </si>
  <si>
    <t>Prepaid Expenses and Other current assets</t>
  </si>
  <si>
    <t>Total Noncurrent Assets</t>
  </si>
  <si>
    <t>Total Noncurrent Liabilities</t>
  </si>
  <si>
    <t>Accounts Payable</t>
  </si>
  <si>
    <t>Accrued Expenses/liabilities</t>
  </si>
  <si>
    <t>Preferred Stock/Common Stock: Class A convertible</t>
  </si>
  <si>
    <t>Common Stock/Common Stock: Class B</t>
  </si>
  <si>
    <t>Additional Paid In Capital/Capital in Excess of stated value</t>
  </si>
  <si>
    <t>Liabilities From Discontinued Operations (Short-Term)</t>
  </si>
  <si>
    <t>Identifiable Intangible Assets</t>
  </si>
  <si>
    <t>Sources: Bloomberg, Yahoo Finance, Nike annual reports 2008-2017</t>
  </si>
  <si>
    <t>Operating Profit</t>
  </si>
  <si>
    <t>CAPEX</t>
  </si>
  <si>
    <t>Change in Net Working Capital</t>
  </si>
  <si>
    <t>Source: own calculation</t>
  </si>
  <si>
    <t>In Millions of USD</t>
  </si>
  <si>
    <t>North America</t>
  </si>
  <si>
    <t>Western Europe</t>
  </si>
  <si>
    <t>Central &amp; Eastern Europe</t>
  </si>
  <si>
    <t>Greater China</t>
  </si>
  <si>
    <t>Japan</t>
  </si>
  <si>
    <t>Emerging Markets</t>
  </si>
  <si>
    <t>Others (not attributable to countries)</t>
  </si>
  <si>
    <t>-</t>
  </si>
  <si>
    <t>NIKE Inc (NKE US) - Free Cash Flow Calculation</t>
  </si>
  <si>
    <t xml:space="preserve">Liabilities   </t>
  </si>
  <si>
    <t>Free Cash Flow (short-term debt adjusted)</t>
  </si>
  <si>
    <t>Change in Net Working Capital (short-term debt adjusted)</t>
  </si>
  <si>
    <t>NIKE Inc (NKE US) - Cash-Flow Statement</t>
  </si>
  <si>
    <t>Cash From Operating Activities</t>
  </si>
  <si>
    <t>Cash from Financing Activities</t>
  </si>
  <si>
    <t>Total Cash Flows From Financing Activities</t>
  </si>
  <si>
    <t>Cash From Investing Activities</t>
  </si>
  <si>
    <t xml:space="preserve">Total Cash Flows From Investing </t>
  </si>
  <si>
    <t>Non-cash Additions to Fixed Assets</t>
  </si>
  <si>
    <t>Dividends Declared and Not Paid</t>
  </si>
  <si>
    <t>Decrease In Short-Term Borrowings</t>
  </si>
  <si>
    <t>Effect of Exchange Rates On Cash and Equivalents</t>
  </si>
  <si>
    <t>NIKE Inc (NKE US) - Growth Scenarios</t>
  </si>
  <si>
    <t>Scenario 1: Base Case</t>
  </si>
  <si>
    <t>Sales</t>
  </si>
  <si>
    <t>EBITDA</t>
  </si>
  <si>
    <t>Depreciation &amp; Amortization</t>
  </si>
  <si>
    <t>EBIT</t>
  </si>
  <si>
    <t>FY 2018E</t>
  </si>
  <si>
    <t>FY 2019E</t>
  </si>
  <si>
    <t>FY 2020E</t>
  </si>
  <si>
    <t>FY 2021E</t>
  </si>
  <si>
    <t>FY 2022E</t>
  </si>
  <si>
    <t>Effective Income Tax Rate</t>
  </si>
  <si>
    <t xml:space="preserve"> EBITDA margin</t>
  </si>
  <si>
    <t xml:space="preserve"> EBIT Growth</t>
  </si>
  <si>
    <t xml:space="preserve"> Taxes</t>
  </si>
  <si>
    <t>Historic Periods</t>
  </si>
  <si>
    <t>Projected Periods</t>
  </si>
  <si>
    <t>Change in PPE &amp; Intangible Assets</t>
  </si>
  <si>
    <t>PPE &amp; Intangible Assets</t>
  </si>
  <si>
    <t>Average Depreciation &amp; Amortization Rate</t>
  </si>
  <si>
    <t>Net Working Capital</t>
  </si>
  <si>
    <t>% Change in Net Working Capital</t>
  </si>
  <si>
    <t>PPE</t>
  </si>
  <si>
    <t>Change in PPE</t>
  </si>
  <si>
    <t>Change in Intangible Assets</t>
  </si>
  <si>
    <t>Average Depreciation</t>
  </si>
  <si>
    <t>% Change in PPE</t>
  </si>
  <si>
    <t xml:space="preserve"> Depreciation &amp; Amortization Based on 
 Change of PPE and Intangible Assets</t>
  </si>
  <si>
    <t xml:space="preserve"> Growth (y-o-y)</t>
  </si>
  <si>
    <t xml:space="preserve"> Average Growth of EBITDA margin</t>
  </si>
  <si>
    <t>Discounting Period</t>
  </si>
  <si>
    <t>Discounting Factor</t>
  </si>
  <si>
    <t>Present Value of Free Cash Flow</t>
  </si>
  <si>
    <t>Terminal Value</t>
  </si>
  <si>
    <t>Enterprise Value</t>
  </si>
  <si>
    <t>Free cash flow terminal year</t>
  </si>
  <si>
    <t>Discount Factor</t>
  </si>
  <si>
    <t>Source: own calculations</t>
  </si>
  <si>
    <t>Marginal tax rate</t>
  </si>
  <si>
    <r>
      <t>Cost of Equity (r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</t>
    </r>
  </si>
  <si>
    <r>
      <t>Cost of Debt (r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</si>
  <si>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E / V</t>
  </si>
  <si>
    <t>D / V</t>
  </si>
  <si>
    <t>Total Market Value of Debt and Equity: V</t>
  </si>
  <si>
    <t xml:space="preserve">Market Value of Equity: E </t>
  </si>
  <si>
    <t>Market Value of Debt: D</t>
  </si>
  <si>
    <t>NIKE Inc (NKE US) - WACC Calculation</t>
  </si>
  <si>
    <t>NIKE Inc (NKE US) - Beta Calculation</t>
  </si>
  <si>
    <t>S&amp;P500</t>
  </si>
  <si>
    <r>
      <rPr>
        <b/>
        <i/>
        <sz val="10"/>
        <color indexed="9"/>
        <rFont val="Arial"/>
        <family val="2"/>
      </rPr>
      <t>r</t>
    </r>
    <r>
      <rPr>
        <b/>
        <i/>
        <vertAlign val="subscript"/>
        <sz val="10"/>
        <color indexed="9"/>
        <rFont val="Arial"/>
        <family val="2"/>
      </rPr>
      <t>m</t>
    </r>
  </si>
  <si>
    <t>Nike Equity</t>
  </si>
  <si>
    <r>
      <t>r</t>
    </r>
    <r>
      <rPr>
        <b/>
        <i/>
        <vertAlign val="subscript"/>
        <sz val="10"/>
        <color indexed="9"/>
        <rFont val="Arial"/>
        <family val="2"/>
      </rPr>
      <t>Nike Inc</t>
    </r>
  </si>
  <si>
    <r>
      <t>β</t>
    </r>
    <r>
      <rPr>
        <vertAlign val="subscript"/>
        <sz val="11"/>
        <color theme="1"/>
        <rFont val="Calibri"/>
        <family val="2"/>
        <scheme val="minor"/>
      </rPr>
      <t>5years</t>
    </r>
    <r>
      <rPr>
        <sz val="11"/>
        <color theme="1"/>
        <rFont val="Calibri"/>
        <family val="2"/>
        <scheme val="minor"/>
      </rPr>
      <t xml:space="preserve"> =</t>
    </r>
  </si>
  <si>
    <t>Calculatory test: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</si>
  <si>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</si>
  <si>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</si>
  <si>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</si>
  <si>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</si>
  <si>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</si>
  <si>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</si>
  <si>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</si>
  <si>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</si>
  <si>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</si>
  <si>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</si>
  <si>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</si>
  <si>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</si>
  <si>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</si>
  <si>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</si>
  <si>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</si>
  <si>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</si>
  <si>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</si>
  <si>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</si>
  <si>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</si>
  <si>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</si>
  <si>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</si>
  <si>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</si>
  <si>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</si>
  <si>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</si>
  <si>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</si>
  <si>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r>
      <t>β</t>
    </r>
    <r>
      <rPr>
        <vertAlign val="subscript"/>
        <sz val="11"/>
        <color theme="1"/>
        <rFont val="Calibri"/>
        <family val="2"/>
        <scheme val="minor"/>
      </rPr>
      <t>10years</t>
    </r>
    <r>
      <rPr>
        <sz val="11"/>
        <color theme="1"/>
        <rFont val="Calibri"/>
        <family val="2"/>
        <scheme val="minor"/>
      </rPr>
      <t xml:space="preserve"> =</t>
    </r>
  </si>
  <si>
    <t>NIKE Inc (NKE US) - Cost of Equity</t>
  </si>
  <si>
    <t>S&amp;P500 prices</t>
  </si>
  <si>
    <r>
      <t>r</t>
    </r>
    <r>
      <rPr>
        <b/>
        <vertAlign val="subscript"/>
        <sz val="10"/>
        <color indexed="9"/>
        <rFont val="Arial"/>
        <family val="2"/>
      </rPr>
      <t>f</t>
    </r>
  </si>
  <si>
    <r>
      <t>(r</t>
    </r>
    <r>
      <rPr>
        <b/>
        <i/>
        <vertAlign val="subscript"/>
        <sz val="10"/>
        <color indexed="9"/>
        <rFont val="Arial"/>
        <family val="2"/>
      </rPr>
      <t>m</t>
    </r>
    <r>
      <rPr>
        <b/>
        <i/>
        <sz val="10"/>
        <color indexed="9"/>
        <rFont val="Arial"/>
        <family val="2"/>
      </rPr>
      <t xml:space="preserve"> - r</t>
    </r>
    <r>
      <rPr>
        <b/>
        <i/>
        <vertAlign val="subscript"/>
        <sz val="10"/>
        <color indexed="9"/>
        <rFont val="Arial"/>
        <family val="2"/>
      </rPr>
      <t>f</t>
    </r>
    <r>
      <rPr>
        <b/>
        <i/>
        <sz val="10"/>
        <color indexed="9"/>
        <rFont val="Arial"/>
        <family val="2"/>
      </rPr>
      <t>)</t>
    </r>
  </si>
  <si>
    <t>Cost of Equity</t>
  </si>
  <si>
    <t>Sources: Bloomberg, Kenneth R. French - Data Library</t>
  </si>
  <si>
    <t>Weighted average common shares outstanding</t>
  </si>
  <si>
    <t>as of 04.10.2017</t>
  </si>
  <si>
    <t>weighted average</t>
  </si>
  <si>
    <t>TOTAL</t>
  </si>
  <si>
    <t>August 20, 2001 through November 20, 2020</t>
  </si>
  <si>
    <t>Book/Market Value Ratio</t>
  </si>
  <si>
    <t>Interest Rate</t>
  </si>
  <si>
    <t>Original Principal</t>
  </si>
  <si>
    <t>Semi-Anually</t>
  </si>
  <si>
    <t>November 1, 2046</t>
  </si>
  <si>
    <t>November 1, 2045</t>
  </si>
  <si>
    <t>May 1, 2043</t>
  </si>
  <si>
    <t>November 1, 2026</t>
  </si>
  <si>
    <t>May 1, 2023</t>
  </si>
  <si>
    <t>Number of Bonds issued</t>
  </si>
  <si>
    <t>Price October 4, 2017</t>
  </si>
  <si>
    <t>Course October 4, 2017</t>
  </si>
  <si>
    <t>Par Amount</t>
  </si>
  <si>
    <t>first Cupon Date</t>
  </si>
  <si>
    <t>Interest Payment</t>
  </si>
  <si>
    <t>Maturity</t>
  </si>
  <si>
    <t>Test: YTM lt. Bloomberg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</si>
  <si>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=</t>
    </r>
  </si>
  <si>
    <t>Periods</t>
  </si>
  <si>
    <t>Cash flows</t>
  </si>
  <si>
    <t>Discount factor</t>
  </si>
  <si>
    <t>PV of CF</t>
  </si>
  <si>
    <t>Face value</t>
  </si>
  <si>
    <t>YTM</t>
  </si>
  <si>
    <t>Price</t>
  </si>
  <si>
    <t>Value of bond</t>
  </si>
  <si>
    <t>Time horizon: last 10 years</t>
  </si>
  <si>
    <r>
      <t>Monthly MRP</t>
    </r>
    <r>
      <rPr>
        <vertAlign val="subscript"/>
        <sz val="11"/>
        <color theme="1"/>
        <rFont val="Calibri"/>
        <family val="2"/>
        <scheme val="minor"/>
      </rPr>
      <t>5years</t>
    </r>
  </si>
  <si>
    <r>
      <t>Monthly MRP</t>
    </r>
    <r>
      <rPr>
        <vertAlign val="subscript"/>
        <sz val="11"/>
        <color theme="1"/>
        <rFont val="Calibri"/>
        <family val="2"/>
        <scheme val="minor"/>
      </rPr>
      <t>10years</t>
    </r>
  </si>
  <si>
    <r>
      <t>Yearly MRP</t>
    </r>
    <r>
      <rPr>
        <vertAlign val="subscript"/>
        <sz val="11"/>
        <color theme="1"/>
        <rFont val="Calibri"/>
        <family val="2"/>
        <scheme val="minor"/>
      </rPr>
      <t>5years</t>
    </r>
  </si>
  <si>
    <r>
      <t>Yearly MRP</t>
    </r>
    <r>
      <rPr>
        <vertAlign val="subscript"/>
        <sz val="11"/>
        <color theme="1"/>
        <rFont val="Calibri"/>
        <family val="2"/>
        <scheme val="minor"/>
      </rPr>
      <t>10years</t>
    </r>
  </si>
  <si>
    <t>Market Risk Premia</t>
  </si>
  <si>
    <r>
      <t>Average r</t>
    </r>
    <r>
      <rPr>
        <vertAlign val="subscript"/>
        <sz val="11"/>
        <color theme="1"/>
        <rFont val="Calibri"/>
        <family val="2"/>
        <scheme val="minor"/>
      </rPr>
      <t>E 5years</t>
    </r>
  </si>
  <si>
    <r>
      <t>Average r</t>
    </r>
    <r>
      <rPr>
        <vertAlign val="subscript"/>
        <sz val="11"/>
        <color theme="1"/>
        <rFont val="Calibri"/>
        <family val="2"/>
        <scheme val="minor"/>
      </rPr>
      <t>E 10years</t>
    </r>
  </si>
  <si>
    <t>Risk-free rate</t>
  </si>
  <si>
    <r>
      <t>Monthly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5years</t>
    </r>
  </si>
  <si>
    <r>
      <t>Yearly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5years</t>
    </r>
  </si>
  <si>
    <r>
      <t>Monthly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10years</t>
    </r>
  </si>
  <si>
    <r>
      <t>Yearly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10years</t>
    </r>
  </si>
  <si>
    <t xml:space="preserve">Cost of Equity </t>
  </si>
  <si>
    <t>Scenario Selection:</t>
  </si>
  <si>
    <t>Case selection for cash flow projection:</t>
  </si>
  <si>
    <t>Case selection for WACC:</t>
  </si>
  <si>
    <t>Discounted Cash Flows</t>
  </si>
  <si>
    <t>Present Value of Nike Inc.</t>
  </si>
  <si>
    <t>&gt;&gt; WACC:</t>
  </si>
  <si>
    <t>NIKE Inc (NKE US) - Adjusted Present Value</t>
  </si>
  <si>
    <t>NIKE Inc (NKE US) - Discounted Cash Flows</t>
  </si>
  <si>
    <t>Perpetuity growth rate</t>
  </si>
  <si>
    <t>Present value of tax shield</t>
  </si>
  <si>
    <t>After-tax WACC</t>
  </si>
  <si>
    <t>Inflation rate (as of 09/2017)</t>
  </si>
  <si>
    <t>GDP growth rate (as of Q2/2017)</t>
  </si>
  <si>
    <t>Terminal value of tax shield</t>
  </si>
  <si>
    <t>TOT_RETURN_INDEX_NET_DVDS</t>
  </si>
  <si>
    <t>TOT_RETURN_INDEX_GROSS_DVDS</t>
  </si>
  <si>
    <r>
      <t>Tax Rate T</t>
    </r>
    <r>
      <rPr>
        <b/>
        <vertAlign val="subscript"/>
        <sz val="11"/>
        <color indexed="8"/>
        <rFont val="Calibri"/>
        <family val="2"/>
        <scheme val="minor"/>
      </rPr>
      <t>c</t>
    </r>
  </si>
  <si>
    <t xml:space="preserve">Marginal tax rate based on revenue per region </t>
  </si>
  <si>
    <t>Marginal Tax Rate per Region</t>
  </si>
  <si>
    <t>n/a</t>
  </si>
  <si>
    <t>Scenario 2: Bull Case</t>
  </si>
  <si>
    <t>Scenario 3: Bear Case</t>
  </si>
  <si>
    <t>Free Cash Flow</t>
  </si>
  <si>
    <t>After-tax-WACC Base Case</t>
  </si>
  <si>
    <t>After-tax-WACC Bull Case</t>
  </si>
  <si>
    <t>After-tax-WACC Bear Case</t>
  </si>
  <si>
    <r>
      <t>r</t>
    </r>
    <r>
      <rPr>
        <vertAlign val="subscript"/>
        <sz val="11"/>
        <color theme="9"/>
        <rFont val="Calibri"/>
        <family val="2"/>
        <scheme val="minor"/>
      </rPr>
      <t>A</t>
    </r>
    <r>
      <rPr>
        <sz val="11"/>
        <color theme="9"/>
        <rFont val="Calibri"/>
        <family val="2"/>
        <scheme val="minor"/>
      </rPr>
      <t xml:space="preserve"> </t>
    </r>
  </si>
  <si>
    <t>Projected Cash Flows</t>
  </si>
  <si>
    <t>PV of Terminal Value</t>
  </si>
  <si>
    <t>&gt;&gt; applied adjustment:</t>
  </si>
  <si>
    <t>Sources: annual reports, KPMG, MSCI</t>
  </si>
  <si>
    <t>NIKE Inc (NKE US) - Marginal Tax Rate Calculation</t>
  </si>
  <si>
    <t>Operating Segments: Breakdown of Revenues</t>
  </si>
  <si>
    <t>Total Revenues per Region</t>
  </si>
  <si>
    <t>Adjusted Present Value of Nike Inc.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</si>
  <si>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Base Case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</si>
  <si>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Bull Case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</si>
  <si>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Bear Case</t>
    </r>
  </si>
  <si>
    <t>Terminal year debt balance</t>
  </si>
  <si>
    <r>
      <rPr>
        <b/>
        <sz val="10"/>
        <color theme="0"/>
        <rFont val="Arial"/>
        <family val="2"/>
      </rPr>
      <t>r</t>
    </r>
    <r>
      <rPr>
        <vertAlign val="subscript"/>
        <sz val="11"/>
        <color theme="0"/>
        <rFont val="Calibri (Body)"/>
      </rPr>
      <t>D</t>
    </r>
  </si>
  <si>
    <t>Market Value of debt October 4, 2017</t>
  </si>
  <si>
    <t>Book Value of debt May 31, 2017</t>
  </si>
  <si>
    <t>Market Value of debt outstanding October 4, 2017</t>
  </si>
  <si>
    <t>Book Value of debt outstanding May 31, 2017</t>
  </si>
  <si>
    <t>Quarterly</t>
  </si>
  <si>
    <t>Capital Structure</t>
  </si>
  <si>
    <t>Short-term Debt</t>
  </si>
  <si>
    <t>Long-term Debt</t>
  </si>
  <si>
    <t>weight of Debt</t>
  </si>
  <si>
    <t>historical Market Cap</t>
  </si>
  <si>
    <t>preferred Equity</t>
  </si>
  <si>
    <t>weight of Equity</t>
  </si>
  <si>
    <t>Total Capital</t>
  </si>
  <si>
    <t>% Change</t>
  </si>
  <si>
    <t>Enterprise Value (EV)</t>
  </si>
  <si>
    <r>
      <rPr>
        <b/>
        <sz val="10"/>
        <color theme="1"/>
        <rFont val="Arial"/>
        <family val="2"/>
      </rPr>
      <t xml:space="preserve">Remark: </t>
    </r>
    <r>
      <rPr>
        <sz val="10"/>
        <color theme="1"/>
        <rFont val="Arial"/>
        <family val="2"/>
      </rPr>
      <t xml:space="preserve">If both scenarios are adapted - for instance, to the Bull Case - the derived EV will strongly deviate from the Base Case calculation due to the fact that an optimistic cash flow projection </t>
    </r>
    <r>
      <rPr>
        <i/>
        <sz val="10"/>
        <color theme="1"/>
        <rFont val="Arial"/>
        <family val="2"/>
      </rPr>
      <t>and</t>
    </r>
    <r>
      <rPr>
        <sz val="10"/>
        <color theme="1"/>
        <rFont val="Arial"/>
        <family val="2"/>
      </rPr>
      <t xml:space="preserve"> an optimistic WACC will raise the EV to a much higher power. These extreme cases are assumed to be very unrealistic. Therefore, it is recommended to only change one of the parameters at a time in order to realistically calculate the EV.</t>
    </r>
  </si>
  <si>
    <t>Short-term debt</t>
  </si>
  <si>
    <t>Growth Scenarios</t>
  </si>
  <si>
    <t>Supporting Calculations:</t>
  </si>
  <si>
    <t>Calculations:</t>
  </si>
  <si>
    <t>Appendices:</t>
  </si>
  <si>
    <t>Summary of Results</t>
  </si>
  <si>
    <t>Business Opportunity</t>
  </si>
  <si>
    <t>NIKE Inc (NKE US) - Summary of Results</t>
  </si>
  <si>
    <t>Table of Contents</t>
  </si>
  <si>
    <t>NIKE Inc (NKE US) - Table of Contents</t>
  </si>
  <si>
    <t>Key Results:</t>
  </si>
  <si>
    <t>Free Cash Flows</t>
  </si>
  <si>
    <t>Beta Calculation</t>
  </si>
  <si>
    <t>WACC</t>
  </si>
  <si>
    <t>DCF</t>
  </si>
  <si>
    <t>APV</t>
  </si>
  <si>
    <t>Cost of Debt</t>
  </si>
  <si>
    <t>Cost of Debt per Bond</t>
  </si>
  <si>
    <t>Debt Ratio terminal year</t>
  </si>
  <si>
    <t>Total Capital terminal year</t>
  </si>
  <si>
    <t>NIKE Inc (NKE US) - Business Opportunity: Optimization of Capital Structure</t>
  </si>
  <si>
    <t>Present Value of Tax Shield</t>
  </si>
  <si>
    <r>
      <t>Present value of tax shield (PV</t>
    </r>
    <r>
      <rPr>
        <b/>
        <vertAlign val="subscript"/>
        <sz val="11"/>
        <color theme="1"/>
        <rFont val="Calibri"/>
        <family val="2"/>
        <scheme val="minor"/>
      </rPr>
      <t>TS</t>
    </r>
    <r>
      <rPr>
        <b/>
        <sz val="11"/>
        <color theme="1"/>
        <rFont val="Calibri"/>
        <family val="2"/>
        <scheme val="minor"/>
      </rPr>
      <t>)</t>
    </r>
  </si>
  <si>
    <t>Costs of Financial Distress</t>
  </si>
  <si>
    <r>
      <t>Costs of Financial Distress (C</t>
    </r>
    <r>
      <rPr>
        <b/>
        <vertAlign val="subscript"/>
        <sz val="11"/>
        <color theme="1"/>
        <rFont val="Calibri"/>
        <family val="2"/>
        <scheme val="minor"/>
      </rPr>
      <t>FD</t>
    </r>
    <r>
      <rPr>
        <b/>
        <sz val="11"/>
        <color theme="1"/>
        <rFont val="Calibri"/>
        <family val="2"/>
        <scheme val="minor"/>
      </rPr>
      <t>)</t>
    </r>
  </si>
  <si>
    <r>
      <t>PV</t>
    </r>
    <r>
      <rPr>
        <b/>
        <vertAlign val="subscript"/>
        <sz val="11"/>
        <color theme="1"/>
        <rFont val="Calibri"/>
        <family val="2"/>
        <scheme val="minor"/>
      </rPr>
      <t>TS</t>
    </r>
    <r>
      <rPr>
        <b/>
        <sz val="11"/>
        <color theme="1"/>
        <rFont val="Calibri"/>
        <family val="2"/>
        <scheme val="minor"/>
      </rPr>
      <t xml:space="preserve"> - C</t>
    </r>
    <r>
      <rPr>
        <b/>
        <vertAlign val="subscript"/>
        <sz val="11"/>
        <color theme="1"/>
        <rFont val="Calibri"/>
        <family val="2"/>
        <scheme val="minor"/>
      </rPr>
      <t>FD</t>
    </r>
  </si>
  <si>
    <r>
      <t xml:space="preserve">3) </t>
    </r>
    <r>
      <rPr>
        <sz val="11"/>
        <color theme="1"/>
        <rFont val="Calibri"/>
        <family val="2"/>
        <scheme val="minor"/>
      </rPr>
      <t>10 years Treasury Bill as of 04.10.2017; see US Department of the Treasury as of 04.10.2017</t>
    </r>
  </si>
  <si>
    <r>
      <rPr>
        <vertAlign val="superscript"/>
        <sz val="11"/>
        <color theme="1"/>
        <rFont val="Calibri"/>
        <family val="2"/>
        <scheme val="minor"/>
      </rPr>
      <t xml:space="preserve">4) </t>
    </r>
    <r>
      <rPr>
        <sz val="11"/>
        <color theme="1"/>
        <rFont val="Calibri"/>
        <family val="2"/>
        <scheme val="minor"/>
      </rPr>
      <t xml:space="preserve">see </t>
    </r>
    <r>
      <rPr>
        <sz val="11"/>
        <color theme="1"/>
        <rFont val="Calibri"/>
        <family val="2"/>
        <scheme val="minor"/>
      </rPr>
      <t>Heitor Almeida, University of Illinois at Urbana-Champaign, and Thomas Philippon, New York University in: Journal of Applied Corporate Finance; Volume 20 Number 4</t>
    </r>
  </si>
  <si>
    <r>
      <rPr>
        <vertAlign val="superscript"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average between Aaa and Baa Bonds, since Nike is A1 rated by Moody's and AA- rated by S&amp;P; see FRED Economic Data, as of 04.10.2017</t>
    </r>
  </si>
  <si>
    <t>PV of tax shield</t>
  </si>
  <si>
    <t>PV of terminal value</t>
  </si>
  <si>
    <r>
      <t>β</t>
    </r>
    <r>
      <rPr>
        <vertAlign val="subscript"/>
        <sz val="11"/>
        <color theme="1"/>
        <rFont val="Calibri"/>
        <family val="2"/>
        <scheme val="minor"/>
      </rPr>
      <t>1year</t>
    </r>
    <r>
      <rPr>
        <sz val="11"/>
        <color theme="1"/>
        <rFont val="Calibri"/>
        <family val="2"/>
        <scheme val="minor"/>
      </rPr>
      <t xml:space="preserve"> =</t>
    </r>
  </si>
  <si>
    <t>Monthly data for 5 and 10 years</t>
  </si>
  <si>
    <t>Daily data for 1 year</t>
  </si>
  <si>
    <t>Time horizon: 1 year</t>
  </si>
  <si>
    <t>Time horizon: 5 years</t>
  </si>
  <si>
    <r>
      <t>Monthly MRP</t>
    </r>
    <r>
      <rPr>
        <vertAlign val="subscript"/>
        <sz val="11"/>
        <color theme="1"/>
        <rFont val="Calibri"/>
        <family val="2"/>
        <scheme val="minor"/>
      </rPr>
      <t>1year</t>
    </r>
  </si>
  <si>
    <r>
      <t>Yearly MRP</t>
    </r>
    <r>
      <rPr>
        <vertAlign val="subscript"/>
        <sz val="11"/>
        <color theme="1"/>
        <rFont val="Calibri"/>
        <family val="2"/>
        <scheme val="minor"/>
      </rPr>
      <t>1year</t>
    </r>
  </si>
  <si>
    <r>
      <t>Monthly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1year</t>
    </r>
  </si>
  <si>
    <r>
      <t>Yearly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1year</t>
    </r>
  </si>
  <si>
    <r>
      <t>Average r</t>
    </r>
    <r>
      <rPr>
        <vertAlign val="subscript"/>
        <sz val="11"/>
        <color theme="1"/>
        <rFont val="Calibri"/>
        <family val="2"/>
        <scheme val="minor"/>
      </rPr>
      <t>E 1year</t>
    </r>
  </si>
  <si>
    <t>q</t>
  </si>
  <si>
    <t>ϕ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</si>
  <si>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/>
    </r>
  </si>
  <si>
    <t>Φ</t>
  </si>
  <si>
    <t>q = corporate bond spread over Treasuries 1)</t>
  </si>
  <si>
    <t>ϕ = total loss in % of pre-distress firm value 2)</t>
  </si>
  <si>
    <t>rF = risk free rate 3)</t>
  </si>
  <si>
    <t>Φ = NPV of FD in % of pre-distress firm value</t>
  </si>
  <si>
    <t>Trading Multiples</t>
  </si>
  <si>
    <t>Marginal Tax Rate</t>
  </si>
  <si>
    <t>Balance Sheet</t>
  </si>
  <si>
    <t>Income Statement</t>
  </si>
  <si>
    <t>Cash Flow Statement</t>
  </si>
  <si>
    <t>Share Price (in $)</t>
  </si>
  <si>
    <t>EBITDA 2022E</t>
  </si>
  <si>
    <t>NIKE Inc (NKE US) - Trading Multiples</t>
  </si>
  <si>
    <t>Comparable Sportswear Companies</t>
  </si>
  <si>
    <t>Price per Share</t>
  </si>
  <si>
    <t xml:space="preserve">Market </t>
  </si>
  <si>
    <t>Enterprise</t>
  </si>
  <si>
    <t>Enterprise Value/EBITDA</t>
  </si>
  <si>
    <t xml:space="preserve">EBITDA LTM </t>
  </si>
  <si>
    <t>Bookvalue 
of Equity</t>
  </si>
  <si>
    <t>Current Shares
Outstanding</t>
  </si>
  <si>
    <t>P/E Ratio</t>
  </si>
  <si>
    <t>Price/Book Ratio</t>
  </si>
  <si>
    <t>Capitalization</t>
  </si>
  <si>
    <t>Value</t>
  </si>
  <si>
    <t>FY 2018</t>
  </si>
  <si>
    <t>FY 2019</t>
  </si>
  <si>
    <t>Nike</t>
  </si>
  <si>
    <t>Adidas</t>
  </si>
  <si>
    <t>VF Corporation</t>
  </si>
  <si>
    <t>Lululemon</t>
  </si>
  <si>
    <t>Under Amour</t>
  </si>
  <si>
    <t>Puma</t>
  </si>
  <si>
    <t>N/A</t>
  </si>
  <si>
    <t>Columbia Sportswear</t>
  </si>
  <si>
    <t>Skechers</t>
  </si>
  <si>
    <t>Asics</t>
  </si>
  <si>
    <t>Geox</t>
  </si>
  <si>
    <t>Median</t>
  </si>
  <si>
    <t>Bloomberg (as of 20.10.2017)</t>
  </si>
  <si>
    <t>Enterprise
Value</t>
  </si>
  <si>
    <t>EBITDA
LTM (1)</t>
  </si>
  <si>
    <t>EBITDA 
LTM (2)</t>
  </si>
  <si>
    <t>EV/EBITDA LTM</t>
  </si>
  <si>
    <t>EV/EBITDA
LTM</t>
  </si>
  <si>
    <t>EV Nike
(Calculated)</t>
  </si>
  <si>
    <t>EV Nike</t>
  </si>
  <si>
    <t>Median Peer Group</t>
  </si>
  <si>
    <t>Shares 
Outstanding</t>
  </si>
  <si>
    <t>Market Value 
of Equity</t>
  </si>
  <si>
    <t>Book Value 
of Equity</t>
  </si>
  <si>
    <t>Price/Book
Ratio (1)</t>
  </si>
  <si>
    <t>Price/Book Ratio (2)</t>
  </si>
  <si>
    <t>BV Equity 
based on P/B (1)</t>
  </si>
  <si>
    <t>BV Equity 
based on P/B (2)</t>
  </si>
  <si>
    <t>EV Nike based on P/B (2)</t>
  </si>
  <si>
    <t>EPS</t>
  </si>
  <si>
    <t>P/E (1)</t>
  </si>
  <si>
    <t>P/E (2)</t>
  </si>
  <si>
    <t>Market Share 
Price (2)</t>
  </si>
  <si>
    <t>Market Value of Equity</t>
  </si>
  <si>
    <t>Bookvalue of Debt Nike FY 2017</t>
  </si>
  <si>
    <t>Cash and Equivalents FY 2017</t>
  </si>
  <si>
    <t>Current Shares Outstanding</t>
  </si>
  <si>
    <t>Bloomberg Data as of 20.10.2017</t>
  </si>
  <si>
    <t>Ticker</t>
  </si>
  <si>
    <t>Name</t>
  </si>
  <si>
    <t>Mkt Cap (USD)</t>
  </si>
  <si>
    <t>Last Px</t>
  </si>
  <si>
    <t>Chg Pct 1D</t>
  </si>
  <si>
    <t>Chg Pct 1M</t>
  </si>
  <si>
    <t>Rev - 1 Yr Gr:Y</t>
  </si>
  <si>
    <t>EPS - 1 Yr Gr:Y</t>
  </si>
  <si>
    <t>P/E</t>
  </si>
  <si>
    <t>ROE</t>
  </si>
  <si>
    <t>Dvd 12M Yld</t>
  </si>
  <si>
    <t>EQY_FUND_CRNCY</t>
  </si>
  <si>
    <t>REL_INDEX</t>
  </si>
  <si>
    <t>FA_ADJUSTED</t>
  </si>
  <si>
    <t>ADJUSTED</t>
  </si>
  <si>
    <t>NKE US Equity</t>
  </si>
  <si>
    <t>NIKE INC -CL B</t>
  </si>
  <si>
    <t>ADS GR Equity</t>
  </si>
  <si>
    <t>ADIDAS AG</t>
  </si>
  <si>
    <t>VFC US Equity</t>
  </si>
  <si>
    <t>VF CORP</t>
  </si>
  <si>
    <t>LULU US Equity</t>
  </si>
  <si>
    <t>LULULEMON ATHLETICA INC</t>
  </si>
  <si>
    <t>#N/A N/A</t>
  </si>
  <si>
    <t>UAA US Equity</t>
  </si>
  <si>
    <t>UNDER ARMOUR INC-CLASS A</t>
  </si>
  <si>
    <t>PUM GR Equity</t>
  </si>
  <si>
    <t>PUMA SE</t>
  </si>
  <si>
    <t>COLM US Equity</t>
  </si>
  <si>
    <t>COLUMBIA SPORTSWEAR CO</t>
  </si>
  <si>
    <t>SKX US Equity</t>
  </si>
  <si>
    <t>SKECHERS USA INC-CL A</t>
  </si>
  <si>
    <t>7936 JP Equity</t>
  </si>
  <si>
    <t>ASICS CORP</t>
  </si>
  <si>
    <t>GEO IM Equity</t>
  </si>
  <si>
    <t>GEOX SPA</t>
  </si>
  <si>
    <t>Mkt Cap</t>
  </si>
  <si>
    <t>Curr Shares Out</t>
  </si>
  <si>
    <t>P/B:Y</t>
  </si>
  <si>
    <t>P/B</t>
  </si>
  <si>
    <t>Tot Eqty LF</t>
  </si>
  <si>
    <t>Diluted EPS T12M</t>
  </si>
  <si>
    <t>Trailing 12M EPS after XO items</t>
  </si>
  <si>
    <t>Last Px Dt:D-1</t>
  </si>
  <si>
    <t>NKE US</t>
  </si>
  <si>
    <t>10/19/2017</t>
  </si>
  <si>
    <t>ADS GR</t>
  </si>
  <si>
    <t>VFC US</t>
  </si>
  <si>
    <t>LULU US</t>
  </si>
  <si>
    <t>UAA US</t>
  </si>
  <si>
    <t>PUM GR</t>
  </si>
  <si>
    <t>COLM US</t>
  </si>
  <si>
    <t>SKX US</t>
  </si>
  <si>
    <t>7936 JP</t>
  </si>
  <si>
    <t>GEO IM</t>
  </si>
  <si>
    <t>EBITDA T12M</t>
  </si>
  <si>
    <t>EBITDA Adj T12M</t>
  </si>
  <si>
    <t>EV</t>
  </si>
  <si>
    <t>EV/TTM EBITDA</t>
  </si>
  <si>
    <t>EV/EBITDA FY1</t>
  </si>
  <si>
    <t>EV/EBITDA FY2</t>
  </si>
  <si>
    <t>P/E FY1</t>
  </si>
  <si>
    <t>P/E FY2</t>
  </si>
  <si>
    <t>P/FCF</t>
  </si>
  <si>
    <t>Dividend Yield</t>
  </si>
  <si>
    <t>Shares Out LF</t>
  </si>
  <si>
    <t>1. Value Multiples Based on Cash flows</t>
  </si>
  <si>
    <t>2. Multiples Based On Assets</t>
  </si>
  <si>
    <t>3. Price Multiples Based on Cash Flows</t>
  </si>
  <si>
    <r>
      <t>Case selection for r</t>
    </r>
    <r>
      <rPr>
        <vertAlign val="subscript"/>
        <sz val="11"/>
        <color theme="1"/>
        <rFont val="Calibri"/>
        <family val="2"/>
        <scheme val="minor"/>
      </rPr>
      <t>A:</t>
    </r>
  </si>
  <si>
    <r>
      <t>&gt;&gt; r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:</t>
    </r>
  </si>
  <si>
    <r>
      <t>Costs of Financial Distress (C</t>
    </r>
    <r>
      <rPr>
        <vertAlign val="subscript"/>
        <sz val="11"/>
        <color theme="1"/>
        <rFont val="Calibri"/>
        <family val="2"/>
        <scheme val="minor"/>
      </rPr>
      <t>FD</t>
    </r>
    <r>
      <rPr>
        <sz val="11"/>
        <color theme="1"/>
        <rFont val="Calibri"/>
        <family val="2"/>
        <scheme val="minor"/>
      </rPr>
      <t xml:space="preserve">) </t>
    </r>
    <r>
      <rPr>
        <vertAlign val="superscript"/>
        <sz val="11"/>
        <color theme="1"/>
        <rFont val="Calibri"/>
        <family val="2"/>
        <scheme val="minor"/>
      </rPr>
      <t>4)</t>
    </r>
  </si>
  <si>
    <t>Min</t>
  </si>
  <si>
    <t>25th</t>
  </si>
  <si>
    <t>75th</t>
  </si>
  <si>
    <t>Max</t>
  </si>
  <si>
    <t>Discounted Cash Flow</t>
  </si>
  <si>
    <t>Multiples Based on Assets</t>
  </si>
  <si>
    <t>Value Multiples Based on Cash Flows</t>
  </si>
  <si>
    <t>Min Point</t>
  </si>
  <si>
    <t xml:space="preserve">25th Point </t>
  </si>
  <si>
    <t>Median Point</t>
  </si>
  <si>
    <t>Price Multiples Based on Cash Flows (1)</t>
  </si>
  <si>
    <t>75th Point</t>
  </si>
  <si>
    <t>Max Point</t>
  </si>
  <si>
    <t>Price Multiples Based on Cash Flows (2)</t>
  </si>
  <si>
    <t>Possible values DCF</t>
  </si>
  <si>
    <t>Adjusted Present Value</t>
  </si>
  <si>
    <t>Possible values APV</t>
  </si>
  <si>
    <t>Table of Contents'!A1</t>
  </si>
  <si>
    <t>Summary!A1</t>
  </si>
  <si>
    <t>Business Opportunity'!A1</t>
  </si>
  <si>
    <t>Free Cash Flows'!A1</t>
  </si>
  <si>
    <t>Beta Calculation'!A1</t>
  </si>
  <si>
    <t>Cost of Equity'!A1</t>
  </si>
  <si>
    <t>Cost of Debt'!A1</t>
  </si>
  <si>
    <t>WACC!A1</t>
  </si>
  <si>
    <t>DCF!A1</t>
  </si>
  <si>
    <t>APV!A1</t>
  </si>
  <si>
    <t>Growth Scenarios'!A1</t>
  </si>
  <si>
    <t>Marginal Tax Rate'!A1</t>
  </si>
  <si>
    <t>Balance Sheet'!A1</t>
  </si>
  <si>
    <t>Income Statement'!A1</t>
  </si>
  <si>
    <t>Cash Flow Statement '!A1</t>
  </si>
  <si>
    <t>&gt;&gt;</t>
  </si>
  <si>
    <t>Click here:</t>
  </si>
  <si>
    <t>OPTIMIZATION CASE 1</t>
  </si>
  <si>
    <t>OPTIMIZATION CASE 2</t>
  </si>
  <si>
    <t>NIKE Inc (NKE US) - Cost of Debt</t>
  </si>
  <si>
    <t>Corporate Bonds</t>
  </si>
  <si>
    <t>Japanese Yen Notes</t>
  </si>
  <si>
    <t>Maturities</t>
  </si>
  <si>
    <r>
      <t>weighted r</t>
    </r>
    <r>
      <rPr>
        <vertAlign val="subscript"/>
        <sz val="11"/>
        <rFont val="Calibri (Body)"/>
      </rPr>
      <t>D</t>
    </r>
  </si>
  <si>
    <t>Market value of debt</t>
  </si>
  <si>
    <t>Price per share</t>
  </si>
  <si>
    <t>Diluted w. average common shares outstanding</t>
  </si>
  <si>
    <t>Market value of equity = Market Cap</t>
  </si>
  <si>
    <t>1)</t>
  </si>
  <si>
    <t>2)</t>
  </si>
  <si>
    <t>3)</t>
  </si>
  <si>
    <t>4)</t>
  </si>
  <si>
    <t>5)</t>
  </si>
  <si>
    <t>6)</t>
  </si>
  <si>
    <r>
      <t xml:space="preserve">1) </t>
    </r>
    <r>
      <rPr>
        <sz val="10"/>
        <color theme="1"/>
        <rFont val="Arial"/>
        <family val="2"/>
      </rPr>
      <t>We assume that most of Nike's revenue in North America is generated in the US. Therefore, we assume a marginal tax rate of 35% not taking into account the corporate tax rate in Canada of 38%.</t>
    </r>
  </si>
  <si>
    <r>
      <t xml:space="preserve">2) </t>
    </r>
    <r>
      <rPr>
        <sz val="10"/>
        <color theme="1"/>
        <rFont val="Arial"/>
        <family val="2"/>
      </rPr>
      <t xml:space="preserve">Average corporate tax rate of: Belgium, Denmark, Finland, France, Germany, Luxembourg, Iceland, Ireland, Italy, Monaco Netherlands, Norway, Portugal, Spain, Sweden, Switzerland, United Kingdom </t>
    </r>
  </si>
  <si>
    <r>
      <t xml:space="preserve">3) </t>
    </r>
    <r>
      <rPr>
        <sz val="10"/>
        <color theme="1"/>
        <rFont val="Arial"/>
        <family val="2"/>
      </rPr>
      <t xml:space="preserve">Average corporat tax rate of Central &amp; Eastern Europe. </t>
    </r>
    <r>
      <rPr>
        <b/>
        <sz val="10"/>
        <color theme="1"/>
        <rFont val="Arial"/>
        <family val="2"/>
      </rPr>
      <t>Central Europe:</t>
    </r>
    <r>
      <rPr>
        <sz val="10"/>
        <color theme="1"/>
        <rFont val="Arial"/>
        <family val="2"/>
      </rPr>
      <t xml:space="preserve"> Austria, Croatia, Czech Republic, Hungary, Lichtenstein, Poland, Slovakia, Slovenia. </t>
    </r>
    <r>
      <rPr>
        <b/>
        <sz val="10"/>
        <color theme="1"/>
        <rFont val="Arial"/>
        <family val="2"/>
      </rPr>
      <t>Eastern Europe:</t>
    </r>
    <r>
      <rPr>
        <sz val="10"/>
        <color theme="1"/>
        <rFont val="Arial"/>
        <family val="2"/>
      </rPr>
      <t xml:space="preserve"> Estonia, Latvia, Lithuania, Georgia, Armenia, Azerbaijan, Russia, Kazakhstan, Ukraine, Belarus, Moldova, Albania, Bosnia &amp; Herzegovina, Bulgaria, Greece, Macedonia, Montenegro, Romania, Serbia, Turkey</t>
    </r>
  </si>
  <si>
    <r>
      <t xml:space="preserve">4) </t>
    </r>
    <r>
      <rPr>
        <sz val="10"/>
        <color theme="1"/>
        <rFont val="Arial"/>
        <family val="2"/>
      </rPr>
      <t xml:space="preserve">Average of China, Hong Kong, Macau &amp; Taiwan </t>
    </r>
  </si>
  <si>
    <r>
      <t xml:space="preserve">5) </t>
    </r>
    <r>
      <rPr>
        <sz val="10"/>
        <color theme="1"/>
        <rFont val="Arial"/>
        <family val="2"/>
      </rPr>
      <t>Average corporate tax rate Emerging Markets. Region of Emerging Markets based on MSCI (excluding coutries that were already mentioned in other groups): Brazil, Chile, Colombia, Mexico, Peru, Egypt, Qatar, South Africa, UAE, India, Indonesia, Korea, Malaysia, Pakistan, Philippines, Thailand</t>
    </r>
  </si>
  <si>
    <r>
      <t xml:space="preserve">6) </t>
    </r>
    <r>
      <rPr>
        <sz val="10"/>
        <color theme="1"/>
        <rFont val="Arial"/>
        <family val="2"/>
      </rPr>
      <t>Revenue will be taxed at the corporate tax rate of the USA since the revenue can not be attributed to a special region.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</si>
  <si>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 xml:space="preserve">D </t>
    </r>
    <r>
      <rPr>
        <b/>
        <sz val="11"/>
        <color theme="1"/>
        <rFont val="Calibri"/>
        <family val="2"/>
        <scheme val="minor"/>
      </rPr>
      <t>=</t>
    </r>
  </si>
  <si>
    <t>NIKE Inc (NKE US) - Corporate Bond 1</t>
  </si>
  <si>
    <t>NIKE Inc (NKE US) - Corporate Bond 2</t>
  </si>
  <si>
    <t>NIKE Inc (NKE US) - Corporate Bond 3</t>
  </si>
  <si>
    <t>NIKE Inc (NKE US) - Share Prices</t>
  </si>
  <si>
    <t>Monthly</t>
  </si>
  <si>
    <t>Daily</t>
  </si>
  <si>
    <t>Source:</t>
  </si>
  <si>
    <t>Bloomberg</t>
  </si>
  <si>
    <t>Share Prices</t>
  </si>
  <si>
    <t>Total Returns</t>
  </si>
  <si>
    <t>NIKE Inc (NKE US) - SPX</t>
  </si>
  <si>
    <t>Trading Multiples Bloomberg</t>
  </si>
  <si>
    <t>Trading Multiples'!A1</t>
  </si>
  <si>
    <t>Corporate Bond 1'!A1</t>
  </si>
  <si>
    <t>Share Prices'!A1</t>
  </si>
  <si>
    <t>SPX!A1</t>
  </si>
  <si>
    <t>SPX</t>
  </si>
  <si>
    <t>Trading Multiples Bloomberg'!A1</t>
  </si>
  <si>
    <r>
      <rPr>
        <vertAlign val="superscript"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average of estimation in range of 10-23% of pre-distress firm value; see Gregor Andrade and Steven Kaplan, (1998), “How Costly is Financial (not Economic) Distress? Evidence from Highly Leveraged Transactions that Become Distressed,” Journal of Finance 53, pp. 1443-1493</t>
    </r>
  </si>
  <si>
    <t>Average (excl. Nike)</t>
  </si>
  <si>
    <t>1st Quartile (excl. Nike)</t>
  </si>
  <si>
    <t>Median (excl. Nike)</t>
  </si>
  <si>
    <t>3rd Quartile (excl. Nike)</t>
  </si>
  <si>
    <t>Sources: Bloomberg, own calculations</t>
  </si>
  <si>
    <t>rA</t>
  </si>
  <si>
    <t>Present Value of Cash Flows</t>
  </si>
  <si>
    <t>Cash Flows</t>
  </si>
  <si>
    <t>PV terminal value</t>
  </si>
  <si>
    <t>D/V: 5%</t>
  </si>
  <si>
    <t>D/V: 7%</t>
  </si>
  <si>
    <t>Cost of financial distress</t>
  </si>
  <si>
    <t>Enterprise value</t>
  </si>
  <si>
    <t>Expected Enterprise Value</t>
  </si>
  <si>
    <t>Football Field Expected Enterprise Value</t>
  </si>
  <si>
    <t>Method of Calculating Expected Enterprise Value</t>
  </si>
  <si>
    <t>In Million USD</t>
  </si>
  <si>
    <t>PV Terminal 
Value</t>
  </si>
  <si>
    <t>PV Cash
Flows</t>
  </si>
  <si>
    <t>PV Tax 
Shield</t>
  </si>
  <si>
    <t>Bull Case / Base Case</t>
  </si>
  <si>
    <t>Base Case / Bear Case</t>
  </si>
  <si>
    <t>Base Case / Bull Case</t>
  </si>
  <si>
    <t>Base Case / Base Case</t>
  </si>
  <si>
    <t>Bull Case / Bull Case</t>
  </si>
  <si>
    <t>Bull Case / Bear Case</t>
  </si>
  <si>
    <t>Bear Case / Base Case</t>
  </si>
  <si>
    <t>Bear Case / Bull Case</t>
  </si>
  <si>
    <t>Bear Case / Bear Case</t>
  </si>
  <si>
    <t>Cost of 
Fin. Distress</t>
  </si>
  <si>
    <t>Base/Base</t>
  </si>
  <si>
    <t>Base/Bull</t>
  </si>
  <si>
    <t>Base/Bear</t>
  </si>
  <si>
    <t>Bull/Base</t>
  </si>
  <si>
    <t>Bull/Bull</t>
  </si>
  <si>
    <t>Bull/Bear</t>
  </si>
  <si>
    <t>Bear/Base</t>
  </si>
  <si>
    <t>Bear/Bull</t>
  </si>
  <si>
    <t>Bear/Bear</t>
  </si>
  <si>
    <t>Enterprise Value based on Adjusted Present Value</t>
  </si>
  <si>
    <t>Enterprise Value Based on Discounted Cash Flows</t>
  </si>
  <si>
    <t>Adjusted Present Value Method</t>
  </si>
  <si>
    <t>Discounted Cash Flow Method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</si>
  <si>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</si>
  <si>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 xml:space="preserve">PV </t>
    </r>
    <r>
      <rPr>
        <vertAlign val="subscript"/>
        <sz val="11"/>
        <color theme="1"/>
        <rFont val="Calibri"/>
        <family val="2"/>
        <scheme val="minor"/>
      </rPr>
      <t>TS</t>
    </r>
    <r>
      <rPr>
        <sz val="11"/>
        <color theme="1"/>
        <rFont val="Calibri"/>
        <family val="2"/>
        <scheme val="minor"/>
      </rPr>
      <t xml:space="preserve"> - C </t>
    </r>
    <r>
      <rPr>
        <vertAlign val="subscript"/>
        <sz val="11"/>
        <color theme="1"/>
        <rFont val="Calibri"/>
        <family val="2"/>
        <scheme val="minor"/>
      </rPr>
      <t>FD</t>
    </r>
  </si>
  <si>
    <r>
      <t xml:space="preserve">C </t>
    </r>
    <r>
      <rPr>
        <vertAlign val="subscript"/>
        <sz val="11"/>
        <color theme="1"/>
        <rFont val="Calibri"/>
        <family val="2"/>
        <scheme val="minor"/>
      </rPr>
      <t>FD</t>
    </r>
  </si>
  <si>
    <r>
      <t xml:space="preserve">PV </t>
    </r>
    <r>
      <rPr>
        <vertAlign val="subscript"/>
        <sz val="11"/>
        <color theme="1"/>
        <rFont val="Calibri"/>
        <family val="2"/>
        <scheme val="minor"/>
      </rPr>
      <t>TS</t>
    </r>
  </si>
  <si>
    <t xml:space="preserve">Summary of Results: </t>
  </si>
  <si>
    <r>
      <t>Sensitivity Analysis: r</t>
    </r>
    <r>
      <rPr>
        <b/>
        <vertAlign val="subscript"/>
        <sz val="10"/>
        <color theme="1"/>
        <rFont val="Arial"/>
        <family val="2"/>
      </rPr>
      <t>A</t>
    </r>
  </si>
  <si>
    <t>PV of terminal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</si>
</sst>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"/>
    <numFmt numFmtId="165" formatCode="dd\.mm\.yyyy"/>
    <numFmt numFmtId="166" formatCode="0.0%"/>
    <numFmt numFmtId="167" formatCode="[$$-409]#,##0_ ;\-[$$-409]#,##0\ "/>
    <numFmt numFmtId="168" formatCode="[$$-409]#,##0.00_ ;\-[$$-409]#,##0.00\ "/>
    <numFmt numFmtId="169" formatCode="0.00000"/>
    <numFmt numFmtId="170" formatCode="_-[$¥-411]* #,##0_-;\-[$¥-411]* #,##0_-;_-[$¥-411]* &quot;-&quot;??_-;_-@_-"/>
    <numFmt numFmtId="171" formatCode="_-[$$-409]* #,##0_ ;_-[$$-409]* \-#,##0\ ;_-[$$-409]* &quot;-&quot;??_ ;_-@_ "/>
    <numFmt numFmtId="172" formatCode="_-[$$-409]* #,##0.00_ ;_-[$$-409]* \-#,##0.00\ ;_-[$$-409]* &quot;-&quot;??_ ;_-@_ "/>
    <numFmt numFmtId="173" formatCode="0.000%"/>
    <numFmt numFmtId="174" formatCode="0.00000000"/>
    <numFmt numFmtId="175" formatCode="#,##0.0000"/>
    <numFmt numFmtId="176" formatCode="_-* #,##0.000\ _€_-;\-* #,##0.000\ _€_-;_-* &quot;-&quot;??\ _€_-;_-@_-"/>
    <numFmt numFmtId="177" formatCode="0.0000000"/>
    <numFmt numFmtId="178" formatCode=";;;"/>
    <numFmt numFmtId="179" formatCode="_-* #,##0.0000\ _€_-;\-* #,##0.0000\ _€_-;_-* &quot;-&quot;??\ _€_-;_-@_-"/>
    <numFmt numFmtId="180" formatCode="_-* #,##0.00000\ _€_-;\-* #,##0.00000\ _€_-;_-* &quot;-&quot;??\ _€_-;_-@_-"/>
  </numFmts>
  <fonts count="14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6" tint="-0.249977111117893"/>
      <name val="Arial"/>
      <family val="2"/>
    </font>
    <font>
      <b/>
      <sz val="10"/>
      <color indexed="63"/>
      <name val="Arial"/>
      <family val="2"/>
    </font>
    <font>
      <sz val="11"/>
      <name val="Calibri"/>
      <family val="2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10"/>
      <color rgb="FF333333"/>
      <name val="Arial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6" tint="-0.24997711111789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theme="0"/>
      <name val="Arial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rgb="FF333333"/>
      <name val="Arial"/>
      <family val="2"/>
    </font>
    <font>
      <sz val="11"/>
      <color rgb="FF333333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6" tint="-0.249977111117893"/>
      <name val="Arial"/>
      <family val="2"/>
    </font>
    <font>
      <b/>
      <sz val="16"/>
      <color indexed="9"/>
      <name val="Arial"/>
      <family val="2"/>
    </font>
    <font>
      <sz val="10"/>
      <color rgb="FF333333"/>
      <name val="Calibri"/>
      <family val="2"/>
    </font>
    <font>
      <sz val="11"/>
      <color rgb="FF333333"/>
      <name val="Calibri"/>
      <family val="2"/>
      <scheme val="minor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sz val="10"/>
      <color rgb="FF333333"/>
      <name val="Arial"/>
      <family val="2"/>
    </font>
    <font>
      <i/>
      <sz val="10"/>
      <color rgb="FF333333"/>
      <name val="Arial"/>
      <family val="2"/>
    </font>
    <font>
      <sz val="11"/>
      <color theme="1"/>
      <name val="Arial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b/>
      <i/>
      <sz val="10"/>
      <color indexed="9"/>
      <name val="Arial"/>
      <family val="2"/>
    </font>
    <font>
      <b/>
      <i/>
      <vertAlign val="subscript"/>
      <sz val="10"/>
      <color indexed="9"/>
      <name val="Arial"/>
      <family val="2"/>
    </font>
    <font>
      <b/>
      <sz val="10"/>
      <name val="Arial"/>
      <family val="2"/>
    </font>
    <font>
      <sz val="9"/>
      <color theme="6" tint="-0.249977111117893"/>
      <name val="Marlett"/>
      <charset val="2"/>
    </font>
    <font>
      <i/>
      <sz val="11"/>
      <color theme="1"/>
      <name val="Calibri"/>
      <family val="2"/>
      <scheme val="minor"/>
    </font>
    <font>
      <b/>
      <vertAlign val="subscript"/>
      <sz val="10"/>
      <color indexed="9"/>
      <name val="Arial"/>
      <family val="2"/>
    </font>
    <font>
      <b/>
      <vertAlign val="subscript"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  <scheme val="minor"/>
    </font>
    <font>
      <vertAlign val="subscript"/>
      <sz val="11"/>
      <color theme="9"/>
      <name val="Calibri"/>
      <family val="2"/>
      <scheme val="minor"/>
    </font>
    <font>
      <vertAlign val="subscript"/>
      <sz val="11"/>
      <color theme="0"/>
      <name val="Calibri (Body)"/>
    </font>
    <font>
      <i/>
      <sz val="10"/>
      <color theme="1"/>
      <name val="Arial"/>
      <family val="2"/>
    </font>
    <font>
      <b/>
      <sz val="1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6"/>
      <name val="Arial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6" tint="-0.249977111117893"/>
      <name val="Arial"/>
      <family val="2"/>
    </font>
    <font>
      <b/>
      <sz val="16"/>
      <color indexed="9"/>
      <name val="Arial"/>
      <family val="2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color rgb="FF333333"/>
      <name val="Arial"/>
      <family val="2"/>
    </font>
    <font>
      <b/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8"/>
      <name val="Calibri"/>
      <family val="2"/>
      <scheme val="minor"/>
    </font>
    <font>
      <vertAlign val="subscript"/>
      <sz val="11"/>
      <name val="Calibri (Body)"/>
    </font>
    <font>
      <vertAlign val="superscript"/>
      <sz val="10"/>
      <color theme="1"/>
      <name val="Arial"/>
      <family val="2"/>
    </font>
    <font>
      <vertAlign val="subscript"/>
      <sz val="9"/>
      <color indexed="81"/>
      <name val="Tahoma"/>
      <family val="2"/>
    </font>
    <font>
      <i/>
      <sz val="11"/>
      <name val="Calibri"/>
      <family val="2"/>
      <scheme val="minor"/>
    </font>
    <font>
      <sz val="11"/>
      <name val="Arial"/>
      <family val="2"/>
    </font>
    <font>
      <b/>
      <strike/>
      <sz val="10"/>
      <color indexed="63"/>
      <name val="Arial"/>
      <family val="2"/>
    </font>
    <font>
      <strike/>
      <sz val="10"/>
      <name val="Arial"/>
      <family val="2"/>
    </font>
    <font>
      <b/>
      <sz val="9"/>
      <color indexed="81"/>
      <name val="Tahoma"/>
      <family val="2"/>
    </font>
    <font>
      <b/>
      <vertAlign val="subscript"/>
      <sz val="10"/>
      <color theme="1"/>
      <name val="Arial"/>
      <family val="2"/>
    </font>
    <font>
      <b/>
      <sz val="10"/>
      <color rgb="FFFFC000"/>
      <name val="Arial"/>
      <family val="2"/>
    </font>
    <font>
      <sz val="11"/>
      <color rgb="FFFFC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FF33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90">
        <stop position="0">
          <color theme="0" tint="-0.1490218817712943"/>
        </stop>
        <stop position="0.5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97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6" tint="-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62">
    <xf numFmtId="0" fontId="0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9" borderId="0" applyNumberFormat="0" applyBorder="0" applyAlignment="0" applyProtection="0"/>
    <xf numFmtId="0" fontId="33" fillId="13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23" fillId="3" borderId="0" applyNumberFormat="0" applyBorder="0" applyAlignment="0" applyProtection="0"/>
    <xf numFmtId="0" fontId="27" fillId="6" borderId="6" applyNumberFormat="0" applyAlignment="0" applyProtection="0"/>
    <xf numFmtId="0" fontId="29" fillId="7" borderId="9" applyNumberFormat="0" applyAlignment="0" applyProtection="0"/>
    <xf numFmtId="0" fontId="3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5" fillId="5" borderId="6" applyNumberFormat="0" applyAlignment="0" applyProtection="0"/>
    <xf numFmtId="0" fontId="28" fillId="0" borderId="8" applyNumberFormat="0" applyFill="0" applyAlignment="0" applyProtection="0"/>
    <xf numFmtId="0" fontId="24" fillId="4" borderId="0" applyNumberFormat="0" applyBorder="0" applyAlignment="0" applyProtection="0"/>
    <xf numFmtId="0" fontId="17" fillId="8" borderId="10" applyNumberFormat="0" applyFont="0" applyAlignment="0" applyProtection="0"/>
    <xf numFmtId="0" fontId="26" fillId="6" borderId="7" applyNumberFormat="0" applyAlignment="0" applyProtection="0"/>
    <xf numFmtId="0" fontId="18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9" fillId="33" borderId="0"/>
    <xf numFmtId="0" fontId="12" fillId="33" borderId="12" applyNumberFormat="0" applyProtection="0">
      <alignment horizontal="left" vertical="center" readingOrder="1"/>
    </xf>
    <xf numFmtId="0" fontId="13" fillId="34" borderId="0" applyNumberFormat="0" applyBorder="0" applyProtection="0">
      <alignment horizontal="center"/>
    </xf>
    <xf numFmtId="0" fontId="14" fillId="33" borderId="13">
      <alignment horizontal="left"/>
    </xf>
    <xf numFmtId="0" fontId="14" fillId="33" borderId="13">
      <alignment horizontal="right"/>
    </xf>
    <xf numFmtId="0" fontId="14" fillId="33" borderId="14">
      <alignment horizontal="left"/>
    </xf>
    <xf numFmtId="0" fontId="14" fillId="33" borderId="14">
      <alignment horizontal="right"/>
    </xf>
    <xf numFmtId="0" fontId="15" fillId="34" borderId="15"/>
    <xf numFmtId="164" fontId="15" fillId="34" borderId="1">
      <alignment horizontal="right"/>
    </xf>
    <xf numFmtId="3" fontId="8" fillId="34" borderId="1">
      <alignment horizontal="right"/>
    </xf>
    <xf numFmtId="0" fontId="10" fillId="34" borderId="15"/>
    <xf numFmtId="22" fontId="11" fillId="0" borderId="0"/>
    <xf numFmtId="164" fontId="8" fillId="34" borderId="1">
      <alignment horizontal="right"/>
    </xf>
    <xf numFmtId="0" fontId="16" fillId="35" borderId="2" applyNumberFormat="0" applyAlignment="0" applyProtection="0"/>
    <xf numFmtId="9" fontId="17" fillId="0" borderId="0" applyFont="0" applyFill="0" applyBorder="0" applyAlignment="0" applyProtection="0"/>
    <xf numFmtId="0" fontId="15" fillId="34" borderId="15"/>
    <xf numFmtId="0" fontId="10" fillId="34" borderId="15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24" fillId="0" borderId="0" applyNumberFormat="0" applyFill="0" applyBorder="0" applyAlignment="0" applyProtection="0"/>
  </cellStyleXfs>
  <cellXfs count="668">
    <xf numFmtId="0" fontId="0" fillId="0" borderId="0" xfId="0"/>
    <xf numFmtId="0" fontId="16" fillId="35" borderId="2" xfId="55" applyFont="1" applyFill="1" applyBorder="1"/>
    <xf numFmtId="14" fontId="0" fillId="0" borderId="0" xfId="0" applyNumberFormat="1"/>
    <xf numFmtId="165" fontId="0" fillId="0" borderId="0" xfId="0" applyNumberFormat="1"/>
    <xf numFmtId="22" fontId="11" fillId="0" borderId="0" xfId="53" applyNumberFormat="1" applyFont="1" applyFill="1" applyBorder="1" applyAlignment="1" applyProtection="1"/>
    <xf numFmtId="0" fontId="9" fillId="36" borderId="0" xfId="42" applyNumberFormat="1" applyFont="1" applyFill="1" applyBorder="1" applyAlignment="1" applyProtection="1"/>
    <xf numFmtId="0" fontId="34" fillId="36" borderId="0" xfId="43" applyFont="1" applyFill="1" applyBorder="1" applyAlignment="1">
      <alignment horizontal="left" vertical="center" readingOrder="1"/>
    </xf>
    <xf numFmtId="0" fontId="12" fillId="36" borderId="0" xfId="43" applyFont="1" applyFill="1" applyBorder="1" applyAlignment="1">
      <alignment horizontal="left" vertical="center" readingOrder="1"/>
    </xf>
    <xf numFmtId="0" fontId="13" fillId="34" borderId="0" xfId="44" applyFont="1" applyFill="1" applyBorder="1" applyAlignment="1">
      <alignment horizontal="center"/>
    </xf>
    <xf numFmtId="0" fontId="0" fillId="36" borderId="0" xfId="0" applyFill="1" applyBorder="1"/>
    <xf numFmtId="0" fontId="32" fillId="36" borderId="0" xfId="0" applyFont="1" applyFill="1" applyBorder="1"/>
    <xf numFmtId="0" fontId="36" fillId="36" borderId="0" xfId="0" applyFont="1" applyFill="1" applyBorder="1"/>
    <xf numFmtId="0" fontId="0" fillId="0" borderId="0" xfId="0" applyBorder="1"/>
    <xf numFmtId="0" fontId="14" fillId="38" borderId="0" xfId="45" applyNumberFormat="1" applyFont="1" applyFill="1" applyBorder="1" applyAlignment="1" applyProtection="1">
      <alignment horizontal="left"/>
    </xf>
    <xf numFmtId="0" fontId="14" fillId="38" borderId="0" xfId="46" applyNumberFormat="1" applyFont="1" applyFill="1" applyBorder="1" applyAlignment="1" applyProtection="1">
      <alignment horizontal="right"/>
    </xf>
    <xf numFmtId="0" fontId="14" fillId="38" borderId="0" xfId="48" applyNumberFormat="1" applyFont="1" applyFill="1" applyBorder="1" applyAlignment="1" applyProtection="1">
      <alignment horizontal="right"/>
    </xf>
    <xf numFmtId="0" fontId="14" fillId="38" borderId="0" xfId="47" applyFill="1" applyBorder="1">
      <alignment horizontal="left"/>
    </xf>
    <xf numFmtId="0" fontId="14" fillId="36" borderId="0" xfId="47" applyFill="1" applyBorder="1">
      <alignment horizontal="left"/>
    </xf>
    <xf numFmtId="0" fontId="14" fillId="36" borderId="0" xfId="48" applyNumberFormat="1" applyFont="1" applyFill="1" applyBorder="1" applyAlignment="1" applyProtection="1">
      <alignment horizontal="right"/>
    </xf>
    <xf numFmtId="0" fontId="10" fillId="34" borderId="0" xfId="52" applyNumberFormat="1" applyFont="1" applyFill="1" applyBorder="1" applyAlignment="1" applyProtection="1"/>
    <xf numFmtId="3" fontId="8" fillId="34" borderId="0" xfId="51" applyNumberFormat="1" applyFont="1" applyFill="1" applyBorder="1" applyAlignment="1" applyProtection="1">
      <alignment horizontal="right"/>
    </xf>
    <xf numFmtId="0" fontId="37" fillId="36" borderId="17" xfId="57" applyNumberFormat="1" applyFont="1" applyFill="1" applyBorder="1" applyAlignment="1" applyProtection="1">
      <alignment horizontal="left" indent="1"/>
    </xf>
    <xf numFmtId="166" fontId="37" fillId="36" borderId="17" xfId="56" applyNumberFormat="1" applyFont="1" applyFill="1" applyBorder="1" applyAlignment="1" applyProtection="1">
      <alignment horizontal="right"/>
    </xf>
    <xf numFmtId="3" fontId="38" fillId="36" borderId="0" xfId="0" applyNumberFormat="1" applyFont="1" applyFill="1" applyBorder="1"/>
    <xf numFmtId="0" fontId="38" fillId="36" borderId="0" xfId="0" applyFont="1" applyFill="1" applyBorder="1"/>
    <xf numFmtId="0" fontId="35" fillId="37" borderId="18" xfId="52" applyNumberFormat="1" applyFont="1" applyFill="1" applyBorder="1" applyAlignment="1" applyProtection="1"/>
    <xf numFmtId="0" fontId="10" fillId="34" borderId="17" xfId="52" applyNumberFormat="1" applyFont="1" applyFill="1" applyBorder="1" applyAlignment="1" applyProtection="1"/>
    <xf numFmtId="164" fontId="8" fillId="34" borderId="17" xfId="54" applyNumberFormat="1" applyFont="1" applyFill="1" applyBorder="1" applyAlignment="1" applyProtection="1">
      <alignment horizontal="right"/>
    </xf>
    <xf numFmtId="0" fontId="39" fillId="38" borderId="18" xfId="52" applyNumberFormat="1" applyFont="1" applyFill="1" applyBorder="1" applyAlignment="1" applyProtection="1"/>
    <xf numFmtId="164" fontId="39" fillId="38" borderId="18" xfId="54" applyNumberFormat="1" applyFont="1" applyFill="1" applyBorder="1" applyAlignment="1" applyProtection="1">
      <alignment horizontal="right"/>
    </xf>
    <xf numFmtId="0" fontId="42" fillId="36" borderId="0" xfId="42" applyNumberFormat="1" applyFont="1" applyFill="1" applyBorder="1" applyAlignment="1" applyProtection="1"/>
    <xf numFmtId="0" fontId="43" fillId="0" borderId="0" xfId="0" applyFont="1" applyBorder="1"/>
    <xf numFmtId="0" fontId="44" fillId="36" borderId="0" xfId="43" applyFont="1" applyFill="1" applyBorder="1" applyAlignment="1">
      <alignment horizontal="left" vertical="center" readingOrder="1"/>
    </xf>
    <xf numFmtId="0" fontId="45" fillId="36" borderId="0" xfId="43" applyFont="1" applyFill="1" applyBorder="1" applyAlignment="1">
      <alignment horizontal="left" vertical="center" readingOrder="1"/>
    </xf>
    <xf numFmtId="0" fontId="46" fillId="34" borderId="0" xfId="44" applyFont="1" applyFill="1" applyBorder="1" applyAlignment="1">
      <alignment horizontal="center"/>
    </xf>
    <xf numFmtId="0" fontId="47" fillId="38" borderId="0" xfId="45" applyNumberFormat="1" applyFont="1" applyFill="1" applyBorder="1" applyAlignment="1" applyProtection="1">
      <alignment horizontal="left"/>
    </xf>
    <xf numFmtId="0" fontId="47" fillId="38" borderId="0" xfId="46" applyNumberFormat="1" applyFont="1" applyFill="1" applyBorder="1" applyAlignment="1" applyProtection="1">
      <alignment horizontal="right"/>
    </xf>
    <xf numFmtId="0" fontId="47" fillId="38" borderId="0" xfId="48" applyNumberFormat="1" applyFont="1" applyFill="1" applyBorder="1" applyAlignment="1" applyProtection="1">
      <alignment horizontal="right"/>
    </xf>
    <xf numFmtId="0" fontId="43" fillId="36" borderId="0" xfId="0" applyFont="1" applyFill="1" applyBorder="1"/>
    <xf numFmtId="0" fontId="47" fillId="38" borderId="0" xfId="47" applyFont="1" applyFill="1" applyBorder="1">
      <alignment horizontal="left"/>
    </xf>
    <xf numFmtId="0" fontId="47" fillId="36" borderId="0" xfId="47" applyFont="1" applyFill="1" applyBorder="1">
      <alignment horizontal="left"/>
    </xf>
    <xf numFmtId="0" fontId="47" fillId="36" borderId="0" xfId="48" applyNumberFormat="1" applyFont="1" applyFill="1" applyBorder="1" applyAlignment="1" applyProtection="1">
      <alignment horizontal="right"/>
    </xf>
    <xf numFmtId="0" fontId="49" fillId="34" borderId="15" xfId="52" applyNumberFormat="1" applyFont="1" applyFill="1" applyBorder="1" applyAlignment="1" applyProtection="1"/>
    <xf numFmtId="164" fontId="50" fillId="36" borderId="0" xfId="0" applyNumberFormat="1" applyFont="1" applyFill="1" applyBorder="1"/>
    <xf numFmtId="0" fontId="50" fillId="36" borderId="0" xfId="0" applyFont="1" applyFill="1" applyBorder="1"/>
    <xf numFmtId="3" fontId="51" fillId="36" borderId="0" xfId="0" applyNumberFormat="1" applyFont="1" applyFill="1" applyBorder="1"/>
    <xf numFmtId="0" fontId="51" fillId="36" borderId="0" xfId="0" applyFont="1" applyFill="1" applyBorder="1"/>
    <xf numFmtId="0" fontId="52" fillId="34" borderId="15" xfId="52" applyNumberFormat="1" applyFont="1" applyFill="1" applyBorder="1" applyAlignment="1" applyProtection="1"/>
    <xf numFmtId="0" fontId="53" fillId="36" borderId="0" xfId="0" applyFont="1" applyFill="1" applyBorder="1"/>
    <xf numFmtId="0" fontId="52" fillId="34" borderId="15" xfId="49" applyNumberFormat="1" applyFont="1" applyFill="1" applyBorder="1" applyAlignment="1" applyProtection="1"/>
    <xf numFmtId="0" fontId="52" fillId="34" borderId="0" xfId="49" applyNumberFormat="1" applyFont="1" applyFill="1" applyBorder="1" applyAlignment="1" applyProtection="1"/>
    <xf numFmtId="0" fontId="49" fillId="34" borderId="0" xfId="52" applyNumberFormat="1" applyFont="1" applyFill="1" applyBorder="1" applyAlignment="1" applyProtection="1"/>
    <xf numFmtId="0" fontId="56" fillId="35" borderId="2" xfId="55" applyFont="1" applyFill="1" applyBorder="1"/>
    <xf numFmtId="0" fontId="58" fillId="36" borderId="0" xfId="42" applyNumberFormat="1" applyFont="1" applyFill="1" applyBorder="1" applyAlignment="1" applyProtection="1"/>
    <xf numFmtId="0" fontId="59" fillId="0" borderId="0" xfId="0" applyFont="1"/>
    <xf numFmtId="0" fontId="59" fillId="36" borderId="0" xfId="0" applyFont="1" applyFill="1" applyBorder="1"/>
    <xf numFmtId="0" fontId="60" fillId="36" borderId="0" xfId="43" applyFont="1" applyFill="1" applyBorder="1" applyAlignment="1">
      <alignment horizontal="left" vertical="center" readingOrder="1"/>
    </xf>
    <xf numFmtId="0" fontId="61" fillId="36" borderId="0" xfId="43" applyFont="1" applyFill="1" applyBorder="1" applyAlignment="1">
      <alignment horizontal="left" vertical="center" readingOrder="1"/>
    </xf>
    <xf numFmtId="0" fontId="62" fillId="34" borderId="0" xfId="44" applyFont="1" applyFill="1" applyBorder="1" applyAlignment="1">
      <alignment horizontal="center"/>
    </xf>
    <xf numFmtId="0" fontId="63" fillId="0" borderId="0" xfId="0" applyFont="1"/>
    <xf numFmtId="0" fontId="63" fillId="36" borderId="0" xfId="0" applyFont="1" applyFill="1" applyBorder="1"/>
    <xf numFmtId="0" fontId="64" fillId="36" borderId="0" xfId="45" applyNumberFormat="1" applyFont="1" applyFill="1" applyBorder="1" applyAlignment="1" applyProtection="1">
      <alignment horizontal="left"/>
    </xf>
    <xf numFmtId="0" fontId="64" fillId="36" borderId="0" xfId="48" applyNumberFormat="1" applyFont="1" applyFill="1" applyBorder="1" applyAlignment="1" applyProtection="1">
      <alignment horizontal="right"/>
    </xf>
    <xf numFmtId="0" fontId="66" fillId="38" borderId="0" xfId="45" applyNumberFormat="1" applyFont="1" applyFill="1" applyBorder="1" applyAlignment="1" applyProtection="1">
      <alignment horizontal="left"/>
    </xf>
    <xf numFmtId="0" fontId="66" fillId="38" borderId="0" xfId="46" applyNumberFormat="1" applyFont="1" applyFill="1" applyBorder="1" applyAlignment="1" applyProtection="1">
      <alignment horizontal="right"/>
    </xf>
    <xf numFmtId="0" fontId="66" fillId="38" borderId="0" xfId="48" applyNumberFormat="1" applyFont="1" applyFill="1" applyBorder="1" applyAlignment="1" applyProtection="1">
      <alignment horizontal="right"/>
    </xf>
    <xf numFmtId="0" fontId="66" fillId="36" borderId="0" xfId="48" applyNumberFormat="1" applyFont="1" applyFill="1" applyBorder="1" applyAlignment="1" applyProtection="1">
      <alignment horizontal="right"/>
    </xf>
    <xf numFmtId="0" fontId="67" fillId="36" borderId="0" xfId="58" applyNumberFormat="1" applyFont="1" applyFill="1" applyBorder="1" applyAlignment="1" applyProtection="1"/>
    <xf numFmtId="10" fontId="67" fillId="36" borderId="0" xfId="56" applyNumberFormat="1" applyFont="1" applyFill="1" applyBorder="1" applyAlignment="1" applyProtection="1">
      <alignment horizontal="right"/>
    </xf>
    <xf numFmtId="10" fontId="67" fillId="36" borderId="0" xfId="56" applyNumberFormat="1" applyFont="1" applyFill="1" applyBorder="1"/>
    <xf numFmtId="4" fontId="67" fillId="36" borderId="0" xfId="54" applyNumberFormat="1" applyFont="1" applyFill="1" applyBorder="1" applyAlignment="1" applyProtection="1">
      <alignment horizontal="right"/>
    </xf>
    <xf numFmtId="164" fontId="67" fillId="36" borderId="0" xfId="54" applyNumberFormat="1" applyFont="1" applyFill="1" applyBorder="1" applyAlignment="1" applyProtection="1">
      <alignment horizontal="right"/>
    </xf>
    <xf numFmtId="4" fontId="67" fillId="36" borderId="0" xfId="56" applyNumberFormat="1" applyFont="1" applyFill="1" applyBorder="1"/>
    <xf numFmtId="0" fontId="67" fillId="36" borderId="0" xfId="58" applyNumberFormat="1" applyFont="1" applyFill="1" applyBorder="1" applyAlignment="1" applyProtection="1">
      <alignment wrapText="1"/>
    </xf>
    <xf numFmtId="4" fontId="67" fillId="36" borderId="0" xfId="56" applyNumberFormat="1" applyFont="1" applyFill="1" applyBorder="1" applyAlignment="1" applyProtection="1">
      <alignment horizontal="right"/>
    </xf>
    <xf numFmtId="4" fontId="67" fillId="36" borderId="0" xfId="58" applyNumberFormat="1" applyFont="1" applyFill="1" applyBorder="1" applyAlignment="1" applyProtection="1">
      <alignment wrapText="1"/>
    </xf>
    <xf numFmtId="166" fontId="67" fillId="36" borderId="0" xfId="56" applyNumberFormat="1" applyFont="1" applyFill="1" applyBorder="1" applyAlignment="1" applyProtection="1">
      <alignment horizontal="right"/>
    </xf>
    <xf numFmtId="4" fontId="67" fillId="36" borderId="0" xfId="0" applyNumberFormat="1" applyFont="1" applyFill="1" applyBorder="1"/>
    <xf numFmtId="9" fontId="67" fillId="36" borderId="0" xfId="56" applyNumberFormat="1" applyFont="1" applyFill="1" applyBorder="1" applyAlignment="1" applyProtection="1">
      <alignment horizontal="right"/>
    </xf>
    <xf numFmtId="164" fontId="67" fillId="36" borderId="0" xfId="0" applyNumberFormat="1" applyFont="1" applyFill="1" applyBorder="1"/>
    <xf numFmtId="0" fontId="67" fillId="36" borderId="0" xfId="0" applyFont="1" applyFill="1" applyBorder="1"/>
    <xf numFmtId="0" fontId="64" fillId="36" borderId="0" xfId="47" applyFont="1" applyFill="1" applyBorder="1">
      <alignment horizontal="left"/>
    </xf>
    <xf numFmtId="10" fontId="67" fillId="0" borderId="0" xfId="56" applyNumberFormat="1" applyFont="1" applyFill="1" applyBorder="1" applyAlignment="1" applyProtection="1">
      <alignment horizontal="right"/>
    </xf>
    <xf numFmtId="0" fontId="69" fillId="0" borderId="0" xfId="0" applyFont="1"/>
    <xf numFmtId="0" fontId="69" fillId="36" borderId="0" xfId="0" applyFont="1" applyFill="1" applyBorder="1"/>
    <xf numFmtId="0" fontId="70" fillId="36" borderId="0" xfId="42" applyNumberFormat="1" applyFont="1" applyFill="1" applyBorder="1" applyAlignment="1" applyProtection="1"/>
    <xf numFmtId="0" fontId="71" fillId="0" borderId="0" xfId="0" applyFont="1"/>
    <xf numFmtId="0" fontId="71" fillId="36" borderId="0" xfId="0" applyFont="1" applyFill="1" applyBorder="1"/>
    <xf numFmtId="0" fontId="72" fillId="34" borderId="0" xfId="44" applyFont="1" applyFill="1" applyBorder="1" applyAlignment="1">
      <alignment horizontal="center"/>
    </xf>
    <xf numFmtId="0" fontId="73" fillId="0" borderId="0" xfId="0" applyFont="1"/>
    <xf numFmtId="0" fontId="75" fillId="36" borderId="0" xfId="0" applyFont="1" applyFill="1" applyBorder="1"/>
    <xf numFmtId="0" fontId="76" fillId="38" borderId="0" xfId="45" applyNumberFormat="1" applyFont="1" applyFill="1" applyBorder="1" applyAlignment="1" applyProtection="1">
      <alignment horizontal="left"/>
    </xf>
    <xf numFmtId="0" fontId="76" fillId="38" borderId="0" xfId="46" applyNumberFormat="1" applyFont="1" applyFill="1" applyBorder="1" applyAlignment="1" applyProtection="1">
      <alignment horizontal="right"/>
    </xf>
    <xf numFmtId="0" fontId="76" fillId="38" borderId="0" xfId="48" applyNumberFormat="1" applyFont="1" applyFill="1" applyBorder="1" applyAlignment="1" applyProtection="1">
      <alignment horizontal="right"/>
    </xf>
    <xf numFmtId="0" fontId="76" fillId="36" borderId="0" xfId="48" applyNumberFormat="1" applyFont="1" applyFill="1" applyBorder="1" applyAlignment="1" applyProtection="1">
      <alignment horizontal="right"/>
    </xf>
    <xf numFmtId="0" fontId="75" fillId="0" borderId="0" xfId="0" applyFont="1"/>
    <xf numFmtId="0" fontId="67" fillId="0" borderId="0" xfId="58" applyNumberFormat="1" applyFont="1" applyFill="1" applyBorder="1" applyAlignment="1" applyProtection="1">
      <alignment wrapText="1"/>
    </xf>
    <xf numFmtId="4" fontId="67" fillId="0" borderId="0" xfId="56" applyNumberFormat="1" applyFont="1" applyFill="1" applyBorder="1" applyAlignment="1" applyProtection="1">
      <alignment horizontal="right"/>
    </xf>
    <xf numFmtId="10" fontId="67" fillId="0" borderId="0" xfId="56" applyNumberFormat="1" applyFont="1" applyFill="1" applyBorder="1"/>
    <xf numFmtId="0" fontId="59" fillId="0" borderId="0" xfId="0" applyFont="1" applyFill="1" applyBorder="1"/>
    <xf numFmtId="0" fontId="16" fillId="39" borderId="2" xfId="55" applyFont="1" applyFill="1" applyBorder="1"/>
    <xf numFmtId="0" fontId="0" fillId="37" borderId="12" xfId="0" applyFont="1" applyFill="1" applyBorder="1" applyAlignment="1">
      <alignment horizontal="left"/>
    </xf>
    <xf numFmtId="0" fontId="0" fillId="36" borderId="12" xfId="0" applyFont="1" applyFill="1" applyBorder="1" applyAlignment="1">
      <alignment horizontal="left"/>
    </xf>
    <xf numFmtId="166" fontId="0" fillId="0" borderId="20" xfId="56" applyNumberFormat="1" applyFont="1" applyBorder="1"/>
    <xf numFmtId="166" fontId="0" fillId="0" borderId="21" xfId="56" applyNumberFormat="1" applyFont="1" applyBorder="1"/>
    <xf numFmtId="166" fontId="0" fillId="0" borderId="22" xfId="56" applyNumberFormat="1" applyFont="1" applyBorder="1"/>
    <xf numFmtId="166" fontId="0" fillId="0" borderId="0" xfId="56" applyNumberFormat="1" applyFont="1" applyBorder="1"/>
    <xf numFmtId="166" fontId="17" fillId="36" borderId="1" xfId="56" applyNumberFormat="1" applyFont="1" applyFill="1" applyBorder="1"/>
    <xf numFmtId="0" fontId="0" fillId="0" borderId="0" xfId="0" applyAlignment="1">
      <alignment horizontal="right"/>
    </xf>
    <xf numFmtId="0" fontId="0" fillId="0" borderId="21" xfId="0" applyBorder="1"/>
    <xf numFmtId="166" fontId="78" fillId="36" borderId="0" xfId="56" applyNumberFormat="1" applyFont="1" applyFill="1" applyBorder="1"/>
    <xf numFmtId="0" fontId="0" fillId="0" borderId="2" xfId="0" applyBorder="1"/>
    <xf numFmtId="0" fontId="0" fillId="0" borderId="0" xfId="0" applyFill="1" applyBorder="1"/>
    <xf numFmtId="166" fontId="17" fillId="36" borderId="12" xfId="56" applyNumberFormat="1" applyFont="1" applyFill="1" applyBorder="1"/>
    <xf numFmtId="10" fontId="33" fillId="36" borderId="23" xfId="56" applyNumberFormat="1" applyFont="1" applyFill="1" applyBorder="1"/>
    <xf numFmtId="0" fontId="0" fillId="39" borderId="15" xfId="0" applyFill="1" applyBorder="1"/>
    <xf numFmtId="0" fontId="32" fillId="39" borderId="2" xfId="0" applyFont="1" applyFill="1" applyBorder="1" applyAlignment="1">
      <alignment horizontal="center"/>
    </xf>
    <xf numFmtId="0" fontId="32" fillId="39" borderId="23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13" fillId="36" borderId="0" xfId="44" applyFont="1" applyFill="1" applyBorder="1" applyAlignment="1">
      <alignment horizontal="center"/>
    </xf>
    <xf numFmtId="0" fontId="14" fillId="38" borderId="0" xfId="47" applyFill="1" applyBorder="1" applyAlignment="1">
      <alignment horizontal="center"/>
    </xf>
    <xf numFmtId="0" fontId="81" fillId="38" borderId="25" xfId="47" applyFont="1" applyFill="1" applyBorder="1" applyAlignment="1">
      <alignment horizontal="center"/>
    </xf>
    <xf numFmtId="0" fontId="14" fillId="38" borderId="25" xfId="47" applyFill="1" applyBorder="1" applyAlignment="1">
      <alignment horizontal="center"/>
    </xf>
    <xf numFmtId="0" fontId="83" fillId="34" borderId="24" xfId="44" applyFont="1" applyFill="1" applyBorder="1" applyAlignment="1">
      <alignment horizontal="left"/>
    </xf>
    <xf numFmtId="0" fontId="13" fillId="36" borderId="24" xfId="44" applyFont="1" applyFill="1" applyBorder="1" applyAlignment="1">
      <alignment horizontal="center"/>
    </xf>
    <xf numFmtId="0" fontId="13" fillId="34" borderId="24" xfId="44" applyFont="1" applyFill="1" applyBorder="1" applyAlignment="1">
      <alignment horizontal="center"/>
    </xf>
    <xf numFmtId="0" fontId="0" fillId="0" borderId="24" xfId="0" applyBorder="1"/>
    <xf numFmtId="10" fontId="0" fillId="39" borderId="0" xfId="56" applyNumberFormat="1" applyFont="1" applyFill="1"/>
    <xf numFmtId="0" fontId="0" fillId="39" borderId="0" xfId="0" applyFill="1"/>
    <xf numFmtId="0" fontId="0" fillId="37" borderId="12" xfId="0" applyFont="1" applyFill="1" applyBorder="1" applyAlignment="1">
      <alignment horizontal="left" indent="1"/>
    </xf>
    <xf numFmtId="0" fontId="0" fillId="0" borderId="0" xfId="0" applyFont="1"/>
    <xf numFmtId="0" fontId="84" fillId="0" borderId="0" xfId="0" applyFont="1" applyAlignment="1">
      <alignment horizontal="left"/>
    </xf>
    <xf numFmtId="0" fontId="0" fillId="0" borderId="0" xfId="0" applyFill="1" applyBorder="1" applyAlignment="1"/>
    <xf numFmtId="0" fontId="0" fillId="0" borderId="24" xfId="0" applyFill="1" applyBorder="1" applyAlignment="1"/>
    <xf numFmtId="0" fontId="0" fillId="39" borderId="2" xfId="0" applyFill="1" applyBorder="1"/>
    <xf numFmtId="0" fontId="16" fillId="36" borderId="0" xfId="55" applyFont="1" applyFill="1" applyBorder="1"/>
    <xf numFmtId="0" fontId="16" fillId="35" borderId="0" xfId="55" applyFont="1" applyFill="1" applyBorder="1"/>
    <xf numFmtId="0" fontId="0" fillId="0" borderId="2" xfId="0" applyFill="1" applyBorder="1" applyAlignment="1"/>
    <xf numFmtId="10" fontId="0" fillId="0" borderId="2" xfId="0" applyNumberFormat="1" applyFill="1" applyBorder="1" applyAlignment="1"/>
    <xf numFmtId="10" fontId="0" fillId="0" borderId="0" xfId="56" applyNumberFormat="1" applyFont="1"/>
    <xf numFmtId="10" fontId="0" fillId="0" borderId="0" xfId="0" applyNumberFormat="1" applyFill="1" applyBorder="1" applyAlignment="1"/>
    <xf numFmtId="0" fontId="0" fillId="0" borderId="21" xfId="0" applyFill="1" applyBorder="1" applyAlignment="1"/>
    <xf numFmtId="10" fontId="0" fillId="0" borderId="21" xfId="0" applyNumberFormat="1" applyFill="1" applyBorder="1" applyAlignment="1"/>
    <xf numFmtId="0" fontId="0" fillId="0" borderId="26" xfId="0" applyBorder="1"/>
    <xf numFmtId="0" fontId="0" fillId="0" borderId="26" xfId="0" applyBorder="1" applyAlignment="1">
      <alignment horizontal="right"/>
    </xf>
    <xf numFmtId="3" fontId="0" fillId="0" borderId="0" xfId="0" applyNumberFormat="1"/>
    <xf numFmtId="0" fontId="0" fillId="0" borderId="0" xfId="0" applyFill="1"/>
    <xf numFmtId="169" fontId="0" fillId="0" borderId="0" xfId="0" applyNumberFormat="1"/>
    <xf numFmtId="0" fontId="0" fillId="0" borderId="24" xfId="0" applyFill="1" applyBorder="1"/>
    <xf numFmtId="10" fontId="0" fillId="0" borderId="0" xfId="0" applyNumberFormat="1" applyFill="1"/>
    <xf numFmtId="0" fontId="0" fillId="0" borderId="0" xfId="0" applyNumberFormat="1" applyFill="1"/>
    <xf numFmtId="171" fontId="0" fillId="0" borderId="0" xfId="0" applyNumberFormat="1"/>
    <xf numFmtId="169" fontId="0" fillId="0" borderId="24" xfId="0" applyNumberFormat="1" applyBorder="1"/>
    <xf numFmtId="171" fontId="0" fillId="0" borderId="24" xfId="0" applyNumberFormat="1" applyBorder="1"/>
    <xf numFmtId="3" fontId="0" fillId="0" borderId="24" xfId="0" applyNumberFormat="1" applyBorder="1"/>
    <xf numFmtId="172" fontId="0" fillId="0" borderId="0" xfId="59" applyNumberFormat="1" applyFont="1"/>
    <xf numFmtId="173" fontId="0" fillId="0" borderId="0" xfId="56" applyNumberFormat="1" applyFont="1"/>
    <xf numFmtId="171" fontId="0" fillId="0" borderId="0" xfId="59" applyNumberFormat="1" applyFont="1"/>
    <xf numFmtId="14" fontId="0" fillId="0" borderId="0" xfId="56" applyNumberFormat="1" applyFont="1"/>
    <xf numFmtId="10" fontId="0" fillId="0" borderId="0" xfId="0" applyNumberFormat="1"/>
    <xf numFmtId="172" fontId="0" fillId="0" borderId="0" xfId="0" applyNumberFormat="1"/>
    <xf numFmtId="174" fontId="0" fillId="0" borderId="0" xfId="0" applyNumberFormat="1"/>
    <xf numFmtId="0" fontId="0" fillId="40" borderId="2" xfId="0" applyFill="1" applyBorder="1" applyAlignment="1"/>
    <xf numFmtId="10" fontId="0" fillId="40" borderId="2" xfId="0" applyNumberFormat="1" applyFill="1" applyBorder="1" applyAlignment="1"/>
    <xf numFmtId="0" fontId="0" fillId="40" borderId="0" xfId="0" applyFill="1" applyBorder="1" applyAlignment="1"/>
    <xf numFmtId="10" fontId="0" fillId="40" borderId="0" xfId="0" applyNumberFormat="1" applyFill="1" applyBorder="1" applyAlignment="1"/>
    <xf numFmtId="0" fontId="0" fillId="40" borderId="21" xfId="0" applyFill="1" applyBorder="1" applyAlignment="1"/>
    <xf numFmtId="10" fontId="0" fillId="40" borderId="21" xfId="0" applyNumberFormat="1" applyFill="1" applyBorder="1" applyAlignment="1"/>
    <xf numFmtId="0" fontId="0" fillId="36" borderId="0" xfId="0" applyFont="1" applyFill="1" applyBorder="1"/>
    <xf numFmtId="0" fontId="88" fillId="36" borderId="0" xfId="0" applyFont="1" applyFill="1" applyBorder="1"/>
    <xf numFmtId="0" fontId="89" fillId="36" borderId="0" xfId="0" applyFont="1" applyFill="1" applyBorder="1"/>
    <xf numFmtId="0" fontId="80" fillId="36" borderId="0" xfId="42" quotePrefix="1" applyNumberFormat="1" applyFont="1" applyFill="1" applyBorder="1" applyAlignment="1" applyProtection="1">
      <alignment vertical="center" wrapText="1"/>
    </xf>
    <xf numFmtId="0" fontId="75" fillId="36" borderId="0" xfId="0" applyFont="1" applyFill="1" applyBorder="1" applyAlignment="1">
      <alignment horizontal="center" vertical="center"/>
    </xf>
    <xf numFmtId="171" fontId="0" fillId="36" borderId="0" xfId="60" applyNumberFormat="1" applyFont="1" applyFill="1" applyBorder="1" applyAlignment="1">
      <alignment horizontal="right"/>
    </xf>
    <xf numFmtId="166" fontId="0" fillId="36" borderId="0" xfId="56" applyNumberFormat="1" applyFont="1" applyFill="1" applyBorder="1" applyAlignment="1">
      <alignment horizontal="right"/>
    </xf>
    <xf numFmtId="166" fontId="0" fillId="36" borderId="21" xfId="56" applyNumberFormat="1" applyFont="1" applyFill="1" applyBorder="1" applyAlignment="1">
      <alignment horizontal="right"/>
    </xf>
    <xf numFmtId="0" fontId="7" fillId="0" borderId="0" xfId="0" applyFont="1"/>
    <xf numFmtId="0" fontId="75" fillId="0" borderId="0" xfId="0" applyFont="1" applyBorder="1"/>
    <xf numFmtId="0" fontId="0" fillId="36" borderId="21" xfId="0" applyFill="1" applyBorder="1"/>
    <xf numFmtId="0" fontId="0" fillId="36" borderId="0" xfId="0" applyFill="1"/>
    <xf numFmtId="0" fontId="90" fillId="36" borderId="12" xfId="0" applyFont="1" applyFill="1" applyBorder="1"/>
    <xf numFmtId="0" fontId="90" fillId="36" borderId="0" xfId="0" applyFont="1" applyFill="1" applyBorder="1"/>
    <xf numFmtId="0" fontId="0" fillId="36" borderId="2" xfId="0" applyFill="1" applyBorder="1"/>
    <xf numFmtId="0" fontId="71" fillId="0" borderId="0" xfId="0" applyFont="1" applyBorder="1"/>
    <xf numFmtId="0" fontId="75" fillId="0" borderId="24" xfId="0" applyFont="1" applyBorder="1"/>
    <xf numFmtId="0" fontId="75" fillId="36" borderId="12" xfId="0" applyFont="1" applyFill="1" applyBorder="1"/>
    <xf numFmtId="0" fontId="75" fillId="36" borderId="0" xfId="0" applyFont="1" applyFill="1"/>
    <xf numFmtId="0" fontId="71" fillId="36" borderId="0" xfId="0" applyFont="1" applyFill="1"/>
    <xf numFmtId="0" fontId="85" fillId="0" borderId="19" xfId="0" applyFont="1" applyFill="1" applyBorder="1" applyAlignment="1">
      <alignment horizontal="center"/>
    </xf>
    <xf numFmtId="0" fontId="85" fillId="0" borderId="19" xfId="0" applyFont="1" applyFill="1" applyBorder="1" applyAlignment="1">
      <alignment horizontal="centerContinuous"/>
    </xf>
    <xf numFmtId="169" fontId="0" fillId="37" borderId="12" xfId="0" applyNumberFormat="1" applyFont="1" applyFill="1" applyBorder="1"/>
    <xf numFmtId="0" fontId="0" fillId="40" borderId="24" xfId="0" applyFill="1" applyBorder="1" applyAlignment="1"/>
    <xf numFmtId="0" fontId="17" fillId="0" borderId="0" xfId="0" applyFont="1"/>
    <xf numFmtId="0" fontId="14" fillId="36" borderId="0" xfId="47" applyFont="1" applyFill="1" applyBorder="1">
      <alignment horizontal="left"/>
    </xf>
    <xf numFmtId="164" fontId="8" fillId="34" borderId="0" xfId="54" applyNumberFormat="1" applyFont="1" applyFill="1" applyBorder="1" applyAlignment="1" applyProtection="1">
      <alignment horizontal="left" vertical="top"/>
    </xf>
    <xf numFmtId="3" fontId="8" fillId="0" borderId="0" xfId="54" applyNumberFormat="1" applyFont="1" applyFill="1" applyBorder="1" applyAlignment="1" applyProtection="1">
      <alignment horizontal="right"/>
    </xf>
    <xf numFmtId="2" fontId="8" fillId="0" borderId="0" xfId="54" applyNumberFormat="1" applyFont="1" applyFill="1" applyBorder="1" applyAlignment="1" applyProtection="1">
      <alignment horizontal="right"/>
    </xf>
    <xf numFmtId="0" fontId="17" fillId="36" borderId="0" xfId="0" applyFont="1" applyFill="1" applyBorder="1"/>
    <xf numFmtId="164" fontId="15" fillId="36" borderId="0" xfId="54" applyNumberFormat="1" applyFont="1" applyFill="1" applyBorder="1" applyAlignment="1" applyProtection="1">
      <alignment horizontal="right"/>
    </xf>
    <xf numFmtId="0" fontId="36" fillId="0" borderId="0" xfId="0" applyFont="1"/>
    <xf numFmtId="0" fontId="76" fillId="36" borderId="0" xfId="45" applyNumberFormat="1" applyFont="1" applyFill="1" applyBorder="1" applyAlignment="1" applyProtection="1">
      <alignment horizontal="left"/>
    </xf>
    <xf numFmtId="0" fontId="76" fillId="36" borderId="0" xfId="46" applyNumberFormat="1" applyFont="1" applyFill="1" applyBorder="1" applyAlignment="1" applyProtection="1">
      <alignment horizontal="right"/>
    </xf>
    <xf numFmtId="0" fontId="71" fillId="0" borderId="0" xfId="0" applyFont="1" applyBorder="1" applyAlignment="1">
      <alignment horizontal="center" vertical="center"/>
    </xf>
    <xf numFmtId="0" fontId="17" fillId="0" borderId="0" xfId="0" applyFont="1" applyBorder="1"/>
    <xf numFmtId="0" fontId="10" fillId="0" borderId="0" xfId="58" applyNumberFormat="1" applyFont="1" applyFill="1" applyBorder="1" applyAlignment="1" applyProtection="1"/>
    <xf numFmtId="0" fontId="49" fillId="36" borderId="0" xfId="45" applyNumberFormat="1" applyFont="1" applyFill="1" applyBorder="1" applyAlignment="1" applyProtection="1">
      <alignment horizontal="left"/>
    </xf>
    <xf numFmtId="0" fontId="11" fillId="36" borderId="0" xfId="45" applyNumberFormat="1" applyFont="1" applyFill="1" applyBorder="1" applyAlignment="1" applyProtection="1">
      <alignment horizontal="left"/>
    </xf>
    <xf numFmtId="0" fontId="74" fillId="41" borderId="27" xfId="45" applyNumberFormat="1" applyFont="1" applyFill="1" applyBorder="1" applyAlignment="1" applyProtection="1">
      <alignment horizontal="center" vertical="center"/>
    </xf>
    <xf numFmtId="0" fontId="41" fillId="39" borderId="29" xfId="46" applyNumberFormat="1" applyFont="1" applyFill="1" applyBorder="1" applyAlignment="1" applyProtection="1">
      <alignment horizontal="left" vertical="center"/>
    </xf>
    <xf numFmtId="10" fontId="41" fillId="39" borderId="30" xfId="56" quotePrefix="1" applyNumberFormat="1" applyFont="1" applyFill="1" applyBorder="1" applyAlignment="1" applyProtection="1">
      <alignment horizontal="center" vertical="center"/>
    </xf>
    <xf numFmtId="0" fontId="83" fillId="36" borderId="0" xfId="0" applyFont="1" applyFill="1"/>
    <xf numFmtId="0" fontId="11" fillId="36" borderId="0" xfId="0" applyFont="1" applyFill="1"/>
    <xf numFmtId="0" fontId="36" fillId="0" borderId="0" xfId="0" applyFont="1" applyBorder="1"/>
    <xf numFmtId="0" fontId="11" fillId="36" borderId="2" xfId="0" applyFont="1" applyFill="1" applyBorder="1"/>
    <xf numFmtId="0" fontId="11" fillId="36" borderId="0" xfId="0" applyFont="1" applyFill="1" applyBorder="1"/>
    <xf numFmtId="0" fontId="11" fillId="36" borderId="21" xfId="0" applyFont="1" applyFill="1" applyBorder="1"/>
    <xf numFmtId="43" fontId="11" fillId="36" borderId="2" xfId="60" applyFont="1" applyFill="1" applyBorder="1" applyAlignment="1">
      <alignment horizontal="right"/>
    </xf>
    <xf numFmtId="43" fontId="11" fillId="36" borderId="0" xfId="60" applyFont="1" applyFill="1" applyBorder="1" applyAlignment="1">
      <alignment horizontal="right"/>
    </xf>
    <xf numFmtId="43" fontId="11" fillId="36" borderId="21" xfId="60" applyFont="1" applyFill="1" applyBorder="1" applyAlignment="1">
      <alignment horizontal="right"/>
    </xf>
    <xf numFmtId="10" fontId="7" fillId="0" borderId="0" xfId="56" applyNumberFormat="1" applyFont="1" applyBorder="1" applyAlignment="1">
      <alignment horizontal="right"/>
    </xf>
    <xf numFmtId="10" fontId="75" fillId="0" borderId="0" xfId="56" applyNumberFormat="1" applyFont="1" applyBorder="1" applyAlignment="1">
      <alignment horizontal="right"/>
    </xf>
    <xf numFmtId="0" fontId="64" fillId="36" borderId="24" xfId="45" applyNumberFormat="1" applyFont="1" applyFill="1" applyBorder="1" applyAlignment="1" applyProtection="1">
      <alignment horizontal="left"/>
    </xf>
    <xf numFmtId="0" fontId="64" fillId="36" borderId="24" xfId="46" applyNumberFormat="1" applyFont="1" applyFill="1" applyBorder="1" applyAlignment="1" applyProtection="1">
      <alignment horizontal="right"/>
    </xf>
    <xf numFmtId="0" fontId="64" fillId="36" borderId="24" xfId="48" applyNumberFormat="1" applyFont="1" applyFill="1" applyBorder="1" applyAlignment="1" applyProtection="1">
      <alignment horizontal="right"/>
    </xf>
    <xf numFmtId="0" fontId="65" fillId="36" borderId="24" xfId="0" applyFont="1" applyFill="1" applyBorder="1"/>
    <xf numFmtId="0" fontId="41" fillId="36" borderId="24" xfId="45" applyNumberFormat="1" applyFont="1" applyFill="1" applyBorder="1" applyAlignment="1" applyProtection="1">
      <alignment horizontal="left"/>
    </xf>
    <xf numFmtId="0" fontId="88" fillId="0" borderId="0" xfId="0" applyFont="1" applyBorder="1"/>
    <xf numFmtId="0" fontId="59" fillId="0" borderId="0" xfId="0" applyFont="1" applyBorder="1"/>
    <xf numFmtId="10" fontId="88" fillId="0" borderId="0" xfId="56" applyNumberFormat="1" applyFont="1" applyBorder="1"/>
    <xf numFmtId="4" fontId="88" fillId="0" borderId="0" xfId="0" applyNumberFormat="1" applyFont="1" applyBorder="1"/>
    <xf numFmtId="4" fontId="59" fillId="0" borderId="0" xfId="0" applyNumberFormat="1" applyFont="1" applyBorder="1"/>
    <xf numFmtId="0" fontId="88" fillId="0" borderId="0" xfId="0" applyFont="1" applyFill="1" applyBorder="1"/>
    <xf numFmtId="0" fontId="0" fillId="0" borderId="0" xfId="0" applyFont="1" applyBorder="1"/>
    <xf numFmtId="10" fontId="41" fillId="42" borderId="29" xfId="56" applyNumberFormat="1" applyFont="1" applyFill="1" applyBorder="1" applyAlignment="1" applyProtection="1">
      <alignment horizontal="left" vertical="center"/>
    </xf>
    <xf numFmtId="10" fontId="41" fillId="42" borderId="12" xfId="56" applyNumberFormat="1" applyFont="1" applyFill="1" applyBorder="1" applyAlignment="1" applyProtection="1">
      <alignment horizontal="left" vertical="center"/>
    </xf>
    <xf numFmtId="10" fontId="41" fillId="42" borderId="30" xfId="56" applyNumberFormat="1" applyFont="1" applyFill="1" applyBorder="1" applyAlignment="1" applyProtection="1">
      <alignment horizontal="center" vertical="center"/>
    </xf>
    <xf numFmtId="0" fontId="67" fillId="36" borderId="2" xfId="58" applyNumberFormat="1" applyFont="1" applyFill="1" applyBorder="1" applyAlignment="1" applyProtection="1">
      <alignment wrapText="1"/>
    </xf>
    <xf numFmtId="4" fontId="67" fillId="36" borderId="2" xfId="54" applyNumberFormat="1" applyFont="1" applyFill="1" applyBorder="1" applyAlignment="1" applyProtection="1">
      <alignment horizontal="right"/>
    </xf>
    <xf numFmtId="164" fontId="67" fillId="36" borderId="2" xfId="54" applyNumberFormat="1" applyFont="1" applyFill="1" applyBorder="1" applyAlignment="1" applyProtection="1">
      <alignment horizontal="right"/>
    </xf>
    <xf numFmtId="4" fontId="67" fillId="36" borderId="2" xfId="56" applyNumberFormat="1" applyFont="1" applyFill="1" applyBorder="1"/>
    <xf numFmtId="0" fontId="67" fillId="36" borderId="21" xfId="58" applyNumberFormat="1" applyFont="1" applyFill="1" applyBorder="1" applyAlignment="1" applyProtection="1"/>
    <xf numFmtId="4" fontId="67" fillId="36" borderId="21" xfId="54" applyNumberFormat="1" applyFont="1" applyFill="1" applyBorder="1" applyAlignment="1" applyProtection="1">
      <alignment horizontal="right"/>
    </xf>
    <xf numFmtId="164" fontId="67" fillId="36" borderId="21" xfId="54" applyNumberFormat="1" applyFont="1" applyFill="1" applyBorder="1" applyAlignment="1" applyProtection="1">
      <alignment horizontal="right"/>
    </xf>
    <xf numFmtId="4" fontId="67" fillId="36" borderId="21" xfId="0" applyNumberFormat="1" applyFont="1" applyFill="1" applyBorder="1"/>
    <xf numFmtId="0" fontId="67" fillId="36" borderId="2" xfId="58" applyNumberFormat="1" applyFont="1" applyFill="1" applyBorder="1" applyAlignment="1" applyProtection="1"/>
    <xf numFmtId="4" fontId="68" fillId="36" borderId="2" xfId="55" applyNumberFormat="1" applyFont="1" applyFill="1" applyBorder="1"/>
    <xf numFmtId="164" fontId="67" fillId="36" borderId="2" xfId="0" applyNumberFormat="1" applyFont="1" applyFill="1" applyBorder="1"/>
    <xf numFmtId="164" fontId="68" fillId="36" borderId="2" xfId="55" applyNumberFormat="1" applyFont="1" applyFill="1" applyBorder="1"/>
    <xf numFmtId="0" fontId="67" fillId="36" borderId="21" xfId="0" applyFont="1" applyFill="1" applyBorder="1"/>
    <xf numFmtId="164" fontId="67" fillId="36" borderId="21" xfId="0" applyNumberFormat="1" applyFont="1" applyFill="1" applyBorder="1"/>
    <xf numFmtId="0" fontId="49" fillId="36" borderId="12" xfId="45" applyNumberFormat="1" applyFont="1" applyFill="1" applyBorder="1" applyAlignment="1" applyProtection="1"/>
    <xf numFmtId="166" fontId="49" fillId="36" borderId="12" xfId="56" applyNumberFormat="1" applyFont="1" applyFill="1" applyBorder="1" applyAlignment="1" applyProtection="1"/>
    <xf numFmtId="0" fontId="10" fillId="0" borderId="2" xfId="58" applyNumberFormat="1" applyFont="1" applyFill="1" applyBorder="1" applyAlignment="1" applyProtection="1"/>
    <xf numFmtId="10" fontId="8" fillId="0" borderId="2" xfId="54" applyNumberFormat="1" applyFont="1" applyFill="1" applyBorder="1" applyAlignment="1" applyProtection="1">
      <alignment horizontal="right"/>
    </xf>
    <xf numFmtId="0" fontId="10" fillId="0" borderId="21" xfId="58" applyNumberFormat="1" applyFont="1" applyFill="1" applyBorder="1" applyAlignment="1" applyProtection="1"/>
    <xf numFmtId="3" fontId="8" fillId="0" borderId="21" xfId="54" applyNumberFormat="1" applyFont="1" applyFill="1" applyBorder="1" applyAlignment="1" applyProtection="1">
      <alignment horizontal="right"/>
    </xf>
    <xf numFmtId="0" fontId="35" fillId="37" borderId="19" xfId="52" applyNumberFormat="1" applyFont="1" applyFill="1" applyBorder="1" applyAlignment="1" applyProtection="1"/>
    <xf numFmtId="164" fontId="15" fillId="37" borderId="19" xfId="54" applyNumberFormat="1" applyFont="1" applyFill="1" applyBorder="1" applyAlignment="1" applyProtection="1">
      <alignment horizontal="right"/>
    </xf>
    <xf numFmtId="0" fontId="41" fillId="36" borderId="0" xfId="48" applyNumberFormat="1" applyFont="1" applyFill="1" applyBorder="1" applyAlignment="1" applyProtection="1">
      <alignment horizontal="right"/>
    </xf>
    <xf numFmtId="164" fontId="8" fillId="34" borderId="0" xfId="54" applyNumberFormat="1" applyFont="1" applyFill="1" applyBorder="1" applyAlignment="1" applyProtection="1">
      <alignment horizontal="right"/>
    </xf>
    <xf numFmtId="164" fontId="8" fillId="34" borderId="2" xfId="54" applyNumberFormat="1" applyFont="1" applyFill="1" applyBorder="1" applyAlignment="1" applyProtection="1">
      <alignment horizontal="left" vertical="top"/>
    </xf>
    <xf numFmtId="164" fontId="8" fillId="34" borderId="2" xfId="54" applyNumberFormat="1" applyFont="1" applyFill="1" applyBorder="1" applyAlignment="1" applyProtection="1">
      <alignment horizontal="right"/>
    </xf>
    <xf numFmtId="164" fontId="8" fillId="34" borderId="21" xfId="54" applyNumberFormat="1" applyFont="1" applyFill="1" applyBorder="1" applyAlignment="1" applyProtection="1">
      <alignment horizontal="left" vertical="top"/>
    </xf>
    <xf numFmtId="164" fontId="8" fillId="34" borderId="21" xfId="54" applyNumberFormat="1" applyFont="1" applyFill="1" applyBorder="1" applyAlignment="1" applyProtection="1">
      <alignment horizontal="right"/>
    </xf>
    <xf numFmtId="0" fontId="32" fillId="0" borderId="0" xfId="0" applyFont="1"/>
    <xf numFmtId="3" fontId="8" fillId="0" borderId="2" xfId="54" applyNumberFormat="1" applyFont="1" applyFill="1" applyBorder="1" applyAlignment="1" applyProtection="1">
      <alignment horizontal="right"/>
    </xf>
    <xf numFmtId="4" fontId="8" fillId="0" borderId="21" xfId="54" applyNumberFormat="1" applyFont="1" applyFill="1" applyBorder="1" applyAlignment="1" applyProtection="1">
      <alignment horizontal="right"/>
    </xf>
    <xf numFmtId="0" fontId="83" fillId="37" borderId="19" xfId="0" applyFont="1" applyFill="1" applyBorder="1"/>
    <xf numFmtId="43" fontId="83" fillId="37" borderId="19" xfId="60" applyFont="1" applyFill="1" applyBorder="1" applyAlignment="1">
      <alignment horizontal="right"/>
    </xf>
    <xf numFmtId="0" fontId="78" fillId="36" borderId="0" xfId="0" applyFont="1" applyFill="1" applyBorder="1"/>
    <xf numFmtId="0" fontId="41" fillId="37" borderId="12" xfId="52" applyNumberFormat="1" applyFont="1" applyFill="1" applyBorder="1" applyAlignment="1" applyProtection="1"/>
    <xf numFmtId="164" fontId="41" fillId="37" borderId="12" xfId="54" applyNumberFormat="1" applyFont="1" applyFill="1" applyBorder="1" applyAlignment="1" applyProtection="1">
      <alignment horizontal="right"/>
    </xf>
    <xf numFmtId="164" fontId="88" fillId="0" borderId="0" xfId="0" applyNumberFormat="1" applyFont="1" applyBorder="1"/>
    <xf numFmtId="0" fontId="35" fillId="40" borderId="12" xfId="58" applyNumberFormat="1" applyFont="1" applyFill="1" applyBorder="1" applyAlignment="1" applyProtection="1"/>
    <xf numFmtId="4" fontId="15" fillId="40" borderId="12" xfId="54" applyNumberFormat="1" applyFont="1" applyFill="1" applyBorder="1" applyAlignment="1" applyProtection="1">
      <alignment horizontal="right"/>
    </xf>
    <xf numFmtId="164" fontId="15" fillId="37" borderId="12" xfId="54" applyNumberFormat="1" applyFont="1" applyFill="1" applyBorder="1" applyAlignment="1" applyProtection="1">
      <alignment horizontal="left"/>
    </xf>
    <xf numFmtId="164" fontId="15" fillId="37" borderId="12" xfId="54" applyNumberFormat="1" applyFont="1" applyFill="1" applyBorder="1" applyAlignment="1" applyProtection="1">
      <alignment horizontal="right"/>
    </xf>
    <xf numFmtId="164" fontId="15" fillId="37" borderId="19" xfId="54" applyNumberFormat="1" applyFont="1" applyFill="1" applyBorder="1" applyAlignment="1" applyProtection="1">
      <alignment horizontal="left"/>
    </xf>
    <xf numFmtId="175" fontId="15" fillId="37" borderId="19" xfId="54" applyNumberFormat="1" applyFont="1" applyFill="1" applyBorder="1" applyAlignment="1" applyProtection="1">
      <alignment horizontal="right"/>
    </xf>
    <xf numFmtId="0" fontId="32" fillId="37" borderId="21" xfId="0" applyFont="1" applyFill="1" applyBorder="1" applyAlignment="1">
      <alignment horizontal="left"/>
    </xf>
    <xf numFmtId="10" fontId="32" fillId="37" borderId="21" xfId="0" applyNumberFormat="1" applyFont="1" applyFill="1" applyBorder="1" applyAlignment="1">
      <alignment horizontal="right"/>
    </xf>
    <xf numFmtId="0" fontId="32" fillId="37" borderId="28" xfId="0" applyFont="1" applyFill="1" applyBorder="1" applyAlignment="1">
      <alignment horizontal="left"/>
    </xf>
    <xf numFmtId="0" fontId="32" fillId="37" borderId="0" xfId="0" applyFont="1" applyFill="1" applyBorder="1" applyAlignment="1">
      <alignment horizontal="left"/>
    </xf>
    <xf numFmtId="0" fontId="32" fillId="40" borderId="19" xfId="0" applyFont="1" applyFill="1" applyBorder="1"/>
    <xf numFmtId="0" fontId="39" fillId="38" borderId="0" xfId="45" applyNumberFormat="1" applyFont="1" applyFill="1" applyBorder="1" applyAlignment="1" applyProtection="1">
      <alignment horizontal="center"/>
    </xf>
    <xf numFmtId="170" fontId="0" fillId="0" borderId="0" xfId="59" applyNumberFormat="1" applyFont="1" applyFill="1"/>
    <xf numFmtId="10" fontId="0" fillId="0" borderId="0" xfId="56" applyNumberFormat="1" applyFont="1" applyFill="1"/>
    <xf numFmtId="171" fontId="0" fillId="0" borderId="24" xfId="59" applyNumberFormat="1" applyFont="1" applyBorder="1"/>
    <xf numFmtId="169" fontId="0" fillId="0" borderId="0" xfId="0" applyNumberFormat="1" applyFill="1" applyBorder="1"/>
    <xf numFmtId="0" fontId="49" fillId="36" borderId="0" xfId="58" applyNumberFormat="1" applyFont="1" applyFill="1" applyBorder="1" applyAlignment="1" applyProtection="1">
      <alignment wrapText="1"/>
    </xf>
    <xf numFmtId="2" fontId="49" fillId="36" borderId="0" xfId="54" applyNumberFormat="1" applyFont="1" applyFill="1" applyBorder="1" applyAlignment="1" applyProtection="1">
      <alignment horizontal="right"/>
    </xf>
    <xf numFmtId="43" fontId="14" fillId="38" borderId="0" xfId="60" applyFont="1" applyFill="1" applyBorder="1" applyAlignment="1" applyProtection="1">
      <alignment horizontal="right"/>
    </xf>
    <xf numFmtId="10" fontId="0" fillId="36" borderId="2" xfId="56" applyNumberFormat="1" applyFont="1" applyFill="1" applyBorder="1" applyAlignment="1">
      <alignment horizontal="right"/>
    </xf>
    <xf numFmtId="10" fontId="0" fillId="36" borderId="21" xfId="56" applyNumberFormat="1" applyFont="1" applyFill="1" applyBorder="1" applyAlignment="1">
      <alignment horizontal="right"/>
    </xf>
    <xf numFmtId="43" fontId="83" fillId="40" borderId="19" xfId="60" applyFont="1" applyFill="1" applyBorder="1" applyAlignment="1">
      <alignment horizontal="right"/>
    </xf>
    <xf numFmtId="9" fontId="0" fillId="36" borderId="12" xfId="0" applyNumberFormat="1" applyFill="1" applyBorder="1"/>
    <xf numFmtId="171" fontId="0" fillId="36" borderId="2" xfId="60" applyNumberFormat="1" applyFont="1" applyFill="1" applyBorder="1" applyAlignment="1">
      <alignment horizontal="right"/>
    </xf>
    <xf numFmtId="2" fontId="49" fillId="36" borderId="12" xfId="56" applyNumberFormat="1" applyFont="1" applyFill="1" applyBorder="1" applyAlignment="1" applyProtection="1"/>
    <xf numFmtId="43" fontId="0" fillId="0" borderId="0" xfId="0" applyNumberFormat="1" applyFill="1" applyBorder="1"/>
    <xf numFmtId="0" fontId="14" fillId="36" borderId="12" xfId="47" applyFont="1" applyFill="1" applyBorder="1">
      <alignment horizontal="left"/>
    </xf>
    <xf numFmtId="0" fontId="14" fillId="36" borderId="12" xfId="48" applyNumberFormat="1" applyFont="1" applyFill="1" applyBorder="1" applyAlignment="1" applyProtection="1">
      <alignment horizontal="right"/>
    </xf>
    <xf numFmtId="0" fontId="95" fillId="34" borderId="0" xfId="44" applyFont="1" applyFill="1" applyBorder="1" applyAlignment="1">
      <alignment horizontal="center"/>
    </xf>
    <xf numFmtId="0" fontId="32" fillId="0" borderId="2" xfId="0" applyFont="1" applyBorder="1"/>
    <xf numFmtId="0" fontId="14" fillId="36" borderId="21" xfId="47" applyFont="1" applyFill="1" applyBorder="1">
      <alignment horizontal="left"/>
    </xf>
    <xf numFmtId="0" fontId="14" fillId="36" borderId="21" xfId="48" applyNumberFormat="1" applyFont="1" applyFill="1" applyBorder="1" applyAlignment="1" applyProtection="1">
      <alignment horizontal="right"/>
    </xf>
    <xf numFmtId="176" fontId="83" fillId="36" borderId="0" xfId="0" applyNumberFormat="1" applyFont="1" applyFill="1"/>
    <xf numFmtId="0" fontId="79" fillId="0" borderId="24" xfId="0" applyFont="1" applyBorder="1" applyAlignment="1"/>
    <xf numFmtId="0" fontId="32" fillId="37" borderId="19" xfId="0" applyFont="1" applyFill="1" applyBorder="1"/>
    <xf numFmtId="43" fontId="32" fillId="37" borderId="19" xfId="0" applyNumberFormat="1" applyFont="1" applyFill="1" applyBorder="1"/>
    <xf numFmtId="0" fontId="79" fillId="0" borderId="24" xfId="0" applyFont="1" applyBorder="1" applyAlignment="1">
      <alignment horizontal="left"/>
    </xf>
    <xf numFmtId="0" fontId="97" fillId="36" borderId="0" xfId="43" applyFont="1" applyFill="1" applyBorder="1" applyAlignment="1">
      <alignment horizontal="left" vertical="center" readingOrder="1"/>
    </xf>
    <xf numFmtId="2" fontId="97" fillId="36" borderId="0" xfId="56" applyNumberFormat="1" applyFont="1" applyFill="1" applyBorder="1" applyAlignment="1">
      <alignment horizontal="left" vertical="center" readingOrder="1"/>
    </xf>
    <xf numFmtId="10" fontId="13" fillId="34" borderId="0" xfId="44" applyNumberFormat="1" applyFont="1" applyFill="1" applyBorder="1" applyAlignment="1">
      <alignment horizontal="center"/>
    </xf>
    <xf numFmtId="0" fontId="5" fillId="0" borderId="24" xfId="0" applyFont="1" applyBorder="1"/>
    <xf numFmtId="10" fontId="32" fillId="37" borderId="28" xfId="56" applyNumberFormat="1" applyFont="1" applyFill="1" applyBorder="1" applyAlignment="1">
      <alignment horizontal="right"/>
    </xf>
    <xf numFmtId="10" fontId="32" fillId="37" borderId="0" xfId="56" applyNumberFormat="1" applyFont="1" applyFill="1" applyBorder="1" applyAlignment="1">
      <alignment horizontal="right"/>
    </xf>
    <xf numFmtId="10" fontId="32" fillId="37" borderId="21" xfId="56" applyNumberFormat="1" applyFont="1" applyFill="1" applyBorder="1" applyAlignment="1">
      <alignment horizontal="right"/>
    </xf>
    <xf numFmtId="0" fontId="32" fillId="43" borderId="0" xfId="0" applyFont="1" applyFill="1"/>
    <xf numFmtId="0" fontId="0" fillId="43" borderId="0" xfId="0" applyFill="1"/>
    <xf numFmtId="0" fontId="32" fillId="37" borderId="0" xfId="0" applyFont="1" applyFill="1"/>
    <xf numFmtId="0" fontId="0" fillId="37" borderId="0" xfId="0" applyFill="1"/>
    <xf numFmtId="0" fontId="32" fillId="44" borderId="0" xfId="0" applyFont="1" applyFill="1"/>
    <xf numFmtId="0" fontId="0" fillId="44" borderId="0" xfId="0" applyFill="1"/>
    <xf numFmtId="0" fontId="32" fillId="45" borderId="0" xfId="0" applyFont="1" applyFill="1"/>
    <xf numFmtId="0" fontId="0" fillId="45" borderId="0" xfId="0" applyFill="1"/>
    <xf numFmtId="176" fontId="98" fillId="36" borderId="0" xfId="0" applyNumberFormat="1" applyFont="1" applyFill="1"/>
    <xf numFmtId="0" fontId="14" fillId="38" borderId="0" xfId="46" applyNumberFormat="1" applyFont="1" applyFill="1" applyBorder="1" applyAlignment="1" applyProtection="1">
      <alignment horizontal="center" wrapText="1"/>
    </xf>
    <xf numFmtId="0" fontId="14" fillId="38" borderId="0" xfId="46" applyNumberFormat="1" applyFont="1" applyFill="1" applyBorder="1" applyAlignment="1" applyProtection="1">
      <alignment horizontal="center"/>
    </xf>
    <xf numFmtId="0" fontId="14" fillId="38" borderId="0" xfId="48" applyNumberFormat="1" applyFont="1" applyFill="1" applyBorder="1" applyAlignment="1" applyProtection="1">
      <alignment horizontal="center"/>
    </xf>
    <xf numFmtId="10" fontId="15" fillId="0" borderId="16" xfId="54" applyNumberFormat="1" applyFont="1" applyFill="1" applyBorder="1" applyAlignment="1" applyProtection="1">
      <alignment horizontal="left"/>
    </xf>
    <xf numFmtId="4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0" fontId="35" fillId="0" borderId="16" xfId="58" applyNumberFormat="1" applyFont="1" applyFill="1" applyBorder="1" applyAlignment="1" applyProtection="1"/>
    <xf numFmtId="0" fontId="35" fillId="0" borderId="18" xfId="58" applyNumberFormat="1" applyFont="1" applyFill="1" applyBorder="1" applyAlignment="1" applyProtection="1"/>
    <xf numFmtId="4" fontId="11" fillId="37" borderId="0" xfId="0" applyNumberFormat="1" applyFont="1" applyFill="1" applyAlignment="1">
      <alignment horizontal="center"/>
    </xf>
    <xf numFmtId="4" fontId="35" fillId="0" borderId="18" xfId="58" applyNumberFormat="1" applyFont="1" applyFill="1" applyBorder="1" applyAlignment="1" applyProtection="1">
      <alignment horizontal="center"/>
    </xf>
    <xf numFmtId="4" fontId="16" fillId="35" borderId="2" xfId="55" applyNumberFormat="1" applyFont="1" applyFill="1" applyBorder="1"/>
    <xf numFmtId="0" fontId="35" fillId="37" borderId="0" xfId="58" applyNumberFormat="1" applyFont="1" applyFill="1" applyBorder="1" applyAlignment="1" applyProtection="1"/>
    <xf numFmtId="4" fontId="35" fillId="37" borderId="0" xfId="58" applyNumberFormat="1" applyFont="1" applyFill="1" applyBorder="1" applyAlignment="1" applyProtection="1">
      <alignment horizontal="center" vertical="center"/>
    </xf>
    <xf numFmtId="4" fontId="35" fillId="37" borderId="0" xfId="58" applyNumberFormat="1" applyFont="1" applyFill="1" applyBorder="1" applyAlignment="1" applyProtection="1">
      <alignment horizontal="center"/>
    </xf>
    <xf numFmtId="0" fontId="11" fillId="34" borderId="0" xfId="44" applyFont="1" applyFill="1" applyBorder="1" applyAlignment="1">
      <alignment horizontal="center"/>
    </xf>
    <xf numFmtId="0" fontId="14" fillId="36" borderId="0" xfId="42" applyNumberFormat="1" applyFont="1" applyFill="1" applyBorder="1" applyAlignment="1" applyProtection="1"/>
    <xf numFmtId="0" fontId="5" fillId="0" borderId="0" xfId="0" applyFont="1"/>
    <xf numFmtId="0" fontId="48" fillId="36" borderId="0" xfId="0" applyFont="1" applyFill="1"/>
    <xf numFmtId="0" fontId="14" fillId="36" borderId="0" xfId="43" applyFont="1" applyFill="1" applyBorder="1" applyAlignment="1">
      <alignment horizontal="left" vertical="center" readingOrder="1"/>
    </xf>
    <xf numFmtId="0" fontId="79" fillId="36" borderId="0" xfId="0" applyFont="1" applyFill="1" applyBorder="1"/>
    <xf numFmtId="4" fontId="5" fillId="0" borderId="0" xfId="0" applyNumberFormat="1" applyFont="1"/>
    <xf numFmtId="4" fontId="5" fillId="0" borderId="0" xfId="0" applyNumberFormat="1" applyFont="1" applyFill="1"/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Fill="1"/>
    <xf numFmtId="0" fontId="49" fillId="0" borderId="0" xfId="0" applyFont="1" applyFill="1"/>
    <xf numFmtId="0" fontId="11" fillId="0" borderId="0" xfId="0" applyFont="1"/>
    <xf numFmtId="0" fontId="83" fillId="0" borderId="0" xfId="0" applyFont="1"/>
    <xf numFmtId="0" fontId="11" fillId="0" borderId="0" xfId="0" applyFont="1" applyAlignment="1">
      <alignment horizontal="center"/>
    </xf>
    <xf numFmtId="4" fontId="11" fillId="0" borderId="0" xfId="0" applyNumberFormat="1" applyFont="1"/>
    <xf numFmtId="0" fontId="79" fillId="0" borderId="0" xfId="0" applyFont="1"/>
    <xf numFmtId="0" fontId="99" fillId="36" borderId="0" xfId="42" applyNumberFormat="1" applyFont="1" applyFill="1" applyBorder="1" applyAlignment="1" applyProtection="1"/>
    <xf numFmtId="0" fontId="100" fillId="36" borderId="0" xfId="42" quotePrefix="1" applyNumberFormat="1" applyFont="1" applyFill="1" applyBorder="1" applyAlignment="1" applyProtection="1">
      <alignment vertical="center" wrapText="1"/>
    </xf>
    <xf numFmtId="0" fontId="101" fillId="0" borderId="0" xfId="0" applyFont="1" applyBorder="1"/>
    <xf numFmtId="0" fontId="101" fillId="0" borderId="0" xfId="0" applyFont="1"/>
    <xf numFmtId="0" fontId="102" fillId="36" borderId="0" xfId="43" applyFont="1" applyFill="1" applyBorder="1" applyAlignment="1">
      <alignment horizontal="left" vertical="center" readingOrder="1"/>
    </xf>
    <xf numFmtId="0" fontId="103" fillId="36" borderId="0" xfId="43" applyFont="1" applyFill="1" applyBorder="1" applyAlignment="1">
      <alignment horizontal="left" vertical="center" readingOrder="1"/>
    </xf>
    <xf numFmtId="0" fontId="104" fillId="34" borderId="0" xfId="44" applyFont="1" applyFill="1" applyBorder="1" applyAlignment="1">
      <alignment horizontal="center"/>
    </xf>
    <xf numFmtId="0" fontId="105" fillId="0" borderId="0" xfId="0" applyFont="1"/>
    <xf numFmtId="0" fontId="106" fillId="34" borderId="24" xfId="44" applyFont="1" applyFill="1" applyBorder="1" applyAlignment="1">
      <alignment horizontal="left"/>
    </xf>
    <xf numFmtId="0" fontId="107" fillId="0" borderId="24" xfId="0" applyFont="1" applyBorder="1"/>
    <xf numFmtId="0" fontId="101" fillId="0" borderId="0" xfId="0" applyFont="1" applyBorder="1" applyAlignment="1">
      <alignment horizontal="center" vertical="center"/>
    </xf>
    <xf numFmtId="0" fontId="108" fillId="36" borderId="0" xfId="47" applyFont="1" applyFill="1" applyBorder="1">
      <alignment horizontal="left"/>
    </xf>
    <xf numFmtId="0" fontId="108" fillId="36" borderId="0" xfId="48" applyNumberFormat="1" applyFont="1" applyFill="1" applyBorder="1" applyAlignment="1" applyProtection="1">
      <alignment horizontal="right"/>
    </xf>
    <xf numFmtId="0" fontId="101" fillId="36" borderId="0" xfId="0" applyFont="1" applyFill="1" applyBorder="1"/>
    <xf numFmtId="0" fontId="104" fillId="36" borderId="0" xfId="45" applyNumberFormat="1" applyFont="1" applyFill="1" applyBorder="1" applyAlignment="1" applyProtection="1">
      <alignment horizontal="left"/>
    </xf>
    <xf numFmtId="0" fontId="107" fillId="36" borderId="0" xfId="0" applyFont="1" applyFill="1" applyBorder="1"/>
    <xf numFmtId="0" fontId="109" fillId="36" borderId="0" xfId="45" applyNumberFormat="1" applyFont="1" applyFill="1" applyBorder="1" applyAlignment="1" applyProtection="1">
      <alignment horizontal="left"/>
    </xf>
    <xf numFmtId="0" fontId="107" fillId="0" borderId="0" xfId="0" applyFont="1"/>
    <xf numFmtId="0" fontId="110" fillId="41" borderId="27" xfId="45" applyNumberFormat="1" applyFont="1" applyFill="1" applyBorder="1" applyAlignment="1" applyProtection="1">
      <alignment horizontal="center" vertical="center"/>
    </xf>
    <xf numFmtId="0" fontId="107" fillId="36" borderId="0" xfId="0" applyFont="1" applyFill="1" applyBorder="1" applyAlignment="1">
      <alignment horizontal="center" vertical="center"/>
    </xf>
    <xf numFmtId="0" fontId="110" fillId="39" borderId="29" xfId="46" applyNumberFormat="1" applyFont="1" applyFill="1" applyBorder="1" applyAlignment="1" applyProtection="1">
      <alignment horizontal="left" vertical="center"/>
    </xf>
    <xf numFmtId="10" fontId="110" fillId="39" borderId="30" xfId="56" quotePrefix="1" applyNumberFormat="1" applyFont="1" applyFill="1" applyBorder="1" applyAlignment="1" applyProtection="1">
      <alignment horizontal="center" vertical="center"/>
    </xf>
    <xf numFmtId="0" fontId="108" fillId="38" borderId="0" xfId="45" applyNumberFormat="1" applyFont="1" applyFill="1" applyBorder="1" applyAlignment="1" applyProtection="1">
      <alignment horizontal="left"/>
    </xf>
    <xf numFmtId="0" fontId="108" fillId="38" borderId="0" xfId="46" applyNumberFormat="1" applyFont="1" applyFill="1" applyBorder="1" applyAlignment="1" applyProtection="1">
      <alignment horizontal="right"/>
    </xf>
    <xf numFmtId="0" fontId="108" fillId="38" borderId="0" xfId="48" applyNumberFormat="1" applyFont="1" applyFill="1" applyBorder="1" applyAlignment="1" applyProtection="1">
      <alignment horizontal="right"/>
    </xf>
    <xf numFmtId="0" fontId="108" fillId="36" borderId="0" xfId="45" applyNumberFormat="1" applyFont="1" applyFill="1" applyBorder="1" applyAlignment="1" applyProtection="1">
      <alignment horizontal="left"/>
    </xf>
    <xf numFmtId="0" fontId="108" fillId="36" borderId="0" xfId="46" applyNumberFormat="1" applyFont="1" applyFill="1" applyBorder="1" applyAlignment="1" applyProtection="1">
      <alignment horizontal="right"/>
    </xf>
    <xf numFmtId="0" fontId="111" fillId="40" borderId="12" xfId="58" applyNumberFormat="1" applyFont="1" applyFill="1" applyBorder="1" applyAlignment="1" applyProtection="1"/>
    <xf numFmtId="4" fontId="112" fillId="40" borderId="12" xfId="54" applyNumberFormat="1" applyFont="1" applyFill="1" applyBorder="1" applyAlignment="1" applyProtection="1">
      <alignment horizontal="right"/>
    </xf>
    <xf numFmtId="0" fontId="113" fillId="0" borderId="2" xfId="58" applyNumberFormat="1" applyFont="1" applyFill="1" applyBorder="1" applyAlignment="1" applyProtection="1"/>
    <xf numFmtId="3" fontId="114" fillId="0" borderId="2" xfId="54" applyNumberFormat="1" applyFont="1" applyFill="1" applyBorder="1" applyAlignment="1" applyProtection="1">
      <alignment horizontal="right"/>
    </xf>
    <xf numFmtId="0" fontId="115" fillId="36" borderId="24" xfId="44" applyFont="1" applyFill="1" applyBorder="1" applyAlignment="1">
      <alignment horizontal="center"/>
    </xf>
    <xf numFmtId="0" fontId="107" fillId="36" borderId="24" xfId="0" applyFont="1" applyFill="1" applyBorder="1"/>
    <xf numFmtId="0" fontId="107" fillId="0" borderId="0" xfId="0" applyFont="1" applyBorder="1"/>
    <xf numFmtId="0" fontId="113" fillId="0" borderId="21" xfId="58" applyNumberFormat="1" applyFont="1" applyFill="1" applyBorder="1" applyAlignment="1" applyProtection="1"/>
    <xf numFmtId="4" fontId="114" fillId="0" borderId="21" xfId="54" applyNumberFormat="1" applyFont="1" applyFill="1" applyBorder="1" applyAlignment="1" applyProtection="1">
      <alignment horizontal="right"/>
    </xf>
    <xf numFmtId="4" fontId="114" fillId="0" borderId="2" xfId="54" applyNumberFormat="1" applyFont="1" applyFill="1" applyBorder="1" applyAlignment="1" applyProtection="1">
      <alignment horizontal="right"/>
    </xf>
    <xf numFmtId="10" fontId="114" fillId="0" borderId="21" xfId="56" applyNumberFormat="1" applyFont="1" applyFill="1" applyBorder="1" applyAlignment="1" applyProtection="1">
      <alignment horizontal="right"/>
    </xf>
    <xf numFmtId="0" fontId="101" fillId="36" borderId="2" xfId="0" applyFont="1" applyFill="1" applyBorder="1"/>
    <xf numFmtId="2" fontId="107" fillId="0" borderId="2" xfId="60" applyNumberFormat="1" applyFont="1" applyBorder="1" applyAlignment="1"/>
    <xf numFmtId="10" fontId="107" fillId="0" borderId="0" xfId="56" applyNumberFormat="1" applyFont="1" applyBorder="1"/>
    <xf numFmtId="10" fontId="107" fillId="0" borderId="0" xfId="0" applyNumberFormat="1" applyFont="1" applyBorder="1"/>
    <xf numFmtId="0" fontId="101" fillId="36" borderId="0" xfId="0" applyFont="1" applyFill="1"/>
    <xf numFmtId="2" fontId="107" fillId="0" borderId="0" xfId="56" applyNumberFormat="1" applyFont="1" applyBorder="1"/>
    <xf numFmtId="4" fontId="107" fillId="0" borderId="0" xfId="56" applyNumberFormat="1" applyFont="1" applyFill="1" applyBorder="1"/>
    <xf numFmtId="0" fontId="101" fillId="36" borderId="21" xfId="0" applyFont="1" applyFill="1" applyBorder="1"/>
    <xf numFmtId="4" fontId="107" fillId="0" borderId="21" xfId="60" applyNumberFormat="1" applyFont="1" applyBorder="1"/>
    <xf numFmtId="0" fontId="116" fillId="36" borderId="2" xfId="0" applyFont="1" applyFill="1" applyBorder="1"/>
    <xf numFmtId="0" fontId="105" fillId="36" borderId="2" xfId="0" applyFont="1" applyFill="1" applyBorder="1"/>
    <xf numFmtId="0" fontId="105" fillId="36" borderId="0" xfId="0" applyFont="1" applyFill="1"/>
    <xf numFmtId="0" fontId="116" fillId="40" borderId="19" xfId="0" applyFont="1" applyFill="1" applyBorder="1"/>
    <xf numFmtId="43" fontId="106" fillId="40" borderId="19" xfId="60" applyFont="1" applyFill="1" applyBorder="1" applyAlignment="1">
      <alignment horizontal="right"/>
    </xf>
    <xf numFmtId="176" fontId="117" fillId="36" borderId="0" xfId="0" applyNumberFormat="1" applyFont="1" applyFill="1"/>
    <xf numFmtId="0" fontId="105" fillId="0" borderId="0" xfId="0" applyFont="1" applyBorder="1"/>
    <xf numFmtId="0" fontId="105" fillId="36" borderId="0" xfId="0" applyFont="1" applyFill="1" applyBorder="1"/>
    <xf numFmtId="0" fontId="119" fillId="0" borderId="0" xfId="0" applyFont="1"/>
    <xf numFmtId="2" fontId="107" fillId="0" borderId="0" xfId="0" applyNumberFormat="1" applyFont="1" applyBorder="1"/>
    <xf numFmtId="0" fontId="106" fillId="37" borderId="19" xfId="0" applyFont="1" applyFill="1" applyBorder="1"/>
    <xf numFmtId="43" fontId="106" fillId="37" borderId="19" xfId="60" applyFont="1" applyFill="1" applyBorder="1" applyAlignment="1">
      <alignment horizontal="right"/>
    </xf>
    <xf numFmtId="0" fontId="106" fillId="36" borderId="0" xfId="0" applyFont="1" applyFill="1" applyBorder="1"/>
    <xf numFmtId="0" fontId="120" fillId="36" borderId="0" xfId="0" applyFont="1" applyFill="1" applyBorder="1"/>
    <xf numFmtId="0" fontId="109" fillId="36" borderId="2" xfId="0" applyFont="1" applyFill="1" applyBorder="1"/>
    <xf numFmtId="43" fontId="107" fillId="0" borderId="2" xfId="0" applyNumberFormat="1" applyFont="1" applyBorder="1"/>
    <xf numFmtId="0" fontId="109" fillId="36" borderId="0" xfId="0" applyFont="1" applyFill="1" applyBorder="1"/>
    <xf numFmtId="43" fontId="107" fillId="0" borderId="0" xfId="0" applyNumberFormat="1" applyFont="1" applyBorder="1"/>
    <xf numFmtId="0" fontId="107" fillId="36" borderId="0" xfId="0" quotePrefix="1" applyFont="1" applyFill="1" applyBorder="1"/>
    <xf numFmtId="0" fontId="109" fillId="36" borderId="21" xfId="0" applyFont="1" applyFill="1" applyBorder="1"/>
    <xf numFmtId="43" fontId="107" fillId="0" borderId="21" xfId="0" applyNumberFormat="1" applyFont="1" applyBorder="1"/>
    <xf numFmtId="0" fontId="121" fillId="36" borderId="0" xfId="0" applyFont="1" applyFill="1" applyBorder="1"/>
    <xf numFmtId="43" fontId="106" fillId="37" borderId="19" xfId="60" applyNumberFormat="1" applyFont="1" applyFill="1" applyBorder="1" applyAlignment="1">
      <alignment horizontal="right"/>
    </xf>
    <xf numFmtId="0" fontId="106" fillId="36" borderId="0" xfId="0" applyFont="1" applyFill="1"/>
    <xf numFmtId="0" fontId="101" fillId="39" borderId="28" xfId="0" applyFont="1" applyFill="1" applyBorder="1"/>
    <xf numFmtId="0" fontId="101" fillId="39" borderId="0" xfId="0" applyFont="1" applyFill="1" applyBorder="1"/>
    <xf numFmtId="0" fontId="122" fillId="39" borderId="0" xfId="0" applyFont="1" applyFill="1" applyBorder="1"/>
    <xf numFmtId="0" fontId="11" fillId="36" borderId="0" xfId="44" applyFont="1" applyFill="1" applyBorder="1" applyAlignment="1">
      <alignment horizontal="center"/>
    </xf>
    <xf numFmtId="43" fontId="5" fillId="0" borderId="0" xfId="0" applyNumberFormat="1" applyFont="1"/>
    <xf numFmtId="43" fontId="123" fillId="0" borderId="0" xfId="0" applyNumberFormat="1" applyFont="1"/>
    <xf numFmtId="0" fontId="39" fillId="38" borderId="0" xfId="0" applyFont="1" applyFill="1" applyAlignment="1">
      <alignment horizontal="center" vertical="center" wrapText="1"/>
    </xf>
    <xf numFmtId="0" fontId="39" fillId="38" borderId="0" xfId="0" applyFont="1" applyFill="1" applyAlignment="1">
      <alignment horizontal="center" vertical="center"/>
    </xf>
    <xf numFmtId="43" fontId="107" fillId="36" borderId="0" xfId="60" applyFont="1" applyFill="1" applyBorder="1"/>
    <xf numFmtId="0" fontId="118" fillId="0" borderId="0" xfId="0" applyFont="1" applyAlignment="1">
      <alignment horizontal="left" indent="1"/>
    </xf>
    <xf numFmtId="0" fontId="101" fillId="36" borderId="0" xfId="0" applyFont="1" applyFill="1" applyBorder="1" applyAlignment="1">
      <alignment horizontal="left" indent="21"/>
    </xf>
    <xf numFmtId="0" fontId="101" fillId="36" borderId="0" xfId="0" applyFont="1" applyFill="1" applyBorder="1" applyAlignment="1">
      <alignment horizontal="left" wrapText="1" indent="21"/>
    </xf>
    <xf numFmtId="0" fontId="0" fillId="36" borderId="2" xfId="0" applyFont="1" applyFill="1" applyBorder="1" applyAlignment="1">
      <alignment horizontal="left" indent="21"/>
    </xf>
    <xf numFmtId="178" fontId="88" fillId="0" borderId="0" xfId="0" applyNumberFormat="1" applyFont="1"/>
    <xf numFmtId="178" fontId="36" fillId="0" borderId="0" xfId="0" applyNumberFormat="1" applyFont="1"/>
    <xf numFmtId="178" fontId="124" fillId="0" borderId="0" xfId="61" quotePrefix="1" applyNumberFormat="1"/>
    <xf numFmtId="178" fontId="78" fillId="43" borderId="9" xfId="27" quotePrefix="1" applyNumberFormat="1" applyFont="1" applyFill="1"/>
    <xf numFmtId="0" fontId="32" fillId="36" borderId="0" xfId="0" applyFont="1" applyFill="1" applyBorder="1" applyAlignment="1">
      <alignment horizontal="center" vertical="center"/>
    </xf>
    <xf numFmtId="0" fontId="125" fillId="36" borderId="0" xfId="0" applyFont="1" applyFill="1" applyBorder="1" applyAlignment="1">
      <alignment horizontal="center" vertical="center"/>
    </xf>
    <xf numFmtId="0" fontId="126" fillId="36" borderId="0" xfId="0" applyFont="1" applyFill="1" applyBorder="1" applyAlignment="1">
      <alignment horizontal="center" vertical="center"/>
    </xf>
    <xf numFmtId="0" fontId="127" fillId="36" borderId="0" xfId="0" applyFont="1" applyFill="1" applyBorder="1" applyAlignment="1">
      <alignment horizontal="center" vertical="center"/>
    </xf>
    <xf numFmtId="0" fontId="89" fillId="36" borderId="0" xfId="0" applyFont="1" applyFill="1" applyBorder="1" applyAlignment="1">
      <alignment horizontal="center" vertical="center"/>
    </xf>
    <xf numFmtId="0" fontId="0" fillId="36" borderId="21" xfId="0" applyFill="1" applyBorder="1" applyAlignment="1">
      <alignment wrapText="1"/>
    </xf>
    <xf numFmtId="178" fontId="17" fillId="0" borderId="0" xfId="0" applyNumberFormat="1" applyFont="1"/>
    <xf numFmtId="0" fontId="36" fillId="0" borderId="0" xfId="0" applyFont="1" applyFill="1" applyBorder="1"/>
    <xf numFmtId="0" fontId="0" fillId="0" borderId="24" xfId="0" applyBorder="1" applyAlignment="1">
      <alignment horizontal="right"/>
    </xf>
    <xf numFmtId="0" fontId="78" fillId="37" borderId="19" xfId="0" applyFont="1" applyFill="1" applyBorder="1" applyAlignment="1">
      <alignment horizontal="left"/>
    </xf>
    <xf numFmtId="10" fontId="32" fillId="37" borderId="19" xfId="0" applyNumberFormat="1" applyFont="1" applyFill="1" applyBorder="1" applyAlignment="1">
      <alignment horizontal="right"/>
    </xf>
    <xf numFmtId="0" fontId="83" fillId="37" borderId="19" xfId="47" applyFont="1" applyFill="1" applyBorder="1">
      <alignment horizontal="left"/>
    </xf>
    <xf numFmtId="171" fontId="36" fillId="37" borderId="19" xfId="0" applyNumberFormat="1" applyFont="1" applyFill="1" applyBorder="1"/>
    <xf numFmtId="169" fontId="36" fillId="37" borderId="19" xfId="0" applyNumberFormat="1" applyFont="1" applyFill="1" applyBorder="1"/>
    <xf numFmtId="0" fontId="14" fillId="36" borderId="0" xfId="45" applyNumberFormat="1" applyFont="1" applyFill="1" applyBorder="1" applyAlignment="1" applyProtection="1">
      <alignment horizontal="left"/>
    </xf>
    <xf numFmtId="0" fontId="49" fillId="36" borderId="2" xfId="58" applyNumberFormat="1" applyFont="1" applyFill="1" applyBorder="1" applyAlignment="1" applyProtection="1">
      <alignment wrapText="1"/>
    </xf>
    <xf numFmtId="2" fontId="49" fillId="36" borderId="2" xfId="54" applyNumberFormat="1" applyFont="1" applyFill="1" applyBorder="1" applyAlignment="1" applyProtection="1">
      <alignment horizontal="right"/>
    </xf>
    <xf numFmtId="0" fontId="0" fillId="0" borderId="2" xfId="0" applyFill="1" applyBorder="1"/>
    <xf numFmtId="0" fontId="41" fillId="37" borderId="19" xfId="47" applyFont="1" applyFill="1" applyBorder="1">
      <alignment horizontal="left"/>
    </xf>
    <xf numFmtId="10" fontId="41" fillId="37" borderId="19" xfId="48" applyNumberFormat="1" applyFont="1" applyFill="1" applyBorder="1" applyAlignment="1" applyProtection="1">
      <alignment horizontal="right"/>
    </xf>
    <xf numFmtId="0" fontId="0" fillId="0" borderId="2" xfId="0" applyFill="1" applyBorder="1" applyAlignment="1">
      <alignment vertical="center"/>
    </xf>
    <xf numFmtId="43" fontId="0" fillId="0" borderId="0" xfId="0" applyNumberFormat="1" applyBorder="1" applyAlignment="1">
      <alignment vertical="center"/>
    </xf>
    <xf numFmtId="4" fontId="49" fillId="36" borderId="2" xfId="54" applyNumberFormat="1" applyFont="1" applyFill="1" applyBorder="1" applyAlignment="1" applyProtection="1">
      <alignment horizontal="right"/>
    </xf>
    <xf numFmtId="0" fontId="0" fillId="0" borderId="21" xfId="0" applyFill="1" applyBorder="1"/>
    <xf numFmtId="0" fontId="0" fillId="37" borderId="19" xfId="0" applyFill="1" applyBorder="1"/>
    <xf numFmtId="9" fontId="0" fillId="0" borderId="21" xfId="56" applyFont="1" applyFill="1" applyBorder="1"/>
    <xf numFmtId="0" fontId="0" fillId="40" borderId="0" xfId="0" applyFill="1" applyBorder="1"/>
    <xf numFmtId="0" fontId="0" fillId="39" borderId="0" xfId="0" applyFill="1" applyBorder="1"/>
    <xf numFmtId="167" fontId="0" fillId="0" borderId="2" xfId="0" applyNumberFormat="1" applyBorder="1"/>
    <xf numFmtId="168" fontId="0" fillId="0" borderId="0" xfId="0" applyNumberFormat="1" applyBorder="1"/>
    <xf numFmtId="167" fontId="0" fillId="0" borderId="0" xfId="0" applyNumberFormat="1" applyBorder="1"/>
    <xf numFmtId="0" fontId="32" fillId="37" borderId="19" xfId="0" applyFont="1" applyFill="1" applyBorder="1" applyAlignment="1">
      <alignment horizontal="left"/>
    </xf>
    <xf numFmtId="171" fontId="32" fillId="37" borderId="19" xfId="0" applyNumberFormat="1" applyFont="1" applyFill="1" applyBorder="1" applyAlignment="1">
      <alignment horizontal="right"/>
    </xf>
    <xf numFmtId="178" fontId="43" fillId="36" borderId="0" xfId="0" applyNumberFormat="1" applyFont="1" applyFill="1" applyBorder="1"/>
    <xf numFmtId="178" fontId="88" fillId="36" borderId="0" xfId="0" applyNumberFormat="1" applyFont="1" applyFill="1" applyBorder="1"/>
    <xf numFmtId="178" fontId="88" fillId="0" borderId="0" xfId="0" applyNumberFormat="1" applyFont="1" applyBorder="1"/>
    <xf numFmtId="0" fontId="96" fillId="0" borderId="0" xfId="0" applyFont="1" applyBorder="1"/>
    <xf numFmtId="0" fontId="6" fillId="39" borderId="0" xfId="0" applyFont="1" applyFill="1" applyBorder="1" applyAlignment="1">
      <alignment vertical="center" wrapText="1"/>
    </xf>
    <xf numFmtId="0" fontId="129" fillId="39" borderId="0" xfId="0" applyFont="1" applyFill="1" applyBorder="1" applyAlignment="1">
      <alignment vertical="center" wrapText="1"/>
    </xf>
    <xf numFmtId="175" fontId="8" fillId="34" borderId="2" xfId="54" applyNumberFormat="1" applyFont="1" applyFill="1" applyBorder="1" applyAlignment="1" applyProtection="1">
      <alignment horizontal="center"/>
    </xf>
    <xf numFmtId="175" fontId="8" fillId="34" borderId="0" xfId="54" applyNumberFormat="1" applyFont="1" applyFill="1" applyBorder="1" applyAlignment="1" applyProtection="1">
      <alignment horizontal="center"/>
    </xf>
    <xf numFmtId="175" fontId="8" fillId="34" borderId="21" xfId="54" applyNumberFormat="1" applyFont="1" applyFill="1" applyBorder="1" applyAlignment="1" applyProtection="1">
      <alignment horizontal="center"/>
    </xf>
    <xf numFmtId="0" fontId="14" fillId="38" borderId="0" xfId="45" applyNumberFormat="1" applyFont="1" applyFill="1" applyBorder="1" applyAlignment="1" applyProtection="1"/>
    <xf numFmtId="0" fontId="14" fillId="38" borderId="0" xfId="46" applyNumberFormat="1" applyFont="1" applyFill="1" applyBorder="1" applyAlignment="1" applyProtection="1"/>
    <xf numFmtId="0" fontId="32" fillId="40" borderId="19" xfId="0" applyFont="1" applyFill="1" applyBorder="1" applyAlignment="1">
      <alignment horizontal="right"/>
    </xf>
    <xf numFmtId="0" fontId="32" fillId="0" borderId="0" xfId="0" applyFont="1" applyBorder="1"/>
    <xf numFmtId="0" fontId="0" fillId="40" borderId="12" xfId="0" applyFill="1" applyBorder="1"/>
    <xf numFmtId="0" fontId="35" fillId="40" borderId="12" xfId="52" applyNumberFormat="1" applyFont="1" applyFill="1" applyBorder="1" applyAlignment="1" applyProtection="1"/>
    <xf numFmtId="164" fontId="15" fillId="40" borderId="12" xfId="54" applyNumberFormat="1" applyFont="1" applyFill="1" applyBorder="1" applyAlignment="1" applyProtection="1">
      <alignment horizontal="right"/>
    </xf>
    <xf numFmtId="0" fontId="35" fillId="40" borderId="2" xfId="52" applyNumberFormat="1" applyFont="1" applyFill="1" applyBorder="1" applyAlignment="1" applyProtection="1"/>
    <xf numFmtId="164" fontId="15" fillId="40" borderId="2" xfId="54" applyNumberFormat="1" applyFont="1" applyFill="1" applyBorder="1" applyAlignment="1" applyProtection="1">
      <alignment horizontal="right"/>
    </xf>
    <xf numFmtId="0" fontId="35" fillId="34" borderId="31" xfId="52" applyNumberFormat="1" applyFont="1" applyFill="1" applyBorder="1" applyAlignment="1" applyProtection="1">
      <alignment horizontal="left"/>
    </xf>
    <xf numFmtId="0" fontId="10" fillId="34" borderId="23" xfId="52" applyNumberFormat="1" applyFont="1" applyFill="1" applyBorder="1" applyAlignment="1" applyProtection="1"/>
    <xf numFmtId="3" fontId="8" fillId="34" borderId="24" xfId="51" applyNumberFormat="1" applyFont="1" applyFill="1" applyBorder="1" applyAlignment="1" applyProtection="1">
      <alignment horizontal="right"/>
    </xf>
    <xf numFmtId="0" fontId="37" fillId="36" borderId="0" xfId="57" applyNumberFormat="1" applyFont="1" applyFill="1" applyBorder="1" applyAlignment="1" applyProtection="1">
      <alignment horizontal="left" indent="1"/>
    </xf>
    <xf numFmtId="166" fontId="37" fillId="36" borderId="0" xfId="56" applyNumberFormat="1" applyFont="1" applyFill="1" applyBorder="1" applyAlignment="1" applyProtection="1">
      <alignment horizontal="right"/>
    </xf>
    <xf numFmtId="0" fontId="10" fillId="34" borderId="2" xfId="52" applyNumberFormat="1" applyFont="1" applyFill="1" applyBorder="1" applyAlignment="1" applyProtection="1"/>
    <xf numFmtId="0" fontId="10" fillId="34" borderId="21" xfId="52" applyNumberFormat="1" applyFont="1" applyFill="1" applyBorder="1" applyAlignment="1" applyProtection="1"/>
    <xf numFmtId="164" fontId="49" fillId="34" borderId="0" xfId="54" applyNumberFormat="1" applyFont="1" applyFill="1" applyBorder="1" applyAlignment="1" applyProtection="1">
      <alignment horizontal="right"/>
    </xf>
    <xf numFmtId="164" fontId="52" fillId="34" borderId="0" xfId="54" applyNumberFormat="1" applyFont="1" applyFill="1" applyBorder="1" applyAlignment="1" applyProtection="1">
      <alignment horizontal="right"/>
    </xf>
    <xf numFmtId="164" fontId="52" fillId="34" borderId="0" xfId="50" applyNumberFormat="1" applyFont="1" applyFill="1" applyBorder="1" applyAlignment="1" applyProtection="1">
      <alignment horizontal="right"/>
    </xf>
    <xf numFmtId="164" fontId="55" fillId="34" borderId="0" xfId="54" applyNumberFormat="1" applyFont="1" applyFill="1" applyBorder="1" applyAlignment="1" applyProtection="1">
      <alignment horizontal="right"/>
    </xf>
    <xf numFmtId="0" fontId="57" fillId="0" borderId="0" xfId="0" applyFont="1" applyBorder="1"/>
    <xf numFmtId="0" fontId="49" fillId="34" borderId="23" xfId="52" applyNumberFormat="1" applyFont="1" applyFill="1" applyBorder="1" applyAlignment="1" applyProtection="1"/>
    <xf numFmtId="164" fontId="49" fillId="34" borderId="2" xfId="54" applyNumberFormat="1" applyFont="1" applyFill="1" applyBorder="1" applyAlignment="1" applyProtection="1">
      <alignment horizontal="right"/>
    </xf>
    <xf numFmtId="0" fontId="49" fillId="36" borderId="29" xfId="52" applyNumberFormat="1" applyFont="1" applyFill="1" applyBorder="1" applyAlignment="1" applyProtection="1"/>
    <xf numFmtId="164" fontId="49" fillId="36" borderId="12" xfId="54" applyNumberFormat="1" applyFont="1" applyFill="1" applyBorder="1" applyAlignment="1" applyProtection="1">
      <alignment horizontal="right"/>
    </xf>
    <xf numFmtId="164" fontId="43" fillId="36" borderId="0" xfId="0" applyNumberFormat="1" applyFont="1" applyFill="1" applyBorder="1"/>
    <xf numFmtId="164" fontId="54" fillId="34" borderId="2" xfId="54" applyNumberFormat="1" applyFont="1" applyFill="1" applyBorder="1" applyAlignment="1" applyProtection="1">
      <alignment horizontal="right"/>
    </xf>
    <xf numFmtId="0" fontId="49" fillId="34" borderId="32" xfId="52" applyNumberFormat="1" applyFont="1" applyFill="1" applyBorder="1" applyAlignment="1" applyProtection="1"/>
    <xf numFmtId="164" fontId="54" fillId="34" borderId="21" xfId="54" applyNumberFormat="1" applyFont="1" applyFill="1" applyBorder="1" applyAlignment="1" applyProtection="1">
      <alignment horizontal="right"/>
    </xf>
    <xf numFmtId="0" fontId="29" fillId="38" borderId="0" xfId="0" applyFont="1" applyFill="1"/>
    <xf numFmtId="0" fontId="95" fillId="34" borderId="24" xfId="44" applyFont="1" applyFill="1" applyBorder="1" applyAlignment="1">
      <alignment horizontal="center"/>
    </xf>
    <xf numFmtId="0" fontId="46" fillId="34" borderId="24" xfId="44" applyFont="1" applyFill="1" applyBorder="1" applyAlignment="1">
      <alignment horizontal="center"/>
    </xf>
    <xf numFmtId="0" fontId="95" fillId="34" borderId="24" xfId="44" applyFont="1" applyFill="1" applyBorder="1" applyAlignment="1">
      <alignment horizontal="left"/>
    </xf>
    <xf numFmtId="178" fontId="124" fillId="43" borderId="9" xfId="61" quotePrefix="1" applyNumberFormat="1" applyFill="1" applyBorder="1"/>
    <xf numFmtId="0" fontId="13" fillId="34" borderId="0" xfId="44" applyNumberFormat="1" applyFont="1" applyFill="1" applyBorder="1" applyAlignment="1">
      <alignment horizontal="center"/>
    </xf>
    <xf numFmtId="0" fontId="36" fillId="0" borderId="0" xfId="0" applyNumberFormat="1" applyFont="1"/>
    <xf numFmtId="0" fontId="83" fillId="0" borderId="24" xfId="0" applyNumberFormat="1" applyFont="1" applyBorder="1" applyAlignment="1">
      <alignment horizontal="left"/>
    </xf>
    <xf numFmtId="0" fontId="83" fillId="36" borderId="0" xfId="48" applyNumberFormat="1" applyFont="1" applyFill="1" applyBorder="1" applyAlignment="1" applyProtection="1">
      <alignment horizontal="right"/>
    </xf>
    <xf numFmtId="178" fontId="78" fillId="37" borderId="9" xfId="27" quotePrefix="1" applyNumberFormat="1" applyFont="1" applyFill="1"/>
    <xf numFmtId="178" fontId="78" fillId="37" borderId="9" xfId="27" applyNumberFormat="1" applyFont="1" applyFill="1"/>
    <xf numFmtId="178" fontId="83" fillId="36" borderId="0" xfId="48" applyNumberFormat="1" applyFont="1" applyFill="1" applyBorder="1" applyAlignment="1" applyProtection="1">
      <alignment horizontal="right"/>
    </xf>
    <xf numFmtId="178" fontId="78" fillId="45" borderId="9" xfId="27" quotePrefix="1" applyNumberFormat="1" applyFont="1" applyFill="1"/>
    <xf numFmtId="178" fontId="78" fillId="44" borderId="9" xfId="27" quotePrefix="1" applyNumberFormat="1" applyFont="1" applyFill="1"/>
    <xf numFmtId="178" fontId="124" fillId="44" borderId="9" xfId="61" quotePrefix="1" applyNumberFormat="1" applyFill="1" applyBorder="1"/>
    <xf numFmtId="0" fontId="83" fillId="0" borderId="21" xfId="0" applyFont="1" applyBorder="1"/>
    <xf numFmtId="0" fontId="56" fillId="39" borderId="2" xfId="55" applyFont="1" applyFill="1" applyBorder="1"/>
    <xf numFmtId="0" fontId="11" fillId="39" borderId="0" xfId="0" applyFont="1" applyFill="1"/>
    <xf numFmtId="0" fontId="0" fillId="39" borderId="0" xfId="0" applyFont="1" applyFill="1" applyBorder="1"/>
    <xf numFmtId="180" fontId="11" fillId="36" borderId="0" xfId="60" applyNumberFormat="1" applyFont="1" applyFill="1" applyBorder="1" applyAlignment="1">
      <alignment horizontal="right"/>
    </xf>
    <xf numFmtId="0" fontId="32" fillId="0" borderId="0" xfId="0" applyFont="1" applyAlignment="1">
      <alignment horizontal="center"/>
    </xf>
    <xf numFmtId="0" fontId="0" fillId="40" borderId="2" xfId="0" applyFill="1" applyBorder="1"/>
    <xf numFmtId="43" fontId="0" fillId="40" borderId="2" xfId="0" applyNumberFormat="1" applyFill="1" applyBorder="1" applyAlignment="1">
      <alignment horizontal="center" vertical="center"/>
    </xf>
    <xf numFmtId="43" fontId="0" fillId="40" borderId="0" xfId="0" applyNumberFormat="1" applyFill="1" applyBorder="1" applyAlignment="1">
      <alignment horizontal="center" vertical="center"/>
    </xf>
    <xf numFmtId="0" fontId="0" fillId="40" borderId="21" xfId="0" applyFill="1" applyBorder="1"/>
    <xf numFmtId="43" fontId="0" fillId="40" borderId="21" xfId="0" applyNumberFormat="1" applyFill="1" applyBorder="1" applyAlignment="1">
      <alignment horizontal="center" vertical="center"/>
    </xf>
    <xf numFmtId="0" fontId="10" fillId="36" borderId="21" xfId="58" applyNumberFormat="1" applyFont="1" applyFill="1" applyBorder="1" applyAlignment="1" applyProtection="1"/>
    <xf numFmtId="10" fontId="15" fillId="36" borderId="21" xfId="56" applyNumberFormat="1" applyFont="1" applyFill="1" applyBorder="1" applyAlignment="1" applyProtection="1">
      <alignment horizontal="right"/>
    </xf>
    <xf numFmtId="179" fontId="83" fillId="40" borderId="19" xfId="60" applyNumberFormat="1" applyFont="1" applyFill="1" applyBorder="1" applyAlignment="1">
      <alignment horizontal="right"/>
    </xf>
    <xf numFmtId="178" fontId="36" fillId="0" borderId="0" xfId="0" applyNumberFormat="1" applyFont="1" applyBorder="1"/>
    <xf numFmtId="178" fontId="36" fillId="0" borderId="0" xfId="0" applyNumberFormat="1" applyFont="1" applyFill="1" applyBorder="1"/>
    <xf numFmtId="178" fontId="131" fillId="0" borderId="0" xfId="0" applyNumberFormat="1" applyFont="1" applyBorder="1"/>
    <xf numFmtId="178" fontId="36" fillId="36" borderId="0" xfId="56" applyNumberFormat="1" applyFont="1" applyFill="1" applyBorder="1"/>
    <xf numFmtId="178" fontId="11" fillId="36" borderId="0" xfId="0" applyNumberFormat="1" applyFont="1" applyFill="1"/>
    <xf numFmtId="178" fontId="132" fillId="36" borderId="0" xfId="0" applyNumberFormat="1" applyFont="1" applyFill="1"/>
    <xf numFmtId="178" fontId="78" fillId="0" borderId="0" xfId="0" applyNumberFormat="1" applyFont="1"/>
    <xf numFmtId="178" fontId="4" fillId="0" borderId="0" xfId="0" applyNumberFormat="1" applyFont="1"/>
    <xf numFmtId="178" fontId="4" fillId="36" borderId="0" xfId="0" applyNumberFormat="1" applyFont="1" applyFill="1"/>
    <xf numFmtId="178" fontId="4" fillId="0" borderId="0" xfId="56" applyNumberFormat="1" applyFont="1" applyBorder="1"/>
    <xf numFmtId="178" fontId="4" fillId="0" borderId="0" xfId="0" applyNumberFormat="1" applyFont="1" applyBorder="1"/>
    <xf numFmtId="178" fontId="4" fillId="36" borderId="0" xfId="0" applyNumberFormat="1" applyFont="1" applyFill="1" applyBorder="1"/>
    <xf numFmtId="178" fontId="11" fillId="36" borderId="0" xfId="0" applyNumberFormat="1" applyFont="1" applyFill="1" applyBorder="1"/>
    <xf numFmtId="0" fontId="49" fillId="0" borderId="0" xfId="0" applyFont="1"/>
    <xf numFmtId="4" fontId="49" fillId="0" borderId="0" xfId="0" applyNumberFormat="1" applyFont="1" applyAlignment="1">
      <alignment horizontal="center" vertical="center"/>
    </xf>
    <xf numFmtId="4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39" fillId="38" borderId="0" xfId="0" applyFont="1" applyFill="1"/>
    <xf numFmtId="0" fontId="48" fillId="0" borderId="0" xfId="0" applyFont="1" applyFill="1"/>
    <xf numFmtId="0" fontId="48" fillId="0" borderId="0" xfId="0" applyFont="1" applyFill="1" applyBorder="1"/>
    <xf numFmtId="0" fontId="49" fillId="0" borderId="2" xfId="0" applyFont="1" applyBorder="1"/>
    <xf numFmtId="0" fontId="49" fillId="0" borderId="0" xfId="0" applyFont="1" applyBorder="1"/>
    <xf numFmtId="4" fontId="49" fillId="0" borderId="0" xfId="0" applyNumberFormat="1" applyFont="1" applyBorder="1" applyAlignment="1">
      <alignment horizontal="center" vertical="center"/>
    </xf>
    <xf numFmtId="4" fontId="48" fillId="0" borderId="0" xfId="0" applyNumberFormat="1" applyFont="1" applyBorder="1" applyAlignment="1">
      <alignment horizontal="center" vertical="center"/>
    </xf>
    <xf numFmtId="0" fontId="48" fillId="0" borderId="0" xfId="0" applyFont="1" applyBorder="1"/>
    <xf numFmtId="0" fontId="5" fillId="0" borderId="0" xfId="0" applyFont="1" applyBorder="1"/>
    <xf numFmtId="0" fontId="39" fillId="0" borderId="0" xfId="0" applyFont="1" applyFill="1" applyBorder="1"/>
    <xf numFmtId="0" fontId="41" fillId="0" borderId="0" xfId="45" applyNumberFormat="1" applyFont="1" applyFill="1" applyBorder="1" applyAlignment="1" applyProtection="1">
      <alignment horizontal="left"/>
    </xf>
    <xf numFmtId="0" fontId="14" fillId="0" borderId="0" xfId="47" applyFont="1" applyFill="1" applyBorder="1">
      <alignment horizontal="left"/>
    </xf>
    <xf numFmtId="0" fontId="49" fillId="0" borderId="0" xfId="0" applyFont="1" applyFill="1" applyBorder="1"/>
    <xf numFmtId="0" fontId="41" fillId="36" borderId="0" xfId="47" applyFont="1" applyFill="1" applyBorder="1">
      <alignment horizontal="left"/>
    </xf>
    <xf numFmtId="0" fontId="41" fillId="0" borderId="0" xfId="47" applyFont="1" applyFill="1" applyBorder="1">
      <alignment horizontal="left"/>
    </xf>
    <xf numFmtId="4" fontId="41" fillId="36" borderId="0" xfId="48" applyNumberFormat="1" applyFont="1" applyFill="1" applyBorder="1" applyAlignment="1" applyProtection="1">
      <alignment horizontal="center" vertical="center"/>
    </xf>
    <xf numFmtId="4" fontId="49" fillId="0" borderId="0" xfId="0" applyNumberFormat="1" applyFont="1" applyFill="1" applyBorder="1" applyAlignment="1">
      <alignment horizontal="center" vertical="center"/>
    </xf>
    <xf numFmtId="4" fontId="57" fillId="0" borderId="0" xfId="0" applyNumberFormat="1" applyFont="1" applyBorder="1" applyAlignment="1">
      <alignment horizontal="center" vertical="center"/>
    </xf>
    <xf numFmtId="0" fontId="39" fillId="36" borderId="0" xfId="48" applyNumberFormat="1" applyFont="1" applyFill="1" applyBorder="1" applyAlignment="1" applyProtection="1">
      <alignment horizontal="right"/>
    </xf>
    <xf numFmtId="0" fontId="33" fillId="0" borderId="0" xfId="0" applyFont="1"/>
    <xf numFmtId="0" fontId="33" fillId="36" borderId="0" xfId="0" applyFont="1" applyFill="1" applyBorder="1"/>
    <xf numFmtId="0" fontId="11" fillId="0" borderId="2" xfId="0" applyFont="1" applyBorder="1"/>
    <xf numFmtId="0" fontId="11" fillId="0" borderId="0" xfId="0" applyFont="1" applyBorder="1"/>
    <xf numFmtId="4" fontId="11" fillId="0" borderId="2" xfId="0" applyNumberFormat="1" applyFont="1" applyBorder="1" applyAlignment="1">
      <alignment horizontal="center"/>
    </xf>
    <xf numFmtId="0" fontId="49" fillId="38" borderId="0" xfId="0" applyFont="1" applyFill="1" applyBorder="1"/>
    <xf numFmtId="0" fontId="11" fillId="0" borderId="0" xfId="0" applyFont="1" applyFill="1"/>
    <xf numFmtId="0" fontId="39" fillId="0" borderId="0" xfId="48" applyNumberFormat="1" applyFont="1" applyFill="1" applyBorder="1" applyAlignment="1" applyProtection="1">
      <alignment horizontal="right"/>
    </xf>
    <xf numFmtId="4" fontId="48" fillId="0" borderId="0" xfId="0" applyNumberFormat="1" applyFont="1" applyFill="1" applyBorder="1" applyAlignment="1">
      <alignment horizontal="center" vertical="center"/>
    </xf>
    <xf numFmtId="4" fontId="33" fillId="0" borderId="0" xfId="0" applyNumberFormat="1" applyFont="1" applyFill="1" applyBorder="1" applyAlignment="1">
      <alignment horizontal="center" vertical="center"/>
    </xf>
    <xf numFmtId="4" fontId="48" fillId="0" borderId="0" xfId="0" applyNumberFormat="1" applyFont="1" applyFill="1" applyAlignment="1">
      <alignment horizontal="center" vertical="center"/>
    </xf>
    <xf numFmtId="4" fontId="39" fillId="0" borderId="0" xfId="48" applyNumberFormat="1" applyFont="1" applyFill="1" applyBorder="1" applyAlignment="1" applyProtection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48" fillId="36" borderId="0" xfId="0" applyFont="1" applyFill="1" applyBorder="1"/>
    <xf numFmtId="0" fontId="133" fillId="0" borderId="16" xfId="58" applyNumberFormat="1" applyFont="1" applyFill="1" applyBorder="1" applyAlignment="1" applyProtection="1"/>
    <xf numFmtId="4" fontId="134" fillId="0" borderId="0" xfId="0" applyNumberFormat="1" applyFont="1" applyAlignment="1">
      <alignment horizontal="center"/>
    </xf>
    <xf numFmtId="0" fontId="41" fillId="36" borderId="24" xfId="45" applyNumberFormat="1" applyFont="1" applyFill="1" applyBorder="1" applyAlignment="1" applyProtection="1">
      <alignment horizontal="center"/>
    </xf>
    <xf numFmtId="10" fontId="107" fillId="0" borderId="2" xfId="56" applyNumberFormat="1" applyFont="1" applyBorder="1"/>
    <xf numFmtId="0" fontId="101" fillId="0" borderId="0" xfId="0" applyNumberFormat="1" applyFont="1"/>
    <xf numFmtId="0" fontId="4" fillId="0" borderId="0" xfId="0" applyNumberFormat="1" applyFont="1"/>
    <xf numFmtId="2" fontId="3" fillId="0" borderId="0" xfId="0" applyNumberFormat="1" applyFont="1" applyBorder="1"/>
    <xf numFmtId="0" fontId="3" fillId="0" borderId="24" xfId="0" applyFont="1" applyBorder="1"/>
    <xf numFmtId="10" fontId="3" fillId="0" borderId="0" xfId="56" applyNumberFormat="1" applyFont="1" applyBorder="1" applyAlignment="1">
      <alignment horizontal="right"/>
    </xf>
    <xf numFmtId="2" fontId="3" fillId="0" borderId="21" xfId="56" applyNumberFormat="1" applyFont="1" applyBorder="1"/>
    <xf numFmtId="2" fontId="3" fillId="0" borderId="0" xfId="56" applyNumberFormat="1" applyFont="1" applyBorder="1"/>
    <xf numFmtId="2" fontId="3" fillId="0" borderId="2" xfId="60" applyNumberFormat="1" applyFont="1" applyBorder="1" applyAlignment="1"/>
    <xf numFmtId="2" fontId="3" fillId="0" borderId="21" xfId="60" applyNumberFormat="1" applyFont="1" applyBorder="1"/>
    <xf numFmtId="0" fontId="83" fillId="34" borderId="0" xfId="44" applyFont="1" applyFill="1" applyBorder="1" applyAlignment="1">
      <alignment horizontal="left"/>
    </xf>
    <xf numFmtId="0" fontId="3" fillId="0" borderId="0" xfId="0" applyFont="1" applyBorder="1"/>
    <xf numFmtId="0" fontId="0" fillId="36" borderId="2" xfId="0" applyFont="1" applyFill="1" applyBorder="1"/>
    <xf numFmtId="10" fontId="3" fillId="0" borderId="2" xfId="0" applyNumberFormat="1" applyFont="1" applyBorder="1"/>
    <xf numFmtId="0" fontId="75" fillId="0" borderId="0" xfId="0" applyNumberFormat="1" applyFont="1" applyBorder="1"/>
    <xf numFmtId="0" fontId="71" fillId="0" borderId="0" xfId="0" applyNumberFormat="1" applyFont="1"/>
    <xf numFmtId="0" fontId="11" fillId="36" borderId="0" xfId="0" applyNumberFormat="1" applyFont="1" applyFill="1"/>
    <xf numFmtId="0" fontId="36" fillId="36" borderId="0" xfId="0" applyNumberFormat="1" applyFont="1" applyFill="1" applyBorder="1"/>
    <xf numFmtId="0" fontId="14" fillId="36" borderId="0" xfId="47" applyNumberFormat="1" applyFont="1" applyFill="1" applyBorder="1">
      <alignment horizontal="left"/>
    </xf>
    <xf numFmtId="0" fontId="17" fillId="0" borderId="0" xfId="0" applyNumberFormat="1" applyFont="1"/>
    <xf numFmtId="0" fontId="83" fillId="36" borderId="0" xfId="0" applyNumberFormat="1" applyFont="1" applyFill="1"/>
    <xf numFmtId="0" fontId="78" fillId="36" borderId="0" xfId="0" applyNumberFormat="1" applyFont="1" applyFill="1" applyBorder="1"/>
    <xf numFmtId="0" fontId="71" fillId="36" borderId="0" xfId="0" applyNumberFormat="1" applyFont="1" applyFill="1" applyBorder="1"/>
    <xf numFmtId="0" fontId="36" fillId="0" borderId="0" xfId="0" applyNumberFormat="1" applyFont="1" applyBorder="1"/>
    <xf numFmtId="0" fontId="0" fillId="0" borderId="0" xfId="0" applyNumberFormat="1" applyFont="1"/>
    <xf numFmtId="178" fontId="11" fillId="0" borderId="0" xfId="0" applyNumberFormat="1" applyFont="1"/>
    <xf numFmtId="178" fontId="2" fillId="0" borderId="0" xfId="0" applyNumberFormat="1" applyFont="1"/>
    <xf numFmtId="178" fontId="2" fillId="0" borderId="0" xfId="0" applyNumberFormat="1" applyFont="1" applyBorder="1"/>
    <xf numFmtId="177" fontId="83" fillId="36" borderId="0" xfId="0" applyNumberFormat="1" applyFont="1" applyFill="1"/>
    <xf numFmtId="0" fontId="137" fillId="36" borderId="0" xfId="48" applyNumberFormat="1" applyFont="1" applyFill="1" applyBorder="1" applyAlignment="1" applyProtection="1">
      <alignment horizontal="right"/>
    </xf>
    <xf numFmtId="0" fontId="137" fillId="36" borderId="0" xfId="47" applyFont="1" applyFill="1" applyBorder="1">
      <alignment horizontal="left"/>
    </xf>
    <xf numFmtId="0" fontId="138" fillId="36" borderId="0" xfId="0" applyFont="1" applyFill="1" applyBorder="1"/>
    <xf numFmtId="0" fontId="139" fillId="0" borderId="0" xfId="0" applyFont="1"/>
    <xf numFmtId="0" fontId="139" fillId="36" borderId="0" xfId="44" applyFont="1" applyFill="1" applyBorder="1" applyAlignment="1">
      <alignment horizontal="center"/>
    </xf>
    <xf numFmtId="0" fontId="139" fillId="34" borderId="0" xfId="44" applyFont="1" applyFill="1" applyBorder="1" applyAlignment="1">
      <alignment horizontal="center"/>
    </xf>
    <xf numFmtId="0" fontId="140" fillId="36" borderId="0" xfId="48" applyNumberFormat="1" applyFont="1" applyFill="1" applyBorder="1" applyAlignment="1" applyProtection="1">
      <alignment horizontal="right"/>
    </xf>
    <xf numFmtId="0" fontId="30" fillId="0" borderId="0" xfId="0" applyFont="1"/>
    <xf numFmtId="0" fontId="30" fillId="36" borderId="0" xfId="0" applyFont="1" applyFill="1" applyBorder="1"/>
    <xf numFmtId="4" fontId="139" fillId="0" borderId="0" xfId="0" applyNumberFormat="1" applyFont="1" applyAlignment="1">
      <alignment horizontal="center" vertical="center"/>
    </xf>
    <xf numFmtId="10" fontId="140" fillId="36" borderId="0" xfId="56" applyNumberFormat="1" applyFont="1" applyFill="1" applyBorder="1"/>
    <xf numFmtId="10" fontId="141" fillId="36" borderId="0" xfId="56" applyNumberFormat="1" applyFont="1" applyFill="1" applyBorder="1"/>
    <xf numFmtId="0" fontId="140" fillId="36" borderId="0" xfId="58" applyNumberFormat="1" applyFont="1" applyFill="1" applyBorder="1" applyAlignment="1" applyProtection="1"/>
    <xf numFmtId="0" fontId="141" fillId="36" borderId="0" xfId="58" applyNumberFormat="1" applyFont="1" applyFill="1" applyBorder="1" applyAlignment="1" applyProtection="1"/>
    <xf numFmtId="0" fontId="79" fillId="0" borderId="24" xfId="0" applyFont="1" applyBorder="1" applyAlignment="1">
      <alignment horizontal="left"/>
    </xf>
    <xf numFmtId="0" fontId="32" fillId="44" borderId="2" xfId="0" applyFont="1" applyFill="1" applyBorder="1" applyAlignment="1">
      <alignment horizontal="left" wrapText="1"/>
    </xf>
    <xf numFmtId="0" fontId="32" fillId="44" borderId="0" xfId="0" applyFont="1" applyFill="1" applyAlignment="1">
      <alignment horizontal="left" wrapText="1"/>
    </xf>
    <xf numFmtId="0" fontId="41" fillId="36" borderId="24" xfId="0" applyFont="1" applyFill="1" applyBorder="1" applyAlignment="1">
      <alignment horizontal="center"/>
    </xf>
    <xf numFmtId="0" fontId="41" fillId="36" borderId="24" xfId="45" applyNumberFormat="1" applyFont="1" applyFill="1" applyBorder="1" applyAlignment="1" applyProtection="1">
      <alignment horizontal="center"/>
    </xf>
    <xf numFmtId="0" fontId="83" fillId="36" borderId="24" xfId="0" applyFont="1" applyFill="1" applyBorder="1" applyAlignment="1">
      <alignment horizontal="center"/>
    </xf>
    <xf numFmtId="0" fontId="32" fillId="0" borderId="24" xfId="0" applyFont="1" applyBorder="1" applyAlignment="1">
      <alignment horizontal="center"/>
    </xf>
    <xf numFmtId="9" fontId="0" fillId="0" borderId="21" xfId="56" applyFont="1" applyFill="1" applyBorder="1" applyAlignment="1">
      <alignment horizontal="center"/>
    </xf>
    <xf numFmtId="43" fontId="0" fillId="0" borderId="2" xfId="0" applyNumberFormat="1" applyBorder="1" applyAlignment="1">
      <alignment horizontal="center" vertical="center"/>
    </xf>
    <xf numFmtId="43" fontId="0" fillId="0" borderId="24" xfId="0" applyNumberFormat="1" applyBorder="1" applyAlignment="1">
      <alignment horizontal="center" vertical="center"/>
    </xf>
    <xf numFmtId="0" fontId="0" fillId="39" borderId="12" xfId="0" applyFont="1" applyFill="1" applyBorder="1" applyAlignment="1">
      <alignment horizontal="center"/>
    </xf>
    <xf numFmtId="0" fontId="0" fillId="39" borderId="1" xfId="0" applyFont="1" applyFill="1" applyBorder="1" applyAlignment="1">
      <alignment horizontal="center" vertical="center" textRotation="90"/>
    </xf>
    <xf numFmtId="0" fontId="6" fillId="39" borderId="2" xfId="0" applyFont="1" applyFill="1" applyBorder="1" applyAlignment="1">
      <alignment horizontal="left" vertical="center" wrapText="1"/>
    </xf>
    <xf numFmtId="0" fontId="6" fillId="39" borderId="0" xfId="0" applyFont="1" applyFill="1" applyBorder="1" applyAlignment="1">
      <alignment horizontal="left" vertical="center" wrapText="1"/>
    </xf>
    <xf numFmtId="0" fontId="39" fillId="38" borderId="0" xfId="0" applyFont="1" applyFill="1" applyAlignment="1">
      <alignment horizontal="center" vertical="center" wrapText="1"/>
    </xf>
    <xf numFmtId="0" fontId="39" fillId="38" borderId="0" xfId="0" applyFont="1" applyFill="1" applyAlignment="1">
      <alignment horizontal="center" vertical="center"/>
    </xf>
    <xf numFmtId="4" fontId="14" fillId="38" borderId="0" xfId="46" applyNumberFormat="1" applyFont="1" applyFill="1" applyBorder="1" applyAlignment="1" applyProtection="1">
      <alignment horizontal="center" vertical="center" wrapText="1"/>
    </xf>
    <xf numFmtId="4" fontId="14" fillId="38" borderId="0" xfId="46" applyNumberFormat="1" applyFont="1" applyFill="1" applyBorder="1" applyAlignment="1" applyProtection="1">
      <alignment horizontal="center" wrapText="1"/>
    </xf>
    <xf numFmtId="4" fontId="14" fillId="38" borderId="0" xfId="46" applyNumberFormat="1" applyFont="1" applyFill="1" applyBorder="1" applyAlignment="1" applyProtection="1">
      <alignment horizontal="center"/>
    </xf>
    <xf numFmtId="4" fontId="14" fillId="38" borderId="0" xfId="46" applyNumberFormat="1" applyFont="1" applyFill="1" applyBorder="1" applyAlignment="1" applyProtection="1">
      <alignment horizontal="center" vertical="center"/>
    </xf>
    <xf numFmtId="0" fontId="14" fillId="38" borderId="0" xfId="46" applyNumberFormat="1" applyFont="1" applyFill="1" applyBorder="1" applyAlignment="1" applyProtection="1">
      <alignment horizontal="center" vertical="center"/>
    </xf>
    <xf numFmtId="0" fontId="14" fillId="38" borderId="0" xfId="48" applyNumberFormat="1" applyFont="1" applyFill="1" applyBorder="1" applyAlignment="1" applyProtection="1">
      <alignment horizontal="center"/>
    </xf>
    <xf numFmtId="166" fontId="49" fillId="36" borderId="12" xfId="56" applyNumberFormat="1" applyFont="1" applyFill="1" applyBorder="1" applyAlignment="1" applyProtection="1">
      <alignment horizontal="center"/>
    </xf>
    <xf numFmtId="0" fontId="129" fillId="39" borderId="0" xfId="0" applyFont="1" applyFill="1" applyBorder="1" applyAlignment="1">
      <alignment horizontal="left" vertical="center" wrapText="1"/>
    </xf>
    <xf numFmtId="0" fontId="129" fillId="39" borderId="0" xfId="0" applyFont="1" applyFill="1" applyBorder="1" applyAlignment="1">
      <alignment horizontal="left" vertical="top" wrapText="1"/>
    </xf>
    <xf numFmtId="0" fontId="129" fillId="39" borderId="2" xfId="0" applyFont="1" applyFill="1" applyBorder="1" applyAlignment="1">
      <alignment horizontal="left" vertical="top" wrapText="1"/>
    </xf>
  </cellXfs>
  <cellStyles count="6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8" builtinId="21" customBuiltin="1"/>
    <cellStyle name="Berechnung" xfId="26" builtinId="22" customBuiltin="1"/>
    <cellStyle name="blp_column_header" xfId="42" xr:uid="{00000000-0005-0000-0000-000019000000}"/>
    <cellStyle name="blp_datetime" xfId="53" xr:uid="{00000000-0005-0000-0000-00001A000000}"/>
    <cellStyle name="blp_title_header_row_left" xfId="43" xr:uid="{00000000-0005-0000-0000-00001B000000}"/>
    <cellStyle name="Eingabe" xfId="34" builtinId="20" customBuiltin="1"/>
    <cellStyle name="Ergebnis" xfId="40" builtinId="25" customBuiltin="1"/>
    <cellStyle name="Erklärender Text" xfId="28" builtinId="53" customBuiltin="1"/>
    <cellStyle name="fa_column_header_bottom" xfId="48" xr:uid="{00000000-0005-0000-0000-000021000000}"/>
    <cellStyle name="fa_column_header_bottom_left" xfId="47" xr:uid="{00000000-0005-0000-0000-000022000000}"/>
    <cellStyle name="fa_column_header_empty" xfId="44" xr:uid="{00000000-0005-0000-0000-000023000000}"/>
    <cellStyle name="fa_column_header_top" xfId="46" xr:uid="{00000000-0005-0000-0000-000024000000}"/>
    <cellStyle name="fa_column_header_top_left" xfId="45" xr:uid="{00000000-0005-0000-0000-000025000000}"/>
    <cellStyle name="fa_data_bold_1_grouped" xfId="50" xr:uid="{00000000-0005-0000-0000-000026000000}"/>
    <cellStyle name="fa_data_standard_0_grouped" xfId="51" xr:uid="{00000000-0005-0000-0000-000027000000}"/>
    <cellStyle name="fa_data_standard_1_grouped" xfId="54" xr:uid="{00000000-0005-0000-0000-000028000000}"/>
    <cellStyle name="fa_footer_italic" xfId="55" xr:uid="{00000000-0005-0000-0000-000029000000}"/>
    <cellStyle name="fa_row_header_bold" xfId="49" xr:uid="{00000000-0005-0000-0000-00002A000000}"/>
    <cellStyle name="fa_row_header_bold 2" xfId="57" xr:uid="{00000000-0005-0000-0000-00002B000000}"/>
    <cellStyle name="fa_row_header_standard" xfId="52" xr:uid="{00000000-0005-0000-0000-00002C000000}"/>
    <cellStyle name="fa_row_header_standard 2" xfId="58" xr:uid="{00000000-0005-0000-0000-00002D000000}"/>
    <cellStyle name="Gut" xfId="29" builtinId="26" customBuiltin="1"/>
    <cellStyle name="Komma" xfId="60" builtinId="3"/>
    <cellStyle name="Link" xfId="61" builtinId="8"/>
    <cellStyle name="Neutral" xfId="36" builtinId="28" customBuiltin="1"/>
    <cellStyle name="Notiz" xfId="37" builtinId="10" customBuiltin="1"/>
    <cellStyle name="Prozent" xfId="56" builtinId="5"/>
    <cellStyle name="Schlecht" xfId="25" builtinId="27" customBuiltin="1"/>
    <cellStyle name="Standard" xfId="0" builtinId="0"/>
    <cellStyle name="Überschrift" xfId="39" builtinId="15" customBuiltin="1"/>
    <cellStyle name="Überschrift 1" xfId="30" builtinId="16" customBuiltin="1"/>
    <cellStyle name="Überschrift 2" xfId="31" builtinId="17" customBuiltin="1"/>
    <cellStyle name="Überschrift 3" xfId="32" builtinId="18" customBuiltin="1"/>
    <cellStyle name="Überschrift 4" xfId="33" builtinId="19" customBuiltin="1"/>
    <cellStyle name="Verknüpfte Zelle" xfId="35" builtinId="24" customBuiltin="1"/>
    <cellStyle name="Währung" xfId="59" builtinId="4"/>
    <cellStyle name="Warnender Text" xfId="41" builtinId="11" customBuiltin="1"/>
    <cellStyle name="Zelle überprüfen" xfId="27" builtinId="23" customBuiltin="1"/>
  </cellStyles>
  <dxfs count="0"/>
  <tableStyles count="0" defaultTableStyle="TableStyleMedium2" defaultPivotStyle="PivotStyleLight16"/>
  <colors>
    <mruColors>
      <color rgb="FFFF3300"/>
      <color rgb="FF333333"/>
      <color rgb="FFF3F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Summary!$A$6:$A$14</c15:sqref>
                  </c15:fullRef>
                </c:ext>
              </c:extLst>
              <c:f>Summary!$A$8:$A$13</c:f>
              <c:strCache>
                <c:ptCount val="6"/>
                <c:pt idx="0">
                  <c:v>Adjusted Present Value</c:v>
                </c:pt>
                <c:pt idx="1">
                  <c:v>Discounted Cash Flow</c:v>
                </c:pt>
                <c:pt idx="2">
                  <c:v>Multiples Based on Assets</c:v>
                </c:pt>
                <c:pt idx="3">
                  <c:v>Price Multiples Based on Cash Flows (1)</c:v>
                </c:pt>
                <c:pt idx="4">
                  <c:v>Price Multiples Based on Cash Flows (2)</c:v>
                </c:pt>
                <c:pt idx="5">
                  <c:v>Value Multiples Based on Cash Flows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Summary!$H$6:$H$14</c15:sqref>
                  </c15:fullRef>
                </c:ext>
              </c:extLst>
              <c:f>Summary!$H$8:$H$13</c:f>
              <c:numCache>
                <c:formatCode>General</c:formatCode>
                <c:ptCount val="6"/>
                <c:pt idx="0" formatCode="#,##0.00">
                  <c:v>70813.149999999994</c:v>
                </c:pt>
                <c:pt idx="1" formatCode="#,##0.00">
                  <c:v>67027.38</c:v>
                </c:pt>
                <c:pt idx="2" formatCode="#,##0.00">
                  <c:v>23420.899149999561</c:v>
                </c:pt>
                <c:pt idx="3" formatCode="#,##0.00">
                  <c:v>57393.359385260643</c:v>
                </c:pt>
                <c:pt idx="4" formatCode="#,##0.00">
                  <c:v>45327.081177479107</c:v>
                </c:pt>
                <c:pt idx="5" formatCode="#,##0.00">
                  <c:v>39541.858922599924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4-4CAC-9694-4C85EB49114E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Summary!$A$6:$A$14</c15:sqref>
                  </c15:fullRef>
                </c:ext>
              </c:extLst>
              <c:f>Summary!$A$8:$A$13</c:f>
              <c:strCache>
                <c:ptCount val="6"/>
                <c:pt idx="0">
                  <c:v>Adjusted Present Value</c:v>
                </c:pt>
                <c:pt idx="1">
                  <c:v>Discounted Cash Flow</c:v>
                </c:pt>
                <c:pt idx="2">
                  <c:v>Multiples Based on Assets</c:v>
                </c:pt>
                <c:pt idx="3">
                  <c:v>Price Multiples Based on Cash Flows (1)</c:v>
                </c:pt>
                <c:pt idx="4">
                  <c:v>Price Multiples Based on Cash Flows (2)</c:v>
                </c:pt>
                <c:pt idx="5">
                  <c:v>Value Multiples Based on Cash Flows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Summary!$I$6:$I$14</c15:sqref>
                  </c15:fullRef>
                </c:ext>
              </c:extLst>
              <c:f>Summary!$I$8:$I$13</c:f>
              <c:numCache>
                <c:formatCode>General</c:formatCode>
                <c:ptCount val="6"/>
                <c:pt idx="0" formatCode="#,##0.00">
                  <c:v>10043.862500000003</c:v>
                </c:pt>
                <c:pt idx="1" formatCode="#,##0.00">
                  <c:v>12468.884999999995</c:v>
                </c:pt>
                <c:pt idx="2" formatCode="#,##0.00">
                  <c:v>6456.3976081174733</c:v>
                </c:pt>
                <c:pt idx="3" formatCode="#,##0.00">
                  <c:v>25650.613161044035</c:v>
                </c:pt>
                <c:pt idx="4" formatCode="#,##0.00">
                  <c:v>20405.806359887545</c:v>
                </c:pt>
                <c:pt idx="5" formatCode="#,##0.00">
                  <c:v>19181.456555282821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4-4CAC-9694-4C85EB49114E}"/>
            </c:ext>
          </c:extLst>
        </c:ser>
        <c:ser>
          <c:idx val="2"/>
          <c:order val="2"/>
          <c:tx>
            <c:v>1st Quartile to Median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Summary!$A$6:$A$14</c15:sqref>
                  </c15:fullRef>
                </c:ext>
              </c:extLst>
              <c:f>Summary!$A$8:$A$13</c:f>
              <c:strCache>
                <c:ptCount val="6"/>
                <c:pt idx="0">
                  <c:v>Adjusted Present Value</c:v>
                </c:pt>
                <c:pt idx="1">
                  <c:v>Discounted Cash Flow</c:v>
                </c:pt>
                <c:pt idx="2">
                  <c:v>Multiples Based on Assets</c:v>
                </c:pt>
                <c:pt idx="3">
                  <c:v>Price Multiples Based on Cash Flows (1)</c:v>
                </c:pt>
                <c:pt idx="4">
                  <c:v>Price Multiples Based on Cash Flows (2)</c:v>
                </c:pt>
                <c:pt idx="5">
                  <c:v>Value Multiples Based on Cash Flows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Summary!$J$6:$J$14</c15:sqref>
                  </c15:fullRef>
                </c:ext>
              </c:extLst>
              <c:f>Summary!$J$8:$J$13</c:f>
              <c:numCache>
                <c:formatCode>General</c:formatCode>
                <c:ptCount val="6"/>
                <c:pt idx="0" formatCode="#,##0.00">
                  <c:v>10554.212500000009</c:v>
                </c:pt>
                <c:pt idx="1" formatCode="#,##0.00">
                  <c:v>14930.675000000003</c:v>
                </c:pt>
                <c:pt idx="2" formatCode="#,##0.00">
                  <c:v>12373.132011233745</c:v>
                </c:pt>
                <c:pt idx="3" formatCode="#,##0.00">
                  <c:v>15227.337246675612</c:v>
                </c:pt>
                <c:pt idx="4" formatCode="#,##0.00">
                  <c:v>20110.681016598624</c:v>
                </c:pt>
                <c:pt idx="5" formatCode="#,##0.00">
                  <c:v>17596.34231128465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4-4CAC-9694-4C85EB49114E}"/>
            </c:ext>
          </c:extLst>
        </c:ser>
        <c:ser>
          <c:idx val="3"/>
          <c:order val="3"/>
          <c:tx>
            <c:v>Median to 3rd Quartile</c:v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Summary!$A$6:$A$14</c15:sqref>
                  </c15:fullRef>
                </c:ext>
              </c:extLst>
              <c:f>Summary!$A$8:$A$13</c:f>
              <c:strCache>
                <c:ptCount val="6"/>
                <c:pt idx="0">
                  <c:v>Adjusted Present Value</c:v>
                </c:pt>
                <c:pt idx="1">
                  <c:v>Discounted Cash Flow</c:v>
                </c:pt>
                <c:pt idx="2">
                  <c:v>Multiples Based on Assets</c:v>
                </c:pt>
                <c:pt idx="3">
                  <c:v>Price Multiples Based on Cash Flows (1)</c:v>
                </c:pt>
                <c:pt idx="4">
                  <c:v>Price Multiples Based on Cash Flows (2)</c:v>
                </c:pt>
                <c:pt idx="5">
                  <c:v>Value Multiples Based on Cash Flows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Summary!$K$6:$K$14</c15:sqref>
                  </c15:fullRef>
                </c:ext>
              </c:extLst>
              <c:f>Summary!$K$8:$K$13</c:f>
              <c:numCache>
                <c:formatCode>General</c:formatCode>
                <c:ptCount val="6"/>
                <c:pt idx="0" formatCode="#,##0.00">
                  <c:v>17758.477499999994</c:v>
                </c:pt>
                <c:pt idx="1" formatCode="#,##0.00">
                  <c:v>21980.339999999997</c:v>
                </c:pt>
                <c:pt idx="2" formatCode="#,##0.00">
                  <c:v>33214.891810205881</c:v>
                </c:pt>
                <c:pt idx="3" formatCode="#,##0.00">
                  <c:v>61785.390357855096</c:v>
                </c:pt>
                <c:pt idx="4" formatCode="#,##0.00">
                  <c:v>40504.039828733366</c:v>
                </c:pt>
                <c:pt idx="5" formatCode="#,##0.00">
                  <c:v>8847.807042906672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4-4CAC-9694-4C85EB49114E}"/>
            </c:ext>
          </c:extLst>
        </c:ser>
        <c:ser>
          <c:idx val="4"/>
          <c:order val="4"/>
          <c:tx>
            <c:v>3rd Quartile to Max</c:v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Summary!$A$6:$A$14</c15:sqref>
                  </c15:fullRef>
                </c:ext>
              </c:extLst>
              <c:f>Summary!$A$8:$A$13</c:f>
              <c:strCache>
                <c:ptCount val="6"/>
                <c:pt idx="0">
                  <c:v>Adjusted Present Value</c:v>
                </c:pt>
                <c:pt idx="1">
                  <c:v>Discounted Cash Flow</c:v>
                </c:pt>
                <c:pt idx="2">
                  <c:v>Multiples Based on Assets</c:v>
                </c:pt>
                <c:pt idx="3">
                  <c:v>Price Multiples Based on Cash Flows (1)</c:v>
                </c:pt>
                <c:pt idx="4">
                  <c:v>Price Multiples Based on Cash Flows (2)</c:v>
                </c:pt>
                <c:pt idx="5">
                  <c:v>Value Multiples Based on Cash Flows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Summary!$L$6:$L$14</c15:sqref>
                  </c15:fullRef>
                </c:ext>
              </c:extLst>
              <c:f>Summary!$L$8:$L$13</c:f>
              <c:numCache>
                <c:formatCode>General</c:formatCode>
                <c:ptCount val="6"/>
                <c:pt idx="0" formatCode="#,##0.00">
                  <c:v>15643.787500000006</c:v>
                </c:pt>
                <c:pt idx="1" formatCode="#,##0.00">
                  <c:v>20180.260000000009</c:v>
                </c:pt>
                <c:pt idx="2" formatCode="#,##0.00">
                  <c:v>12595.671769353241</c:v>
                </c:pt>
                <c:pt idx="3" formatCode="#,##0.00">
                  <c:v>27393.053211486782</c:v>
                </c:pt>
                <c:pt idx="4" formatCode="#,##0.00">
                  <c:v>22443.104431925371</c:v>
                </c:pt>
                <c:pt idx="5" formatCode="#,##0.00">
                  <c:v>11642.150513370449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9-4DE2-B08C-1630ABE82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782424"/>
        <c:axId val="454783992"/>
      </c:barChart>
      <c:catAx>
        <c:axId val="454782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3992"/>
        <c:crosses val="autoZero"/>
        <c:auto val="1"/>
        <c:lblAlgn val="ctr"/>
        <c:lblOffset val="100"/>
        <c:noMultiLvlLbl val="0"/>
      </c:catAx>
      <c:valAx>
        <c:axId val="4547839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37649030168071268"/>
          <c:y val="0.91988689819569669"/>
          <c:w val="0.5441892631461267"/>
          <c:h val="5.4348206474190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Summary!$C$46</c:f>
              <c:strCache>
                <c:ptCount val="1"/>
                <c:pt idx="0">
                  <c:v>PV Terminal 
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Summary!$B$47:$B$58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Summary!$C$47:$C$58</c:f>
              <c:numCache>
                <c:formatCode>#,##0.00</c:formatCode>
                <c:ptCount val="12"/>
                <c:pt idx="1">
                  <c:v>72210.684507664206</c:v>
                </c:pt>
                <c:pt idx="2">
                  <c:v>100812.78</c:v>
                </c:pt>
                <c:pt idx="3">
                  <c:v>54805.79</c:v>
                </c:pt>
                <c:pt idx="5">
                  <c:v>80077</c:v>
                </c:pt>
                <c:pt idx="6">
                  <c:v>111794.88</c:v>
                </c:pt>
                <c:pt idx="7">
                  <c:v>60776.1</c:v>
                </c:pt>
                <c:pt idx="9">
                  <c:v>62398.720000000001</c:v>
                </c:pt>
                <c:pt idx="10">
                  <c:v>87114.37</c:v>
                </c:pt>
                <c:pt idx="11">
                  <c:v>47358.8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A-4A0F-855A-823B5D38C873}"/>
            </c:ext>
          </c:extLst>
        </c:ser>
        <c:ser>
          <c:idx val="1"/>
          <c:order val="1"/>
          <c:tx>
            <c:strRef>
              <c:f>Summary!$D$46</c:f>
              <c:strCache>
                <c:ptCount val="1"/>
                <c:pt idx="0">
                  <c:v>PV Cash
Flows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Summary!$B$47:$B$58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Summary!$D$47:$D$58</c:f>
              <c:numCache>
                <c:formatCode>#,##0.00</c:formatCode>
                <c:ptCount val="12"/>
                <c:pt idx="1">
                  <c:v>21616.73</c:v>
                </c:pt>
                <c:pt idx="2">
                  <c:v>22474.29</c:v>
                </c:pt>
                <c:pt idx="3">
                  <c:v>20809.240000000002</c:v>
                </c:pt>
                <c:pt idx="5">
                  <c:v>22902.31</c:v>
                </c:pt>
                <c:pt idx="6">
                  <c:v>23824.959999999999</c:v>
                </c:pt>
                <c:pt idx="7">
                  <c:v>22033.93</c:v>
                </c:pt>
                <c:pt idx="9">
                  <c:v>20008.8</c:v>
                </c:pt>
                <c:pt idx="10">
                  <c:v>20784.52</c:v>
                </c:pt>
                <c:pt idx="11">
                  <c:v>19277.86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A-4A0F-855A-823B5D38C873}"/>
            </c:ext>
          </c:extLst>
        </c:ser>
        <c:ser>
          <c:idx val="2"/>
          <c:order val="2"/>
          <c:tx>
            <c:strRef>
              <c:f>Summary!$E$46</c:f>
              <c:strCache>
                <c:ptCount val="1"/>
                <c:pt idx="0">
                  <c:v>Enterprise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Summary!$B$47:$B$58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Summary!$E$47:$E$58</c:f>
              <c:numCache>
                <c:formatCode>#,##0.00</c:formatCode>
                <c:ptCount val="12"/>
                <c:pt idx="1">
                  <c:v>93827.414507664202</c:v>
                </c:pt>
                <c:pt idx="2">
                  <c:v>123287.07</c:v>
                </c:pt>
                <c:pt idx="3">
                  <c:v>75615.03</c:v>
                </c:pt>
                <c:pt idx="5">
                  <c:v>102979.31</c:v>
                </c:pt>
                <c:pt idx="6">
                  <c:v>135619.84</c:v>
                </c:pt>
                <c:pt idx="7">
                  <c:v>82810.03</c:v>
                </c:pt>
                <c:pt idx="9">
                  <c:v>82407.520000000004</c:v>
                </c:pt>
                <c:pt idx="10">
                  <c:v>107898.89</c:v>
                </c:pt>
                <c:pt idx="11">
                  <c:v>66636.66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A-4A0F-855A-823B5D38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783208"/>
        <c:axId val="454784776"/>
        <c:axId val="0"/>
      </c:bar3DChart>
      <c:catAx>
        <c:axId val="45478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4776"/>
        <c:crosses val="autoZero"/>
        <c:auto val="1"/>
        <c:lblAlgn val="ctr"/>
        <c:lblOffset val="100"/>
        <c:noMultiLvlLbl val="0"/>
      </c:catAx>
      <c:valAx>
        <c:axId val="45478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Summary!$I$86</c:f>
              <c:strCache>
                <c:ptCount val="1"/>
                <c:pt idx="0">
                  <c:v>PV Terminal 
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Summary!$H$87:$H$98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Summary!$I$87:$I$98</c:f>
              <c:numCache>
                <c:formatCode>#,##0.00</c:formatCode>
                <c:ptCount val="12"/>
                <c:pt idx="1">
                  <c:v>72210.684507664206</c:v>
                </c:pt>
                <c:pt idx="2">
                  <c:v>100812.78</c:v>
                </c:pt>
                <c:pt idx="3">
                  <c:v>54805.79</c:v>
                </c:pt>
                <c:pt idx="5">
                  <c:v>80077</c:v>
                </c:pt>
                <c:pt idx="6">
                  <c:v>111794.88</c:v>
                </c:pt>
                <c:pt idx="7">
                  <c:v>60776.1</c:v>
                </c:pt>
                <c:pt idx="9">
                  <c:v>62398.720000000001</c:v>
                </c:pt>
                <c:pt idx="10">
                  <c:v>87114.37</c:v>
                </c:pt>
                <c:pt idx="11">
                  <c:v>47358.8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4-49E9-B740-2754CEC72643}"/>
            </c:ext>
          </c:extLst>
        </c:ser>
        <c:ser>
          <c:idx val="1"/>
          <c:order val="1"/>
          <c:tx>
            <c:strRef>
              <c:f>Summary!$J$86</c:f>
              <c:strCache>
                <c:ptCount val="1"/>
                <c:pt idx="0">
                  <c:v>PV Cash
Flows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Summary!$H$87:$H$98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Summary!$J$87:$J$98</c:f>
              <c:numCache>
                <c:formatCode>#,##0.00</c:formatCode>
                <c:ptCount val="12"/>
                <c:pt idx="1">
                  <c:v>21616.73</c:v>
                </c:pt>
                <c:pt idx="2">
                  <c:v>22474.29</c:v>
                </c:pt>
                <c:pt idx="3">
                  <c:v>20809.240000000002</c:v>
                </c:pt>
                <c:pt idx="5">
                  <c:v>22902.31</c:v>
                </c:pt>
                <c:pt idx="6">
                  <c:v>23824.959999999999</c:v>
                </c:pt>
                <c:pt idx="7">
                  <c:v>22033.93</c:v>
                </c:pt>
                <c:pt idx="9">
                  <c:v>20008.8</c:v>
                </c:pt>
                <c:pt idx="10">
                  <c:v>20784.52</c:v>
                </c:pt>
                <c:pt idx="11">
                  <c:v>19277.86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4-49E9-B740-2754CEC72643}"/>
            </c:ext>
          </c:extLst>
        </c:ser>
        <c:ser>
          <c:idx val="2"/>
          <c:order val="2"/>
          <c:tx>
            <c:strRef>
              <c:f>Summary!$K$86</c:f>
              <c:strCache>
                <c:ptCount val="1"/>
                <c:pt idx="0">
                  <c:v>PV Tax 
Shield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Summary!$H$87:$H$98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Summary!$K$87:$K$98</c:f>
              <c:numCache>
                <c:formatCode>#,##0.00</c:formatCode>
                <c:ptCount val="12"/>
                <c:pt idx="1">
                  <c:v>9289.19</c:v>
                </c:pt>
                <c:pt idx="2">
                  <c:v>9914.76</c:v>
                </c:pt>
                <c:pt idx="3">
                  <c:v>8710.4</c:v>
                </c:pt>
                <c:pt idx="5">
                  <c:v>9289.19</c:v>
                </c:pt>
                <c:pt idx="6">
                  <c:v>9914.76</c:v>
                </c:pt>
                <c:pt idx="7">
                  <c:v>8710.4</c:v>
                </c:pt>
                <c:pt idx="9">
                  <c:v>9289.19</c:v>
                </c:pt>
                <c:pt idx="10">
                  <c:v>9914.76</c:v>
                </c:pt>
                <c:pt idx="11">
                  <c:v>8710.4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4-49E9-B740-2754CEC72643}"/>
            </c:ext>
          </c:extLst>
        </c:ser>
        <c:ser>
          <c:idx val="3"/>
          <c:order val="3"/>
          <c:tx>
            <c:strRef>
              <c:f>Summary!$L$86</c:f>
              <c:strCache>
                <c:ptCount val="1"/>
                <c:pt idx="0">
                  <c:v>Cost of 
Fin. Distress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Summary!$H$87:$H$98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Summary!$L$87:$L$98</c:f>
              <c:numCache>
                <c:formatCode>#,##0.00</c:formatCode>
                <c:ptCount val="12"/>
                <c:pt idx="1">
                  <c:v>6383.93</c:v>
                </c:pt>
                <c:pt idx="2">
                  <c:v>8388.34</c:v>
                </c:pt>
                <c:pt idx="3">
                  <c:v>5144.78</c:v>
                </c:pt>
                <c:pt idx="5">
                  <c:v>7006.62</c:v>
                </c:pt>
                <c:pt idx="6">
                  <c:v>9227.4500000000007</c:v>
                </c:pt>
                <c:pt idx="7">
                  <c:v>5634.32</c:v>
                </c:pt>
                <c:pt idx="9">
                  <c:v>5606.93</c:v>
                </c:pt>
                <c:pt idx="10">
                  <c:v>7341.34</c:v>
                </c:pt>
                <c:pt idx="11">
                  <c:v>4533.8999999999996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34-49E9-B740-2754CEC72643}"/>
            </c:ext>
          </c:extLst>
        </c:ser>
        <c:ser>
          <c:idx val="4"/>
          <c:order val="4"/>
          <c:tx>
            <c:strRef>
              <c:f>Summary!$M$86</c:f>
              <c:strCache>
                <c:ptCount val="1"/>
                <c:pt idx="0">
                  <c:v>APV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Summary!$H$87:$H$98</c:f>
              <c:strCache>
                <c:ptCount val="12"/>
                <c:pt idx="1">
                  <c:v>Base/Base</c:v>
                </c:pt>
                <c:pt idx="2">
                  <c:v>Base/Bull</c:v>
                </c:pt>
                <c:pt idx="3">
                  <c:v>Base/Bear</c:v>
                </c:pt>
                <c:pt idx="5">
                  <c:v>Bull/Base</c:v>
                </c:pt>
                <c:pt idx="6">
                  <c:v>Bull/Bull</c:v>
                </c:pt>
                <c:pt idx="7">
                  <c:v>Bull/Bear</c:v>
                </c:pt>
                <c:pt idx="9">
                  <c:v>Bear/Base</c:v>
                </c:pt>
                <c:pt idx="10">
                  <c:v>Bear/Bull</c:v>
                </c:pt>
                <c:pt idx="11">
                  <c:v>Bear/Bear</c:v>
                </c:pt>
              </c:strCache>
            </c:strRef>
          </c:cat>
          <c:val>
            <c:numRef>
              <c:f>Summary!$M$87:$M$98</c:f>
              <c:numCache>
                <c:formatCode>#,##0.00</c:formatCode>
                <c:ptCount val="12"/>
                <c:pt idx="1">
                  <c:v>96732.68</c:v>
                </c:pt>
                <c:pt idx="2">
                  <c:v>124813.49</c:v>
                </c:pt>
                <c:pt idx="3">
                  <c:v>79180.649999999994</c:v>
                </c:pt>
                <c:pt idx="5">
                  <c:v>105261.88</c:v>
                </c:pt>
                <c:pt idx="6">
                  <c:v>136307.15</c:v>
                </c:pt>
                <c:pt idx="7">
                  <c:v>85886.1</c:v>
                </c:pt>
                <c:pt idx="9">
                  <c:v>86089.77</c:v>
                </c:pt>
                <c:pt idx="10">
                  <c:v>110472.31</c:v>
                </c:pt>
                <c:pt idx="11">
                  <c:v>70813.149999999994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34-49E9-B740-2754CEC72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793008"/>
        <c:axId val="454791440"/>
        <c:axId val="0"/>
      </c:bar3DChart>
      <c:catAx>
        <c:axId val="45479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91440"/>
        <c:crosses val="autoZero"/>
        <c:auto val="1"/>
        <c:lblAlgn val="ctr"/>
        <c:lblOffset val="100"/>
        <c:noMultiLvlLbl val="0"/>
      </c:catAx>
      <c:valAx>
        <c:axId val="4547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932745464037703E-2"/>
          <c:y val="0.86686297348926056"/>
          <c:w val="0.92705171390360941"/>
          <c:h val="0.10946838745748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Opportunity'!$H$5</c:f>
              <c:strCache>
                <c:ptCount val="1"/>
                <c:pt idx="0">
                  <c:v>D/V: 3,84%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'Business Opportunity'!$G$6:$G$10</c:f>
              <c:strCache>
                <c:ptCount val="5"/>
                <c:pt idx="0">
                  <c:v>PV terminal value</c:v>
                </c:pt>
                <c:pt idx="1">
                  <c:v>PV TS</c:v>
                </c:pt>
                <c:pt idx="2">
                  <c:v>C FD</c:v>
                </c:pt>
                <c:pt idx="3">
                  <c:v>PV TS - C FD</c:v>
                </c:pt>
                <c:pt idx="4">
                  <c:v>Enterprise Value</c:v>
                </c:pt>
              </c:strCache>
            </c:strRef>
          </c:cat>
          <c:val>
            <c:numRef>
              <c:f>'Business Opportunity'!$H$6:$H$10</c:f>
              <c:numCache>
                <c:formatCode>_(* #,##0.00_);_(* \(#,##0.00\);_(* "-"??_);_(@_)</c:formatCode>
                <c:ptCount val="5"/>
                <c:pt idx="0">
                  <c:v>72210.684507664206</c:v>
                </c:pt>
                <c:pt idx="1">
                  <c:v>9289.1910992752582</c:v>
                </c:pt>
                <c:pt idx="2">
                  <c:v>6383.9322706168286</c:v>
                </c:pt>
                <c:pt idx="3">
                  <c:v>2905.2588286584296</c:v>
                </c:pt>
                <c:pt idx="4">
                  <c:v>96732.675946611256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EE9-BB90-5F6722D34066}"/>
            </c:ext>
          </c:extLst>
        </c:ser>
        <c:ser>
          <c:idx val="1"/>
          <c:order val="1"/>
          <c:tx>
            <c:strRef>
              <c:f>'Business Opportunity'!$I$5</c:f>
              <c:strCache>
                <c:ptCount val="1"/>
                <c:pt idx="0">
                  <c:v>D/V: 5%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'Business Opportunity'!$G$6:$G$10</c:f>
              <c:strCache>
                <c:ptCount val="5"/>
                <c:pt idx="0">
                  <c:v>PV terminal value</c:v>
                </c:pt>
                <c:pt idx="1">
                  <c:v>PV TS</c:v>
                </c:pt>
                <c:pt idx="2">
                  <c:v>C FD</c:v>
                </c:pt>
                <c:pt idx="3">
                  <c:v>PV TS - C FD</c:v>
                </c:pt>
                <c:pt idx="4">
                  <c:v>Enterprise Value</c:v>
                </c:pt>
              </c:strCache>
            </c:strRef>
          </c:cat>
          <c:val>
            <c:numRef>
              <c:f>'Business Opportunity'!$I$6:$I$10</c:f>
              <c:numCache>
                <c:formatCode>_(* #,##0.00_);_(* \(#,##0.00\);_(* "-"??_);_(@_)</c:formatCode>
                <c:ptCount val="5"/>
                <c:pt idx="0">
                  <c:v>72210.684507664206</c:v>
                </c:pt>
                <c:pt idx="1">
                  <c:v>20422.458869063976</c:v>
                </c:pt>
                <c:pt idx="2">
                  <c:v>6383.9322706168286</c:v>
                </c:pt>
                <c:pt idx="3">
                  <c:v>14038.526598447148</c:v>
                </c:pt>
                <c:pt idx="4">
                  <c:v>107865.94371639998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D-4EE9-BB90-5F6722D34066}"/>
            </c:ext>
          </c:extLst>
        </c:ser>
        <c:ser>
          <c:idx val="2"/>
          <c:order val="2"/>
          <c:tx>
            <c:strRef>
              <c:f>'Business Opportunity'!$J$5</c:f>
              <c:strCache>
                <c:ptCount val="1"/>
                <c:pt idx="0">
                  <c:v>D/V: 7%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'Business Opportunity'!$G$6:$G$10</c:f>
              <c:strCache>
                <c:ptCount val="5"/>
                <c:pt idx="0">
                  <c:v>PV terminal value</c:v>
                </c:pt>
                <c:pt idx="1">
                  <c:v>PV TS</c:v>
                </c:pt>
                <c:pt idx="2">
                  <c:v>C FD</c:v>
                </c:pt>
                <c:pt idx="3">
                  <c:v>PV TS - C FD</c:v>
                </c:pt>
                <c:pt idx="4">
                  <c:v>Enterprise Value</c:v>
                </c:pt>
              </c:strCache>
            </c:strRef>
          </c:cat>
          <c:val>
            <c:numRef>
              <c:f>'Business Opportunity'!$J$6:$J$10</c:f>
              <c:numCache>
                <c:formatCode>_(* #,##0.00_);_(* \(#,##0.00\);_(* "-"??_);_(@_)</c:formatCode>
                <c:ptCount val="5"/>
                <c:pt idx="0">
                  <c:v>72210.684507664206</c:v>
                </c:pt>
                <c:pt idx="1">
                  <c:v>28591.442416689562</c:v>
                </c:pt>
                <c:pt idx="2">
                  <c:v>7170.0144901311187</c:v>
                </c:pt>
                <c:pt idx="3">
                  <c:v>21421.427926558445</c:v>
                </c:pt>
                <c:pt idx="4">
                  <c:v>115248.84504451128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D-4EE9-BB90-5F6722D3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4793400"/>
        <c:axId val="454781248"/>
      </c:barChart>
      <c:catAx>
        <c:axId val="45479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1248"/>
        <c:crosses val="autoZero"/>
        <c:auto val="1"/>
        <c:lblAlgn val="ctr"/>
        <c:lblOffset val="100"/>
        <c:noMultiLvlLbl val="0"/>
      </c:catAx>
      <c:valAx>
        <c:axId val="4547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93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  <xdr:twoCellAnchor>
    <xdr:from>
      <xdr:col>0</xdr:col>
      <xdr:colOff>2</xdr:colOff>
      <xdr:row>17</xdr:row>
      <xdr:rowOff>6350</xdr:rowOff>
    </xdr:from>
    <xdr:to>
      <xdr:col>7</xdr:col>
      <xdr:colOff>90715</xdr:colOff>
      <xdr:row>39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6350</xdr:rowOff>
    </xdr:from>
    <xdr:to>
      <xdr:col>5</xdr:col>
      <xdr:colOff>228600</xdr:colOff>
      <xdr:row>79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101</xdr:row>
      <xdr:rowOff>6350</xdr:rowOff>
    </xdr:from>
    <xdr:to>
      <xdr:col>7</xdr:col>
      <xdr:colOff>273050</xdr:colOff>
      <xdr:row>121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  <xdr:twoCellAnchor>
    <xdr:from>
      <xdr:col>6</xdr:col>
      <xdr:colOff>0</xdr:colOff>
      <xdr:row>12</xdr:row>
      <xdr:rowOff>0</xdr:rowOff>
    </xdr:from>
    <xdr:to>
      <xdr:col>11</xdr:col>
      <xdr:colOff>167640</xdr:colOff>
      <xdr:row>31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927342</xdr:colOff>
      <xdr:row>0</xdr:row>
      <xdr:rowOff>365760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134862</xdr:colOff>
      <xdr:row>0</xdr:row>
      <xdr:rowOff>365760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927342</xdr:colOff>
      <xdr:row>0</xdr:row>
      <xdr:rowOff>365760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  <xdr:twoCellAnchor editAs="oneCell">
    <xdr:from>
      <xdr:col>0</xdr:col>
      <xdr:colOff>400473</xdr:colOff>
      <xdr:row>27</xdr:row>
      <xdr:rowOff>76200</xdr:rowOff>
    </xdr:from>
    <xdr:to>
      <xdr:col>0</xdr:col>
      <xdr:colOff>1436793</xdr:colOff>
      <xdr:row>30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00473" y="4747260"/>
          <a:ext cx="1036320" cy="54864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927342</xdr:colOff>
      <xdr:row>0</xdr:row>
      <xdr:rowOff>365760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7342" cy="3657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7342" cy="365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bihrer/AppData/Local/Microsoft/Windows/INetCache/IE/XCWRHS9H/20171019_Nike_Valuation_v22_N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bihrer/Desktop/Uni/Corporate%20Valuation/00%20Assignment%20Nike%20Valuation/20171021_Nike_Valuation_v29_NB_rA%20blei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bihrer/Desktop/Uni/Corporate%20Valuation/00%20Assignment%20Nike%20Valuation/20171020_Nike_Valuation_v24_N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ened/OneDrive/Dokumente/EBS/Master%20of%20Science%20Finance/Semester%201/Fundamentals%20of%20Corporate%20Valuation/Project_Nike/20171017_Nike_Valuation_v20_B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ummary"/>
      <sheetName val="Business Opportunity"/>
      <sheetName val="Growth Scenarios"/>
      <sheetName val="Free Cash Flows"/>
      <sheetName val="Beta Calculation"/>
      <sheetName val="Cost of Equity"/>
      <sheetName val="Cost of Debt"/>
      <sheetName val="WACC"/>
      <sheetName val="DCF"/>
      <sheetName val="APV"/>
      <sheetName val="Marginal Tax Rate"/>
      <sheetName val="Cost of Debt_Bond 2023"/>
      <sheetName val="Cost of Debt_Bond 2026"/>
      <sheetName val="Cost of Debt_Bond 2043"/>
      <sheetName val="Cost of Debt_Bond 2045"/>
      <sheetName val="Cost of Debt_Bond 2046"/>
      <sheetName val="Price NKE Equity"/>
      <sheetName val="Total Returns NKE Equity"/>
      <sheetName val="Total Returns NKE Equity daily"/>
      <sheetName val="SPX monthly"/>
      <sheetName val="SPX daily"/>
      <sheetName val="NKE Equity monthly"/>
      <sheetName val="2045 Bond Last prices"/>
      <sheetName val="2043 Bond Last prices"/>
      <sheetName val="2026 Bond Last prices"/>
      <sheetName val="2023 Bond Last prices"/>
      <sheetName val="2046 Bond Last price"/>
      <sheetName val="Appendix Balance Sheet"/>
      <sheetName val="Appendix Income Statement"/>
      <sheetName val="Appendix Cash-Flow Statement"/>
    </sheetNames>
    <sheetDataSet>
      <sheetData sheetId="0">
        <row r="4">
          <cell r="H4" t="str">
            <v>Scenario 1: Base Case</v>
          </cell>
        </row>
        <row r="6">
          <cell r="H6" t="str">
            <v>Scenario 2: Bull Case</v>
          </cell>
        </row>
        <row r="7">
          <cell r="H7" t="str">
            <v>Scenario 3: Bear Case</v>
          </cell>
        </row>
      </sheetData>
      <sheetData sheetId="1"/>
      <sheetData sheetId="2"/>
      <sheetData sheetId="3"/>
      <sheetData sheetId="4"/>
      <sheetData sheetId="5">
        <row r="32">
          <cell r="N32">
            <v>0.61417323378864608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ummary"/>
      <sheetName val="Free Cash Flows"/>
      <sheetName val="Beta Calculation"/>
      <sheetName val="Cost of Equity"/>
      <sheetName val="Cost of Debt"/>
      <sheetName val="WACC"/>
      <sheetName val="DCF"/>
      <sheetName val="APV"/>
      <sheetName val="Trading Multiples"/>
      <sheetName val="Growth Scenarios"/>
      <sheetName val="Marginal Tax Rate"/>
      <sheetName val="Corporate Bond 1"/>
      <sheetName val="Corporate Bond 2"/>
      <sheetName val="Corporate Bond 3"/>
      <sheetName val="Corporate Bond 4"/>
      <sheetName val="Corporate Bond 5"/>
      <sheetName val="Balance Sheet"/>
      <sheetName val="Income Statement"/>
      <sheetName val="Cash Flow Statement "/>
      <sheetName val="Share Prices"/>
      <sheetName val="SPX"/>
      <sheetName val="Trading Multiples Bloomberg"/>
    </sheetNames>
    <sheetDataSet>
      <sheetData sheetId="0">
        <row r="1">
          <cell r="J1" t="str">
            <v>Scenario 1: Base Case</v>
          </cell>
        </row>
        <row r="2">
          <cell r="J2" t="str">
            <v>Scenario 2: Bull Case</v>
          </cell>
        </row>
        <row r="3">
          <cell r="J3" t="str">
            <v>Scenario 3: Bear Case</v>
          </cell>
        </row>
      </sheetData>
      <sheetData sheetId="1" refreshError="1"/>
      <sheetData sheetId="2"/>
      <sheetData sheetId="3" refreshError="1"/>
      <sheetData sheetId="4"/>
      <sheetData sheetId="5"/>
      <sheetData sheetId="6">
        <row r="8">
          <cell r="B8">
            <v>3.8383768678166758E-2</v>
          </cell>
        </row>
      </sheetData>
      <sheetData sheetId="7"/>
      <sheetData sheetId="8">
        <row r="28">
          <cell r="A28" t="str">
            <v>q</v>
          </cell>
        </row>
      </sheetData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Business Opportunity"/>
      <sheetName val="Growth Scenarios"/>
      <sheetName val="Free Cash Flows"/>
      <sheetName val="Beta Calculation"/>
      <sheetName val="Cost of Equity"/>
      <sheetName val="Cost of Debt"/>
      <sheetName val="WACC"/>
      <sheetName val="DCF"/>
      <sheetName val="APV"/>
      <sheetName val="Marginal Tax Rate"/>
      <sheetName val="Cost of Debt_Bond 2023"/>
      <sheetName val="Cost of Debt_Bond 2026"/>
      <sheetName val="Cost of Debt_Bond 2043"/>
      <sheetName val="Cost of Debt_Bond 2045"/>
      <sheetName val="Cost of Debt_Bond 2046"/>
      <sheetName val="Price NKE Equity"/>
      <sheetName val="Total Returns NKE Equity"/>
      <sheetName val="Total Returns NKE Equity daily"/>
      <sheetName val="SPX monthly"/>
      <sheetName val="SPX daily"/>
      <sheetName val="NKE Equity monthly"/>
      <sheetName val="2045 Bond Last prices"/>
      <sheetName val="2043 Bond Last prices"/>
      <sheetName val="2026 Bond Last prices"/>
      <sheetName val="2023 Bond Last prices"/>
      <sheetName val="2046 Bond Last price"/>
      <sheetName val="Appendix Balance Sheet"/>
      <sheetName val="Appendix Income Statement"/>
      <sheetName val="Appendix Cash-Flow Statement"/>
    </sheetNames>
    <sheetDataSet>
      <sheetData sheetId="0">
        <row r="9">
          <cell r="H9" t="str">
            <v>Scenario 1: Base Case</v>
          </cell>
        </row>
        <row r="10">
          <cell r="H10" t="str">
            <v>Scenario 2: Bull Case</v>
          </cell>
        </row>
        <row r="11">
          <cell r="H11" t="str">
            <v>Scenario 3: Bear Case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1">
          <cell r="I11">
            <v>3738.7361999907539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Balance Sheet"/>
      <sheetName val="Income Statement"/>
      <sheetName val="Cash-Flow Statement"/>
      <sheetName val="Free Cashflow Calculation"/>
      <sheetName val="Marginal Tax Rate"/>
      <sheetName val="Growth Scenarios"/>
      <sheetName val="DCF Calculation"/>
      <sheetName val="APV Calculation"/>
      <sheetName val="Tranding Multiples"/>
      <sheetName val="Beta Calculation"/>
      <sheetName val="WACC"/>
      <sheetName val="Cost of Equity"/>
      <sheetName val="Cost of Debt_overview"/>
      <sheetName val="Cost of Debt_Bond 2023"/>
      <sheetName val="Cost of Debt_Bond 2026"/>
      <sheetName val="Cost of Debt_Bond 2043"/>
      <sheetName val="Cost of Debt_Bond 2045"/>
      <sheetName val="Cost of Debt_Bond 2046"/>
      <sheetName val="Total Returns NKE Equity"/>
      <sheetName val="NKE Equity monthly"/>
      <sheetName val="SPX monthly"/>
      <sheetName val="SPX USD"/>
      <sheetName val="DAX Eur"/>
      <sheetName val="SPX Eur"/>
      <sheetName val="Nike Income - As Reported"/>
      <sheetName val="Cash Flow - As Reported"/>
      <sheetName val="Nike Equity"/>
      <sheetName val="2045 Bond Last prices"/>
      <sheetName val="2043 Bond Last prices"/>
      <sheetName val="2026 Bond Last prices"/>
      <sheetName val="2023 Bond Last prices"/>
      <sheetName val="2046 Bond Last price"/>
    </sheetNames>
    <sheetDataSet>
      <sheetData sheetId="0">
        <row r="1">
          <cell r="B1" t="str">
            <v>Scenario 1: Base Case</v>
          </cell>
        </row>
        <row r="2">
          <cell r="B2" t="str">
            <v>Scenario 2: Bull Case</v>
          </cell>
        </row>
        <row r="3">
          <cell r="B3" t="str">
            <v>Scenario 3: Bear Case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L7">
            <v>3456000000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O29"/>
  <sheetViews>
    <sheetView showGridLines="0" tabSelected="1" workbookViewId="0">
      <pane ySplit="4" topLeftCell="A5" activePane="bottomLeft" state="frozen"/>
      <selection activeCell="F14" sqref="F14"/>
      <selection pane="bottomLeft" activeCell="D7" sqref="D7"/>
    </sheetView>
  </sheetViews>
  <sheetFormatPr baseColWidth="10" defaultColWidth="8.83203125" defaultRowHeight="15"/>
  <cols>
    <col min="1" max="1" width="16" style="264" customWidth="1"/>
    <col min="2" max="2" width="25.83203125" customWidth="1"/>
    <col min="3" max="3" width="3.5" style="445" customWidth="1"/>
    <col min="4" max="4" width="10.6640625" style="522" customWidth="1"/>
  </cols>
  <sheetData>
    <row r="1" spans="1:15" ht="30" customHeight="1">
      <c r="A1" s="5"/>
      <c r="B1" s="5"/>
      <c r="I1" s="442" t="s">
        <v>290</v>
      </c>
      <c r="J1" s="442" t="s">
        <v>160</v>
      </c>
      <c r="K1" s="442"/>
    </row>
    <row r="2" spans="1:15" ht="21.5" customHeight="1">
      <c r="A2" s="6" t="s">
        <v>355</v>
      </c>
      <c r="B2" s="7"/>
      <c r="I2" s="442"/>
      <c r="J2" s="442" t="s">
        <v>310</v>
      </c>
      <c r="K2" s="442"/>
    </row>
    <row r="3" spans="1:15">
      <c r="A3" s="301"/>
      <c r="B3" s="8"/>
      <c r="D3" s="521"/>
      <c r="I3" s="442"/>
      <c r="J3" s="442" t="s">
        <v>311</v>
      </c>
      <c r="K3" s="442"/>
    </row>
    <row r="4" spans="1:15" ht="14.5" customHeight="1" thickBot="1">
      <c r="A4" s="642" t="s">
        <v>354</v>
      </c>
      <c r="B4" s="642"/>
      <c r="D4" s="523" t="s">
        <v>560</v>
      </c>
    </row>
    <row r="5" spans="1:15" s="192" customFormat="1" ht="6.5" customHeight="1" thickBot="1">
      <c r="A5" s="303"/>
      <c r="B5" s="304"/>
      <c r="C5" s="445"/>
      <c r="D5" s="524"/>
      <c r="I5" s="197"/>
      <c r="O5" s="197"/>
    </row>
    <row r="6" spans="1:15" ht="17" thickTop="1" thickBot="1">
      <c r="A6" s="319" t="s">
        <v>356</v>
      </c>
      <c r="B6" s="320" t="s">
        <v>354</v>
      </c>
      <c r="C6" s="446" t="s">
        <v>559</v>
      </c>
      <c r="D6" s="525" t="s">
        <v>544</v>
      </c>
    </row>
    <row r="7" spans="1:15" ht="17" thickTop="1" thickBot="1">
      <c r="A7" s="319"/>
      <c r="B7" s="320" t="s">
        <v>351</v>
      </c>
      <c r="C7" s="446" t="s">
        <v>559</v>
      </c>
      <c r="D7" s="526" t="s">
        <v>545</v>
      </c>
    </row>
    <row r="8" spans="1:15" ht="17" thickTop="1" thickBot="1">
      <c r="A8" s="319"/>
      <c r="B8" s="320" t="s">
        <v>352</v>
      </c>
      <c r="C8" s="446" t="s">
        <v>559</v>
      </c>
      <c r="D8" s="525" t="s">
        <v>546</v>
      </c>
    </row>
    <row r="9" spans="1:15" s="192" customFormat="1" ht="6.5" customHeight="1" thickTop="1" thickBot="1">
      <c r="A9" s="299"/>
      <c r="B9" s="300"/>
      <c r="C9" s="445"/>
      <c r="D9" s="527"/>
      <c r="I9" s="197"/>
      <c r="O9" s="197"/>
    </row>
    <row r="10" spans="1:15" ht="17" thickTop="1" thickBot="1">
      <c r="A10" s="323" t="s">
        <v>349</v>
      </c>
      <c r="B10" s="324" t="s">
        <v>357</v>
      </c>
      <c r="C10" s="447" t="s">
        <v>559</v>
      </c>
      <c r="D10" s="528" t="s">
        <v>547</v>
      </c>
    </row>
    <row r="11" spans="1:15" ht="17" thickTop="1" thickBot="1">
      <c r="A11" s="323"/>
      <c r="B11" s="324" t="s">
        <v>358</v>
      </c>
      <c r="C11" s="447" t="s">
        <v>559</v>
      </c>
      <c r="D11" s="528" t="s">
        <v>548</v>
      </c>
    </row>
    <row r="12" spans="1:15" ht="17" thickTop="1" thickBot="1">
      <c r="A12" s="323"/>
      <c r="B12" s="324" t="s">
        <v>243</v>
      </c>
      <c r="C12" s="447" t="s">
        <v>559</v>
      </c>
      <c r="D12" s="528" t="s">
        <v>549</v>
      </c>
    </row>
    <row r="13" spans="1:15" ht="17" thickTop="1" thickBot="1">
      <c r="A13" s="323"/>
      <c r="B13" s="324" t="s">
        <v>362</v>
      </c>
      <c r="C13" s="447" t="s">
        <v>559</v>
      </c>
      <c r="D13" s="528" t="s">
        <v>550</v>
      </c>
    </row>
    <row r="14" spans="1:15" ht="17" thickTop="1" thickBot="1">
      <c r="A14" s="323"/>
      <c r="B14" s="324" t="s">
        <v>359</v>
      </c>
      <c r="C14" s="447" t="s">
        <v>559</v>
      </c>
      <c r="D14" s="528" t="s">
        <v>551</v>
      </c>
    </row>
    <row r="15" spans="1:15" ht="17" thickTop="1" thickBot="1">
      <c r="A15" s="323"/>
      <c r="B15" s="324" t="s">
        <v>360</v>
      </c>
      <c r="C15" s="447" t="s">
        <v>559</v>
      </c>
      <c r="D15" s="528" t="s">
        <v>552</v>
      </c>
    </row>
    <row r="16" spans="1:15" ht="17" thickTop="1" thickBot="1">
      <c r="A16" s="323"/>
      <c r="B16" s="324" t="s">
        <v>361</v>
      </c>
      <c r="C16" s="447" t="s">
        <v>559</v>
      </c>
      <c r="D16" s="528" t="s">
        <v>553</v>
      </c>
    </row>
    <row r="17" spans="1:15" ht="16" thickTop="1">
      <c r="A17" s="323"/>
      <c r="B17" s="324" t="s">
        <v>395</v>
      </c>
      <c r="C17" s="447" t="s">
        <v>559</v>
      </c>
      <c r="D17" s="443" t="s">
        <v>597</v>
      </c>
      <c r="F17" s="192"/>
    </row>
    <row r="18" spans="1:15" s="192" customFormat="1" ht="6.5" customHeight="1" thickBot="1">
      <c r="A18" s="299"/>
      <c r="B18" s="300"/>
      <c r="C18" s="445"/>
      <c r="D18" s="527"/>
      <c r="F18"/>
      <c r="O18" s="197"/>
    </row>
    <row r="19" spans="1:15" ht="17" thickTop="1" thickBot="1">
      <c r="A19" s="643" t="s">
        <v>348</v>
      </c>
      <c r="B19" s="322" t="s">
        <v>347</v>
      </c>
      <c r="C19" s="448" t="s">
        <v>559</v>
      </c>
      <c r="D19" s="529" t="s">
        <v>554</v>
      </c>
    </row>
    <row r="20" spans="1:15" ht="17" thickTop="1" thickBot="1">
      <c r="A20" s="644"/>
      <c r="B20" s="322" t="s">
        <v>396</v>
      </c>
      <c r="C20" s="448" t="s">
        <v>559</v>
      </c>
      <c r="D20" s="529" t="s">
        <v>555</v>
      </c>
    </row>
    <row r="21" spans="1:15" ht="17" thickTop="1" thickBot="1">
      <c r="A21" s="321"/>
      <c r="B21" s="322" t="s">
        <v>363</v>
      </c>
      <c r="C21" s="448" t="s">
        <v>559</v>
      </c>
      <c r="D21" s="530" t="s">
        <v>598</v>
      </c>
      <c r="F21" s="192"/>
      <c r="G21" s="192"/>
    </row>
    <row r="22" spans="1:15" s="192" customFormat="1" ht="6.5" customHeight="1" thickTop="1" thickBot="1">
      <c r="A22" s="299"/>
      <c r="B22" s="300"/>
      <c r="C22" s="445"/>
      <c r="D22" s="527"/>
      <c r="F22"/>
      <c r="G22"/>
      <c r="I22" s="197"/>
      <c r="O22" s="197"/>
    </row>
    <row r="23" spans="1:15" ht="17" thickTop="1" thickBot="1">
      <c r="A23" s="317" t="s">
        <v>350</v>
      </c>
      <c r="B23" s="318" t="s">
        <v>397</v>
      </c>
      <c r="C23" s="449" t="s">
        <v>559</v>
      </c>
      <c r="D23" s="444" t="s">
        <v>556</v>
      </c>
    </row>
    <row r="24" spans="1:15" ht="17" thickTop="1" thickBot="1">
      <c r="A24" s="317"/>
      <c r="B24" s="318" t="s">
        <v>398</v>
      </c>
      <c r="C24" s="449" t="s">
        <v>559</v>
      </c>
      <c r="D24" s="444" t="s">
        <v>557</v>
      </c>
    </row>
    <row r="25" spans="1:15" ht="17" thickTop="1" thickBot="1">
      <c r="A25" s="317"/>
      <c r="B25" s="318" t="s">
        <v>399</v>
      </c>
      <c r="C25" s="449" t="s">
        <v>559</v>
      </c>
      <c r="D25" s="444" t="s">
        <v>558</v>
      </c>
    </row>
    <row r="26" spans="1:15" ht="17" thickTop="1" thickBot="1">
      <c r="A26" s="317"/>
      <c r="B26" s="318" t="s">
        <v>593</v>
      </c>
      <c r="C26" s="449" t="s">
        <v>559</v>
      </c>
      <c r="D26" s="520" t="s">
        <v>599</v>
      </c>
    </row>
    <row r="27" spans="1:15" ht="17" thickTop="1" thickBot="1">
      <c r="A27" s="317"/>
      <c r="B27" s="318" t="s">
        <v>601</v>
      </c>
      <c r="C27" s="449" t="s">
        <v>559</v>
      </c>
      <c r="D27" s="520" t="s">
        <v>600</v>
      </c>
    </row>
    <row r="28" spans="1:15" ht="17" thickTop="1" thickBot="1">
      <c r="A28" s="317"/>
      <c r="B28" s="318" t="s">
        <v>596</v>
      </c>
      <c r="C28" s="449" t="s">
        <v>559</v>
      </c>
      <c r="D28" s="520" t="s">
        <v>602</v>
      </c>
    </row>
    <row r="29" spans="1:15" ht="16" thickTop="1">
      <c r="A29" s="302"/>
      <c r="B29" s="111"/>
    </row>
  </sheetData>
  <mergeCells count="2">
    <mergeCell ref="A4:B4"/>
    <mergeCell ref="A19:A20"/>
  </mergeCells>
  <hyperlinks>
    <hyperlink ref="D6" location="'Table of Contents'!A1" display="'Table of Contents'!A1" xr:uid="{00000000-0004-0000-0000-000000000000}"/>
    <hyperlink ref="D7" location="Summary!A1" display="Summary!A1" xr:uid="{00000000-0004-0000-0000-000001000000}"/>
    <hyperlink ref="D8" location="'Business Opportunity'!A1" display="'Business Opportunity'!A1" xr:uid="{00000000-0004-0000-0000-000002000000}"/>
    <hyperlink ref="D10" location="'Free Cash Flows'!A1" display="'Free Cash Flows'!A1" xr:uid="{00000000-0004-0000-0000-000003000000}"/>
    <hyperlink ref="D11" location="'Beta Calculation'!A1" display="'Beta Calculation'!A1" xr:uid="{00000000-0004-0000-0000-000004000000}"/>
    <hyperlink ref="D12" location="'Cost of Equity'!A1" display="'Cost of Equity'!A1" xr:uid="{00000000-0004-0000-0000-000005000000}"/>
    <hyperlink ref="D13" location="'Cost of Debt'!A1" display="'Cost of Debt'!A1" xr:uid="{00000000-0004-0000-0000-000006000000}"/>
    <hyperlink ref="D14" location="WACC!A1" display="WACC!A1" xr:uid="{00000000-0004-0000-0000-000007000000}"/>
    <hyperlink ref="D15" location="DCF!A1" display="DCF!A1" xr:uid="{00000000-0004-0000-0000-000008000000}"/>
    <hyperlink ref="D16" location="APV!A1" display="APV!A1" xr:uid="{00000000-0004-0000-0000-000009000000}"/>
    <hyperlink ref="D19" location="'Growth Scenarios'!A1" display="'Growth Scenarios'!A1" xr:uid="{00000000-0004-0000-0000-00000A000000}"/>
    <hyperlink ref="D20" location="'Marginal Tax Rate'!A1" display="'Marginal Tax Rate'!A1" xr:uid="{00000000-0004-0000-0000-00000B000000}"/>
    <hyperlink ref="D23" location="'Balance Sheet'!A1" display="'Balance Sheet'!A1" xr:uid="{00000000-0004-0000-0000-00000C000000}"/>
    <hyperlink ref="D24" location="'Income Statement'!A1" display="'Income Statement'!A1" xr:uid="{00000000-0004-0000-0000-00000D000000}"/>
    <hyperlink ref="D25" location="'Cash Flow Statement '!A1" display="'Cash Flow Statement '!A1" xr:uid="{00000000-0004-0000-0000-00000E000000}"/>
    <hyperlink ref="D17" location="'Trading Multiples'!A1" display="'Trading Multiples'!A1" xr:uid="{00000000-0004-0000-0000-00000F000000}"/>
    <hyperlink ref="D21" location="'Corporate Bond 1'!A1" display="'Corporate Bond 1'!A1" xr:uid="{00000000-0004-0000-0000-000010000000}"/>
    <hyperlink ref="D26" location="'Share Prices'!A1" display="'Share Prices'!A1" xr:uid="{00000000-0004-0000-0000-000011000000}"/>
    <hyperlink ref="D27" location="SPX!A1" display="SPX!A1" xr:uid="{00000000-0004-0000-0000-000012000000}"/>
    <hyperlink ref="D28" location="'Trading Multiples Bloomberg'!A1" display="'Trading Multiples Bloomberg'!A1" xr:uid="{00000000-0004-0000-0000-000013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1"/>
  <sheetViews>
    <sheetView showGridLines="0" zoomScaleNormal="100" workbookViewId="0">
      <pane ySplit="3" topLeftCell="A4" activePane="bottomLeft" state="frozen"/>
      <selection activeCell="F14" sqref="F14"/>
      <selection pane="bottomLeft" activeCell="P25" sqref="P25"/>
    </sheetView>
  </sheetViews>
  <sheetFormatPr baseColWidth="10" defaultColWidth="8.83203125" defaultRowHeight="13"/>
  <cols>
    <col min="1" max="1" width="47.33203125" style="342" customWidth="1"/>
    <col min="2" max="2" width="0.6640625" style="342" customWidth="1"/>
    <col min="3" max="3" width="11.5" style="342" customWidth="1"/>
    <col min="4" max="4" width="9.83203125" style="342" bestFit="1" customWidth="1"/>
    <col min="5" max="5" width="15.33203125" style="342" bestFit="1" customWidth="1"/>
    <col min="6" max="6" width="11.6640625" style="342" bestFit="1" customWidth="1"/>
    <col min="7" max="7" width="12.5" style="342" bestFit="1" customWidth="1"/>
    <col min="8" max="9" width="9.83203125" style="342" bestFit="1" customWidth="1"/>
    <col min="10" max="10" width="11.1640625" style="342" bestFit="1" customWidth="1"/>
    <col min="11" max="11" width="9.83203125" style="342" bestFit="1" customWidth="1"/>
    <col min="12" max="12" width="12.5" style="342" bestFit="1" customWidth="1"/>
    <col min="13" max="13" width="9.83203125" style="342" bestFit="1" customWidth="1"/>
    <col min="14" max="15" width="8.83203125" style="342"/>
    <col min="16" max="16" width="12.83203125" style="342" bestFit="1" customWidth="1"/>
    <col min="17" max="17" width="12.83203125" style="342" customWidth="1"/>
    <col min="18" max="18" width="11.83203125" style="342" bestFit="1" customWidth="1"/>
    <col min="19" max="16384" width="8.83203125" style="342"/>
  </cols>
  <sheetData>
    <row r="1" spans="1:25" ht="30" customHeight="1">
      <c r="A1" s="341"/>
      <c r="B1" s="341"/>
      <c r="C1" s="341"/>
      <c r="D1" s="341"/>
      <c r="E1" s="341"/>
      <c r="F1" s="341"/>
      <c r="G1" s="341"/>
      <c r="H1" s="341"/>
      <c r="I1" s="341"/>
    </row>
    <row r="2" spans="1:25" ht="21.5" customHeight="1">
      <c r="A2" s="6" t="s">
        <v>353</v>
      </c>
      <c r="B2" s="6"/>
      <c r="C2" s="344"/>
      <c r="D2" s="344"/>
      <c r="E2" s="344"/>
      <c r="F2" s="344"/>
      <c r="G2" s="344"/>
      <c r="H2" s="344"/>
      <c r="I2" s="344"/>
    </row>
    <row r="3" spans="1:25">
      <c r="A3" s="340"/>
      <c r="B3" s="340"/>
      <c r="C3" s="340"/>
      <c r="D3" s="340"/>
      <c r="E3" s="340"/>
      <c r="I3" s="431"/>
      <c r="J3" s="340"/>
      <c r="K3" s="340"/>
      <c r="L3" s="340"/>
      <c r="M3" s="340"/>
    </row>
    <row r="4" spans="1:25" ht="14" thickBot="1">
      <c r="A4" s="598" t="s">
        <v>619</v>
      </c>
      <c r="B4" s="572"/>
      <c r="C4" s="645" t="s">
        <v>617</v>
      </c>
      <c r="D4" s="645"/>
      <c r="E4" s="645"/>
      <c r="F4" s="645"/>
      <c r="G4" s="645"/>
      <c r="H4" s="631"/>
      <c r="I4" s="632"/>
      <c r="J4" s="633"/>
      <c r="K4" s="633"/>
      <c r="L4" s="633"/>
      <c r="M4" s="633"/>
    </row>
    <row r="5" spans="1:25" s="192" customFormat="1" ht="6.5" customHeight="1">
      <c r="A5" s="193"/>
      <c r="B5" s="573"/>
      <c r="C5" s="18"/>
      <c r="D5" s="18"/>
      <c r="E5" s="18"/>
      <c r="F5" s="18"/>
      <c r="G5" s="18"/>
      <c r="H5" s="634"/>
      <c r="I5" s="635"/>
      <c r="J5" s="635"/>
      <c r="K5" s="635"/>
      <c r="L5" s="636"/>
      <c r="M5" s="635"/>
      <c r="R5" s="197"/>
    </row>
    <row r="6" spans="1:25">
      <c r="A6" s="562" t="s">
        <v>620</v>
      </c>
      <c r="B6" s="571"/>
      <c r="C6" s="435" t="s">
        <v>527</v>
      </c>
      <c r="D6" s="435" t="s">
        <v>528</v>
      </c>
      <c r="E6" s="435" t="s">
        <v>428</v>
      </c>
      <c r="F6" s="435" t="s">
        <v>529</v>
      </c>
      <c r="G6" s="435" t="s">
        <v>530</v>
      </c>
      <c r="H6" s="631" t="s">
        <v>534</v>
      </c>
      <c r="I6" s="631" t="s">
        <v>535</v>
      </c>
      <c r="J6" s="631" t="s">
        <v>536</v>
      </c>
      <c r="K6" s="631" t="s">
        <v>538</v>
      </c>
      <c r="L6" s="631" t="s">
        <v>539</v>
      </c>
      <c r="M6" s="631"/>
    </row>
    <row r="7" spans="1:25" s="192" customFormat="1" ht="6.5" customHeight="1">
      <c r="A7" s="303"/>
      <c r="B7" s="573"/>
      <c r="C7" s="304"/>
      <c r="D7" s="304"/>
      <c r="E7" s="304"/>
      <c r="F7" s="304"/>
      <c r="G7" s="304"/>
      <c r="H7" s="634"/>
      <c r="I7" s="634"/>
      <c r="J7" s="634"/>
      <c r="K7" s="634"/>
      <c r="L7" s="636"/>
      <c r="M7" s="635"/>
      <c r="R7" s="197"/>
      <c r="X7" s="197"/>
    </row>
    <row r="8" spans="1:25" ht="15">
      <c r="A8" s="558" t="s">
        <v>542</v>
      </c>
      <c r="B8" s="574"/>
      <c r="C8" s="560">
        <f>MIN(C16:J16)</f>
        <v>70813.149999999994</v>
      </c>
      <c r="D8" s="560">
        <f>_xlfn.QUARTILE.EXC(C16:K16,1)</f>
        <v>80857.012499999997</v>
      </c>
      <c r="E8" s="560">
        <f>_xlfn.QUARTILE.EXC(C16:K16,2)</f>
        <v>91411.225000000006</v>
      </c>
      <c r="F8" s="560">
        <f>_xlfn.QUARTILE.EXC(C16:K16,3)</f>
        <v>109169.7025</v>
      </c>
      <c r="G8" s="560">
        <f>MAX(C16:K16)</f>
        <v>124813.49</v>
      </c>
      <c r="H8" s="637">
        <f t="shared" ref="H8:H13" si="0">C8</f>
        <v>70813.149999999994</v>
      </c>
      <c r="I8" s="637">
        <f t="shared" ref="I8:L13" si="1">D8-C8</f>
        <v>10043.862500000003</v>
      </c>
      <c r="J8" s="637">
        <f t="shared" si="1"/>
        <v>10554.212500000009</v>
      </c>
      <c r="K8" s="637">
        <f t="shared" si="1"/>
        <v>17758.477499999994</v>
      </c>
      <c r="L8" s="637">
        <f t="shared" si="1"/>
        <v>15643.787500000006</v>
      </c>
      <c r="M8" s="631"/>
      <c r="R8"/>
      <c r="S8"/>
      <c r="T8"/>
      <c r="U8"/>
      <c r="V8"/>
      <c r="W8"/>
      <c r="X8"/>
      <c r="Y8"/>
    </row>
    <row r="9" spans="1:25" ht="15">
      <c r="A9" s="558" t="s">
        <v>531</v>
      </c>
      <c r="B9" s="574"/>
      <c r="C9" s="560">
        <f>MIN(C15:K15)</f>
        <v>67027.38</v>
      </c>
      <c r="D9" s="560">
        <f>_xlfn.QUARTILE.EXC(C15:K15,1)</f>
        <v>79496.264999999999</v>
      </c>
      <c r="E9" s="560">
        <f>_xlfn.QUARTILE.EXC(C15:K15,2)</f>
        <v>94426.94</v>
      </c>
      <c r="F9" s="560">
        <f>_xlfn.QUARTILE.EXC(C15:K15,3)</f>
        <v>116407.28</v>
      </c>
      <c r="G9" s="560">
        <f>MAX(C15:K15)</f>
        <v>136587.54</v>
      </c>
      <c r="H9" s="637">
        <f t="shared" si="0"/>
        <v>67027.38</v>
      </c>
      <c r="I9" s="637">
        <f t="shared" si="1"/>
        <v>12468.884999999995</v>
      </c>
      <c r="J9" s="637">
        <f t="shared" si="1"/>
        <v>14930.675000000003</v>
      </c>
      <c r="K9" s="637">
        <f t="shared" si="1"/>
        <v>21980.339999999997</v>
      </c>
      <c r="L9" s="637">
        <f t="shared" si="1"/>
        <v>20180.260000000009</v>
      </c>
      <c r="M9" s="631"/>
      <c r="R9"/>
      <c r="S9"/>
      <c r="T9"/>
      <c r="U9"/>
      <c r="V9"/>
      <c r="W9"/>
      <c r="X9"/>
      <c r="Y9"/>
    </row>
    <row r="10" spans="1:25" ht="15">
      <c r="A10" s="558" t="s">
        <v>532</v>
      </c>
      <c r="B10" s="574"/>
      <c r="C10" s="559">
        <f>MIN('Trading Multiples'!J46:J54)</f>
        <v>23420.899149999561</v>
      </c>
      <c r="D10" s="559">
        <f>_xlfn.QUARTILE.EXC('Trading Multiples'!J46:J53,1)</f>
        <v>29877.296758117034</v>
      </c>
      <c r="E10" s="559">
        <f>'Trading Multiples'!J55</f>
        <v>42250.428769350779</v>
      </c>
      <c r="F10" s="559">
        <f>_xlfn.QUARTILE.EXC('Trading Multiples'!J46:J54,3)</f>
        <v>75465.320579556661</v>
      </c>
      <c r="G10" s="559">
        <f>MAX('Trading Multiples'!J46:J54)</f>
        <v>88060.992348909902</v>
      </c>
      <c r="H10" s="637">
        <f t="shared" si="0"/>
        <v>23420.899149999561</v>
      </c>
      <c r="I10" s="637">
        <f t="shared" si="1"/>
        <v>6456.3976081174733</v>
      </c>
      <c r="J10" s="637">
        <f t="shared" si="1"/>
        <v>12373.132011233745</v>
      </c>
      <c r="K10" s="637">
        <f t="shared" si="1"/>
        <v>33214.891810205881</v>
      </c>
      <c r="L10" s="637">
        <f t="shared" si="1"/>
        <v>12595.671769353241</v>
      </c>
      <c r="M10" s="631"/>
      <c r="R10"/>
      <c r="S10"/>
      <c r="T10"/>
      <c r="U10"/>
      <c r="V10"/>
      <c r="W10"/>
      <c r="X10"/>
      <c r="Y10"/>
    </row>
    <row r="11" spans="1:25" ht="15">
      <c r="A11" s="558" t="s">
        <v>537</v>
      </c>
      <c r="B11" s="574"/>
      <c r="C11" s="559">
        <f>MIN('Trading Multiples'!I65:I74)</f>
        <v>57393.359385260643</v>
      </c>
      <c r="D11" s="559">
        <f>_xlfn.QUARTILE.EXC('Trading Multiples'!I65:I73,1)</f>
        <v>83043.972546304678</v>
      </c>
      <c r="E11" s="559">
        <f>'Trading Multiples'!I74</f>
        <v>98271.30979298029</v>
      </c>
      <c r="F11" s="559">
        <f>_xlfn.QUARTILE.EXC('Trading Multiples'!I65:I73,3)</f>
        <v>160056.70015083539</v>
      </c>
      <c r="G11" s="559">
        <f>MAX('Trading Multiples'!I65:I72)</f>
        <v>187449.75336232217</v>
      </c>
      <c r="H11" s="637">
        <f t="shared" si="0"/>
        <v>57393.359385260643</v>
      </c>
      <c r="I11" s="637">
        <f t="shared" si="1"/>
        <v>25650.613161044035</v>
      </c>
      <c r="J11" s="637">
        <f t="shared" si="1"/>
        <v>15227.337246675612</v>
      </c>
      <c r="K11" s="637">
        <f t="shared" si="1"/>
        <v>61785.390357855096</v>
      </c>
      <c r="L11" s="637">
        <f t="shared" si="1"/>
        <v>27393.053211486782</v>
      </c>
      <c r="M11" s="631"/>
      <c r="R11"/>
      <c r="S11"/>
      <c r="T11"/>
      <c r="U11"/>
      <c r="V11"/>
      <c r="W11"/>
      <c r="X11"/>
      <c r="Y11"/>
    </row>
    <row r="12" spans="1:25" ht="15">
      <c r="A12" s="566" t="s">
        <v>540</v>
      </c>
      <c r="B12" s="574"/>
      <c r="C12" s="567">
        <f>MIN('Trading Multiples'!J65:J73)</f>
        <v>45327.081177479107</v>
      </c>
      <c r="D12" s="567">
        <f>_xlfn.QUARTILE.EXC('Trading Multiples'!J65:J73,1)</f>
        <v>65732.887537366652</v>
      </c>
      <c r="E12" s="567">
        <f>_xlfn.QUARTILE.EXC('Trading Multiples'!J65:J73,2)</f>
        <v>85843.568553965277</v>
      </c>
      <c r="F12" s="567">
        <f>_xlfn.QUARTILE.EXC('Trading Multiples'!J65:J73,3)</f>
        <v>126347.60838269864</v>
      </c>
      <c r="G12" s="567">
        <f>MAX('Trading Multiples'!J65:J72)</f>
        <v>148790.71281462401</v>
      </c>
      <c r="H12" s="637">
        <f t="shared" si="0"/>
        <v>45327.081177479107</v>
      </c>
      <c r="I12" s="637">
        <f t="shared" si="1"/>
        <v>20405.806359887545</v>
      </c>
      <c r="J12" s="637">
        <f t="shared" si="1"/>
        <v>20110.681016598624</v>
      </c>
      <c r="K12" s="637">
        <f t="shared" si="1"/>
        <v>40504.039828733366</v>
      </c>
      <c r="L12" s="637">
        <f t="shared" si="1"/>
        <v>22443.104431925371</v>
      </c>
      <c r="M12" s="631"/>
      <c r="R12"/>
      <c r="S12"/>
      <c r="T12"/>
      <c r="U12"/>
      <c r="V12"/>
      <c r="W12"/>
      <c r="X12"/>
      <c r="Y12"/>
    </row>
    <row r="13" spans="1:25" ht="15">
      <c r="A13" s="558" t="s">
        <v>533</v>
      </c>
      <c r="B13" s="574"/>
      <c r="C13" s="559">
        <f>MIN('Trading Multiples'!H27:H35)</f>
        <v>39541.858922599924</v>
      </c>
      <c r="D13" s="559">
        <f>_xlfn.QUARTILE.EXC('Trading Multiples'!H27:H35,1)</f>
        <v>58723.315477882745</v>
      </c>
      <c r="E13" s="559">
        <f>'Trading Multiples'!H36</f>
        <v>76319.657789167395</v>
      </c>
      <c r="F13" s="559">
        <f>_xlfn.QUARTILE.EXC('Trading Multiples'!H27:H35,3)</f>
        <v>85167.464832074067</v>
      </c>
      <c r="G13" s="559">
        <f>MAX('Trading Multiples'!H27:H35)</f>
        <v>96809.615345444516</v>
      </c>
      <c r="H13" s="637">
        <f t="shared" si="0"/>
        <v>39541.858922599924</v>
      </c>
      <c r="I13" s="637">
        <f t="shared" si="1"/>
        <v>19181.456555282821</v>
      </c>
      <c r="J13" s="637">
        <f t="shared" si="1"/>
        <v>17596.34231128465</v>
      </c>
      <c r="K13" s="637">
        <f t="shared" si="1"/>
        <v>8847.807042906672</v>
      </c>
      <c r="L13" s="637">
        <f t="shared" si="1"/>
        <v>11642.150513370449</v>
      </c>
      <c r="M13" s="631"/>
      <c r="R13"/>
      <c r="S13"/>
      <c r="T13"/>
      <c r="U13"/>
      <c r="V13"/>
      <c r="W13"/>
      <c r="X13"/>
      <c r="Y13"/>
    </row>
    <row r="14" spans="1:25" s="570" customFormat="1" ht="15">
      <c r="A14" s="583"/>
      <c r="B14" s="584"/>
      <c r="C14" s="585"/>
      <c r="D14" s="585"/>
      <c r="E14" s="585"/>
      <c r="F14" s="585"/>
      <c r="G14" s="585"/>
      <c r="H14" s="568"/>
      <c r="I14" s="568"/>
      <c r="J14" s="568"/>
      <c r="K14" s="568"/>
      <c r="L14" s="568"/>
      <c r="M14" s="569"/>
      <c r="R14"/>
      <c r="S14"/>
      <c r="T14"/>
      <c r="U14"/>
      <c r="V14"/>
      <c r="W14"/>
      <c r="X14"/>
      <c r="Y14"/>
    </row>
    <row r="15" spans="1:25" s="192" customFormat="1" ht="19.75" customHeight="1">
      <c r="A15" s="629" t="s">
        <v>541</v>
      </c>
      <c r="B15" s="573"/>
      <c r="C15" s="628">
        <v>94426.94</v>
      </c>
      <c r="D15" s="628">
        <v>124160.3</v>
      </c>
      <c r="E15" s="628">
        <v>76066.06</v>
      </c>
      <c r="F15" s="628">
        <v>103643.41</v>
      </c>
      <c r="G15" s="628">
        <v>136587.54</v>
      </c>
      <c r="H15" s="628">
        <v>83309.37</v>
      </c>
      <c r="I15" s="628">
        <v>82926.47</v>
      </c>
      <c r="J15" s="628">
        <v>108654.26</v>
      </c>
      <c r="K15" s="628">
        <v>67027.38</v>
      </c>
      <c r="L15" s="630"/>
      <c r="M15" s="581"/>
      <c r="R15" s="197"/>
      <c r="X15" s="197"/>
    </row>
    <row r="16" spans="1:25" s="192" customFormat="1" ht="24" customHeight="1">
      <c r="A16" s="629" t="s">
        <v>543</v>
      </c>
      <c r="B16" s="573"/>
      <c r="C16" s="628">
        <v>70813.149999999994</v>
      </c>
      <c r="D16" s="628">
        <v>79180.649999999994</v>
      </c>
      <c r="E16" s="628">
        <v>85886.1</v>
      </c>
      <c r="F16" s="628">
        <v>86089.77</v>
      </c>
      <c r="G16" s="628">
        <v>96732.68</v>
      </c>
      <c r="H16" s="628">
        <v>105261.88</v>
      </c>
      <c r="I16" s="628">
        <v>110472.31</v>
      </c>
      <c r="J16" s="628">
        <v>124813.49</v>
      </c>
      <c r="K16" s="580"/>
      <c r="L16" s="582"/>
      <c r="M16" s="581"/>
      <c r="R16" s="197"/>
      <c r="X16" s="197"/>
    </row>
    <row r="17" spans="1:25" ht="16" thickBot="1">
      <c r="A17" s="646" t="s">
        <v>618</v>
      </c>
      <c r="B17" s="646"/>
      <c r="C17" s="646"/>
      <c r="D17" s="646"/>
      <c r="E17" s="646"/>
      <c r="F17" s="646"/>
      <c r="G17" s="646"/>
      <c r="H17" s="561"/>
      <c r="I17" s="561"/>
      <c r="J17" s="561"/>
      <c r="K17" s="561"/>
      <c r="L17" s="561"/>
      <c r="M17" s="558"/>
      <c r="R17"/>
      <c r="S17"/>
      <c r="T17"/>
      <c r="U17"/>
      <c r="V17"/>
      <c r="W17"/>
      <c r="X17"/>
      <c r="Y17"/>
    </row>
    <row r="18" spans="1:25" ht="15">
      <c r="A18" s="558"/>
      <c r="B18" s="558"/>
      <c r="C18" s="558"/>
      <c r="D18" s="558"/>
      <c r="E18" s="558"/>
      <c r="F18" s="558"/>
      <c r="G18" s="558"/>
      <c r="H18" s="558"/>
      <c r="I18" s="558"/>
      <c r="J18" s="558"/>
      <c r="K18" s="558"/>
      <c r="L18" s="558"/>
      <c r="M18" s="558"/>
      <c r="R18"/>
      <c r="S18"/>
      <c r="T18"/>
      <c r="U18"/>
      <c r="V18"/>
      <c r="W18"/>
      <c r="X18"/>
      <c r="Y18"/>
    </row>
    <row r="19" spans="1:25" ht="15">
      <c r="R19"/>
      <c r="S19"/>
      <c r="T19"/>
      <c r="U19"/>
      <c r="V19"/>
      <c r="W19"/>
      <c r="X19"/>
      <c r="Y19"/>
    </row>
    <row r="20" spans="1:25" ht="15">
      <c r="R20"/>
      <c r="S20"/>
      <c r="T20"/>
      <c r="U20"/>
      <c r="V20"/>
      <c r="W20"/>
      <c r="X20"/>
      <c r="Y20"/>
    </row>
    <row r="21" spans="1:25" ht="15">
      <c r="A21" s="356"/>
      <c r="B21" s="356"/>
      <c r="E21" s="432"/>
      <c r="F21" s="432"/>
      <c r="R21"/>
      <c r="S21"/>
      <c r="T21"/>
      <c r="U21"/>
      <c r="V21"/>
      <c r="W21"/>
      <c r="X21"/>
      <c r="Y21"/>
    </row>
    <row r="22" spans="1:25" ht="15">
      <c r="E22" s="346"/>
      <c r="F22" s="432"/>
      <c r="G22" s="346"/>
      <c r="R22"/>
      <c r="S22"/>
      <c r="T22"/>
      <c r="U22"/>
      <c r="V22"/>
      <c r="W22"/>
      <c r="X22"/>
      <c r="Y22"/>
    </row>
    <row r="23" spans="1:25" ht="15">
      <c r="E23" s="432"/>
      <c r="F23" s="432"/>
      <c r="G23" s="432"/>
      <c r="R23"/>
      <c r="S23"/>
      <c r="T23"/>
      <c r="U23"/>
      <c r="V23"/>
      <c r="W23"/>
      <c r="X23"/>
      <c r="Y23"/>
    </row>
    <row r="24" spans="1:25" ht="15">
      <c r="E24" s="432"/>
      <c r="F24" s="432"/>
      <c r="G24" s="432"/>
      <c r="R24"/>
      <c r="S24"/>
      <c r="T24"/>
      <c r="U24"/>
      <c r="V24"/>
      <c r="W24"/>
      <c r="X24"/>
      <c r="Y24"/>
    </row>
    <row r="25" spans="1:25" ht="15">
      <c r="F25" s="432"/>
      <c r="R25"/>
      <c r="S25"/>
      <c r="T25"/>
      <c r="U25"/>
      <c r="V25"/>
      <c r="W25"/>
      <c r="X25"/>
      <c r="Y25"/>
    </row>
    <row r="26" spans="1:25" ht="15">
      <c r="R26"/>
      <c r="S26"/>
      <c r="T26"/>
      <c r="U26"/>
      <c r="V26"/>
      <c r="W26"/>
      <c r="X26"/>
      <c r="Y26"/>
    </row>
    <row r="27" spans="1:25" ht="15">
      <c r="R27"/>
      <c r="S27"/>
      <c r="T27"/>
      <c r="U27"/>
      <c r="V27"/>
      <c r="W27"/>
      <c r="X27"/>
      <c r="Y27"/>
    </row>
    <row r="28" spans="1:25" ht="15">
      <c r="R28"/>
      <c r="S28"/>
      <c r="T28"/>
      <c r="U28"/>
      <c r="V28"/>
      <c r="W28"/>
      <c r="X28"/>
      <c r="Y28"/>
    </row>
    <row r="29" spans="1:25" ht="15">
      <c r="R29"/>
      <c r="S29"/>
      <c r="T29"/>
      <c r="U29"/>
      <c r="V29"/>
      <c r="W29"/>
      <c r="X29"/>
      <c r="Y29"/>
    </row>
    <row r="30" spans="1:25" ht="15">
      <c r="R30"/>
      <c r="S30"/>
      <c r="T30"/>
      <c r="U30"/>
      <c r="V30"/>
      <c r="W30"/>
      <c r="X30"/>
      <c r="Y30"/>
    </row>
    <row r="31" spans="1:25" ht="15">
      <c r="R31"/>
      <c r="S31"/>
      <c r="T31"/>
      <c r="U31"/>
      <c r="V31"/>
      <c r="W31"/>
      <c r="X31"/>
      <c r="Y31"/>
    </row>
    <row r="32" spans="1:25" ht="15">
      <c r="R32"/>
      <c r="S32"/>
      <c r="T32"/>
      <c r="U32"/>
      <c r="V32"/>
      <c r="W32"/>
      <c r="X32"/>
      <c r="Y32"/>
    </row>
    <row r="33" spans="1:25" ht="15">
      <c r="R33"/>
      <c r="S33"/>
      <c r="T33"/>
      <c r="U33"/>
      <c r="V33"/>
      <c r="W33"/>
      <c r="X33"/>
      <c r="Y33"/>
    </row>
    <row r="34" spans="1:25" ht="15">
      <c r="R34"/>
      <c r="S34"/>
      <c r="T34"/>
      <c r="U34"/>
      <c r="V34"/>
      <c r="W34"/>
      <c r="X34"/>
      <c r="Y34"/>
    </row>
    <row r="35" spans="1:25" ht="15">
      <c r="R35"/>
      <c r="S35"/>
      <c r="T35"/>
      <c r="U35"/>
      <c r="V35"/>
      <c r="W35"/>
      <c r="X35"/>
      <c r="Y35"/>
    </row>
    <row r="39" spans="1:25" ht="15">
      <c r="L39"/>
      <c r="M39"/>
      <c r="N39"/>
      <c r="O39"/>
      <c r="P39"/>
      <c r="Q39"/>
      <c r="R39"/>
      <c r="S39"/>
      <c r="T39"/>
      <c r="U39"/>
    </row>
    <row r="40" spans="1:25" ht="15">
      <c r="L40"/>
      <c r="M40"/>
      <c r="N40"/>
      <c r="O40"/>
      <c r="P40"/>
      <c r="Q40"/>
      <c r="R40"/>
      <c r="S40"/>
      <c r="T40"/>
      <c r="U40"/>
    </row>
    <row r="41" spans="1:25" ht="15">
      <c r="L41"/>
      <c r="M41"/>
      <c r="N41"/>
      <c r="O41"/>
      <c r="P41"/>
      <c r="Q41"/>
      <c r="R41"/>
      <c r="S41"/>
      <c r="T41"/>
      <c r="U41"/>
    </row>
    <row r="42" spans="1:25" ht="15">
      <c r="L42"/>
      <c r="M42"/>
      <c r="N42"/>
      <c r="O42"/>
      <c r="P42"/>
      <c r="Q42"/>
      <c r="R42"/>
      <c r="S42"/>
      <c r="T42"/>
      <c r="U42"/>
    </row>
    <row r="43" spans="1:25" ht="15">
      <c r="L43"/>
      <c r="M43"/>
      <c r="N43"/>
      <c r="O43"/>
      <c r="P43"/>
      <c r="Q43"/>
      <c r="R43"/>
      <c r="S43"/>
      <c r="T43"/>
      <c r="U43"/>
    </row>
    <row r="44" spans="1:25" ht="16" thickBot="1">
      <c r="A44" s="646" t="s">
        <v>644</v>
      </c>
      <c r="B44" s="646"/>
      <c r="C44" s="646"/>
      <c r="D44" s="646"/>
      <c r="E44" s="646"/>
      <c r="F44"/>
      <c r="G44"/>
      <c r="L44"/>
      <c r="M44"/>
      <c r="N44"/>
      <c r="O44"/>
      <c r="P44"/>
      <c r="Q44"/>
      <c r="R44"/>
      <c r="S44"/>
      <c r="T44"/>
      <c r="U44"/>
    </row>
    <row r="45" spans="1:25" s="192" customFormat="1" ht="6.5" customHeight="1">
      <c r="A45" s="303"/>
      <c r="B45" s="573"/>
      <c r="C45" s="304"/>
      <c r="D45" s="304"/>
      <c r="E45" s="304"/>
      <c r="F45" s="18"/>
      <c r="G45" s="18"/>
      <c r="H45" s="18"/>
      <c r="I45" s="18"/>
      <c r="J45" s="18"/>
      <c r="K45" s="18"/>
      <c r="L45" s="197"/>
      <c r="R45" s="197"/>
      <c r="X45" s="197"/>
    </row>
    <row r="46" spans="1:25" ht="28">
      <c r="A46" s="562" t="s">
        <v>620</v>
      </c>
      <c r="B46" s="571"/>
      <c r="C46" s="434" t="s">
        <v>621</v>
      </c>
      <c r="D46" s="434" t="s">
        <v>622</v>
      </c>
      <c r="E46" s="434" t="s">
        <v>193</v>
      </c>
      <c r="F46" s="12"/>
      <c r="G46" s="12"/>
      <c r="L46"/>
      <c r="M46"/>
      <c r="N46"/>
      <c r="O46"/>
      <c r="P46"/>
      <c r="Q46"/>
      <c r="R46"/>
      <c r="S46"/>
      <c r="T46"/>
      <c r="U46"/>
    </row>
    <row r="47" spans="1:25" s="192" customFormat="1" ht="6.5" customHeight="1">
      <c r="A47" s="303"/>
      <c r="B47" s="573"/>
      <c r="C47" s="304"/>
      <c r="D47" s="304"/>
      <c r="E47" s="304"/>
      <c r="F47" s="12"/>
      <c r="G47" s="12"/>
      <c r="H47" s="18"/>
      <c r="I47" s="18"/>
      <c r="J47" s="18"/>
      <c r="K47" s="18"/>
      <c r="L47" s="197"/>
      <c r="R47" s="197"/>
      <c r="X47" s="197"/>
    </row>
    <row r="48" spans="1:25" ht="15">
      <c r="A48" s="558" t="s">
        <v>627</v>
      </c>
      <c r="B48" s="343" t="s">
        <v>634</v>
      </c>
      <c r="C48" s="578">
        <v>72210.684507664206</v>
      </c>
      <c r="D48" s="579">
        <v>21616.73</v>
      </c>
      <c r="E48" s="560">
        <f>D48+C48</f>
        <v>93827.414507664202</v>
      </c>
      <c r="F48" s="211"/>
      <c r="G48" s="12"/>
      <c r="L48"/>
      <c r="M48"/>
      <c r="N48"/>
      <c r="O48"/>
      <c r="P48"/>
      <c r="Q48"/>
      <c r="R48"/>
      <c r="S48"/>
      <c r="T48"/>
      <c r="U48"/>
    </row>
    <row r="49" spans="1:24" ht="15">
      <c r="A49" s="558" t="s">
        <v>626</v>
      </c>
      <c r="B49" s="343" t="s">
        <v>635</v>
      </c>
      <c r="C49" s="579">
        <v>100812.78</v>
      </c>
      <c r="D49" s="579">
        <v>22474.29</v>
      </c>
      <c r="E49" s="560">
        <f t="shared" ref="E49:E58" si="2">D49+C49</f>
        <v>123287.07</v>
      </c>
      <c r="F49" s="211"/>
      <c r="G49"/>
      <c r="L49"/>
      <c r="M49"/>
      <c r="N49"/>
      <c r="O49"/>
      <c r="P49"/>
      <c r="Q49"/>
      <c r="R49"/>
      <c r="S49"/>
      <c r="T49"/>
      <c r="U49"/>
    </row>
    <row r="50" spans="1:24" ht="15">
      <c r="A50" s="558" t="s">
        <v>625</v>
      </c>
      <c r="B50" s="343" t="s">
        <v>636</v>
      </c>
      <c r="C50" s="579">
        <v>54805.79</v>
      </c>
      <c r="D50" s="579">
        <v>20809.240000000002</v>
      </c>
      <c r="E50" s="560">
        <f t="shared" si="2"/>
        <v>75615.03</v>
      </c>
      <c r="F50" s="211"/>
      <c r="G50"/>
      <c r="L50"/>
      <c r="M50"/>
      <c r="N50"/>
      <c r="O50"/>
      <c r="P50"/>
      <c r="Q50"/>
      <c r="R50"/>
      <c r="S50"/>
      <c r="T50"/>
      <c r="U50"/>
    </row>
    <row r="51" spans="1:24" s="192" customFormat="1" ht="6.5" customHeight="1">
      <c r="A51" s="193"/>
      <c r="B51" s="580"/>
      <c r="C51" s="579"/>
      <c r="D51" s="579"/>
      <c r="E51" s="560"/>
      <c r="F51" s="524"/>
      <c r="G51"/>
      <c r="H51" s="18"/>
      <c r="I51" s="18"/>
      <c r="J51" s="18"/>
      <c r="K51" s="18"/>
      <c r="L51" s="197"/>
      <c r="R51" s="197"/>
      <c r="X51" s="197"/>
    </row>
    <row r="52" spans="1:24" ht="15">
      <c r="A52" s="566" t="s">
        <v>624</v>
      </c>
      <c r="B52" s="343" t="s">
        <v>637</v>
      </c>
      <c r="C52" s="579">
        <v>80077</v>
      </c>
      <c r="D52" s="579">
        <v>22902.31</v>
      </c>
      <c r="E52" s="560">
        <f t="shared" si="2"/>
        <v>102979.31</v>
      </c>
      <c r="F52" s="211"/>
      <c r="G52"/>
      <c r="L52"/>
      <c r="M52"/>
      <c r="N52"/>
      <c r="O52"/>
      <c r="P52"/>
      <c r="Q52"/>
      <c r="R52"/>
      <c r="S52"/>
      <c r="T52"/>
      <c r="U52"/>
    </row>
    <row r="53" spans="1:24" ht="15">
      <c r="A53" s="566" t="s">
        <v>628</v>
      </c>
      <c r="B53" s="343" t="s">
        <v>638</v>
      </c>
      <c r="C53" s="579">
        <v>111794.88</v>
      </c>
      <c r="D53" s="579">
        <v>23824.959999999999</v>
      </c>
      <c r="E53" s="560">
        <f t="shared" si="2"/>
        <v>135619.84</v>
      </c>
      <c r="F53" s="211"/>
      <c r="G53"/>
      <c r="L53"/>
      <c r="M53"/>
      <c r="N53"/>
      <c r="O53"/>
      <c r="P53"/>
      <c r="Q53"/>
      <c r="R53"/>
      <c r="S53"/>
      <c r="T53"/>
      <c r="U53"/>
    </row>
    <row r="54" spans="1:24" ht="15">
      <c r="A54" s="566" t="s">
        <v>629</v>
      </c>
      <c r="B54" s="343" t="s">
        <v>639</v>
      </c>
      <c r="C54" s="579">
        <v>60776.1</v>
      </c>
      <c r="D54" s="579">
        <v>22033.93</v>
      </c>
      <c r="E54" s="560">
        <f t="shared" si="2"/>
        <v>82810.03</v>
      </c>
      <c r="F54" s="211"/>
      <c r="G54"/>
      <c r="L54"/>
      <c r="M54"/>
      <c r="N54"/>
      <c r="O54"/>
      <c r="P54"/>
      <c r="Q54"/>
      <c r="R54"/>
      <c r="S54"/>
      <c r="T54"/>
      <c r="U54"/>
    </row>
    <row r="55" spans="1:24" s="192" customFormat="1" ht="6.5" customHeight="1">
      <c r="A55" s="193"/>
      <c r="B55" s="580"/>
      <c r="C55" s="579"/>
      <c r="D55" s="579"/>
      <c r="E55" s="560"/>
      <c r="F55" s="524"/>
      <c r="G55"/>
      <c r="H55" s="18"/>
      <c r="I55" s="18"/>
      <c r="J55" s="18"/>
      <c r="K55" s="18"/>
      <c r="L55" s="197"/>
      <c r="R55" s="197"/>
      <c r="X55" s="197"/>
    </row>
    <row r="56" spans="1:24" ht="15">
      <c r="A56" s="566" t="s">
        <v>630</v>
      </c>
      <c r="B56" s="343" t="s">
        <v>640</v>
      </c>
      <c r="C56" s="579">
        <v>62398.720000000001</v>
      </c>
      <c r="D56" s="579">
        <v>20008.8</v>
      </c>
      <c r="E56" s="560">
        <f t="shared" si="2"/>
        <v>82407.520000000004</v>
      </c>
      <c r="F56" s="211"/>
      <c r="G56"/>
      <c r="L56"/>
      <c r="M56"/>
      <c r="N56"/>
      <c r="O56"/>
      <c r="P56"/>
      <c r="Q56"/>
      <c r="R56"/>
      <c r="S56"/>
      <c r="T56"/>
      <c r="U56"/>
    </row>
    <row r="57" spans="1:24" ht="15">
      <c r="A57" s="558" t="s">
        <v>631</v>
      </c>
      <c r="B57" s="343" t="s">
        <v>641</v>
      </c>
      <c r="C57" s="579">
        <v>87114.37</v>
      </c>
      <c r="D57" s="579">
        <v>20784.52</v>
      </c>
      <c r="E57" s="560">
        <f t="shared" si="2"/>
        <v>107898.89</v>
      </c>
      <c r="F57" s="211"/>
      <c r="G57"/>
      <c r="L57"/>
      <c r="M57"/>
      <c r="N57"/>
      <c r="O57"/>
      <c r="P57"/>
      <c r="Q57"/>
      <c r="R57"/>
      <c r="S57"/>
      <c r="T57"/>
      <c r="U57"/>
    </row>
    <row r="58" spans="1:24" ht="15">
      <c r="A58" s="558" t="s">
        <v>632</v>
      </c>
      <c r="B58" s="595" t="s">
        <v>642</v>
      </c>
      <c r="C58" s="579">
        <v>47358.8</v>
      </c>
      <c r="D58" s="579">
        <v>19277.86</v>
      </c>
      <c r="E58" s="560">
        <f t="shared" si="2"/>
        <v>66636.66</v>
      </c>
      <c r="F58" s="211"/>
      <c r="G58"/>
      <c r="L58"/>
      <c r="M58"/>
      <c r="N58"/>
      <c r="O58"/>
      <c r="P58"/>
      <c r="Q58"/>
      <c r="R58"/>
      <c r="S58"/>
      <c r="T58"/>
      <c r="U58"/>
    </row>
    <row r="59" spans="1:24" ht="15">
      <c r="A59" s="565"/>
      <c r="B59" s="566"/>
      <c r="C59" s="565"/>
      <c r="D59" s="565"/>
      <c r="E59" s="565"/>
      <c r="F59"/>
      <c r="G59"/>
      <c r="L59"/>
      <c r="M59"/>
      <c r="N59"/>
      <c r="O59"/>
      <c r="P59"/>
      <c r="Q59"/>
      <c r="R59"/>
      <c r="S59"/>
      <c r="T59"/>
      <c r="U59"/>
    </row>
    <row r="60" spans="1:24" ht="15">
      <c r="A60" s="566"/>
      <c r="B60" s="566"/>
      <c r="C60" s="566"/>
      <c r="D60" s="566"/>
      <c r="E60" s="566"/>
      <c r="F60"/>
      <c r="G60"/>
      <c r="L60"/>
      <c r="M60"/>
      <c r="N60"/>
      <c r="O60"/>
      <c r="P60"/>
      <c r="Q60"/>
      <c r="R60"/>
      <c r="S60"/>
      <c r="T60"/>
      <c r="U60"/>
    </row>
    <row r="61" spans="1:24" ht="16" thickBot="1">
      <c r="A61" s="646" t="s">
        <v>646</v>
      </c>
      <c r="B61" s="646"/>
      <c r="C61" s="646"/>
      <c r="D61" s="646"/>
      <c r="E61" s="646"/>
      <c r="F61"/>
      <c r="G61"/>
      <c r="L61"/>
      <c r="M61"/>
      <c r="N61"/>
      <c r="O61"/>
      <c r="P61"/>
      <c r="Q61"/>
      <c r="R61"/>
      <c r="S61"/>
      <c r="T61"/>
      <c r="U61"/>
    </row>
    <row r="62" spans="1:24" ht="15">
      <c r="A62" s="586"/>
      <c r="B62" s="586"/>
      <c r="C62" s="586"/>
      <c r="D62" s="586"/>
      <c r="E62" s="586"/>
      <c r="F62"/>
      <c r="G62"/>
      <c r="L62"/>
      <c r="M62"/>
      <c r="N62"/>
      <c r="O62"/>
      <c r="P62"/>
      <c r="Q62"/>
      <c r="R62"/>
      <c r="S62"/>
      <c r="T62"/>
      <c r="U62"/>
    </row>
    <row r="63" spans="1:24" ht="15">
      <c r="A63" s="566"/>
      <c r="B63" s="566"/>
      <c r="C63" s="566"/>
      <c r="D63" s="566"/>
      <c r="E63" s="566"/>
      <c r="F63" s="566"/>
      <c r="G63" s="566"/>
      <c r="L63"/>
      <c r="M63"/>
      <c r="N63"/>
      <c r="O63"/>
      <c r="P63"/>
      <c r="Q63"/>
      <c r="R63"/>
      <c r="S63"/>
      <c r="T63"/>
      <c r="U63"/>
    </row>
    <row r="64" spans="1:24" ht="15">
      <c r="A64" s="566"/>
      <c r="B64" s="566"/>
      <c r="C64" s="566"/>
      <c r="D64" s="566"/>
      <c r="E64" s="566"/>
      <c r="F64" s="566"/>
      <c r="G64" s="566"/>
      <c r="L64"/>
      <c r="M64"/>
      <c r="N64"/>
      <c r="O64"/>
      <c r="P64"/>
      <c r="Q64"/>
      <c r="R64"/>
      <c r="S64"/>
      <c r="T64"/>
      <c r="U64"/>
    </row>
    <row r="65" spans="1:21" ht="15">
      <c r="A65" s="566"/>
      <c r="B65" s="566"/>
      <c r="C65" s="566"/>
      <c r="D65" s="566"/>
      <c r="E65" s="566"/>
      <c r="F65" s="566"/>
      <c r="G65" s="566"/>
      <c r="L65"/>
      <c r="M65"/>
      <c r="N65"/>
      <c r="O65"/>
      <c r="P65"/>
      <c r="Q65"/>
      <c r="R65"/>
      <c r="S65"/>
      <c r="T65"/>
      <c r="U65"/>
    </row>
    <row r="66" spans="1:21" ht="15">
      <c r="A66" s="566"/>
      <c r="B66" s="566"/>
      <c r="C66" s="566"/>
      <c r="D66" s="566"/>
      <c r="E66" s="566"/>
      <c r="F66" s="566"/>
      <c r="G66" s="566"/>
      <c r="L66"/>
      <c r="M66"/>
      <c r="N66"/>
      <c r="O66"/>
      <c r="P66"/>
      <c r="Q66"/>
      <c r="R66"/>
      <c r="S66"/>
      <c r="T66"/>
      <c r="U66"/>
    </row>
    <row r="67" spans="1:21" ht="15">
      <c r="A67" s="566"/>
      <c r="B67" s="566"/>
      <c r="C67" s="566"/>
      <c r="D67" s="566"/>
      <c r="E67" s="566"/>
      <c r="F67" s="566"/>
      <c r="G67" s="566"/>
      <c r="L67"/>
      <c r="M67"/>
      <c r="N67"/>
      <c r="O67"/>
      <c r="P67"/>
      <c r="Q67"/>
      <c r="R67"/>
      <c r="S67"/>
      <c r="T67"/>
      <c r="U67"/>
    </row>
    <row r="68" spans="1:21" ht="15">
      <c r="A68" s="566"/>
      <c r="B68" s="566"/>
      <c r="C68" s="566"/>
      <c r="D68" s="566"/>
      <c r="E68" s="566"/>
      <c r="F68" s="566"/>
      <c r="G68" s="566"/>
      <c r="L68"/>
      <c r="M68"/>
      <c r="N68"/>
      <c r="O68"/>
      <c r="P68"/>
      <c r="Q68"/>
      <c r="R68"/>
      <c r="S68"/>
      <c r="T68"/>
      <c r="U68"/>
    </row>
    <row r="69" spans="1:21" ht="15">
      <c r="A69" s="566"/>
      <c r="B69" s="566"/>
      <c r="C69" s="566"/>
      <c r="D69" s="566"/>
      <c r="E69" s="566"/>
      <c r="F69" s="566"/>
      <c r="G69" s="566"/>
      <c r="L69"/>
      <c r="M69"/>
      <c r="N69"/>
      <c r="O69"/>
      <c r="P69"/>
      <c r="Q69"/>
      <c r="R69"/>
      <c r="S69"/>
      <c r="T69"/>
      <c r="U69"/>
    </row>
    <row r="70" spans="1:21" ht="15">
      <c r="A70" s="566"/>
      <c r="B70" s="566"/>
      <c r="C70" s="566"/>
      <c r="D70" s="566"/>
      <c r="E70" s="566"/>
      <c r="F70" s="566"/>
      <c r="G70" s="566"/>
      <c r="L70"/>
      <c r="M70"/>
      <c r="N70"/>
      <c r="O70"/>
      <c r="P70"/>
      <c r="Q70"/>
      <c r="R70"/>
      <c r="S70"/>
      <c r="T70"/>
      <c r="U70"/>
    </row>
    <row r="71" spans="1:21" ht="15">
      <c r="A71" s="566"/>
      <c r="B71" s="566"/>
      <c r="C71" s="566"/>
      <c r="D71" s="566"/>
      <c r="E71" s="566"/>
      <c r="F71" s="566"/>
      <c r="G71" s="566"/>
      <c r="L71"/>
      <c r="M71"/>
      <c r="N71"/>
      <c r="O71"/>
      <c r="P71"/>
      <c r="Q71"/>
      <c r="R71"/>
      <c r="S71"/>
      <c r="T71"/>
      <c r="U71"/>
    </row>
    <row r="72" spans="1:21" ht="15">
      <c r="A72" s="566"/>
      <c r="B72" s="566"/>
      <c r="C72" s="566"/>
      <c r="D72" s="566"/>
      <c r="E72" s="566"/>
      <c r="F72" s="566"/>
      <c r="G72" s="566"/>
      <c r="L72"/>
      <c r="M72"/>
      <c r="N72"/>
      <c r="O72"/>
      <c r="P72"/>
      <c r="Q72"/>
      <c r="R72"/>
      <c r="S72"/>
      <c r="T72"/>
      <c r="U72"/>
    </row>
    <row r="73" spans="1:21" ht="15">
      <c r="A73" s="566"/>
      <c r="B73" s="566"/>
      <c r="C73" s="566"/>
      <c r="D73" s="566"/>
      <c r="E73" s="566"/>
      <c r="F73" s="566"/>
      <c r="G73" s="566"/>
      <c r="L73"/>
      <c r="M73"/>
      <c r="N73"/>
      <c r="O73"/>
      <c r="P73"/>
      <c r="Q73"/>
      <c r="R73"/>
      <c r="S73"/>
      <c r="T73"/>
      <c r="U73"/>
    </row>
    <row r="74" spans="1:21" ht="15">
      <c r="A74" s="566"/>
      <c r="B74" s="566"/>
      <c r="C74" s="566"/>
      <c r="D74" s="566"/>
      <c r="E74" s="566"/>
      <c r="F74" s="566"/>
      <c r="G74" s="566"/>
      <c r="L74"/>
      <c r="M74"/>
      <c r="N74"/>
      <c r="O74"/>
      <c r="P74"/>
      <c r="Q74"/>
      <c r="R74"/>
      <c r="S74"/>
      <c r="T74"/>
      <c r="U74"/>
    </row>
    <row r="75" spans="1:21">
      <c r="A75" s="566"/>
      <c r="B75" s="566"/>
      <c r="C75" s="566"/>
      <c r="D75" s="566"/>
      <c r="E75" s="566"/>
      <c r="F75" s="566"/>
      <c r="G75" s="566"/>
      <c r="P75" s="432"/>
      <c r="Q75" s="432"/>
      <c r="R75" s="432"/>
    </row>
    <row r="76" spans="1:21">
      <c r="A76" s="566"/>
      <c r="B76" s="566"/>
      <c r="C76" s="566"/>
      <c r="D76" s="566"/>
      <c r="E76" s="566"/>
      <c r="F76" s="566"/>
      <c r="G76" s="566"/>
      <c r="P76" s="432"/>
      <c r="Q76" s="432"/>
      <c r="R76" s="432"/>
    </row>
    <row r="77" spans="1:21">
      <c r="A77" s="566"/>
      <c r="B77" s="566"/>
      <c r="C77" s="566"/>
      <c r="D77" s="566"/>
      <c r="E77" s="566"/>
      <c r="F77" s="566"/>
      <c r="G77" s="566"/>
      <c r="P77" s="432"/>
      <c r="Q77" s="432"/>
      <c r="R77" s="432"/>
    </row>
    <row r="78" spans="1:21">
      <c r="A78" s="566"/>
      <c r="B78" s="566"/>
      <c r="C78" s="566"/>
      <c r="D78" s="566"/>
      <c r="E78" s="566"/>
      <c r="F78" s="566"/>
      <c r="G78" s="566"/>
      <c r="P78" s="432"/>
      <c r="Q78" s="432"/>
      <c r="R78" s="432"/>
    </row>
    <row r="79" spans="1:21">
      <c r="A79" s="566"/>
      <c r="B79" s="566"/>
      <c r="C79" s="566"/>
      <c r="D79" s="566"/>
      <c r="E79" s="566"/>
      <c r="F79" s="566"/>
      <c r="G79" s="566"/>
      <c r="P79" s="432"/>
      <c r="Q79" s="432"/>
      <c r="R79" s="432"/>
    </row>
    <row r="80" spans="1:21">
      <c r="A80" s="566"/>
      <c r="B80" s="566"/>
      <c r="C80" s="566"/>
      <c r="D80" s="566"/>
      <c r="E80" s="566"/>
      <c r="F80" s="566"/>
      <c r="G80" s="566"/>
      <c r="P80" s="432"/>
      <c r="Q80" s="432"/>
      <c r="R80" s="432"/>
    </row>
    <row r="81" spans="1:24">
      <c r="A81" s="566"/>
      <c r="B81" s="566"/>
      <c r="C81" s="566"/>
      <c r="D81" s="566"/>
      <c r="E81" s="566"/>
      <c r="F81" s="566"/>
      <c r="G81" s="566"/>
      <c r="P81" s="432"/>
      <c r="Q81" s="432"/>
      <c r="R81" s="432"/>
    </row>
    <row r="82" spans="1:24">
      <c r="A82" s="566"/>
      <c r="B82" s="566"/>
      <c r="C82" s="566"/>
      <c r="D82" s="566"/>
      <c r="E82" s="566"/>
      <c r="F82" s="566"/>
      <c r="G82" s="566"/>
      <c r="P82" s="432"/>
      <c r="Q82" s="432"/>
      <c r="R82" s="432"/>
    </row>
    <row r="83" spans="1:24">
      <c r="A83" s="566"/>
      <c r="B83" s="566"/>
      <c r="C83" s="566"/>
      <c r="D83" s="566"/>
      <c r="E83" s="566"/>
      <c r="F83" s="566"/>
      <c r="G83" s="566"/>
      <c r="P83" s="432"/>
      <c r="Q83" s="432"/>
      <c r="R83" s="432"/>
    </row>
    <row r="84" spans="1:24" ht="15" customHeight="1" thickBot="1">
      <c r="A84" s="646" t="s">
        <v>643</v>
      </c>
      <c r="B84" s="646"/>
      <c r="C84" s="646"/>
      <c r="D84" s="646"/>
      <c r="E84" s="646"/>
      <c r="F84" s="646"/>
      <c r="G84" s="646"/>
      <c r="Q84" s="432"/>
    </row>
    <row r="85" spans="1:24" s="192" customFormat="1" ht="6.5" customHeight="1">
      <c r="A85" s="303"/>
      <c r="B85" s="573"/>
      <c r="C85" s="304"/>
      <c r="D85" s="304"/>
      <c r="E85" s="304"/>
      <c r="F85" s="304"/>
      <c r="G85" s="304"/>
      <c r="H85" s="18"/>
      <c r="I85" s="18"/>
      <c r="J85" s="18"/>
      <c r="K85" s="18"/>
      <c r="L85" s="197"/>
      <c r="R85" s="197"/>
      <c r="X85" s="197"/>
    </row>
    <row r="86" spans="1:24" ht="42">
      <c r="A86" s="562" t="s">
        <v>620</v>
      </c>
      <c r="B86" s="571"/>
      <c r="C86" s="434" t="s">
        <v>621</v>
      </c>
      <c r="D86" s="434" t="s">
        <v>622</v>
      </c>
      <c r="E86" s="434" t="s">
        <v>623</v>
      </c>
      <c r="F86" s="434" t="s">
        <v>633</v>
      </c>
      <c r="G86" s="435" t="s">
        <v>361</v>
      </c>
      <c r="H86" s="564"/>
      <c r="I86" s="593" t="s">
        <v>621</v>
      </c>
      <c r="J86" s="593" t="s">
        <v>622</v>
      </c>
      <c r="K86" s="593" t="s">
        <v>623</v>
      </c>
      <c r="L86" s="593" t="s">
        <v>633</v>
      </c>
      <c r="M86" s="594" t="s">
        <v>361</v>
      </c>
      <c r="N86" s="570"/>
    </row>
    <row r="87" spans="1:24" s="192" customFormat="1" ht="6.5" customHeight="1">
      <c r="A87" s="303"/>
      <c r="B87" s="573"/>
      <c r="C87" s="304"/>
      <c r="D87" s="304"/>
      <c r="E87" s="304"/>
      <c r="F87" s="304"/>
      <c r="G87" s="304"/>
      <c r="H87" s="588"/>
      <c r="I87" s="588"/>
      <c r="J87" s="588"/>
      <c r="K87" s="588"/>
      <c r="L87" s="588"/>
      <c r="M87" s="588"/>
      <c r="N87" s="203"/>
      <c r="R87" s="197"/>
      <c r="X87" s="197"/>
    </row>
    <row r="88" spans="1:24" ht="15">
      <c r="A88" s="558" t="s">
        <v>627</v>
      </c>
      <c r="B88" s="574"/>
      <c r="C88" s="578">
        <v>72210.684507664206</v>
      </c>
      <c r="D88" s="579">
        <v>21616.73</v>
      </c>
      <c r="E88" s="579">
        <v>9289.19</v>
      </c>
      <c r="F88" s="579">
        <v>6383.93</v>
      </c>
      <c r="G88" s="559">
        <v>96732.68</v>
      </c>
      <c r="H88" s="564" t="s">
        <v>634</v>
      </c>
      <c r="I88" s="589">
        <v>72210.684507664206</v>
      </c>
      <c r="J88" s="590">
        <v>21616.73</v>
      </c>
      <c r="K88" s="590">
        <v>9289.19</v>
      </c>
      <c r="L88" s="590">
        <v>6383.93</v>
      </c>
      <c r="M88" s="589">
        <v>96732.68</v>
      </c>
      <c r="N88" s="570"/>
    </row>
    <row r="89" spans="1:24" ht="15">
      <c r="A89" s="558" t="s">
        <v>626</v>
      </c>
      <c r="B89" s="574"/>
      <c r="C89" s="579">
        <v>100812.78</v>
      </c>
      <c r="D89" s="579">
        <v>22474.29</v>
      </c>
      <c r="E89" s="579">
        <v>9914.76</v>
      </c>
      <c r="F89" s="579">
        <v>8388.34</v>
      </c>
      <c r="G89" s="559">
        <v>124813.49</v>
      </c>
      <c r="H89" s="564" t="s">
        <v>635</v>
      </c>
      <c r="I89" s="590">
        <v>100812.78</v>
      </c>
      <c r="J89" s="590">
        <v>22474.29</v>
      </c>
      <c r="K89" s="590">
        <v>9914.76</v>
      </c>
      <c r="L89" s="590">
        <v>8388.34</v>
      </c>
      <c r="M89" s="589">
        <v>124813.49</v>
      </c>
      <c r="N89" s="570"/>
    </row>
    <row r="90" spans="1:24" ht="15">
      <c r="A90" s="558" t="s">
        <v>625</v>
      </c>
      <c r="B90" s="574"/>
      <c r="C90" s="579">
        <v>54805.79</v>
      </c>
      <c r="D90" s="579">
        <v>20809.240000000002</v>
      </c>
      <c r="E90" s="579">
        <v>8710.4</v>
      </c>
      <c r="F90" s="579">
        <v>5144.78</v>
      </c>
      <c r="G90" s="559">
        <v>79180.649999999994</v>
      </c>
      <c r="H90" s="563" t="s">
        <v>636</v>
      </c>
      <c r="I90" s="590">
        <v>54805.79</v>
      </c>
      <c r="J90" s="590">
        <v>20809.240000000002</v>
      </c>
      <c r="K90" s="590">
        <v>8710.4</v>
      </c>
      <c r="L90" s="590">
        <v>5144.78</v>
      </c>
      <c r="M90" s="591">
        <v>79180.649999999994</v>
      </c>
    </row>
    <row r="91" spans="1:24" s="192" customFormat="1" ht="6.5" customHeight="1">
      <c r="A91" s="575"/>
      <c r="B91" s="576"/>
      <c r="C91" s="579"/>
      <c r="D91" s="579"/>
      <c r="E91" s="579"/>
      <c r="F91" s="579"/>
      <c r="G91" s="577"/>
      <c r="H91" s="588"/>
      <c r="I91" s="590"/>
      <c r="J91" s="590"/>
      <c r="K91" s="590"/>
      <c r="L91" s="590"/>
      <c r="M91" s="592"/>
      <c r="R91" s="197"/>
      <c r="X91" s="197"/>
    </row>
    <row r="92" spans="1:24" ht="15">
      <c r="A92" s="566" t="s">
        <v>624</v>
      </c>
      <c r="B92" s="574"/>
      <c r="C92" s="579">
        <v>80077</v>
      </c>
      <c r="D92" s="579">
        <v>22902.31</v>
      </c>
      <c r="E92" s="579">
        <v>9289.19</v>
      </c>
      <c r="F92" s="579">
        <v>7006.62</v>
      </c>
      <c r="G92" s="567">
        <v>105261.88</v>
      </c>
      <c r="H92" s="563" t="s">
        <v>637</v>
      </c>
      <c r="I92" s="590">
        <v>80077</v>
      </c>
      <c r="J92" s="590">
        <v>22902.31</v>
      </c>
      <c r="K92" s="590">
        <v>9289.19</v>
      </c>
      <c r="L92" s="590">
        <v>7006.62</v>
      </c>
      <c r="M92" s="589">
        <v>105261.88</v>
      </c>
    </row>
    <row r="93" spans="1:24" ht="15">
      <c r="A93" s="566" t="s">
        <v>628</v>
      </c>
      <c r="B93" s="574"/>
      <c r="C93" s="579">
        <v>111794.88</v>
      </c>
      <c r="D93" s="579">
        <v>23824.959999999999</v>
      </c>
      <c r="E93" s="579">
        <v>9914.76</v>
      </c>
      <c r="F93" s="579">
        <v>9227.4500000000007</v>
      </c>
      <c r="G93" s="567">
        <v>136307.15</v>
      </c>
      <c r="H93" s="563" t="s">
        <v>638</v>
      </c>
      <c r="I93" s="590">
        <v>111794.88</v>
      </c>
      <c r="J93" s="590">
        <v>23824.959999999999</v>
      </c>
      <c r="K93" s="590">
        <v>9914.76</v>
      </c>
      <c r="L93" s="590">
        <v>9227.4500000000007</v>
      </c>
      <c r="M93" s="589">
        <v>136307.15</v>
      </c>
    </row>
    <row r="94" spans="1:24" ht="15">
      <c r="A94" s="566" t="s">
        <v>629</v>
      </c>
      <c r="B94" s="574"/>
      <c r="C94" s="579">
        <v>60776.1</v>
      </c>
      <c r="D94" s="579">
        <v>22033.93</v>
      </c>
      <c r="E94" s="579">
        <v>8710.4</v>
      </c>
      <c r="F94" s="579">
        <v>5634.32</v>
      </c>
      <c r="G94" s="559">
        <v>85886.1</v>
      </c>
      <c r="H94" s="563" t="s">
        <v>639</v>
      </c>
      <c r="I94" s="590">
        <v>60776.1</v>
      </c>
      <c r="J94" s="590">
        <v>22033.93</v>
      </c>
      <c r="K94" s="590">
        <v>8710.4</v>
      </c>
      <c r="L94" s="590">
        <v>5634.32</v>
      </c>
      <c r="M94" s="591">
        <v>85886.1</v>
      </c>
    </row>
    <row r="95" spans="1:24" s="192" customFormat="1" ht="6.5" customHeight="1">
      <c r="A95" s="575"/>
      <c r="B95" s="576"/>
      <c r="C95" s="579"/>
      <c r="D95" s="579"/>
      <c r="E95" s="579"/>
      <c r="F95" s="579"/>
      <c r="G95" s="577"/>
      <c r="H95" s="588"/>
      <c r="I95" s="590"/>
      <c r="J95" s="590"/>
      <c r="K95" s="590"/>
      <c r="L95" s="590"/>
      <c r="M95" s="592"/>
      <c r="R95" s="197"/>
      <c r="X95" s="197"/>
    </row>
    <row r="96" spans="1:24" ht="15">
      <c r="A96" s="558" t="s">
        <v>630</v>
      </c>
      <c r="B96" s="558"/>
      <c r="C96" s="579">
        <v>62398.720000000001</v>
      </c>
      <c r="D96" s="579">
        <v>20008.8</v>
      </c>
      <c r="E96" s="579">
        <v>9289.19</v>
      </c>
      <c r="F96" s="579">
        <v>5606.93</v>
      </c>
      <c r="G96" s="559">
        <v>86089.77</v>
      </c>
      <c r="H96" s="563" t="s">
        <v>640</v>
      </c>
      <c r="I96" s="590">
        <v>62398.720000000001</v>
      </c>
      <c r="J96" s="590">
        <v>20008.8</v>
      </c>
      <c r="K96" s="590">
        <v>9289.19</v>
      </c>
      <c r="L96" s="590">
        <v>5606.93</v>
      </c>
      <c r="M96" s="591">
        <v>86089.77</v>
      </c>
    </row>
    <row r="97" spans="1:13" ht="15">
      <c r="A97" s="558" t="s">
        <v>631</v>
      </c>
      <c r="B97" s="558"/>
      <c r="C97" s="579">
        <v>87114.37</v>
      </c>
      <c r="D97" s="579">
        <v>20784.52</v>
      </c>
      <c r="E97" s="579">
        <v>9914.76</v>
      </c>
      <c r="F97" s="579">
        <v>7341.34</v>
      </c>
      <c r="G97" s="559">
        <v>110472.31</v>
      </c>
      <c r="H97" s="563" t="s">
        <v>641</v>
      </c>
      <c r="I97" s="590">
        <v>87114.37</v>
      </c>
      <c r="J97" s="590">
        <v>20784.52</v>
      </c>
      <c r="K97" s="590">
        <v>9914.76</v>
      </c>
      <c r="L97" s="590">
        <v>7341.34</v>
      </c>
      <c r="M97" s="591">
        <v>110472.31</v>
      </c>
    </row>
    <row r="98" spans="1:13" ht="15">
      <c r="A98" s="558" t="s">
        <v>632</v>
      </c>
      <c r="B98" s="566"/>
      <c r="C98" s="579">
        <v>47358.8</v>
      </c>
      <c r="D98" s="579">
        <v>19277.86</v>
      </c>
      <c r="E98" s="579">
        <v>8710.4</v>
      </c>
      <c r="F98" s="579">
        <v>4533.8999999999996</v>
      </c>
      <c r="G98" s="559">
        <v>70813.149999999994</v>
      </c>
      <c r="H98" s="563" t="s">
        <v>642</v>
      </c>
      <c r="I98" s="590">
        <v>47358.8</v>
      </c>
      <c r="J98" s="590">
        <v>19277.86</v>
      </c>
      <c r="K98" s="590">
        <v>8710.4</v>
      </c>
      <c r="L98" s="590">
        <v>4533.8999999999996</v>
      </c>
      <c r="M98" s="591">
        <v>70813.149999999994</v>
      </c>
    </row>
    <row r="99" spans="1:13">
      <c r="A99" s="565"/>
      <c r="B99" s="566"/>
      <c r="C99" s="565"/>
      <c r="D99" s="565"/>
      <c r="E99" s="565"/>
      <c r="F99" s="565"/>
      <c r="G99" s="565"/>
      <c r="H99" s="563"/>
      <c r="I99" s="563"/>
      <c r="J99" s="563"/>
      <c r="K99" s="563"/>
      <c r="L99" s="563"/>
      <c r="M99" s="563"/>
    </row>
    <row r="100" spans="1:13">
      <c r="A100" s="558"/>
      <c r="B100" s="558"/>
      <c r="C100" s="558"/>
      <c r="D100" s="558"/>
      <c r="E100" s="558"/>
      <c r="F100" s="558"/>
      <c r="G100" s="558"/>
      <c r="H100" s="587"/>
      <c r="I100" s="587"/>
      <c r="J100" s="587"/>
      <c r="K100" s="587"/>
      <c r="L100" s="587"/>
      <c r="M100" s="587"/>
    </row>
    <row r="101" spans="1:13" ht="14" thickBot="1">
      <c r="A101" s="647" t="s">
        <v>645</v>
      </c>
      <c r="B101" s="647"/>
      <c r="C101" s="647"/>
      <c r="D101" s="647"/>
      <c r="E101" s="647"/>
      <c r="F101" s="647"/>
      <c r="G101" s="647"/>
      <c r="J101" s="352"/>
      <c r="K101" s="352"/>
      <c r="L101" s="352"/>
      <c r="M101" s="352"/>
    </row>
  </sheetData>
  <sortState ref="A8:L13">
    <sortCondition ref="A8"/>
  </sortState>
  <mergeCells count="6">
    <mergeCell ref="C4:G4"/>
    <mergeCell ref="A17:G17"/>
    <mergeCell ref="A61:E61"/>
    <mergeCell ref="A101:G101"/>
    <mergeCell ref="A44:E44"/>
    <mergeCell ref="A84:G8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S40"/>
  <sheetViews>
    <sheetView showGridLines="0" workbookViewId="0">
      <pane ySplit="4" topLeftCell="A5" activePane="bottomLeft" state="frozen"/>
      <selection pane="bottomLeft" activeCell="B13" sqref="B13"/>
    </sheetView>
  </sheetViews>
  <sheetFormatPr baseColWidth="10" defaultColWidth="8.83203125" defaultRowHeight="15"/>
  <cols>
    <col min="1" max="1" width="31.5" customWidth="1"/>
    <col min="2" max="2" width="22" bestFit="1" customWidth="1"/>
    <col min="3" max="3" width="8.83203125" customWidth="1"/>
    <col min="4" max="4" width="31.5" customWidth="1"/>
    <col min="5" max="5" width="22" bestFit="1" customWidth="1"/>
    <col min="7" max="7" width="16.33203125" customWidth="1"/>
    <col min="8" max="8" width="22.83203125" bestFit="1" customWidth="1"/>
    <col min="9" max="10" width="12.83203125" bestFit="1" customWidth="1"/>
  </cols>
  <sheetData>
    <row r="1" spans="1:19" ht="30" customHeight="1">
      <c r="A1" s="5"/>
      <c r="B1" s="5"/>
      <c r="C1" s="5"/>
      <c r="D1" s="5"/>
      <c r="E1" s="5"/>
    </row>
    <row r="2" spans="1:19" ht="21.5" customHeight="1">
      <c r="A2" s="6" t="s">
        <v>366</v>
      </c>
      <c r="B2" s="7"/>
      <c r="C2" s="7"/>
      <c r="D2" s="6"/>
      <c r="E2" s="7"/>
    </row>
    <row r="3" spans="1:19">
      <c r="A3" s="8"/>
      <c r="B3" s="8"/>
      <c r="C3" s="8"/>
      <c r="D3" s="8"/>
      <c r="E3" s="8"/>
      <c r="F3" s="8"/>
    </row>
    <row r="4" spans="1:19" ht="16" thickBot="1">
      <c r="A4" s="123" t="s">
        <v>561</v>
      </c>
      <c r="B4" s="603"/>
      <c r="C4" s="8"/>
      <c r="D4" s="123" t="s">
        <v>562</v>
      </c>
      <c r="E4" s="603"/>
      <c r="F4" s="119"/>
      <c r="G4" s="123" t="s">
        <v>651</v>
      </c>
      <c r="H4" s="603"/>
      <c r="I4" s="123"/>
      <c r="J4" s="603"/>
      <c r="K4" s="123"/>
      <c r="L4" s="312"/>
      <c r="M4" s="8"/>
      <c r="N4" s="8"/>
      <c r="O4" s="199"/>
    </row>
    <row r="5" spans="1:19">
      <c r="A5" s="609"/>
      <c r="B5" s="610"/>
      <c r="C5" s="8"/>
      <c r="D5" s="609"/>
      <c r="E5" s="610"/>
      <c r="F5" s="119"/>
      <c r="H5" s="536" t="str">
        <f>CONCATENATE("D/V: ",ROUND(WACC!B8*100,2),"%")</f>
        <v>D/V: 3,84%</v>
      </c>
      <c r="I5" s="536" t="s">
        <v>613</v>
      </c>
      <c r="J5" s="536" t="s">
        <v>614</v>
      </c>
      <c r="K5" s="609"/>
      <c r="L5" s="312"/>
      <c r="M5" s="8"/>
      <c r="N5" s="8"/>
      <c r="O5" s="199"/>
    </row>
    <row r="6" spans="1:19">
      <c r="A6" s="8"/>
      <c r="B6" s="8"/>
      <c r="C6" s="8"/>
      <c r="D6" s="8"/>
      <c r="E6" s="8"/>
      <c r="F6" s="8"/>
      <c r="G6" s="537" t="s">
        <v>612</v>
      </c>
      <c r="H6" s="538">
        <f>APV!I29</f>
        <v>72210.684507664206</v>
      </c>
      <c r="I6" s="538">
        <f>B36</f>
        <v>72210.684507664206</v>
      </c>
      <c r="J6" s="538">
        <f>E36</f>
        <v>72210.684507664206</v>
      </c>
    </row>
    <row r="7" spans="1:19" ht="17">
      <c r="A7" s="252" t="s">
        <v>365</v>
      </c>
      <c r="B7" s="265">
        <f>'Cost of Debt'!R33</f>
        <v>98166.089045946748</v>
      </c>
      <c r="C7" s="8"/>
      <c r="D7" s="252" t="s">
        <v>365</v>
      </c>
      <c r="E7" s="265">
        <f>'Cost of Debt'!R33</f>
        <v>98166.089045946748</v>
      </c>
      <c r="F7" s="119"/>
      <c r="G7" s="471" t="s">
        <v>650</v>
      </c>
      <c r="H7" s="539">
        <f>APV!I30</f>
        <v>9289.1910992752582</v>
      </c>
      <c r="I7" s="539">
        <f>B17</f>
        <v>20422.458869063976</v>
      </c>
      <c r="J7" s="539">
        <f>E17</f>
        <v>28591.442416689562</v>
      </c>
    </row>
    <row r="8" spans="1:19" ht="17">
      <c r="A8" s="542" t="s">
        <v>364</v>
      </c>
      <c r="B8" s="543">
        <v>0.05</v>
      </c>
      <c r="C8" s="8"/>
      <c r="D8" s="542" t="s">
        <v>364</v>
      </c>
      <c r="E8" s="543">
        <v>7.0000000000000007E-2</v>
      </c>
      <c r="F8" s="119"/>
      <c r="G8" s="471" t="s">
        <v>649</v>
      </c>
      <c r="H8" s="539">
        <f>APV!I31</f>
        <v>6383.9322706168286</v>
      </c>
      <c r="I8" s="539">
        <f>B26</f>
        <v>6383.9322706168286</v>
      </c>
      <c r="J8" s="539">
        <f>E26</f>
        <v>7170.0144901311187</v>
      </c>
    </row>
    <row r="9" spans="1:19" ht="17">
      <c r="A9" s="8"/>
      <c r="B9" s="8"/>
      <c r="C9" s="8"/>
      <c r="D9" s="8"/>
      <c r="E9" s="8"/>
      <c r="F9" s="8"/>
      <c r="G9" s="471" t="s">
        <v>648</v>
      </c>
      <c r="H9" s="539">
        <f>H7-H8</f>
        <v>2905.2588286584296</v>
      </c>
      <c r="I9" s="539">
        <f>I7-I8</f>
        <v>14038.526598447148</v>
      </c>
      <c r="J9" s="539">
        <f>J7-J8</f>
        <v>21421.427926558445</v>
      </c>
    </row>
    <row r="10" spans="1:19" ht="16" thickBot="1">
      <c r="A10" s="306" t="s">
        <v>367</v>
      </c>
      <c r="B10" s="306"/>
      <c r="D10" s="306" t="s">
        <v>367</v>
      </c>
      <c r="E10" s="306"/>
      <c r="G10" s="540" t="s">
        <v>193</v>
      </c>
      <c r="H10" s="541">
        <f>APV!I33</f>
        <v>96732.675946611256</v>
      </c>
      <c r="I10" s="541">
        <f>B38</f>
        <v>107865.94371639998</v>
      </c>
      <c r="J10" s="541">
        <f>E38</f>
        <v>115248.84504451128</v>
      </c>
    </row>
    <row r="11" spans="1:19" s="192" customFormat="1" ht="6.5" customHeight="1">
      <c r="A11" s="193"/>
      <c r="B11" s="18"/>
      <c r="C11"/>
      <c r="D11" s="193"/>
      <c r="E11" s="18"/>
      <c r="M11" s="197"/>
      <c r="S11" s="197"/>
    </row>
    <row r="12" spans="1:19">
      <c r="A12" s="611" t="s">
        <v>298</v>
      </c>
      <c r="B12" s="612">
        <f>APV!B21</f>
        <v>3.0199999999999998E-2</v>
      </c>
      <c r="D12" s="611" t="s">
        <v>298</v>
      </c>
      <c r="E12" s="612">
        <f>APV!B21</f>
        <v>3.0199999999999998E-2</v>
      </c>
    </row>
    <row r="13" spans="1:19">
      <c r="A13" s="9" t="s">
        <v>270</v>
      </c>
      <c r="B13" s="606">
        <f>APV!B22</f>
        <v>0.63670590953017958</v>
      </c>
      <c r="D13" s="9" t="s">
        <v>270</v>
      </c>
      <c r="E13" s="606">
        <f>APV!B22</f>
        <v>0.63670590953017958</v>
      </c>
    </row>
    <row r="14" spans="1:19" ht="15.5" customHeight="1">
      <c r="A14" s="9" t="s">
        <v>328</v>
      </c>
      <c r="B14" s="606">
        <f>B7*B8</f>
        <v>4908.3044522973378</v>
      </c>
      <c r="D14" s="9" t="s">
        <v>328</v>
      </c>
      <c r="E14" s="606">
        <f>E7*E8</f>
        <v>6871.6262332162732</v>
      </c>
    </row>
    <row r="15" spans="1:19">
      <c r="A15" s="178" t="s">
        <v>303</v>
      </c>
      <c r="B15" s="608">
        <f>'Marginal Tax Rate'!K18*B14*'Cost of Equity'!N12*(1+'Business Opportunity'!B12)/('Cost of Equity'!N12-'Business Opportunity'!B12)^2</f>
        <v>32075.183476989481</v>
      </c>
      <c r="D15" s="178" t="s">
        <v>303</v>
      </c>
      <c r="E15" s="608">
        <f>'Marginal Tax Rate'!K18*E14*'Cost of Equity'!N12*(1+'Business Opportunity'!E12)/('Cost of Equity'!N12-'Business Opportunity'!E12)^2</f>
        <v>44905.256867785269</v>
      </c>
    </row>
    <row r="16" spans="1:19" s="192" customFormat="1" ht="6.5" customHeight="1" thickBot="1">
      <c r="A16" s="193"/>
      <c r="B16" s="18"/>
      <c r="C16" s="18"/>
      <c r="D16" s="193"/>
      <c r="E16" s="18"/>
      <c r="F16" s="18"/>
      <c r="G16"/>
      <c r="H16"/>
      <c r="I16"/>
      <c r="J16"/>
      <c r="M16" s="197"/>
      <c r="S16" s="197"/>
    </row>
    <row r="17" spans="1:19" ht="17">
      <c r="A17" s="283" t="s">
        <v>368</v>
      </c>
      <c r="B17" s="294">
        <f>B15*B13</f>
        <v>20422.458869063976</v>
      </c>
      <c r="D17" s="283" t="s">
        <v>368</v>
      </c>
      <c r="E17" s="294">
        <f>E15*E13</f>
        <v>28591.442416689562</v>
      </c>
      <c r="G17" s="197"/>
      <c r="H17" s="192"/>
      <c r="I17" s="192"/>
      <c r="J17" s="192"/>
    </row>
    <row r="18" spans="1:19">
      <c r="A18" s="8"/>
      <c r="B18" s="8"/>
      <c r="C18" s="8"/>
      <c r="D18" s="8"/>
      <c r="E18" s="8"/>
      <c r="F18" s="8"/>
    </row>
    <row r="19" spans="1:19" ht="16" thickBot="1">
      <c r="A19" s="306" t="s">
        <v>369</v>
      </c>
      <c r="B19" s="306"/>
      <c r="D19" s="306" t="s">
        <v>369</v>
      </c>
      <c r="E19" s="306"/>
    </row>
    <row r="20" spans="1:19" s="192" customFormat="1" ht="6.5" customHeight="1">
      <c r="A20" s="193"/>
      <c r="B20" s="18"/>
      <c r="C20"/>
      <c r="D20" s="193"/>
      <c r="E20" s="18"/>
      <c r="G20"/>
      <c r="H20"/>
      <c r="I20"/>
      <c r="J20"/>
      <c r="M20" s="197"/>
      <c r="S20" s="197"/>
    </row>
    <row r="21" spans="1:19">
      <c r="A21" s="182" t="str">
        <f>APV!A28</f>
        <v>q</v>
      </c>
      <c r="B21" s="607">
        <f>APV!B28</f>
        <v>1.6349999999999998</v>
      </c>
      <c r="D21" s="182" t="str">
        <f>A21</f>
        <v>q</v>
      </c>
      <c r="E21" s="607">
        <f>2.01</f>
        <v>2.0099999999999998</v>
      </c>
      <c r="G21" s="192"/>
      <c r="H21" s="192"/>
      <c r="I21" s="192"/>
      <c r="J21" s="192"/>
    </row>
    <row r="22" spans="1:19">
      <c r="A22" s="9" t="str">
        <f>APV!A29</f>
        <v>ϕ</v>
      </c>
      <c r="B22" s="606">
        <f>APV!B29</f>
        <v>16.5</v>
      </c>
      <c r="D22" s="9" t="str">
        <f>A22</f>
        <v>ϕ</v>
      </c>
      <c r="E22" s="606">
        <f>APV!B29</f>
        <v>16.5</v>
      </c>
    </row>
    <row r="23" spans="1:19">
      <c r="A23" s="168" t="str">
        <f>APV!A30</f>
        <v>rF</v>
      </c>
      <c r="B23" s="602">
        <f>APV!B30</f>
        <v>2.33</v>
      </c>
      <c r="D23" s="168" t="str">
        <f>A23</f>
        <v>rF</v>
      </c>
      <c r="E23" s="602">
        <f>APV!B30</f>
        <v>2.33</v>
      </c>
    </row>
    <row r="24" spans="1:19" ht="16">
      <c r="A24" s="450" t="str">
        <f>APV!A31</f>
        <v>Φ</v>
      </c>
      <c r="B24" s="605">
        <f>APV!B31</f>
        <v>6.8039092055485497</v>
      </c>
      <c r="D24" s="450" t="str">
        <f>A24</f>
        <v>Φ</v>
      </c>
      <c r="E24" s="605">
        <f>E21/(E21+E23)*E22</f>
        <v>7.6417050691244235</v>
      </c>
    </row>
    <row r="25" spans="1:19" s="192" customFormat="1" ht="6.5" customHeight="1" thickBot="1">
      <c r="A25" s="193"/>
      <c r="B25" s="18"/>
      <c r="C25"/>
      <c r="D25" s="193"/>
      <c r="E25" s="306"/>
      <c r="G25"/>
      <c r="H25"/>
      <c r="I25"/>
      <c r="J25"/>
      <c r="M25" s="197"/>
      <c r="S25" s="197"/>
    </row>
    <row r="26" spans="1:19" ht="17">
      <c r="A26" s="283" t="s">
        <v>370</v>
      </c>
      <c r="B26" s="294">
        <f>B24*(APV!I29+SUM(APV!I23:M23))/100</f>
        <v>6383.9322706168286</v>
      </c>
      <c r="D26" s="283" t="s">
        <v>370</v>
      </c>
      <c r="E26" s="294">
        <f>E24*(APV!I29+SUM(APV!I23:M23))/100</f>
        <v>7170.0144901311187</v>
      </c>
      <c r="G26" s="192"/>
      <c r="H26" s="192"/>
      <c r="I26" s="192"/>
      <c r="J26" s="192"/>
    </row>
    <row r="27" spans="1:19" ht="16" thickBot="1">
      <c r="A27" s="8"/>
      <c r="B27" s="8"/>
      <c r="C27" s="8"/>
      <c r="D27" s="8"/>
      <c r="E27" s="8"/>
      <c r="F27" s="8"/>
    </row>
    <row r="28" spans="1:19" ht="17">
      <c r="A28" s="307" t="s">
        <v>371</v>
      </c>
      <c r="B28" s="308">
        <f>B17-B26</f>
        <v>14038.526598447148</v>
      </c>
      <c r="D28" s="307" t="s">
        <v>371</v>
      </c>
      <c r="E28" s="308">
        <f>E17-E26</f>
        <v>21421.427926558445</v>
      </c>
    </row>
    <row r="29" spans="1:19" s="192" customFormat="1" ht="6.5" customHeight="1" thickBot="1">
      <c r="A29" s="193"/>
      <c r="B29" s="18"/>
      <c r="C29"/>
      <c r="D29" s="193" t="s">
        <v>193</v>
      </c>
      <c r="E29" s="18"/>
      <c r="G29"/>
      <c r="H29"/>
      <c r="I29"/>
      <c r="J29"/>
      <c r="M29" s="197"/>
      <c r="S29" s="197"/>
    </row>
    <row r="30" spans="1:19" ht="17">
      <c r="A30" s="283" t="s">
        <v>647</v>
      </c>
      <c r="B30" s="544">
        <f>APV!I21</f>
        <v>9.449107342567524E-2</v>
      </c>
      <c r="D30" s="283" t="s">
        <v>647</v>
      </c>
      <c r="E30" s="544">
        <f>APV!I21</f>
        <v>9.449107342567524E-2</v>
      </c>
      <c r="G30" s="192"/>
      <c r="H30" s="192"/>
      <c r="I30" s="192"/>
      <c r="J30" s="192"/>
    </row>
    <row r="31" spans="1:19" s="192" customFormat="1" ht="6.5" customHeight="1">
      <c r="A31" s="193"/>
      <c r="B31" s="18"/>
      <c r="C31"/>
      <c r="D31" s="193"/>
      <c r="E31" s="18"/>
      <c r="G31"/>
      <c r="H31"/>
      <c r="I31"/>
      <c r="J31"/>
      <c r="M31" s="197"/>
      <c r="S31" s="197"/>
    </row>
    <row r="32" spans="1:19">
      <c r="A32" s="213" t="s">
        <v>194</v>
      </c>
      <c r="B32" s="216">
        <f>'Free Cash Flows'!Q15</f>
        <v>6600.0639692434588</v>
      </c>
      <c r="D32" s="213" t="s">
        <v>194</v>
      </c>
      <c r="E32" s="216">
        <f>'Free Cash Flows'!Q15</f>
        <v>6600.0639692434588</v>
      </c>
      <c r="G32" s="192"/>
      <c r="H32" s="192"/>
      <c r="I32" s="192"/>
      <c r="J32" s="192"/>
    </row>
    <row r="33" spans="1:5">
      <c r="A33" s="168" t="s">
        <v>298</v>
      </c>
      <c r="B33" s="604">
        <f>DCF!B19</f>
        <v>3.4299999999999997E-2</v>
      </c>
      <c r="D33" s="168" t="s">
        <v>298</v>
      </c>
      <c r="E33" s="604">
        <f>B33</f>
        <v>3.4299999999999997E-2</v>
      </c>
    </row>
    <row r="34" spans="1:5">
      <c r="A34" s="214" t="s">
        <v>192</v>
      </c>
      <c r="B34" s="217">
        <f>B32*(1+B33)/(B30-B33)</f>
        <v>113412.93276349189</v>
      </c>
      <c r="D34" s="214" t="s">
        <v>192</v>
      </c>
      <c r="E34" s="217">
        <f>E32*(1+E33)/(E30-E33)</f>
        <v>113412.93276349189</v>
      </c>
    </row>
    <row r="35" spans="1:5">
      <c r="A35" s="214" t="s">
        <v>195</v>
      </c>
      <c r="B35" s="535">
        <f>1/((1+B30)^5)</f>
        <v>0.63670590953017958</v>
      </c>
      <c r="D35" s="214" t="s">
        <v>195</v>
      </c>
      <c r="E35" s="535">
        <f>1/((1+E30)^5)</f>
        <v>0.63670590953017958</v>
      </c>
    </row>
    <row r="36" spans="1:5">
      <c r="A36" s="215" t="s">
        <v>318</v>
      </c>
      <c r="B36" s="218">
        <f>B34*B35</f>
        <v>72210.684507664206</v>
      </c>
      <c r="D36" s="215" t="s">
        <v>318</v>
      </c>
      <c r="E36" s="218">
        <f>E34*E35</f>
        <v>72210.684507664206</v>
      </c>
    </row>
    <row r="37" spans="1:5" ht="16" thickBot="1">
      <c r="A37" s="215"/>
      <c r="B37" s="218"/>
      <c r="D37" s="215"/>
      <c r="E37" s="218"/>
    </row>
    <row r="38" spans="1:5">
      <c r="A38" s="307" t="s">
        <v>193</v>
      </c>
      <c r="B38" s="308">
        <f>B36+SUM(APV!I23:M23)+B28</f>
        <v>107865.94371639998</v>
      </c>
      <c r="D38" s="307" t="s">
        <v>193</v>
      </c>
      <c r="E38" s="308">
        <f>E36+SUM(APV!I23:M23)+E28</f>
        <v>115248.84504451128</v>
      </c>
    </row>
    <row r="39" spans="1:5">
      <c r="D39" s="168"/>
      <c r="E39" s="602"/>
    </row>
    <row r="40" spans="1:5">
      <c r="C40" s="264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D25"/>
  <sheetViews>
    <sheetView showGridLines="0" workbookViewId="0">
      <pane ySplit="3" topLeftCell="A4" activePane="bottomLeft" state="frozen"/>
      <selection activeCell="F28" activeCellId="1" sqref="H23 F28"/>
      <selection pane="bottomLeft" activeCell="Y9" sqref="Y9"/>
    </sheetView>
  </sheetViews>
  <sheetFormatPr baseColWidth="10" defaultColWidth="8.83203125" defaultRowHeight="15"/>
  <cols>
    <col min="1" max="1" width="47.5" style="192" customWidth="1"/>
    <col min="2" max="2" width="10.1640625" style="192" customWidth="1"/>
    <col min="3" max="11" width="10.1640625" style="192" bestFit="1" customWidth="1"/>
    <col min="12" max="12" width="2.83203125" style="197" customWidth="1"/>
    <col min="13" max="13" width="11" style="192" customWidth="1"/>
    <col min="14" max="17" width="8.83203125" style="192"/>
    <col min="18" max="18" width="2.83203125" style="197" customWidth="1"/>
    <col min="19" max="23" width="8.83203125" style="192"/>
    <col min="24" max="24" width="2.83203125" style="197" customWidth="1"/>
    <col min="25" max="16384" width="8.83203125" style="192"/>
  </cols>
  <sheetData>
    <row r="1" spans="1:30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30" ht="21.5" customHeight="1">
      <c r="A2" s="6" t="s">
        <v>145</v>
      </c>
      <c r="B2" s="7"/>
      <c r="C2" s="7"/>
      <c r="D2" s="7"/>
      <c r="E2" s="7"/>
      <c r="F2" s="7"/>
      <c r="G2" s="7"/>
      <c r="H2" s="7"/>
      <c r="I2" s="7"/>
      <c r="J2" s="7"/>
    </row>
    <row r="3" spans="1:30">
      <c r="A3" s="8"/>
      <c r="B3" s="8"/>
      <c r="C3" s="8"/>
      <c r="D3" s="8"/>
      <c r="E3" s="8"/>
      <c r="F3" s="8"/>
      <c r="G3" s="8"/>
      <c r="H3" s="8"/>
      <c r="I3" s="8"/>
      <c r="J3" s="8"/>
      <c r="R3" s="192"/>
      <c r="X3" s="192"/>
    </row>
    <row r="4" spans="1:30" ht="11.5" customHeight="1" thickBot="1">
      <c r="A4" s="8"/>
      <c r="B4" s="8"/>
      <c r="C4" s="8"/>
      <c r="D4" s="8"/>
      <c r="E4" s="8"/>
      <c r="F4" s="8"/>
      <c r="G4" s="8"/>
      <c r="H4" s="8"/>
      <c r="I4" s="8"/>
      <c r="J4" s="8"/>
      <c r="M4" s="648" t="s">
        <v>160</v>
      </c>
      <c r="N4" s="648"/>
      <c r="O4" s="648"/>
      <c r="P4" s="648"/>
      <c r="Q4" s="648"/>
      <c r="R4" s="10"/>
      <c r="S4" s="648" t="s">
        <v>310</v>
      </c>
      <c r="T4" s="648"/>
      <c r="U4" s="648"/>
      <c r="V4" s="648"/>
      <c r="W4" s="648"/>
      <c r="X4" s="10"/>
      <c r="Y4" s="648" t="s">
        <v>311</v>
      </c>
      <c r="Z4" s="648"/>
      <c r="AA4" s="648"/>
      <c r="AB4" s="648"/>
      <c r="AC4" s="648"/>
      <c r="AD4" s="264"/>
    </row>
    <row r="5" spans="1:30" s="38" customFormat="1" ht="13.25" customHeight="1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30">
      <c r="A6" s="13" t="s">
        <v>136</v>
      </c>
      <c r="B6" s="14" t="s">
        <v>51</v>
      </c>
      <c r="C6" s="14" t="s">
        <v>50</v>
      </c>
      <c r="D6" s="14" t="s">
        <v>49</v>
      </c>
      <c r="E6" s="14" t="s">
        <v>48</v>
      </c>
      <c r="F6" s="14" t="s">
        <v>47</v>
      </c>
      <c r="G6" s="14" t="s">
        <v>46</v>
      </c>
      <c r="H6" s="14" t="s">
        <v>45</v>
      </c>
      <c r="I6" s="14" t="s">
        <v>44</v>
      </c>
      <c r="J6" s="14" t="s">
        <v>43</v>
      </c>
      <c r="K6" s="15" t="s">
        <v>42</v>
      </c>
      <c r="M6" s="64" t="s">
        <v>165</v>
      </c>
      <c r="N6" s="64" t="s">
        <v>166</v>
      </c>
      <c r="O6" s="64" t="s">
        <v>167</v>
      </c>
      <c r="P6" s="64" t="s">
        <v>168</v>
      </c>
      <c r="Q6" s="65" t="s">
        <v>169</v>
      </c>
      <c r="S6" s="64" t="s">
        <v>165</v>
      </c>
      <c r="T6" s="64" t="s">
        <v>166</v>
      </c>
      <c r="U6" s="64" t="s">
        <v>167</v>
      </c>
      <c r="V6" s="64" t="s">
        <v>168</v>
      </c>
      <c r="W6" s="65" t="s">
        <v>169</v>
      </c>
      <c r="Y6" s="64" t="s">
        <v>165</v>
      </c>
      <c r="Z6" s="64" t="s">
        <v>166</v>
      </c>
      <c r="AA6" s="64" t="s">
        <v>167</v>
      </c>
      <c r="AB6" s="64" t="s">
        <v>168</v>
      </c>
      <c r="AC6" s="65" t="s">
        <v>169</v>
      </c>
    </row>
    <row r="7" spans="1:30" ht="6.5" customHeight="1">
      <c r="A7" s="193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30" ht="17">
      <c r="A8" s="252" t="s">
        <v>306</v>
      </c>
      <c r="B8" s="253"/>
      <c r="C8" s="253">
        <f>'Marginal Tax Rate'!C18</f>
        <v>0.29110854455172208</v>
      </c>
      <c r="D8" s="253">
        <f>'Marginal Tax Rate'!D18</f>
        <v>0.29110854455172208</v>
      </c>
      <c r="E8" s="253">
        <f>'Marginal Tax Rate'!E18</f>
        <v>0.29296488072076687</v>
      </c>
      <c r="F8" s="253">
        <f>'Marginal Tax Rate'!F18</f>
        <v>0.29232701840766145</v>
      </c>
      <c r="G8" s="253">
        <f>'Marginal Tax Rate'!G18</f>
        <v>0.29424393256374165</v>
      </c>
      <c r="H8" s="253">
        <f>'Marginal Tax Rate'!H18</f>
        <v>0.29373906448582521</v>
      </c>
      <c r="I8" s="253">
        <f>'Marginal Tax Rate'!I18</f>
        <v>0.29361557911226971</v>
      </c>
      <c r="J8" s="253">
        <f>'Marginal Tax Rate'!J18</f>
        <v>0.29248053088050141</v>
      </c>
      <c r="K8" s="253">
        <f>'Marginal Tax Rate'!K18</f>
        <v>0.29137263404808794</v>
      </c>
      <c r="M8" s="253">
        <f>$K$8</f>
        <v>0.29137263404808794</v>
      </c>
      <c r="N8" s="253">
        <f>$K$8</f>
        <v>0.29137263404808794</v>
      </c>
      <c r="O8" s="253">
        <f>$K$8</f>
        <v>0.29137263404808794</v>
      </c>
      <c r="P8" s="253">
        <f>$K$8</f>
        <v>0.29137263404808794</v>
      </c>
      <c r="Q8" s="253">
        <f>$K$8</f>
        <v>0.29137263404808794</v>
      </c>
      <c r="S8" s="253">
        <f>$K$8</f>
        <v>0.29137263404808794</v>
      </c>
      <c r="T8" s="253">
        <f>$K$8</f>
        <v>0.29137263404808794</v>
      </c>
      <c r="U8" s="253">
        <f>$K$8</f>
        <v>0.29137263404808794</v>
      </c>
      <c r="V8" s="253">
        <f>$K$8</f>
        <v>0.29137263404808794</v>
      </c>
      <c r="W8" s="253">
        <f>$K$8</f>
        <v>0.29137263404808794</v>
      </c>
      <c r="Y8" s="253">
        <f>$K$8</f>
        <v>0.29137263404808794</v>
      </c>
      <c r="Z8" s="253">
        <f>$K$8</f>
        <v>0.29137263404808794</v>
      </c>
      <c r="AA8" s="253">
        <f>$K$8</f>
        <v>0.29137263404808794</v>
      </c>
      <c r="AB8" s="253">
        <f>$K$8</f>
        <v>0.29137263404808794</v>
      </c>
      <c r="AC8" s="253">
        <f>$K$8</f>
        <v>0.29137263404808794</v>
      </c>
    </row>
    <row r="9" spans="1:30">
      <c r="A9" s="204" t="s">
        <v>132</v>
      </c>
      <c r="B9" s="195">
        <f>'Income Statement'!B12</f>
        <v>2433.6999999999998</v>
      </c>
      <c r="C9" s="195">
        <f>'Income Statement'!C12</f>
        <v>1858.4999999999991</v>
      </c>
      <c r="D9" s="195">
        <f>'Income Statement'!D12</f>
        <v>2474</v>
      </c>
      <c r="E9" s="195">
        <f>'Income Statement'!E12</f>
        <v>2815</v>
      </c>
      <c r="F9" s="195">
        <f>'Income Statement'!F12</f>
        <v>3040</v>
      </c>
      <c r="G9" s="195">
        <f>'Income Statement'!G12</f>
        <v>3254</v>
      </c>
      <c r="H9" s="195">
        <f>'Income Statement'!H12</f>
        <v>3680</v>
      </c>
      <c r="I9" s="195">
        <f>'Income Statement'!I12</f>
        <v>4175</v>
      </c>
      <c r="J9" s="195">
        <f>'Income Statement'!J12</f>
        <v>4502</v>
      </c>
      <c r="K9" s="195">
        <f>'Income Statement'!K12</f>
        <v>4749</v>
      </c>
      <c r="M9" s="195">
        <f>'Growth Scenarios'!M24</f>
        <v>5336.3816617271023</v>
      </c>
      <c r="N9" s="195">
        <f>'Growth Scenarios'!N24</f>
        <v>5747.4950041035654</v>
      </c>
      <c r="O9" s="195">
        <f>'Growth Scenarios'!O24</f>
        <v>6190.2026367856115</v>
      </c>
      <c r="P9" s="195">
        <f>'Growth Scenarios'!P24</f>
        <v>6666.9256462338462</v>
      </c>
      <c r="Q9" s="195">
        <f>'Growth Scenarios'!Q24</f>
        <v>7180.2700249008958</v>
      </c>
      <c r="S9" s="195">
        <f>'Growth Scenarios'!M54</f>
        <v>5485.9713139208106</v>
      </c>
      <c r="T9" s="195">
        <f>'Growth Scenarios'!N54</f>
        <v>6035.4971643109502</v>
      </c>
      <c r="U9" s="195">
        <f>'Growth Scenarios'!O54</f>
        <v>6639.8551120857446</v>
      </c>
      <c r="V9" s="195">
        <f>'Growth Scenarios'!P54</f>
        <v>7304.4906255835031</v>
      </c>
      <c r="W9" s="195">
        <f>'Growth Scenarios'!Q54</f>
        <v>8035.3868617754069</v>
      </c>
      <c r="Y9" s="195">
        <f>'Growth Scenarios'!M84</f>
        <v>5186.7920095333939</v>
      </c>
      <c r="Z9" s="195">
        <f>'Growth Scenarios'!N84</f>
        <v>5395.1313649036983</v>
      </c>
      <c r="AA9" s="195">
        <f>'Growth Scenarios'!O84</f>
        <v>5611.6370672043231</v>
      </c>
      <c r="AB9" s="195">
        <f>'Growth Scenarios'!P84</f>
        <v>5836.6168809465607</v>
      </c>
      <c r="AC9" s="195">
        <f>'Growth Scenarios'!Q84</f>
        <v>6070.3893978378874</v>
      </c>
    </row>
    <row r="10" spans="1:30">
      <c r="A10" s="204" t="s">
        <v>106</v>
      </c>
      <c r="B10" s="195">
        <f>'Income Statement'!B43</f>
        <v>303.60000000000002</v>
      </c>
      <c r="C10" s="195">
        <f>'Income Statement'!C43</f>
        <v>335</v>
      </c>
      <c r="D10" s="195">
        <f>'Income Statement'!D43</f>
        <v>323.7</v>
      </c>
      <c r="E10" s="195">
        <f>'Income Statement'!E43</f>
        <v>335</v>
      </c>
      <c r="F10" s="195">
        <f>'Income Statement'!F43</f>
        <v>373</v>
      </c>
      <c r="G10" s="195">
        <f>'Income Statement'!G43</f>
        <v>438</v>
      </c>
      <c r="H10" s="195">
        <f>'Income Statement'!H43</f>
        <v>518</v>
      </c>
      <c r="I10" s="195">
        <f>'Income Statement'!I43</f>
        <v>606</v>
      </c>
      <c r="J10" s="195">
        <f>'Income Statement'!J43</f>
        <v>649</v>
      </c>
      <c r="K10" s="195">
        <f>'Income Statement'!K43</f>
        <v>706</v>
      </c>
      <c r="M10" s="195">
        <f>'Growth Scenarios'!M23*-1</f>
        <v>757.57585344087306</v>
      </c>
      <c r="N10" s="195">
        <f>'Growth Scenarios'!N23*-1</f>
        <v>824.14155520845748</v>
      </c>
      <c r="O10" s="195">
        <f>'Growth Scenarios'!O23*-1</f>
        <v>896.55616653629988</v>
      </c>
      <c r="P10" s="195">
        <f>'Growth Scenarios'!P23*-1</f>
        <v>975.33361189504626</v>
      </c>
      <c r="Q10" s="195">
        <f>'Growth Scenarios'!Q23*-1</f>
        <v>1061.0329726104464</v>
      </c>
      <c r="S10" s="195">
        <f>'Growth Scenarios'!M53*-1</f>
        <v>778.46745283018549</v>
      </c>
      <c r="T10" s="195">
        <f>'Growth Scenarios'!N53*-1</f>
        <v>870.22285439658924</v>
      </c>
      <c r="U10" s="195">
        <f>'Growth Scenarios'!O53*-1</f>
        <v>972.79316374880193</v>
      </c>
      <c r="V10" s="195">
        <f>'Growth Scenarios'!P53*-1</f>
        <v>1087.4530985428833</v>
      </c>
      <c r="W10" s="195">
        <f>'Growth Scenarios'!Q53*-1</f>
        <v>1215.6276232178386</v>
      </c>
      <c r="Y10" s="195">
        <f>'Growth Scenarios'!M83*-1</f>
        <v>736.68425405156063</v>
      </c>
      <c r="Z10" s="195">
        <f>'Growth Scenarios'!N83*-1</f>
        <v>779.31375198368448</v>
      </c>
      <c r="AA10" s="195">
        <f>'Growth Scenarios'!O83*-1</f>
        <v>824.41007893237884</v>
      </c>
      <c r="AB10" s="195">
        <f>'Growth Scenarios'!P83*-1</f>
        <v>872.11598218982806</v>
      </c>
      <c r="AC10" s="195">
        <f>'Growth Scenarios'!Q83*-1</f>
        <v>922.58246936512114</v>
      </c>
    </row>
    <row r="11" spans="1:30">
      <c r="A11" s="204" t="s">
        <v>133</v>
      </c>
      <c r="B11" s="196">
        <f>'Income Statement'!B46</f>
        <v>-449.2</v>
      </c>
      <c r="C11" s="196">
        <f>'Income Statement'!C46</f>
        <v>-455.7</v>
      </c>
      <c r="D11" s="196">
        <f>'Income Statement'!D46</f>
        <v>-335.1</v>
      </c>
      <c r="E11" s="196">
        <f>'Income Statement'!E46</f>
        <v>-432</v>
      </c>
      <c r="F11" s="196">
        <f>'Income Statement'!F46</f>
        <v>-597</v>
      </c>
      <c r="G11" s="196">
        <f>'Income Statement'!G46</f>
        <v>-598</v>
      </c>
      <c r="H11" s="196">
        <f>'Income Statement'!H46</f>
        <v>-880</v>
      </c>
      <c r="I11" s="196">
        <f>'Income Statement'!I46</f>
        <v>-963</v>
      </c>
      <c r="J11" s="196">
        <f>'Income Statement'!J46</f>
        <v>-1143</v>
      </c>
      <c r="K11" s="196">
        <f>'Income Statement'!K46</f>
        <v>-1105</v>
      </c>
      <c r="M11" s="196">
        <f>'Growth Scenarios'!M32</f>
        <v>-1108.0761804310575</v>
      </c>
      <c r="N11" s="196">
        <f>'Growth Scenarios'!N32</f>
        <v>-1205.4391946128374</v>
      </c>
      <c r="O11" s="196">
        <f>'Growth Scenarios'!O32</f>
        <v>-1311.3571770341418</v>
      </c>
      <c r="P11" s="196">
        <f>'Growth Scenarios'!P32</f>
        <v>-1426.5818246529423</v>
      </c>
      <c r="Q11" s="196">
        <f>'Growth Scenarios'!Q32</f>
        <v>-1551.9308835697411</v>
      </c>
      <c r="S11" s="196">
        <f>'Growth Scenarios'!M62</f>
        <v>-1248.63777982037</v>
      </c>
      <c r="T11" s="196">
        <f>'Growth Scenarios'!N62</f>
        <v>-1395.8106134203808</v>
      </c>
      <c r="U11" s="196">
        <f>'Growth Scenarios'!O62</f>
        <v>-1560.330225485618</v>
      </c>
      <c r="V11" s="196">
        <f>'Growth Scenarios'!P62</f>
        <v>-1744.2412238133297</v>
      </c>
      <c r="W11" s="196">
        <f>'Growth Scenarios'!Q62</f>
        <v>-1949.8292074057269</v>
      </c>
      <c r="Y11" s="196">
        <f>'Growth Scenarios'!M92</f>
        <v>-967.51458104174503</v>
      </c>
      <c r="Z11" s="196">
        <f>'Growth Scenarios'!N92</f>
        <v>-1023.5014717686535</v>
      </c>
      <c r="AA11" s="196">
        <f>'Growth Scenarios'!O92</f>
        <v>-1082.7281399569952</v>
      </c>
      <c r="AB11" s="196">
        <f>'Growth Scenarios'!P92</f>
        <v>-1145.382060886488</v>
      </c>
      <c r="AC11" s="196">
        <f>'Growth Scenarios'!Q92</f>
        <v>-1211.6615584154724</v>
      </c>
    </row>
    <row r="12" spans="1:30">
      <c r="A12" s="204" t="s">
        <v>134</v>
      </c>
      <c r="B12" s="195"/>
      <c r="C12" s="195">
        <f>('Balance Sheet'!C10+'Balance Sheet'!C11-'Balance Sheet'!C25)-('Balance Sheet'!B10+'Balance Sheet'!B11-'Balance Sheet'!B25)</f>
        <v>262.89999999999918</v>
      </c>
      <c r="D12" s="195">
        <f>('Balance Sheet'!D10+'Balance Sheet'!D11-'Balance Sheet'!D25)-('Balance Sheet'!C10+'Balance Sheet'!C11-'Balance Sheet'!C25)</f>
        <v>-772.89999999999964</v>
      </c>
      <c r="E12" s="195">
        <f>('Balance Sheet'!E10+'Balance Sheet'!E11-'Balance Sheet'!E25)-('Balance Sheet'!D10+'Balance Sheet'!D11-'Balance Sheet'!D25)</f>
        <v>947.89999999999964</v>
      </c>
      <c r="F12" s="195">
        <f>('Balance Sheet'!F10+'Balance Sheet'!F11-'Balance Sheet'!F25)-('Balance Sheet'!E10+'Balance Sheet'!E11-'Balance Sheet'!E25)</f>
        <v>658</v>
      </c>
      <c r="G12" s="195">
        <f>('Balance Sheet'!G10+'Balance Sheet'!G11-'Balance Sheet'!G25)-('Balance Sheet'!F10+'Balance Sheet'!F11-'Balance Sheet'!F25)</f>
        <v>-87</v>
      </c>
      <c r="H12" s="195">
        <f>('Balance Sheet'!H10+'Balance Sheet'!H11-'Balance Sheet'!H25)-('Balance Sheet'!G10+'Balance Sheet'!G11-'Balance Sheet'!G25)</f>
        <v>496</v>
      </c>
      <c r="I12" s="195">
        <f>('Balance Sheet'!I10+'Balance Sheet'!I11-'Balance Sheet'!I25)-('Balance Sheet'!H10+'Balance Sheet'!H11-'Balance Sheet'!H25)</f>
        <v>113</v>
      </c>
      <c r="J12" s="195">
        <f>('Balance Sheet'!J10+'Balance Sheet'!J11-'Balance Sheet'!J25)-('Balance Sheet'!I10+'Balance Sheet'!I11-'Balance Sheet'!I25)</f>
        <v>324</v>
      </c>
      <c r="K12" s="195">
        <f>('Balance Sheet'!K10+'Balance Sheet'!K11-'Balance Sheet'!K25)-('Balance Sheet'!J10+'Balance Sheet'!J11-'Balance Sheet'!J25)</f>
        <v>796</v>
      </c>
      <c r="M12" s="195">
        <f>'Growth Scenarios'!M29</f>
        <v>392.86189980793097</v>
      </c>
      <c r="N12" s="195">
        <f>'Growth Scenarios'!N29</f>
        <v>417.13308589390363</v>
      </c>
      <c r="O12" s="195">
        <f>'Growth Scenarios'!O29</f>
        <v>442.90375684798801</v>
      </c>
      <c r="P12" s="195">
        <f>'Growth Scenarios'!P29</f>
        <v>470.26655152441072</v>
      </c>
      <c r="Q12" s="195">
        <f>'Growth Scenarios'!Q29</f>
        <v>499.31983204776407</v>
      </c>
      <c r="S12" s="195">
        <f>'Growth Scenarios'!M59</f>
        <v>583.6318998079314</v>
      </c>
      <c r="T12" s="195">
        <f>'Growth Scenarios'!N59</f>
        <v>637.19789988237972</v>
      </c>
      <c r="U12" s="195">
        <f>'Growth Scenarios'!O59</f>
        <v>695.6802117021598</v>
      </c>
      <c r="V12" s="195">
        <f>'Growth Scenarios'!P59</f>
        <v>759.53005658571237</v>
      </c>
      <c r="W12" s="195">
        <f>'Growth Scenarios'!Q59</f>
        <v>829.24006914843449</v>
      </c>
      <c r="Y12" s="195">
        <f>'Growth Scenarios'!M89</f>
        <v>202.09189980793144</v>
      </c>
      <c r="Z12" s="195">
        <f>'Growth Scenarios'!N89</f>
        <v>208.51447190542785</v>
      </c>
      <c r="AA12" s="195">
        <f>'Growth Scenarios'!O89</f>
        <v>215.14115625278009</v>
      </c>
      <c r="AB12" s="195">
        <f>'Growth Scenarios'!P89</f>
        <v>221.97843962972638</v>
      </c>
      <c r="AC12" s="195">
        <f>'Growth Scenarios'!Q89</f>
        <v>229.03301496879976</v>
      </c>
    </row>
    <row r="13" spans="1:30">
      <c r="A13" s="254" t="s">
        <v>148</v>
      </c>
      <c r="B13" s="255"/>
      <c r="C13" s="255">
        <f>C12-'Balance Sheet'!C24</f>
        <v>-80.000000000000796</v>
      </c>
      <c r="D13" s="255">
        <f>D12-'Balance Sheet'!D24</f>
        <v>-911.49999999999966</v>
      </c>
      <c r="E13" s="255">
        <f>E12-'Balance Sheet'!E24</f>
        <v>760.89999999999964</v>
      </c>
      <c r="F13" s="255">
        <f>F12-'Balance Sheet'!F24</f>
        <v>550</v>
      </c>
      <c r="G13" s="255">
        <f>G12-'Balance Sheet'!G24</f>
        <v>-208</v>
      </c>
      <c r="H13" s="255">
        <f>H12-'Balance Sheet'!H24</f>
        <v>329</v>
      </c>
      <c r="I13" s="255">
        <f>I12-'Balance Sheet'!I24</f>
        <v>39</v>
      </c>
      <c r="J13" s="255">
        <f>J12-'Balance Sheet'!J24</f>
        <v>323</v>
      </c>
      <c r="K13" s="255">
        <f>K12-'Balance Sheet'!K24</f>
        <v>471</v>
      </c>
      <c r="M13" s="255">
        <f>M12-'Growth Scenarios'!M36</f>
        <v>242.70078869681987</v>
      </c>
      <c r="N13" s="255">
        <f>N12-'Growth Scenarios'!N36</f>
        <v>266.97197478279253</v>
      </c>
      <c r="O13" s="255">
        <f>O12-'Growth Scenarios'!O36</f>
        <v>292.74264573687691</v>
      </c>
      <c r="P13" s="255">
        <f>P12-'Growth Scenarios'!P36</f>
        <v>320.10544041329962</v>
      </c>
      <c r="Q13" s="255">
        <f>Q12-'Growth Scenarios'!Q36</f>
        <v>349.15872093665297</v>
      </c>
      <c r="S13" s="255">
        <f>S12-'Growth Scenarios'!M66</f>
        <v>433.47078869682031</v>
      </c>
      <c r="T13" s="255">
        <f>T12-'Growth Scenarios'!N66</f>
        <v>487.03678877126862</v>
      </c>
      <c r="U13" s="255">
        <f>U12-'Growth Scenarios'!O66</f>
        <v>545.51910059104875</v>
      </c>
      <c r="V13" s="255">
        <f>V12-'Growth Scenarios'!P66</f>
        <v>609.36894547460133</v>
      </c>
      <c r="W13" s="255">
        <f>W12-'Growth Scenarios'!Q66</f>
        <v>679.07895803732345</v>
      </c>
      <c r="Y13" s="255">
        <f>Y12-'Growth Scenarios'!M96</f>
        <v>51.930788696820343</v>
      </c>
      <c r="Z13" s="255">
        <f>Z12-'Growth Scenarios'!N96</f>
        <v>58.353360794316757</v>
      </c>
      <c r="AA13" s="255">
        <f>AA12-'Growth Scenarios'!O96</f>
        <v>64.980045141668995</v>
      </c>
      <c r="AB13" s="255">
        <f>AB12-'Growth Scenarios'!P96</f>
        <v>71.817328518615284</v>
      </c>
      <c r="AC13" s="255">
        <f>AC12-'Growth Scenarios'!Q96</f>
        <v>78.871903857688665</v>
      </c>
    </row>
    <row r="14" spans="1:30" ht="6.5" customHeight="1" thickBot="1">
      <c r="A14" s="193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18"/>
      <c r="O14" s="18"/>
      <c r="P14" s="18"/>
      <c r="Q14" s="18"/>
      <c r="S14" s="18"/>
      <c r="T14" s="18"/>
      <c r="U14" s="18"/>
      <c r="V14" s="18"/>
      <c r="W14" s="18"/>
      <c r="Y14" s="18"/>
      <c r="Z14" s="18"/>
      <c r="AA14" s="18"/>
      <c r="AB14" s="18"/>
      <c r="AC14" s="18"/>
    </row>
    <row r="15" spans="1:30" s="10" customFormat="1">
      <c r="A15" s="256" t="s">
        <v>147</v>
      </c>
      <c r="B15" s="257"/>
      <c r="C15" s="257">
        <f t="shared" ref="C15:K15" si="0">(1-C8)*C9+C8*C10-C11-C13</f>
        <v>1950.6961323754517</v>
      </c>
      <c r="D15" s="257">
        <f t="shared" si="0"/>
        <v>3094.6292966504316</v>
      </c>
      <c r="E15" s="257">
        <f t="shared" si="0"/>
        <v>1759.5470958124984</v>
      </c>
      <c r="F15" s="257">
        <f t="shared" si="0"/>
        <v>2307.363841906767</v>
      </c>
      <c r="G15" s="257">
        <f t="shared" si="0"/>
        <v>3231.4090859005037</v>
      </c>
      <c r="H15" s="257">
        <f t="shared" si="0"/>
        <v>3302.1970780958209</v>
      </c>
      <c r="I15" s="257">
        <f t="shared" si="0"/>
        <v>4051.0859981483095</v>
      </c>
      <c r="J15" s="257">
        <f t="shared" si="0"/>
        <v>4195.0725145174283</v>
      </c>
      <c r="K15" s="257">
        <f t="shared" si="0"/>
        <v>4204.9804405435807</v>
      </c>
      <c r="L15" s="198"/>
      <c r="M15" s="257">
        <f>(1-M8)*M9+M8*M10-M11-M13</f>
        <v>4867.6183443062973</v>
      </c>
      <c r="N15" s="257">
        <f>(1-N8)*N9+N8*N10-N11-N13</f>
        <v>5251.431761179304</v>
      </c>
      <c r="O15" s="257">
        <f>(1-O8)*O9+O8*O10-O11-O13</f>
        <v>5666.3934523269709</v>
      </c>
      <c r="P15" s="257">
        <f>(1-P8)*P9+P8*P10-P11-P13</f>
        <v>6115.0278675010768</v>
      </c>
      <c r="Q15" s="257">
        <f>(1-Q8)*Q9+Q8*Q10-Q11-Q13</f>
        <v>6600.0639692434588</v>
      </c>
      <c r="R15" s="198"/>
      <c r="S15" s="257">
        <f>(1-S8)*S9+S8*S10-S11-S13</f>
        <v>4929.5005052468414</v>
      </c>
      <c r="T15" s="257">
        <f>(1-T8)*T9+T8*T10-T11-T13</f>
        <v>5439.2514076993948</v>
      </c>
      <c r="U15" s="257">
        <f>(1-U8)*U9+U8*U10-U11-U13</f>
        <v>6003.4394697796888</v>
      </c>
      <c r="V15" s="257">
        <f>(1-V8)*V9+V8*V10-V11-V13</f>
        <v>6627.8883036925945</v>
      </c>
      <c r="W15" s="257">
        <f>(1-W8)*W9+W8*W10-W11-W13</f>
        <v>7319.0458982315085</v>
      </c>
      <c r="X15" s="198"/>
      <c r="Y15" s="257">
        <f>(1-Y8)*Y9+Y8*Y10-Y11-Y13</f>
        <v>4805.7361833657524</v>
      </c>
      <c r="Z15" s="257">
        <f>(1-Z8)*Z9+Z8*Z10-Z11-Z13</f>
        <v>5015.3565397159728</v>
      </c>
      <c r="AA15" s="257">
        <f>(1-AA8)*AA9+AA8*AA10-AA11-AA13</f>
        <v>5234.5182246607583</v>
      </c>
      <c r="AB15" s="257">
        <f>(1-AB8)*AB9+AB8*AB10-AB11-AB13</f>
        <v>5463.6619097095836</v>
      </c>
      <c r="AC15" s="257">
        <f>(1-AC8)*AC9+AC8*AC10-AC11-AC13</f>
        <v>5703.2489880755647</v>
      </c>
    </row>
    <row r="16" spans="1:30">
      <c r="A16" s="1" t="s">
        <v>135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M16" s="1"/>
      <c r="N16" s="1"/>
      <c r="O16" s="1"/>
      <c r="P16" s="1"/>
      <c r="Q16" s="1"/>
      <c r="S16" s="1"/>
      <c r="T16" s="1"/>
      <c r="U16" s="1"/>
      <c r="V16" s="1"/>
      <c r="W16" s="1"/>
      <c r="Y16" s="1"/>
      <c r="Z16" s="1"/>
      <c r="AA16" s="1"/>
      <c r="AB16" s="1"/>
      <c r="AC16" s="1"/>
    </row>
    <row r="20" spans="1:8">
      <c r="A20" s="451"/>
      <c r="B20" s="451"/>
      <c r="C20" s="451"/>
      <c r="D20" s="451"/>
      <c r="E20" s="451"/>
      <c r="F20" s="451"/>
      <c r="G20" s="451"/>
      <c r="H20" s="451"/>
    </row>
    <row r="21" spans="1:8">
      <c r="A21" s="441"/>
      <c r="B21" s="441"/>
      <c r="C21" s="441"/>
      <c r="D21" s="441" t="str">
        <f>M6</f>
        <v>FY 2018E</v>
      </c>
      <c r="E21" s="441" t="str">
        <f>N6</f>
        <v>FY 2019E</v>
      </c>
      <c r="F21" s="441" t="str">
        <f>O6</f>
        <v>FY 2020E</v>
      </c>
      <c r="G21" s="441" t="str">
        <f>P6</f>
        <v>FY 2021E</v>
      </c>
      <c r="H21" s="441" t="str">
        <f>Q6</f>
        <v>FY 2022E</v>
      </c>
    </row>
    <row r="22" spans="1:8">
      <c r="A22" s="441" t="str">
        <f>$A$15</f>
        <v>Free Cash Flow (short-term debt adjusted)</v>
      </c>
      <c r="B22" s="441"/>
      <c r="C22" s="441" t="str">
        <f>'Table of Contents'!J1</f>
        <v>Scenario 1: Base Case</v>
      </c>
      <c r="D22" s="441">
        <f>M15</f>
        <v>4867.6183443062973</v>
      </c>
      <c r="E22" s="441">
        <f>N15</f>
        <v>5251.431761179304</v>
      </c>
      <c r="F22" s="441">
        <f>O15</f>
        <v>5666.3934523269709</v>
      </c>
      <c r="G22" s="441">
        <f>P15</f>
        <v>6115.0278675010768</v>
      </c>
      <c r="H22" s="441">
        <f>Q15</f>
        <v>6600.0639692434588</v>
      </c>
    </row>
    <row r="23" spans="1:8">
      <c r="A23" s="441" t="str">
        <f>$A$15</f>
        <v>Free Cash Flow (short-term debt adjusted)</v>
      </c>
      <c r="B23" s="441"/>
      <c r="C23" s="441" t="str">
        <f>'Table of Contents'!J2</f>
        <v>Scenario 2: Bull Case</v>
      </c>
      <c r="D23" s="441">
        <f>S15</f>
        <v>4929.5005052468414</v>
      </c>
      <c r="E23" s="441">
        <f>T15</f>
        <v>5439.2514076993948</v>
      </c>
      <c r="F23" s="441">
        <f>U15</f>
        <v>6003.4394697796888</v>
      </c>
      <c r="G23" s="441">
        <f>V15</f>
        <v>6627.8883036925945</v>
      </c>
      <c r="H23" s="441">
        <f>W15</f>
        <v>7319.0458982315085</v>
      </c>
    </row>
    <row r="24" spans="1:8">
      <c r="A24" s="441" t="str">
        <f>$A$15</f>
        <v>Free Cash Flow (short-term debt adjusted)</v>
      </c>
      <c r="B24" s="441"/>
      <c r="C24" s="441" t="str">
        <f>'Table of Contents'!J3</f>
        <v>Scenario 3: Bear Case</v>
      </c>
      <c r="D24" s="441">
        <f>Y15</f>
        <v>4805.7361833657524</v>
      </c>
      <c r="E24" s="441">
        <f>Z15</f>
        <v>5015.3565397159728</v>
      </c>
      <c r="F24" s="441">
        <f>AA15</f>
        <v>5234.5182246607583</v>
      </c>
      <c r="G24" s="441">
        <f>AB15</f>
        <v>5463.6619097095836</v>
      </c>
      <c r="H24" s="441">
        <f>AC15</f>
        <v>5703.2489880755647</v>
      </c>
    </row>
    <row r="25" spans="1:8">
      <c r="A25" s="451"/>
      <c r="B25" s="451"/>
      <c r="C25" s="451"/>
      <c r="D25" s="451"/>
      <c r="E25" s="451"/>
      <c r="F25" s="451"/>
      <c r="G25" s="451"/>
      <c r="H25" s="451"/>
    </row>
  </sheetData>
  <mergeCells count="3">
    <mergeCell ref="Y4:AC4"/>
    <mergeCell ref="M4:Q4"/>
    <mergeCell ref="S4:W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X1781"/>
  <sheetViews>
    <sheetView showGridLines="0" zoomScaleNormal="100" workbookViewId="0">
      <pane ySplit="6" topLeftCell="A7" activePane="bottomLeft" state="frozen"/>
      <selection activeCell="F28" activeCellId="1" sqref="H23 F28"/>
      <selection pane="bottomLeft" activeCell="G3" sqref="G3"/>
    </sheetView>
  </sheetViews>
  <sheetFormatPr baseColWidth="10" defaultColWidth="8.83203125" defaultRowHeight="15"/>
  <cols>
    <col min="1" max="1" width="22.1640625" customWidth="1"/>
    <col min="2" max="2" width="7.1640625" customWidth="1"/>
    <col min="4" max="4" width="10.83203125" bestFit="1" customWidth="1"/>
    <col min="5" max="5" width="10.83203125" customWidth="1"/>
    <col min="6" max="6" width="2.1640625" customWidth="1"/>
    <col min="7" max="7" width="10.1640625" bestFit="1" customWidth="1"/>
    <col min="8" max="8" width="8.83203125" hidden="1" customWidth="1"/>
    <col min="10" max="10" width="10.83203125" hidden="1" customWidth="1"/>
    <col min="11" max="11" width="10.83203125" customWidth="1"/>
    <col min="12" max="12" width="2.1640625" customWidth="1"/>
    <col min="13" max="13" width="17.5" bestFit="1" customWidth="1"/>
    <col min="14" max="14" width="12.6640625" bestFit="1" customWidth="1"/>
    <col min="15" max="15" width="2.1640625" customWidth="1"/>
    <col min="16" max="17" width="14.6640625" bestFit="1" customWidth="1"/>
    <col min="18" max="22" width="12.6640625" bestFit="1" customWidth="1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9"/>
      <c r="Q1" s="199"/>
      <c r="R1" s="199"/>
      <c r="S1" s="199"/>
      <c r="T1" s="199"/>
    </row>
    <row r="2" spans="1:24" ht="21.5" customHeight="1">
      <c r="A2" s="6" t="s">
        <v>206</v>
      </c>
      <c r="B2" s="7"/>
      <c r="C2" s="7"/>
      <c r="D2" s="7"/>
      <c r="E2" s="7"/>
      <c r="F2" s="7"/>
      <c r="G2" s="6"/>
      <c r="H2" s="7"/>
      <c r="I2" s="7"/>
      <c r="J2" s="7"/>
      <c r="K2" s="7"/>
      <c r="L2" s="7"/>
      <c r="M2" s="7"/>
      <c r="N2" s="7"/>
      <c r="O2" s="7"/>
      <c r="P2" s="7"/>
      <c r="Q2" s="310"/>
      <c r="R2" s="311"/>
      <c r="S2" s="199"/>
      <c r="T2" s="199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19"/>
      <c r="O3" s="8"/>
      <c r="P3" s="8"/>
      <c r="Q3" s="312"/>
      <c r="R3" s="8"/>
      <c r="S3" s="8"/>
      <c r="T3" s="199"/>
    </row>
    <row r="4" spans="1:24" ht="16" thickBot="1">
      <c r="A4" s="123" t="s">
        <v>378</v>
      </c>
      <c r="B4" s="313"/>
      <c r="C4" s="313"/>
      <c r="D4" s="313"/>
      <c r="E4" s="313"/>
      <c r="F4" s="8"/>
      <c r="G4" s="123" t="s">
        <v>379</v>
      </c>
      <c r="H4" s="313"/>
      <c r="I4" s="313"/>
      <c r="J4" s="313"/>
      <c r="K4" s="313"/>
      <c r="L4" s="8"/>
      <c r="M4" s="8"/>
      <c r="N4" s="119"/>
      <c r="O4" s="8"/>
      <c r="P4" s="8"/>
      <c r="Q4" s="312"/>
      <c r="R4" s="8"/>
      <c r="S4" s="8"/>
      <c r="T4" s="199"/>
    </row>
    <row r="5" spans="1:24" s="192" customFormat="1" ht="6.5" customHeight="1">
      <c r="A5" s="193"/>
      <c r="B5" s="18"/>
      <c r="C5" s="18"/>
      <c r="D5" s="18"/>
      <c r="E5" s="18"/>
      <c r="F5" s="18"/>
      <c r="G5" s="203"/>
      <c r="H5" s="193"/>
      <c r="I5" s="18"/>
      <c r="J5" s="18"/>
      <c r="K5" s="18"/>
      <c r="L5" s="18"/>
      <c r="M5" s="18"/>
      <c r="R5" s="197"/>
      <c r="X5" s="197"/>
    </row>
    <row r="6" spans="1:24" ht="14.5" customHeight="1">
      <c r="A6" s="120" t="s">
        <v>5</v>
      </c>
      <c r="B6" s="120" t="s">
        <v>207</v>
      </c>
      <c r="C6" s="121" t="s">
        <v>208</v>
      </c>
      <c r="D6" s="122" t="s">
        <v>209</v>
      </c>
      <c r="E6" s="121" t="s">
        <v>210</v>
      </c>
      <c r="G6" s="120" t="s">
        <v>5</v>
      </c>
      <c r="H6" s="120" t="s">
        <v>207</v>
      </c>
      <c r="I6" s="121" t="s">
        <v>208</v>
      </c>
      <c r="J6" s="122" t="s">
        <v>209</v>
      </c>
      <c r="K6" s="121" t="s">
        <v>210</v>
      </c>
      <c r="M6" s="8"/>
      <c r="N6" s="119"/>
      <c r="O6" s="8"/>
      <c r="P6" s="8"/>
      <c r="Q6" s="8"/>
      <c r="R6" s="8"/>
      <c r="S6" s="8"/>
    </row>
    <row r="7" spans="1:24" ht="16" thickBot="1">
      <c r="A7" s="2">
        <v>36830</v>
      </c>
      <c r="B7">
        <v>1429.4</v>
      </c>
      <c r="C7" s="127"/>
      <c r="D7">
        <v>4.9922000000000004</v>
      </c>
      <c r="E7" s="128"/>
      <c r="G7" s="3">
        <v>42648</v>
      </c>
      <c r="H7">
        <v>2159.73</v>
      </c>
      <c r="I7" s="127"/>
      <c r="J7">
        <v>54.730499999999999</v>
      </c>
      <c r="K7" s="127"/>
      <c r="M7" s="123" t="s">
        <v>380</v>
      </c>
      <c r="N7" s="124"/>
      <c r="O7" s="125"/>
      <c r="P7" s="125"/>
      <c r="Q7" s="125"/>
      <c r="R7" s="125"/>
      <c r="S7" s="125"/>
      <c r="T7" s="126"/>
      <c r="U7" s="126"/>
      <c r="V7" s="126"/>
    </row>
    <row r="8" spans="1:24">
      <c r="A8" s="2">
        <v>36860</v>
      </c>
      <c r="B8">
        <v>1314.95</v>
      </c>
      <c r="C8" s="127">
        <f>(B8-B7)/B7</f>
        <v>-8.0068560235063688E-2</v>
      </c>
      <c r="D8">
        <v>5.3281000000000001</v>
      </c>
      <c r="E8" s="127">
        <f>(D8-D7)/D7</f>
        <v>6.7284964544689643E-2</v>
      </c>
      <c r="G8" s="3">
        <v>42649</v>
      </c>
      <c r="H8">
        <v>2160.77</v>
      </c>
      <c r="I8" s="127">
        <f>(H8-H7)/H7</f>
        <v>4.8154167419073849E-4</v>
      </c>
      <c r="J8">
        <v>54.636000000000003</v>
      </c>
      <c r="K8" s="127">
        <f>(J8-J7)/J7</f>
        <v>-1.7266423657740469E-3</v>
      </c>
    </row>
    <row r="9" spans="1:24" ht="17">
      <c r="A9" s="2">
        <v>36889</v>
      </c>
      <c r="B9">
        <v>1320.28</v>
      </c>
      <c r="C9" s="127">
        <f t="shared" ref="C9:C72" si="0">(B9-B8)/B8</f>
        <v>4.0533860603064204E-3</v>
      </c>
      <c r="D9">
        <v>6.9916</v>
      </c>
      <c r="E9" s="127">
        <f t="shared" ref="E9:E72" si="1">(D9-D8)/D8</f>
        <v>0.31221260862221056</v>
      </c>
      <c r="G9" s="3">
        <v>42650</v>
      </c>
      <c r="H9">
        <v>2153.7399999999998</v>
      </c>
      <c r="I9" s="127">
        <f t="shared" ref="I9:I72" si="2">(H9-H8)/H8</f>
        <v>-3.2534698278855224E-3</v>
      </c>
      <c r="J9">
        <v>54.384</v>
      </c>
      <c r="K9" s="127">
        <f t="shared" ref="K9:K72" si="3">(J9-J8)/J8</f>
        <v>-4.61234350977382E-3</v>
      </c>
      <c r="M9" s="129" t="s">
        <v>377</v>
      </c>
      <c r="N9" s="190">
        <f>N27</f>
        <v>0.85865302840401603</v>
      </c>
      <c r="O9" s="130"/>
      <c r="P9" s="101" t="s">
        <v>212</v>
      </c>
      <c r="Q9" s="190">
        <f>_xlfn.COVARIANCE.S(K8:K258,I8:I258)/_xlfn.VAR.S(I8:I258)</f>
        <v>0.85865302840401736</v>
      </c>
      <c r="R9" s="131"/>
    </row>
    <row r="10" spans="1:24">
      <c r="A10" s="2">
        <v>36922</v>
      </c>
      <c r="B10">
        <v>1366.01</v>
      </c>
      <c r="C10" s="127">
        <f t="shared" si="0"/>
        <v>3.4636592238010133E-2</v>
      </c>
      <c r="D10">
        <v>6.8922999999999996</v>
      </c>
      <c r="E10" s="127">
        <f t="shared" si="1"/>
        <v>-1.4202757594828135E-2</v>
      </c>
      <c r="G10" s="3">
        <v>42653</v>
      </c>
      <c r="H10">
        <v>2163.66</v>
      </c>
      <c r="I10" s="127">
        <f t="shared" si="2"/>
        <v>4.6059412928208948E-3</v>
      </c>
      <c r="J10">
        <v>54.384</v>
      </c>
      <c r="K10" s="127">
        <f t="shared" si="3"/>
        <v>0</v>
      </c>
    </row>
    <row r="11" spans="1:24" ht="16" thickBot="1">
      <c r="A11" s="2">
        <v>36950</v>
      </c>
      <c r="B11">
        <v>1239.94</v>
      </c>
      <c r="C11" s="127">
        <f t="shared" si="0"/>
        <v>-9.2290686012547446E-2</v>
      </c>
      <c r="D11">
        <v>4.8917000000000002</v>
      </c>
      <c r="E11" s="127">
        <f t="shared" si="1"/>
        <v>-0.29026594895753227</v>
      </c>
      <c r="G11" s="3">
        <v>42654</v>
      </c>
      <c r="H11">
        <v>2136.73</v>
      </c>
      <c r="I11" s="127">
        <f t="shared" si="2"/>
        <v>-1.2446502685264708E-2</v>
      </c>
      <c r="J11">
        <v>54.415500000000002</v>
      </c>
      <c r="K11" s="127">
        <f t="shared" si="3"/>
        <v>5.7921447484556477E-4</v>
      </c>
      <c r="M11" t="s">
        <v>213</v>
      </c>
    </row>
    <row r="12" spans="1:24">
      <c r="A12" s="2">
        <v>36980</v>
      </c>
      <c r="B12">
        <v>1160.33</v>
      </c>
      <c r="C12" s="127">
        <f t="shared" si="0"/>
        <v>-6.4204719583205741E-2</v>
      </c>
      <c r="D12">
        <v>5.0946999999999996</v>
      </c>
      <c r="E12" s="127">
        <f t="shared" si="1"/>
        <v>4.1498865425107716E-2</v>
      </c>
      <c r="G12" s="3">
        <v>42655</v>
      </c>
      <c r="H12">
        <v>2139.1799999999998</v>
      </c>
      <c r="I12" s="127">
        <f t="shared" si="2"/>
        <v>1.1466118788989804E-3</v>
      </c>
      <c r="J12">
        <v>55.066499999999998</v>
      </c>
      <c r="K12" s="127">
        <f t="shared" si="3"/>
        <v>1.1963503046007042E-2</v>
      </c>
      <c r="M12" s="189" t="s">
        <v>214</v>
      </c>
      <c r="N12" s="189"/>
    </row>
    <row r="13" spans="1:24">
      <c r="A13" s="2">
        <v>37011</v>
      </c>
      <c r="B13">
        <v>1249.46</v>
      </c>
      <c r="C13" s="127">
        <f t="shared" si="0"/>
        <v>7.6814354537071444E-2</v>
      </c>
      <c r="D13">
        <v>5.2530000000000001</v>
      </c>
      <c r="E13" s="127">
        <f t="shared" si="1"/>
        <v>3.1071505682375912E-2</v>
      </c>
      <c r="G13" s="3">
        <v>42656</v>
      </c>
      <c r="H13">
        <v>2132.5500000000002</v>
      </c>
      <c r="I13" s="127">
        <f t="shared" si="2"/>
        <v>-3.0993184304264508E-3</v>
      </c>
      <c r="J13">
        <v>54.636000000000003</v>
      </c>
      <c r="K13" s="127">
        <f t="shared" si="3"/>
        <v>-7.8178202718530328E-3</v>
      </c>
      <c r="M13" s="132" t="s">
        <v>215</v>
      </c>
      <c r="N13" s="132">
        <v>0.29192601558031522</v>
      </c>
    </row>
    <row r="14" spans="1:24">
      <c r="A14" s="2">
        <v>37042</v>
      </c>
      <c r="B14">
        <v>1255.82</v>
      </c>
      <c r="C14" s="127">
        <f t="shared" si="0"/>
        <v>5.0901989659532113E-3</v>
      </c>
      <c r="D14">
        <v>5.1638000000000002</v>
      </c>
      <c r="E14" s="127">
        <f t="shared" si="1"/>
        <v>-1.6980772891680932E-2</v>
      </c>
      <c r="G14" s="3">
        <v>42657</v>
      </c>
      <c r="H14">
        <v>2132.98</v>
      </c>
      <c r="I14" s="127">
        <f t="shared" si="2"/>
        <v>2.01636538416373E-4</v>
      </c>
      <c r="J14">
        <v>54.205399999999997</v>
      </c>
      <c r="K14" s="127">
        <f t="shared" si="3"/>
        <v>-7.8812504575738601E-3</v>
      </c>
      <c r="M14" s="132" t="s">
        <v>216</v>
      </c>
      <c r="N14" s="132">
        <v>8.5220798572598455E-2</v>
      </c>
    </row>
    <row r="15" spans="1:24">
      <c r="A15" s="2">
        <v>37071</v>
      </c>
      <c r="B15">
        <v>1224.42</v>
      </c>
      <c r="C15" s="127">
        <f t="shared" si="0"/>
        <v>-2.5003583316080224E-2</v>
      </c>
      <c r="D15">
        <v>5.2907000000000002</v>
      </c>
      <c r="E15" s="127">
        <f t="shared" si="1"/>
        <v>2.4574925442503583E-2</v>
      </c>
      <c r="G15" s="3">
        <v>42660</v>
      </c>
      <c r="H15">
        <v>2126.5</v>
      </c>
      <c r="I15" s="127">
        <f t="shared" si="2"/>
        <v>-3.0380031692749197E-3</v>
      </c>
      <c r="J15">
        <v>53.585900000000002</v>
      </c>
      <c r="K15" s="127">
        <f t="shared" si="3"/>
        <v>-1.1428750641079949E-2</v>
      </c>
      <c r="M15" s="132" t="s">
        <v>217</v>
      </c>
      <c r="N15" s="132">
        <v>8.1546986518673148E-2</v>
      </c>
    </row>
    <row r="16" spans="1:24">
      <c r="A16" s="2">
        <v>37103</v>
      </c>
      <c r="B16">
        <v>1211.23</v>
      </c>
      <c r="C16" s="127">
        <f t="shared" si="0"/>
        <v>-1.0772447362833058E-2</v>
      </c>
      <c r="D16">
        <v>5.9912000000000001</v>
      </c>
      <c r="E16" s="127">
        <f t="shared" si="1"/>
        <v>0.13240213960345509</v>
      </c>
      <c r="G16" s="3">
        <v>42661</v>
      </c>
      <c r="H16">
        <v>2139.6</v>
      </c>
      <c r="I16" s="127">
        <f t="shared" si="2"/>
        <v>6.1603573947801122E-3</v>
      </c>
      <c r="J16">
        <v>53.785400000000003</v>
      </c>
      <c r="K16" s="127">
        <f t="shared" si="3"/>
        <v>3.7229942951410807E-3</v>
      </c>
      <c r="M16" s="132" t="s">
        <v>218</v>
      </c>
      <c r="N16" s="132">
        <v>1.3149598810894858E-2</v>
      </c>
    </row>
    <row r="17" spans="1:22" ht="16" thickBot="1">
      <c r="A17" s="2">
        <v>37134</v>
      </c>
      <c r="B17">
        <v>1133.58</v>
      </c>
      <c r="C17" s="127">
        <f t="shared" si="0"/>
        <v>-6.410838569057907E-2</v>
      </c>
      <c r="D17">
        <v>6.2999000000000001</v>
      </c>
      <c r="E17" s="127">
        <f t="shared" si="1"/>
        <v>5.1525570837227933E-2</v>
      </c>
      <c r="G17" s="3">
        <v>42662</v>
      </c>
      <c r="H17">
        <v>2144.29</v>
      </c>
      <c r="I17" s="127">
        <f t="shared" si="2"/>
        <v>2.1919985043933701E-3</v>
      </c>
      <c r="J17">
        <v>54.394500000000001</v>
      </c>
      <c r="K17" s="127">
        <f t="shared" si="3"/>
        <v>1.132463456625772E-2</v>
      </c>
      <c r="M17" s="133" t="s">
        <v>219</v>
      </c>
      <c r="N17" s="133">
        <v>251</v>
      </c>
    </row>
    <row r="18" spans="1:22">
      <c r="A18" s="2">
        <v>37162</v>
      </c>
      <c r="B18">
        <v>1040.94</v>
      </c>
      <c r="C18" s="127">
        <f t="shared" si="0"/>
        <v>-8.1723389615201286E-2</v>
      </c>
      <c r="D18">
        <v>5.9131</v>
      </c>
      <c r="E18" s="127">
        <f t="shared" si="1"/>
        <v>-6.1397799965078818E-2</v>
      </c>
      <c r="G18" s="3">
        <v>42663</v>
      </c>
      <c r="H18">
        <v>2141.34</v>
      </c>
      <c r="I18" s="127">
        <f t="shared" si="2"/>
        <v>-1.3757467506726321E-3</v>
      </c>
      <c r="J18">
        <v>54.488999999999997</v>
      </c>
      <c r="K18" s="127">
        <f t="shared" si="3"/>
        <v>1.7373079998896299E-3</v>
      </c>
    </row>
    <row r="19" spans="1:22" ht="16" thickBot="1">
      <c r="A19" s="2">
        <v>37195</v>
      </c>
      <c r="B19">
        <v>1059.78</v>
      </c>
      <c r="C19" s="127">
        <f t="shared" si="0"/>
        <v>1.8099025880454124E-2</v>
      </c>
      <c r="D19">
        <v>6.2351999999999999</v>
      </c>
      <c r="E19" s="127">
        <f t="shared" si="1"/>
        <v>5.4472273426798098E-2</v>
      </c>
      <c r="G19" s="3">
        <v>42664</v>
      </c>
      <c r="H19">
        <v>2141.16</v>
      </c>
      <c r="I19" s="127">
        <f t="shared" si="2"/>
        <v>-8.4059514136144197E-5</v>
      </c>
      <c r="J19">
        <v>54.362900000000003</v>
      </c>
      <c r="K19" s="127">
        <f t="shared" si="3"/>
        <v>-2.3142285598927101E-3</v>
      </c>
      <c r="M19" t="s">
        <v>220</v>
      </c>
    </row>
    <row r="20" spans="1:22">
      <c r="A20" s="2">
        <v>37225</v>
      </c>
      <c r="B20">
        <v>1139.45</v>
      </c>
      <c r="C20" s="127">
        <f t="shared" si="0"/>
        <v>7.5175979920360902E-2</v>
      </c>
      <c r="D20">
        <v>6.6937999999999995</v>
      </c>
      <c r="E20" s="127">
        <f t="shared" si="1"/>
        <v>7.3550166794970437E-2</v>
      </c>
      <c r="G20" s="3">
        <v>42667</v>
      </c>
      <c r="H20">
        <v>2151.33</v>
      </c>
      <c r="I20" s="127">
        <f t="shared" si="2"/>
        <v>4.7497618113546275E-3</v>
      </c>
      <c r="J20">
        <v>54.468000000000004</v>
      </c>
      <c r="K20" s="127">
        <f t="shared" si="3"/>
        <v>1.9333037788638978E-3</v>
      </c>
      <c r="M20" s="188"/>
      <c r="N20" s="188" t="s">
        <v>221</v>
      </c>
      <c r="O20" s="188"/>
      <c r="P20" s="188" t="s">
        <v>222</v>
      </c>
      <c r="Q20" s="188" t="s">
        <v>223</v>
      </c>
      <c r="R20" s="188" t="s">
        <v>224</v>
      </c>
      <c r="S20" s="188" t="s">
        <v>225</v>
      </c>
    </row>
    <row r="21" spans="1:22">
      <c r="A21" s="2">
        <v>37256</v>
      </c>
      <c r="B21">
        <v>1148.08</v>
      </c>
      <c r="C21" s="127">
        <f t="shared" si="0"/>
        <v>7.573829479134566E-3</v>
      </c>
      <c r="D21">
        <v>7.1195000000000004</v>
      </c>
      <c r="E21" s="127">
        <f t="shared" si="1"/>
        <v>6.3596163614090789E-2</v>
      </c>
      <c r="G21" s="3">
        <v>42668</v>
      </c>
      <c r="H21">
        <v>2143.16</v>
      </c>
      <c r="I21" s="127">
        <f t="shared" si="2"/>
        <v>-3.797650755579141E-3</v>
      </c>
      <c r="J21">
        <v>53.606900000000003</v>
      </c>
      <c r="K21" s="127">
        <f t="shared" si="3"/>
        <v>-1.5809282514503937E-2</v>
      </c>
      <c r="M21" s="132" t="s">
        <v>226</v>
      </c>
      <c r="N21" s="132">
        <v>1</v>
      </c>
      <c r="O21" s="132"/>
      <c r="P21" s="132">
        <v>4.011009314205817E-3</v>
      </c>
      <c r="Q21" s="132">
        <v>4.011009314205817E-3</v>
      </c>
      <c r="R21" s="132">
        <v>23.196831335327502</v>
      </c>
      <c r="S21" s="132">
        <v>2.5414649274748764E-6</v>
      </c>
    </row>
    <row r="22" spans="1:22">
      <c r="A22" s="2">
        <v>37287</v>
      </c>
      <c r="B22">
        <v>1130.2</v>
      </c>
      <c r="C22" s="127">
        <f t="shared" si="0"/>
        <v>-1.5573827607832104E-2</v>
      </c>
      <c r="D22">
        <v>7.5841000000000003</v>
      </c>
      <c r="E22" s="127">
        <f t="shared" si="1"/>
        <v>6.5257391670763373E-2</v>
      </c>
      <c r="G22" s="3">
        <v>42669</v>
      </c>
      <c r="H22">
        <v>2139.4299999999998</v>
      </c>
      <c r="I22" s="127">
        <f t="shared" si="2"/>
        <v>-1.7404206872095496E-3</v>
      </c>
      <c r="J22">
        <v>54.573</v>
      </c>
      <c r="K22" s="127">
        <f t="shared" si="3"/>
        <v>1.8021933743603849E-2</v>
      </c>
      <c r="M22" s="132" t="s">
        <v>227</v>
      </c>
      <c r="N22" s="132">
        <v>249</v>
      </c>
      <c r="O22" s="132"/>
      <c r="P22" s="132">
        <v>4.3055075272984383E-2</v>
      </c>
      <c r="Q22" s="132">
        <v>1.7291194888748748E-4</v>
      </c>
      <c r="R22" s="132"/>
      <c r="S22" s="132"/>
    </row>
    <row r="23" spans="1:22" ht="16" thickBot="1">
      <c r="A23" s="2">
        <v>37315</v>
      </c>
      <c r="B23">
        <v>1106.73</v>
      </c>
      <c r="C23" s="127">
        <f t="shared" si="0"/>
        <v>-2.0766236064413402E-2</v>
      </c>
      <c r="D23">
        <v>7.4511000000000003</v>
      </c>
      <c r="E23" s="127">
        <f t="shared" si="1"/>
        <v>-1.7536688598515315E-2</v>
      </c>
      <c r="G23" s="3">
        <v>42670</v>
      </c>
      <c r="H23">
        <v>2133.04</v>
      </c>
      <c r="I23" s="127">
        <f t="shared" si="2"/>
        <v>-2.9867768517782183E-3</v>
      </c>
      <c r="J23">
        <v>54.488999999999997</v>
      </c>
      <c r="K23" s="127">
        <f t="shared" si="3"/>
        <v>-1.5392226925403255E-3</v>
      </c>
      <c r="M23" s="133" t="s">
        <v>228</v>
      </c>
      <c r="N23" s="133">
        <v>250</v>
      </c>
      <c r="O23" s="133"/>
      <c r="P23" s="133">
        <v>4.70660845871902E-2</v>
      </c>
      <c r="Q23" s="133"/>
      <c r="R23" s="133"/>
      <c r="S23" s="133"/>
    </row>
    <row r="24" spans="1:22" ht="16" thickBot="1">
      <c r="A24" s="2">
        <v>37343</v>
      </c>
      <c r="B24">
        <v>1147.3900000000001</v>
      </c>
      <c r="C24" s="127">
        <f t="shared" si="0"/>
        <v>3.673886133022515E-2</v>
      </c>
      <c r="D24">
        <v>7.6119000000000003</v>
      </c>
      <c r="E24" s="127">
        <f t="shared" si="1"/>
        <v>2.1580706204453039E-2</v>
      </c>
      <c r="G24" s="3">
        <v>42671</v>
      </c>
      <c r="H24">
        <v>2126.41</v>
      </c>
      <c r="I24" s="127">
        <f t="shared" si="2"/>
        <v>-3.1082398829839616E-3</v>
      </c>
      <c r="J24">
        <v>54.625500000000002</v>
      </c>
      <c r="K24" s="127">
        <f t="shared" si="3"/>
        <v>2.5050927710180988E-3</v>
      </c>
    </row>
    <row r="25" spans="1:22">
      <c r="A25" s="2">
        <v>37376</v>
      </c>
      <c r="B25">
        <v>1076.92</v>
      </c>
      <c r="C25" s="127">
        <f t="shared" si="0"/>
        <v>-6.1417652236815751E-2</v>
      </c>
      <c r="D25">
        <v>6.7645999999999997</v>
      </c>
      <c r="E25" s="127">
        <f t="shared" si="1"/>
        <v>-0.11131255008604955</v>
      </c>
      <c r="G25" s="3">
        <v>42674</v>
      </c>
      <c r="H25">
        <v>2126.15</v>
      </c>
      <c r="I25" s="127">
        <f t="shared" si="2"/>
        <v>-1.2227181023403931E-4</v>
      </c>
      <c r="J25">
        <v>52.693300000000001</v>
      </c>
      <c r="K25" s="127">
        <f t="shared" si="3"/>
        <v>-3.5371758610905191E-2</v>
      </c>
      <c r="M25" s="188"/>
      <c r="N25" s="188" t="s">
        <v>229</v>
      </c>
      <c r="O25" s="188"/>
      <c r="P25" s="188" t="s">
        <v>218</v>
      </c>
      <c r="Q25" s="188" t="s">
        <v>230</v>
      </c>
      <c r="R25" s="188" t="s">
        <v>231</v>
      </c>
      <c r="S25" s="188" t="s">
        <v>232</v>
      </c>
      <c r="T25" s="188" t="s">
        <v>233</v>
      </c>
      <c r="U25" s="188" t="s">
        <v>234</v>
      </c>
      <c r="V25" s="188" t="s">
        <v>235</v>
      </c>
    </row>
    <row r="26" spans="1:22" ht="15" customHeight="1">
      <c r="A26" s="2">
        <v>37407</v>
      </c>
      <c r="B26">
        <v>1067.1400000000001</v>
      </c>
      <c r="C26" s="127">
        <f t="shared" si="0"/>
        <v>-9.0814545184414557E-3</v>
      </c>
      <c r="D26">
        <v>6.8178999999999998</v>
      </c>
      <c r="E26" s="127">
        <f t="shared" si="1"/>
        <v>7.8792537622328195E-3</v>
      </c>
      <c r="G26" s="3">
        <v>42675</v>
      </c>
      <c r="H26">
        <v>2111.7199999999998</v>
      </c>
      <c r="I26" s="127">
        <f t="shared" si="2"/>
        <v>-6.7869153164171348E-3</v>
      </c>
      <c r="J26">
        <v>52.1053</v>
      </c>
      <c r="K26" s="127">
        <f t="shared" si="3"/>
        <v>-1.115891394162068E-2</v>
      </c>
      <c r="M26" s="164" t="s">
        <v>236</v>
      </c>
      <c r="N26" s="164">
        <v>-4.1776472462052617E-4</v>
      </c>
      <c r="O26" s="164"/>
      <c r="P26" s="164">
        <v>8.3813562003523859E-4</v>
      </c>
      <c r="Q26" s="164">
        <v>-0.4984452571088217</v>
      </c>
      <c r="R26" s="164">
        <v>0.61861024044659563</v>
      </c>
      <c r="S26" s="164">
        <v>-2.0685037283625324E-3</v>
      </c>
      <c r="T26" s="164">
        <v>1.2329742791214798E-3</v>
      </c>
      <c r="U26" s="164">
        <v>-2.0685037283625324E-3</v>
      </c>
      <c r="V26" s="164">
        <v>1.2329742791214798E-3</v>
      </c>
    </row>
    <row r="27" spans="1:22" ht="16" thickBot="1">
      <c r="A27" s="2">
        <v>37435</v>
      </c>
      <c r="B27">
        <v>989.81</v>
      </c>
      <c r="C27" s="127">
        <f t="shared" si="0"/>
        <v>-7.2464718781041049E-2</v>
      </c>
      <c r="D27">
        <v>6.8204000000000002</v>
      </c>
      <c r="E27" s="127">
        <f t="shared" si="1"/>
        <v>3.6668182284873505E-4</v>
      </c>
      <c r="G27" s="3">
        <v>42676</v>
      </c>
      <c r="H27">
        <v>2097.94</v>
      </c>
      <c r="I27" s="127">
        <f t="shared" si="2"/>
        <v>-6.525486333415295E-3</v>
      </c>
      <c r="J27">
        <v>52.210299999999997</v>
      </c>
      <c r="K27" s="127">
        <f t="shared" si="3"/>
        <v>2.0151500902978558E-3</v>
      </c>
      <c r="M27" s="191" t="s">
        <v>237</v>
      </c>
      <c r="N27" s="191">
        <v>0.85865302840401603</v>
      </c>
      <c r="O27" s="191"/>
      <c r="P27" s="191">
        <v>0.178280307140432</v>
      </c>
      <c r="Q27" s="191">
        <v>4.8163088911870231</v>
      </c>
      <c r="R27" s="191">
        <v>2.5414649274753245E-6</v>
      </c>
      <c r="S27" s="191">
        <v>0.50752339071669017</v>
      </c>
      <c r="T27" s="191">
        <v>1.2097826660913418</v>
      </c>
      <c r="U27" s="191">
        <v>0.50752339071669017</v>
      </c>
      <c r="V27" s="191">
        <v>1.2097826660913418</v>
      </c>
    </row>
    <row r="28" spans="1:22">
      <c r="A28" s="2">
        <v>37468</v>
      </c>
      <c r="B28">
        <v>911.62</v>
      </c>
      <c r="C28" s="127">
        <f t="shared" si="0"/>
        <v>-7.8994958628423581E-2</v>
      </c>
      <c r="D28">
        <v>6.2660999999999998</v>
      </c>
      <c r="E28" s="127">
        <f t="shared" si="1"/>
        <v>-8.1270893202744776E-2</v>
      </c>
      <c r="G28" s="3">
        <v>42677</v>
      </c>
      <c r="H28">
        <v>2088.66</v>
      </c>
      <c r="I28" s="127">
        <f t="shared" si="2"/>
        <v>-4.423386750812797E-3</v>
      </c>
      <c r="J28">
        <v>52.220799999999997</v>
      </c>
      <c r="K28" s="127">
        <f t="shared" si="3"/>
        <v>2.0110974271361011E-4</v>
      </c>
    </row>
    <row r="29" spans="1:22">
      <c r="A29" s="2">
        <v>37498</v>
      </c>
      <c r="B29">
        <v>916.07</v>
      </c>
      <c r="C29" s="127">
        <f t="shared" si="0"/>
        <v>4.8814198898664415E-3</v>
      </c>
      <c r="D29">
        <v>5.4893999999999998</v>
      </c>
      <c r="E29" s="127">
        <f t="shared" si="1"/>
        <v>-0.12395269785033752</v>
      </c>
      <c r="G29" s="3">
        <v>42678</v>
      </c>
      <c r="H29">
        <v>2085.1799999999998</v>
      </c>
      <c r="I29" s="127">
        <f t="shared" si="2"/>
        <v>-1.6661400132142227E-3</v>
      </c>
      <c r="J29">
        <v>52.462299999999999</v>
      </c>
      <c r="K29" s="127">
        <f t="shared" si="3"/>
        <v>4.6245940314970672E-3</v>
      </c>
    </row>
    <row r="30" spans="1:22" ht="16" thickBot="1">
      <c r="A30" s="2">
        <v>37529</v>
      </c>
      <c r="B30">
        <v>815.28</v>
      </c>
      <c r="C30" s="127">
        <f t="shared" si="0"/>
        <v>-0.11002434311788409</v>
      </c>
      <c r="D30">
        <v>5.5045999999999999</v>
      </c>
      <c r="E30" s="127">
        <f t="shared" si="1"/>
        <v>2.768972929646246E-3</v>
      </c>
      <c r="G30" s="3">
        <v>42681</v>
      </c>
      <c r="H30">
        <v>2131.52</v>
      </c>
      <c r="I30" s="127">
        <f t="shared" si="2"/>
        <v>2.2223501088635106E-2</v>
      </c>
      <c r="J30">
        <v>53.459899999999998</v>
      </c>
      <c r="K30" s="127">
        <f t="shared" si="3"/>
        <v>1.9015559744807196E-2</v>
      </c>
      <c r="M30" s="123" t="s">
        <v>381</v>
      </c>
      <c r="N30" s="124"/>
      <c r="O30" s="125"/>
      <c r="P30" s="125"/>
      <c r="Q30" s="125"/>
      <c r="R30" s="125"/>
      <c r="S30" s="125"/>
      <c r="T30" s="126"/>
      <c r="U30" s="126"/>
      <c r="V30" s="126"/>
    </row>
    <row r="31" spans="1:22">
      <c r="A31" s="2">
        <v>37560</v>
      </c>
      <c r="B31">
        <v>885.76</v>
      </c>
      <c r="C31" s="127">
        <f t="shared" si="0"/>
        <v>8.6448827396722619E-2</v>
      </c>
      <c r="D31">
        <v>6.0157999999999996</v>
      </c>
      <c r="E31" s="127">
        <f t="shared" si="1"/>
        <v>9.286778330850555E-2</v>
      </c>
      <c r="G31" s="3">
        <v>42682</v>
      </c>
      <c r="H31">
        <v>2139.56</v>
      </c>
      <c r="I31" s="127">
        <f t="shared" si="2"/>
        <v>3.7719561627383106E-3</v>
      </c>
      <c r="J31">
        <v>53.638399999999997</v>
      </c>
      <c r="K31" s="127">
        <f t="shared" si="3"/>
        <v>3.3389512513117246E-3</v>
      </c>
      <c r="M31" s="8"/>
      <c r="N31" s="119"/>
      <c r="O31" s="8"/>
      <c r="P31" s="8"/>
      <c r="Q31" s="8"/>
      <c r="R31" s="8"/>
      <c r="S31" s="8"/>
    </row>
    <row r="32" spans="1:22" ht="17">
      <c r="A32" s="2">
        <v>37589</v>
      </c>
      <c r="B32">
        <v>936.31</v>
      </c>
      <c r="C32" s="127">
        <f t="shared" si="0"/>
        <v>5.7069635115606886E-2</v>
      </c>
      <c r="D32">
        <v>5.7085999999999997</v>
      </c>
      <c r="E32" s="127">
        <f t="shared" si="1"/>
        <v>-5.1065527444396415E-2</v>
      </c>
      <c r="G32" s="3">
        <v>42683</v>
      </c>
      <c r="H32">
        <v>2163.2600000000002</v>
      </c>
      <c r="I32" s="127">
        <f t="shared" si="2"/>
        <v>1.1077043878180688E-2</v>
      </c>
      <c r="J32">
        <v>53.680399999999999</v>
      </c>
      <c r="K32" s="127">
        <f t="shared" si="3"/>
        <v>7.8302111919821614E-4</v>
      </c>
      <c r="M32" s="129" t="s">
        <v>211</v>
      </c>
      <c r="N32" s="190">
        <f>N50</f>
        <v>0.61417323378864608</v>
      </c>
      <c r="O32" s="130"/>
      <c r="P32" s="101" t="s">
        <v>212</v>
      </c>
      <c r="Q32" s="190">
        <f>_xlfn.COVARIANCE.S(E151:E210,C151:C210)/_xlfn.VAR.S(C151:C210)</f>
        <v>0.6141732337886463</v>
      </c>
      <c r="R32" s="131"/>
    </row>
    <row r="33" spans="1:22">
      <c r="A33" s="2">
        <v>37621</v>
      </c>
      <c r="B33">
        <v>879.82</v>
      </c>
      <c r="C33" s="127">
        <f t="shared" si="0"/>
        <v>-6.0332582157618629E-2</v>
      </c>
      <c r="D33">
        <v>5.6868999999999996</v>
      </c>
      <c r="E33" s="127">
        <f t="shared" si="1"/>
        <v>-3.8012822758644945E-3</v>
      </c>
      <c r="G33" s="3">
        <v>42684</v>
      </c>
      <c r="H33">
        <v>2167.48</v>
      </c>
      <c r="I33" s="127">
        <f t="shared" si="2"/>
        <v>1.9507595018628365E-3</v>
      </c>
      <c r="J33">
        <v>52.913800000000002</v>
      </c>
      <c r="K33" s="127">
        <f t="shared" si="3"/>
        <v>-1.428081757960069E-2</v>
      </c>
    </row>
    <row r="34" spans="1:22" ht="16" thickBot="1">
      <c r="A34" s="2">
        <v>37652</v>
      </c>
      <c r="B34">
        <v>855.7</v>
      </c>
      <c r="C34" s="127">
        <f t="shared" si="0"/>
        <v>-2.7414698461048853E-2</v>
      </c>
      <c r="D34">
        <v>5.6959</v>
      </c>
      <c r="E34" s="127">
        <f t="shared" si="1"/>
        <v>1.5825845363907122E-3</v>
      </c>
      <c r="G34" s="3">
        <v>42685</v>
      </c>
      <c r="H34">
        <v>2164.4499999999998</v>
      </c>
      <c r="I34" s="127">
        <f t="shared" si="2"/>
        <v>-1.3979367745032018E-3</v>
      </c>
      <c r="J34">
        <v>53.312899999999999</v>
      </c>
      <c r="K34" s="127">
        <f t="shared" si="3"/>
        <v>7.5424558432771243E-3</v>
      </c>
      <c r="M34" t="s">
        <v>213</v>
      </c>
    </row>
    <row r="35" spans="1:22">
      <c r="A35" s="2">
        <v>37680</v>
      </c>
      <c r="B35">
        <v>841.15</v>
      </c>
      <c r="C35" s="127">
        <f t="shared" si="0"/>
        <v>-1.7003622764987809E-2</v>
      </c>
      <c r="D35">
        <v>5.9298999999999999</v>
      </c>
      <c r="E35" s="127">
        <f t="shared" si="1"/>
        <v>4.1082181920328656E-2</v>
      </c>
      <c r="G35" s="3">
        <v>42688</v>
      </c>
      <c r="H35">
        <v>2164.1999999999998</v>
      </c>
      <c r="I35" s="127">
        <f t="shared" si="2"/>
        <v>-1.1550278361708518E-4</v>
      </c>
      <c r="J35">
        <v>52.724800000000002</v>
      </c>
      <c r="K35" s="127">
        <f t="shared" si="3"/>
        <v>-1.103110129068194E-2</v>
      </c>
      <c r="M35" s="189" t="s">
        <v>214</v>
      </c>
      <c r="N35" s="189"/>
    </row>
    <row r="36" spans="1:22">
      <c r="A36" s="2">
        <v>37711</v>
      </c>
      <c r="B36">
        <v>848.18</v>
      </c>
      <c r="C36" s="127">
        <f t="shared" si="0"/>
        <v>8.3576056589193051E-3</v>
      </c>
      <c r="D36">
        <v>6.5936000000000003</v>
      </c>
      <c r="E36" s="127">
        <f t="shared" si="1"/>
        <v>0.11192431575574636</v>
      </c>
      <c r="G36" s="3">
        <v>42689</v>
      </c>
      <c r="H36">
        <v>2180.39</v>
      </c>
      <c r="I36" s="127">
        <f t="shared" si="2"/>
        <v>7.4808243230755269E-3</v>
      </c>
      <c r="J36">
        <v>52.640799999999999</v>
      </c>
      <c r="K36" s="127">
        <f t="shared" si="3"/>
        <v>-1.5931781628380417E-3</v>
      </c>
      <c r="M36" s="132" t="s">
        <v>215</v>
      </c>
      <c r="N36" s="132">
        <v>0.3131692767473459</v>
      </c>
    </row>
    <row r="37" spans="1:22">
      <c r="A37" s="2">
        <v>37741</v>
      </c>
      <c r="B37">
        <v>916.92</v>
      </c>
      <c r="C37" s="127">
        <f t="shared" si="0"/>
        <v>8.1044117993822079E-2</v>
      </c>
      <c r="D37">
        <v>6.8642000000000003</v>
      </c>
      <c r="E37" s="127">
        <f t="shared" si="1"/>
        <v>4.1039796165979123E-2</v>
      </c>
      <c r="G37" s="3">
        <v>42690</v>
      </c>
      <c r="H37">
        <v>2176.94</v>
      </c>
      <c r="I37" s="127">
        <f t="shared" si="2"/>
        <v>-1.5822857378724991E-3</v>
      </c>
      <c r="J37">
        <v>53.218400000000003</v>
      </c>
      <c r="K37" s="127">
        <f t="shared" si="3"/>
        <v>1.0972477621920714E-2</v>
      </c>
      <c r="M37" s="132" t="s">
        <v>216</v>
      </c>
      <c r="N37" s="132">
        <v>9.8074995898455725E-2</v>
      </c>
    </row>
    <row r="38" spans="1:22">
      <c r="A38" s="2">
        <v>37771</v>
      </c>
      <c r="B38">
        <v>963.59</v>
      </c>
      <c r="C38" s="127">
        <f t="shared" si="0"/>
        <v>5.0898660733760932E-2</v>
      </c>
      <c r="D38">
        <v>7.1795999999999998</v>
      </c>
      <c r="E38" s="127">
        <f t="shared" si="1"/>
        <v>4.5948544622825598E-2</v>
      </c>
      <c r="G38" s="3">
        <v>42691</v>
      </c>
      <c r="H38">
        <v>2187.12</v>
      </c>
      <c r="I38" s="127">
        <f t="shared" si="2"/>
        <v>4.6762887355645249E-3</v>
      </c>
      <c r="J38">
        <v>54.173900000000003</v>
      </c>
      <c r="K38" s="127">
        <f t="shared" si="3"/>
        <v>1.795431655216994E-2</v>
      </c>
      <c r="M38" s="132" t="s">
        <v>217</v>
      </c>
      <c r="N38" s="132">
        <v>8.2524564793256691E-2</v>
      </c>
    </row>
    <row r="39" spans="1:22">
      <c r="A39" s="2">
        <v>37802</v>
      </c>
      <c r="B39">
        <v>974.5</v>
      </c>
      <c r="C39" s="127">
        <f t="shared" si="0"/>
        <v>1.1322242862628264E-2</v>
      </c>
      <c r="D39">
        <v>6.8769999999999998</v>
      </c>
      <c r="E39" s="127">
        <f t="shared" si="1"/>
        <v>-4.214719482979553E-2</v>
      </c>
      <c r="G39" s="3">
        <v>42692</v>
      </c>
      <c r="H39">
        <v>2181.9</v>
      </c>
      <c r="I39" s="127">
        <f t="shared" si="2"/>
        <v>-2.3867003182266176E-3</v>
      </c>
      <c r="J39">
        <v>53.659399999999998</v>
      </c>
      <c r="K39" s="127">
        <f t="shared" si="3"/>
        <v>-9.4971932978797028E-3</v>
      </c>
      <c r="M39" s="132" t="s">
        <v>218</v>
      </c>
      <c r="N39" s="132">
        <v>5.1618379488674558E-2</v>
      </c>
    </row>
    <row r="40" spans="1:22" ht="16" thickBot="1">
      <c r="A40" s="2">
        <v>37833</v>
      </c>
      <c r="B40">
        <v>990.31</v>
      </c>
      <c r="C40" s="127">
        <f t="shared" si="0"/>
        <v>1.6223704463827548E-2</v>
      </c>
      <c r="D40">
        <v>6.6520000000000001</v>
      </c>
      <c r="E40" s="127">
        <f t="shared" si="1"/>
        <v>-3.271775483495705E-2</v>
      </c>
      <c r="G40" s="3">
        <v>42695</v>
      </c>
      <c r="H40">
        <v>2198.1799999999998</v>
      </c>
      <c r="I40" s="127">
        <f t="shared" si="2"/>
        <v>7.4613868646591251E-3</v>
      </c>
      <c r="J40">
        <v>53.848399999999998</v>
      </c>
      <c r="K40" s="127">
        <f t="shared" si="3"/>
        <v>3.5222160516144435E-3</v>
      </c>
      <c r="M40" s="133" t="s">
        <v>219</v>
      </c>
      <c r="N40" s="133">
        <v>60</v>
      </c>
    </row>
    <row r="41" spans="1:22">
      <c r="A41" s="2">
        <v>37862</v>
      </c>
      <c r="B41">
        <v>1008.01</v>
      </c>
      <c r="C41" s="127">
        <f t="shared" si="0"/>
        <v>1.7873191222950436E-2</v>
      </c>
      <c r="D41">
        <v>7.3257000000000003</v>
      </c>
      <c r="E41" s="127">
        <f t="shared" si="1"/>
        <v>0.10127781118460616</v>
      </c>
      <c r="G41" s="3">
        <v>42696</v>
      </c>
      <c r="H41">
        <v>2202.94</v>
      </c>
      <c r="I41" s="127">
        <f t="shared" si="2"/>
        <v>2.1654277629676454E-3</v>
      </c>
      <c r="J41">
        <v>54.299900000000001</v>
      </c>
      <c r="K41" s="127">
        <f t="shared" si="3"/>
        <v>8.3846502403043151E-3</v>
      </c>
    </row>
    <row r="42" spans="1:22" ht="16" thickBot="1">
      <c r="A42" s="2">
        <v>37894</v>
      </c>
      <c r="B42">
        <v>995.97</v>
      </c>
      <c r="C42" s="127">
        <f t="shared" si="0"/>
        <v>-1.1944325949147294E-2</v>
      </c>
      <c r="D42">
        <v>7.8373999999999997</v>
      </c>
      <c r="E42" s="127">
        <f t="shared" si="1"/>
        <v>6.9849980206669576E-2</v>
      </c>
      <c r="G42" s="3">
        <v>42697</v>
      </c>
      <c r="H42">
        <v>2204.7199999999998</v>
      </c>
      <c r="I42" s="127">
        <f t="shared" si="2"/>
        <v>8.0801111242237433E-4</v>
      </c>
      <c r="J42">
        <v>53.9114</v>
      </c>
      <c r="K42" s="127">
        <f t="shared" si="3"/>
        <v>-7.1547093088569318E-3</v>
      </c>
      <c r="M42" t="s">
        <v>220</v>
      </c>
    </row>
    <row r="43" spans="1:22">
      <c r="A43" s="2">
        <v>37925</v>
      </c>
      <c r="B43">
        <v>1050.71</v>
      </c>
      <c r="C43" s="127">
        <f t="shared" si="0"/>
        <v>5.4961494824141297E-2</v>
      </c>
      <c r="D43">
        <v>8.2342999999999993</v>
      </c>
      <c r="E43" s="127">
        <f t="shared" si="1"/>
        <v>5.0641794472656695E-2</v>
      </c>
      <c r="G43" s="3">
        <v>42699</v>
      </c>
      <c r="H43">
        <v>2213.35</v>
      </c>
      <c r="I43" s="127">
        <f t="shared" si="2"/>
        <v>3.9143292572299928E-3</v>
      </c>
      <c r="J43">
        <v>54.1004</v>
      </c>
      <c r="K43" s="127">
        <f t="shared" si="3"/>
        <v>3.5057520301828566E-3</v>
      </c>
      <c r="M43" s="188"/>
      <c r="N43" s="188" t="s">
        <v>221</v>
      </c>
      <c r="O43" s="188"/>
      <c r="P43" s="188" t="s">
        <v>222</v>
      </c>
      <c r="Q43" s="188" t="s">
        <v>223</v>
      </c>
      <c r="R43" s="188" t="s">
        <v>224</v>
      </c>
      <c r="S43" s="188" t="s">
        <v>225</v>
      </c>
    </row>
    <row r="44" spans="1:22">
      <c r="A44" s="2">
        <v>37953</v>
      </c>
      <c r="B44">
        <v>1058.2</v>
      </c>
      <c r="C44" s="127">
        <f t="shared" si="0"/>
        <v>7.1285131006652725E-3</v>
      </c>
      <c r="D44">
        <v>8.6660000000000004</v>
      </c>
      <c r="E44" s="127">
        <f t="shared" si="1"/>
        <v>5.2427042978759712E-2</v>
      </c>
      <c r="G44" s="3">
        <v>42702</v>
      </c>
      <c r="H44">
        <v>2201.7199999999998</v>
      </c>
      <c r="I44" s="127">
        <f t="shared" si="2"/>
        <v>-5.2544785054329905E-3</v>
      </c>
      <c r="J44">
        <v>53.564900000000002</v>
      </c>
      <c r="K44" s="127">
        <f t="shared" si="3"/>
        <v>-9.8982632291073451E-3</v>
      </c>
      <c r="M44" s="132" t="s">
        <v>226</v>
      </c>
      <c r="N44" s="132">
        <v>1</v>
      </c>
      <c r="O44" s="132"/>
      <c r="P44" s="132">
        <v>1.6804461399686221E-2</v>
      </c>
      <c r="Q44" s="132">
        <v>1.6804461399686221E-2</v>
      </c>
      <c r="R44" s="132">
        <v>6.3068988399727326</v>
      </c>
      <c r="S44" s="132">
        <v>1.4834288652382899E-2</v>
      </c>
    </row>
    <row r="45" spans="1:22">
      <c r="A45" s="2">
        <v>37986</v>
      </c>
      <c r="B45">
        <v>1111.92</v>
      </c>
      <c r="C45" s="127">
        <f t="shared" si="0"/>
        <v>5.076545076545079E-2</v>
      </c>
      <c r="D45">
        <v>8.8476999999999997</v>
      </c>
      <c r="E45" s="127">
        <f t="shared" si="1"/>
        <v>2.09669974613431E-2</v>
      </c>
      <c r="G45" s="3">
        <v>42703</v>
      </c>
      <c r="H45">
        <v>2204.66</v>
      </c>
      <c r="I45" s="127">
        <f t="shared" si="2"/>
        <v>1.3353196591755787E-3</v>
      </c>
      <c r="J45">
        <v>53.165900000000001</v>
      </c>
      <c r="K45" s="127">
        <f t="shared" si="3"/>
        <v>-7.448907773560688E-3</v>
      </c>
      <c r="M45" s="132" t="s">
        <v>227</v>
      </c>
      <c r="N45" s="132">
        <v>58</v>
      </c>
      <c r="O45" s="132"/>
      <c r="P45" s="132">
        <v>0.15453851186013548</v>
      </c>
      <c r="Q45" s="132">
        <v>2.6644571010368185E-3</v>
      </c>
      <c r="R45" s="132"/>
      <c r="S45" s="132"/>
    </row>
    <row r="46" spans="1:22" ht="14.5" customHeight="1" thickBot="1">
      <c r="A46" s="2">
        <v>38016</v>
      </c>
      <c r="B46">
        <v>1131.1300000000001</v>
      </c>
      <c r="C46" s="127">
        <f t="shared" si="0"/>
        <v>1.7276422764227674E-2</v>
      </c>
      <c r="D46">
        <v>9.0028000000000006</v>
      </c>
      <c r="E46" s="127">
        <f t="shared" si="1"/>
        <v>1.7529979542706117E-2</v>
      </c>
      <c r="G46" s="3">
        <v>42704</v>
      </c>
      <c r="H46">
        <v>2198.81</v>
      </c>
      <c r="I46" s="127">
        <f t="shared" si="2"/>
        <v>-2.6534703763845262E-3</v>
      </c>
      <c r="J46">
        <v>52.577800000000003</v>
      </c>
      <c r="K46" s="127">
        <f t="shared" si="3"/>
        <v>-1.1061601515256907E-2</v>
      </c>
      <c r="M46" s="133" t="s">
        <v>228</v>
      </c>
      <c r="N46" s="133">
        <v>59</v>
      </c>
      <c r="O46" s="133"/>
      <c r="P46" s="133">
        <v>0.1713429732598217</v>
      </c>
      <c r="Q46" s="133"/>
      <c r="R46" s="133"/>
      <c r="S46" s="133"/>
    </row>
    <row r="47" spans="1:22" ht="16" thickBot="1">
      <c r="A47" s="2">
        <v>38044</v>
      </c>
      <c r="B47">
        <v>1144.94</v>
      </c>
      <c r="C47" s="127">
        <f t="shared" si="0"/>
        <v>1.2209029908144903E-2</v>
      </c>
      <c r="D47">
        <v>9.4666999999999994</v>
      </c>
      <c r="E47" s="127">
        <f t="shared" si="1"/>
        <v>5.1528413382503094E-2</v>
      </c>
      <c r="G47" s="3">
        <v>42705</v>
      </c>
      <c r="H47">
        <v>2191.08</v>
      </c>
      <c r="I47" s="127">
        <f t="shared" si="2"/>
        <v>-3.5155379500730025E-3</v>
      </c>
      <c r="J47">
        <v>53.375900000000001</v>
      </c>
      <c r="K47" s="127">
        <f t="shared" si="3"/>
        <v>1.5179410321466436E-2</v>
      </c>
    </row>
    <row r="48" spans="1:22">
      <c r="A48" s="2">
        <v>38077</v>
      </c>
      <c r="B48">
        <v>1126.21</v>
      </c>
      <c r="C48" s="127">
        <f t="shared" si="0"/>
        <v>-1.635893583943265E-2</v>
      </c>
      <c r="D48">
        <v>10.089700000000001</v>
      </c>
      <c r="E48" s="127">
        <f t="shared" si="1"/>
        <v>6.5809627430889445E-2</v>
      </c>
      <c r="G48" s="3">
        <v>42706</v>
      </c>
      <c r="H48">
        <v>2191.9499999999998</v>
      </c>
      <c r="I48" s="127">
        <f t="shared" si="2"/>
        <v>3.9706446136147054E-4</v>
      </c>
      <c r="J48">
        <v>53.175600000000003</v>
      </c>
      <c r="K48" s="127">
        <f t="shared" si="3"/>
        <v>-3.752629932235308E-3</v>
      </c>
      <c r="M48" s="188"/>
      <c r="N48" s="188" t="s">
        <v>229</v>
      </c>
      <c r="O48" s="188"/>
      <c r="P48" s="188" t="s">
        <v>218</v>
      </c>
      <c r="Q48" s="188" t="s">
        <v>230</v>
      </c>
      <c r="R48" s="188" t="s">
        <v>231</v>
      </c>
      <c r="S48" s="188" t="s">
        <v>232</v>
      </c>
      <c r="T48" s="188" t="s">
        <v>233</v>
      </c>
      <c r="U48" s="188" t="s">
        <v>234</v>
      </c>
      <c r="V48" s="188" t="s">
        <v>235</v>
      </c>
    </row>
    <row r="49" spans="1:22">
      <c r="A49" s="2">
        <v>38107</v>
      </c>
      <c r="B49">
        <v>1107.3</v>
      </c>
      <c r="C49" s="127">
        <f t="shared" si="0"/>
        <v>-1.6790829419024943E-2</v>
      </c>
      <c r="D49">
        <v>9.3225999999999996</v>
      </c>
      <c r="E49" s="127">
        <f t="shared" si="1"/>
        <v>-7.6028028583605162E-2</v>
      </c>
      <c r="G49" s="3">
        <v>42709</v>
      </c>
      <c r="H49">
        <v>2204.71</v>
      </c>
      <c r="I49" s="127">
        <f t="shared" si="2"/>
        <v>5.821300668354761E-3</v>
      </c>
      <c r="J49">
        <v>54.640500000000003</v>
      </c>
      <c r="K49" s="127">
        <f t="shared" si="3"/>
        <v>2.7548349242885836E-2</v>
      </c>
      <c r="M49" s="164" t="s">
        <v>236</v>
      </c>
      <c r="N49" s="164">
        <v>9.5855973522630533E-3</v>
      </c>
      <c r="O49" s="164"/>
      <c r="P49" s="164">
        <v>7.0757483281866261E-3</v>
      </c>
      <c r="Q49" s="164">
        <v>1.3547114605642923</v>
      </c>
      <c r="R49" s="164">
        <v>0.18076320276186919</v>
      </c>
      <c r="S49" s="164">
        <v>-4.5780517896795332E-3</v>
      </c>
      <c r="T49" s="164">
        <v>2.374924649420564E-2</v>
      </c>
      <c r="U49" s="164">
        <v>-4.5780517896795332E-3</v>
      </c>
      <c r="V49" s="164">
        <v>2.374924649420564E-2</v>
      </c>
    </row>
    <row r="50" spans="1:22" ht="16" thickBot="1">
      <c r="A50" s="2">
        <v>38135</v>
      </c>
      <c r="B50">
        <v>1120.68</v>
      </c>
      <c r="C50" s="127">
        <f t="shared" si="0"/>
        <v>1.208344622053654E-2</v>
      </c>
      <c r="D50">
        <v>9.2189999999999994</v>
      </c>
      <c r="E50" s="127">
        <f t="shared" si="1"/>
        <v>-1.1112779696651164E-2</v>
      </c>
      <c r="G50" s="3">
        <v>42710</v>
      </c>
      <c r="H50">
        <v>2212.23</v>
      </c>
      <c r="I50" s="127">
        <f t="shared" si="2"/>
        <v>3.4108794353905872E-3</v>
      </c>
      <c r="J50">
        <v>53.291600000000003</v>
      </c>
      <c r="K50" s="127">
        <f t="shared" si="3"/>
        <v>-2.4686816555485408E-2</v>
      </c>
      <c r="M50" s="191" t="s">
        <v>237</v>
      </c>
      <c r="N50" s="191">
        <v>0.61417323378864608</v>
      </c>
      <c r="O50" s="191"/>
      <c r="P50" s="191">
        <v>0.24455860757176176</v>
      </c>
      <c r="Q50" s="191">
        <v>2.5113539853976592</v>
      </c>
      <c r="R50" s="191">
        <v>1.4834288652383131E-2</v>
      </c>
      <c r="S50" s="191">
        <v>0.12463599311403728</v>
      </c>
      <c r="T50" s="191">
        <v>1.1037104744632549</v>
      </c>
      <c r="U50" s="191">
        <v>0.12463599311403728</v>
      </c>
      <c r="V50" s="191">
        <v>1.1037104744632549</v>
      </c>
    </row>
    <row r="51" spans="1:22">
      <c r="A51" s="2">
        <v>38168</v>
      </c>
      <c r="B51">
        <v>1140.8399999999999</v>
      </c>
      <c r="C51" s="127">
        <f t="shared" si="0"/>
        <v>1.7989078059749308E-2</v>
      </c>
      <c r="D51">
        <v>9.8408999999999995</v>
      </c>
      <c r="E51" s="127">
        <f t="shared" si="1"/>
        <v>6.7458509599739688E-2</v>
      </c>
      <c r="G51" s="3">
        <v>42711</v>
      </c>
      <c r="H51">
        <v>2241.35</v>
      </c>
      <c r="I51" s="127">
        <f t="shared" si="2"/>
        <v>1.316318827608336E-2</v>
      </c>
      <c r="J51">
        <v>54.9039</v>
      </c>
      <c r="K51" s="127">
        <f t="shared" si="3"/>
        <v>3.0254298988958813E-2</v>
      </c>
      <c r="V51" s="132"/>
    </row>
    <row r="52" spans="1:22">
      <c r="A52" s="2">
        <v>38198</v>
      </c>
      <c r="B52">
        <v>1101.72</v>
      </c>
      <c r="C52" s="127">
        <f t="shared" si="0"/>
        <v>-3.4290522772693711E-2</v>
      </c>
      <c r="D52">
        <v>9.4459999999999997</v>
      </c>
      <c r="E52" s="127">
        <f t="shared" si="1"/>
        <v>-4.0128443536668376E-2</v>
      </c>
      <c r="G52" s="3">
        <v>42712</v>
      </c>
      <c r="H52">
        <v>2246.19</v>
      </c>
      <c r="I52" s="127">
        <f t="shared" si="2"/>
        <v>2.1594128538604618E-3</v>
      </c>
      <c r="J52">
        <v>54.324300000000001</v>
      </c>
      <c r="K52" s="127">
        <f t="shared" si="3"/>
        <v>-1.055662712484904E-2</v>
      </c>
    </row>
    <row r="53" spans="1:22" ht="16" thickBot="1">
      <c r="A53" s="2">
        <v>38230</v>
      </c>
      <c r="B53">
        <v>1104.24</v>
      </c>
      <c r="C53" s="127">
        <f t="shared" si="0"/>
        <v>2.287332534582273E-3</v>
      </c>
      <c r="D53">
        <v>9.7836999999999996</v>
      </c>
      <c r="E53" s="127">
        <f t="shared" si="1"/>
        <v>3.5750582257040003E-2</v>
      </c>
      <c r="G53" s="3">
        <v>42713</v>
      </c>
      <c r="H53">
        <v>2259.5300000000002</v>
      </c>
      <c r="I53" s="127">
        <f t="shared" si="2"/>
        <v>5.9389455032744986E-3</v>
      </c>
      <c r="J53">
        <v>54.503500000000003</v>
      </c>
      <c r="K53" s="127">
        <f t="shared" si="3"/>
        <v>3.2987079446951287E-3</v>
      </c>
      <c r="M53" s="123" t="s">
        <v>276</v>
      </c>
      <c r="N53" s="124"/>
      <c r="O53" s="125"/>
      <c r="P53" s="125"/>
      <c r="Q53" s="125"/>
      <c r="R53" s="125"/>
      <c r="S53" s="125"/>
      <c r="T53" s="126"/>
      <c r="U53" s="126"/>
      <c r="V53" s="126"/>
    </row>
    <row r="54" spans="1:22">
      <c r="A54" s="2">
        <v>38260</v>
      </c>
      <c r="B54">
        <v>1114.58</v>
      </c>
      <c r="C54" s="127">
        <f t="shared" si="0"/>
        <v>9.3639063971599629E-3</v>
      </c>
      <c r="D54">
        <v>10.2631</v>
      </c>
      <c r="E54" s="127">
        <f t="shared" si="1"/>
        <v>4.899986712593396E-2</v>
      </c>
      <c r="G54" s="3">
        <v>42716</v>
      </c>
      <c r="H54">
        <v>2256.96</v>
      </c>
      <c r="I54" s="127">
        <f t="shared" si="2"/>
        <v>-1.137404681504633E-3</v>
      </c>
      <c r="J54">
        <v>54.313800000000001</v>
      </c>
      <c r="K54" s="127">
        <f t="shared" si="3"/>
        <v>-3.4805104259359853E-3</v>
      </c>
    </row>
    <row r="55" spans="1:22" ht="17">
      <c r="A55" s="2">
        <v>38289</v>
      </c>
      <c r="B55">
        <v>1130.2</v>
      </c>
      <c r="C55" s="127">
        <f t="shared" si="0"/>
        <v>1.4014247519245024E-2</v>
      </c>
      <c r="D55">
        <v>10.59</v>
      </c>
      <c r="E55" s="127">
        <f t="shared" si="1"/>
        <v>3.1851974549600044E-2</v>
      </c>
      <c r="G55" s="3">
        <v>42717</v>
      </c>
      <c r="H55">
        <v>2271.7199999999998</v>
      </c>
      <c r="I55" s="127">
        <f t="shared" si="2"/>
        <v>6.539770310506063E-3</v>
      </c>
      <c r="J55">
        <v>55.114699999999999</v>
      </c>
      <c r="K55" s="127">
        <f t="shared" si="3"/>
        <v>1.474579204548381E-2</v>
      </c>
      <c r="M55" s="129" t="s">
        <v>238</v>
      </c>
      <c r="N55" s="190">
        <f>N73</f>
        <v>0.80201617723082907</v>
      </c>
      <c r="O55" s="130"/>
      <c r="P55" s="101" t="s">
        <v>212</v>
      </c>
      <c r="Q55" s="190">
        <f>_xlfn.COVARIANCE.S(E91:E210,C91:C210)/_xlfn.VAR.S(C91:C210)</f>
        <v>0.80201617723082819</v>
      </c>
      <c r="R55" s="131"/>
    </row>
    <row r="56" spans="1:22">
      <c r="A56" s="2">
        <v>38321</v>
      </c>
      <c r="B56">
        <v>1173.82</v>
      </c>
      <c r="C56" s="127">
        <f t="shared" si="0"/>
        <v>3.8594938948858508E-2</v>
      </c>
      <c r="D56">
        <v>11.026300000000001</v>
      </c>
      <c r="E56" s="127">
        <f t="shared" si="1"/>
        <v>4.1199244570349486E-2</v>
      </c>
      <c r="G56" s="2">
        <v>42718</v>
      </c>
      <c r="H56">
        <v>2253.2800000000002</v>
      </c>
      <c r="I56" s="127">
        <f t="shared" si="2"/>
        <v>-8.1171975419504164E-3</v>
      </c>
      <c r="J56">
        <v>54.577199999999998</v>
      </c>
      <c r="K56" s="127">
        <f t="shared" si="3"/>
        <v>-9.7523891085318695E-3</v>
      </c>
    </row>
    <row r="57" spans="1:22" ht="16" thickBot="1">
      <c r="A57" s="2">
        <v>38352</v>
      </c>
      <c r="B57">
        <v>1211.92</v>
      </c>
      <c r="C57" s="127">
        <f t="shared" si="0"/>
        <v>3.2458128162750795E-2</v>
      </c>
      <c r="D57">
        <v>11.8443</v>
      </c>
      <c r="E57" s="127">
        <f t="shared" si="1"/>
        <v>7.4186263751212969E-2</v>
      </c>
      <c r="G57" s="2">
        <v>42719</v>
      </c>
      <c r="H57">
        <v>2262.0300000000002</v>
      </c>
      <c r="I57" s="127">
        <f t="shared" si="2"/>
        <v>3.8832280053965771E-3</v>
      </c>
      <c r="J57">
        <v>54.0503</v>
      </c>
      <c r="K57" s="127">
        <f t="shared" si="3"/>
        <v>-9.6542145804474708E-3</v>
      </c>
      <c r="M57" t="s">
        <v>213</v>
      </c>
    </row>
    <row r="58" spans="1:22">
      <c r="A58" s="2">
        <v>38383</v>
      </c>
      <c r="B58">
        <v>1181.27</v>
      </c>
      <c r="C58" s="127">
        <f t="shared" si="0"/>
        <v>-2.5290448214403665E-2</v>
      </c>
      <c r="D58">
        <v>11.314</v>
      </c>
      <c r="E58" s="127">
        <f t="shared" si="1"/>
        <v>-4.4772591035350369E-2</v>
      </c>
      <c r="G58" s="2">
        <v>42720</v>
      </c>
      <c r="H58">
        <v>2258.0700000000002</v>
      </c>
      <c r="I58" s="127">
        <f t="shared" si="2"/>
        <v>-1.7506399119375233E-3</v>
      </c>
      <c r="J58">
        <v>53.660400000000003</v>
      </c>
      <c r="K58" s="127">
        <f t="shared" si="3"/>
        <v>-7.2136509880610699E-3</v>
      </c>
      <c r="M58" s="189" t="s">
        <v>214</v>
      </c>
      <c r="N58" s="189"/>
    </row>
    <row r="59" spans="1:22">
      <c r="A59" s="2">
        <v>38411</v>
      </c>
      <c r="B59">
        <v>1203.5999999999999</v>
      </c>
      <c r="C59" s="127">
        <f t="shared" si="0"/>
        <v>1.890338364641439E-2</v>
      </c>
      <c r="D59">
        <v>11.3558</v>
      </c>
      <c r="E59" s="127">
        <f t="shared" si="1"/>
        <v>3.6945377408520667E-3</v>
      </c>
      <c r="G59" s="2">
        <v>42723</v>
      </c>
      <c r="H59">
        <v>2262.5300000000002</v>
      </c>
      <c r="I59" s="127">
        <f t="shared" si="2"/>
        <v>1.9751380603790121E-3</v>
      </c>
      <c r="J59">
        <v>53.586599999999997</v>
      </c>
      <c r="K59" s="127">
        <f t="shared" si="3"/>
        <v>-1.3753158753942504E-3</v>
      </c>
      <c r="M59" s="132" t="s">
        <v>215</v>
      </c>
      <c r="N59" s="132">
        <v>0.52337791845118942</v>
      </c>
    </row>
    <row r="60" spans="1:22">
      <c r="A60" s="2">
        <v>38442</v>
      </c>
      <c r="B60">
        <v>1180.5899999999999</v>
      </c>
      <c r="C60" s="127">
        <f t="shared" si="0"/>
        <v>-1.9117647058823524E-2</v>
      </c>
      <c r="D60">
        <v>10.9131</v>
      </c>
      <c r="E60" s="127">
        <f t="shared" si="1"/>
        <v>-3.8984483699959521E-2</v>
      </c>
      <c r="G60" s="2">
        <v>42724</v>
      </c>
      <c r="H60">
        <v>2270.7600000000002</v>
      </c>
      <c r="I60" s="127">
        <f t="shared" si="2"/>
        <v>3.6375208284531112E-3</v>
      </c>
      <c r="J60">
        <v>54.577199999999998</v>
      </c>
      <c r="K60" s="127">
        <f t="shared" si="3"/>
        <v>1.8485964774775796E-2</v>
      </c>
      <c r="M60" s="132" t="s">
        <v>216</v>
      </c>
      <c r="N60" s="132">
        <v>0.27392444552229983</v>
      </c>
    </row>
    <row r="61" spans="1:22">
      <c r="A61" s="2">
        <v>38471</v>
      </c>
      <c r="B61">
        <v>1156.8499999999999</v>
      </c>
      <c r="C61" s="127">
        <f t="shared" si="0"/>
        <v>-2.0108589772910163E-2</v>
      </c>
      <c r="D61">
        <v>10.0616</v>
      </c>
      <c r="E61" s="127">
        <f t="shared" si="1"/>
        <v>-7.802549229824704E-2</v>
      </c>
      <c r="G61" s="2">
        <v>42725</v>
      </c>
      <c r="H61">
        <v>2265.1799999999998</v>
      </c>
      <c r="I61" s="127">
        <f t="shared" si="2"/>
        <v>-2.4573270623052994E-3</v>
      </c>
      <c r="J61">
        <v>55.114699999999999</v>
      </c>
      <c r="K61" s="127">
        <f t="shared" si="3"/>
        <v>9.8484348775679485E-3</v>
      </c>
      <c r="M61" s="132" t="s">
        <v>217</v>
      </c>
      <c r="N61" s="132">
        <v>0.26777126285723457</v>
      </c>
    </row>
    <row r="62" spans="1:22">
      <c r="A62" s="2">
        <v>38503</v>
      </c>
      <c r="B62">
        <v>1191.5</v>
      </c>
      <c r="C62" s="127">
        <f t="shared" si="0"/>
        <v>2.9952024895189604E-2</v>
      </c>
      <c r="D62">
        <v>10.7677</v>
      </c>
      <c r="E62" s="127">
        <f t="shared" si="1"/>
        <v>7.0177705335135496E-2</v>
      </c>
      <c r="G62" s="2">
        <v>42726</v>
      </c>
      <c r="H62">
        <v>2260.96</v>
      </c>
      <c r="I62" s="127">
        <f t="shared" si="2"/>
        <v>-1.8629866059208541E-3</v>
      </c>
      <c r="J62">
        <v>54.946100000000001</v>
      </c>
      <c r="K62" s="127">
        <f t="shared" si="3"/>
        <v>-3.0590749836250197E-3</v>
      </c>
      <c r="M62" s="132" t="s">
        <v>218</v>
      </c>
      <c r="N62" s="132">
        <v>5.7333678968445788E-2</v>
      </c>
    </row>
    <row r="63" spans="1:22" ht="16" thickBot="1">
      <c r="A63" s="2">
        <v>38533</v>
      </c>
      <c r="B63">
        <v>1191.33</v>
      </c>
      <c r="C63" s="127">
        <f t="shared" si="0"/>
        <v>-1.4267729752419031E-4</v>
      </c>
      <c r="D63">
        <v>11.376799999999999</v>
      </c>
      <c r="E63" s="127">
        <f t="shared" si="1"/>
        <v>5.6567326355674824E-2</v>
      </c>
      <c r="G63" s="2">
        <v>42727</v>
      </c>
      <c r="H63">
        <v>2263.79</v>
      </c>
      <c r="I63" s="127">
        <f t="shared" si="2"/>
        <v>1.251680702002657E-3</v>
      </c>
      <c r="J63">
        <v>54.703699999999998</v>
      </c>
      <c r="K63" s="127">
        <f t="shared" si="3"/>
        <v>-4.4115960914424043E-3</v>
      </c>
      <c r="M63" s="133" t="s">
        <v>219</v>
      </c>
      <c r="N63" s="133">
        <v>120</v>
      </c>
    </row>
    <row r="64" spans="1:22">
      <c r="A64" s="2">
        <v>38562</v>
      </c>
      <c r="B64">
        <v>1234.18</v>
      </c>
      <c r="C64" s="127">
        <f t="shared" si="0"/>
        <v>3.5968203604375061E-2</v>
      </c>
      <c r="D64">
        <v>11.008900000000001</v>
      </c>
      <c r="E64" s="127">
        <f t="shared" si="1"/>
        <v>-3.2337739962027878E-2</v>
      </c>
      <c r="G64" s="2">
        <v>42731</v>
      </c>
      <c r="H64">
        <v>2268.88</v>
      </c>
      <c r="I64" s="127">
        <f t="shared" si="2"/>
        <v>2.2484417724259521E-3</v>
      </c>
      <c r="J64">
        <v>54.0503</v>
      </c>
      <c r="K64" s="127">
        <f t="shared" si="3"/>
        <v>-1.1944347457301751E-2</v>
      </c>
    </row>
    <row r="65" spans="1:22" ht="16" thickBot="1">
      <c r="A65" s="2">
        <v>38595</v>
      </c>
      <c r="B65">
        <v>1220.33</v>
      </c>
      <c r="C65" s="127">
        <f t="shared" si="0"/>
        <v>-1.1222025960556917E-2</v>
      </c>
      <c r="D65">
        <v>10.3665</v>
      </c>
      <c r="E65" s="127">
        <f t="shared" si="1"/>
        <v>-5.8352787290283342E-2</v>
      </c>
      <c r="G65" s="2">
        <v>42732</v>
      </c>
      <c r="H65">
        <v>2249.92</v>
      </c>
      <c r="I65" s="127">
        <f t="shared" si="2"/>
        <v>-8.3565459610028016E-3</v>
      </c>
      <c r="J65">
        <v>53.765799999999999</v>
      </c>
      <c r="K65" s="127">
        <f t="shared" si="3"/>
        <v>-5.2636155581005347E-3</v>
      </c>
      <c r="M65" t="s">
        <v>220</v>
      </c>
    </row>
    <row r="66" spans="1:22">
      <c r="A66" s="2">
        <v>38625</v>
      </c>
      <c r="B66">
        <v>1228.81</v>
      </c>
      <c r="C66" s="127">
        <f t="shared" si="0"/>
        <v>6.9489400408086488E-3</v>
      </c>
      <c r="D66">
        <v>10.763299999999999</v>
      </c>
      <c r="E66" s="127">
        <f t="shared" si="1"/>
        <v>3.8277142719336223E-2</v>
      </c>
      <c r="G66" s="2">
        <v>42733</v>
      </c>
      <c r="H66">
        <v>2249.2600000000002</v>
      </c>
      <c r="I66" s="127">
        <f t="shared" si="2"/>
        <v>-2.9334376333374273E-4</v>
      </c>
      <c r="J66">
        <v>53.807899999999997</v>
      </c>
      <c r="K66" s="127">
        <f t="shared" si="3"/>
        <v>7.8302564083483942E-4</v>
      </c>
      <c r="M66" s="188"/>
      <c r="N66" s="188" t="s">
        <v>221</v>
      </c>
      <c r="O66" s="188"/>
      <c r="P66" s="188" t="s">
        <v>222</v>
      </c>
      <c r="Q66" s="188" t="s">
        <v>223</v>
      </c>
      <c r="R66" s="188" t="s">
        <v>224</v>
      </c>
      <c r="S66" s="188" t="s">
        <v>225</v>
      </c>
    </row>
    <row r="67" spans="1:22">
      <c r="A67" s="2">
        <v>38656</v>
      </c>
      <c r="B67">
        <v>1207.01</v>
      </c>
      <c r="C67" s="127">
        <f t="shared" si="0"/>
        <v>-1.774074104214643E-2</v>
      </c>
      <c r="D67">
        <v>11.0756</v>
      </c>
      <c r="E67" s="127">
        <f t="shared" si="1"/>
        <v>2.9015264835134252E-2</v>
      </c>
      <c r="G67" s="2">
        <v>42734</v>
      </c>
      <c r="H67">
        <v>2238.83</v>
      </c>
      <c r="I67" s="127">
        <f t="shared" si="2"/>
        <v>-4.6370806398550145E-3</v>
      </c>
      <c r="J67">
        <v>53.565600000000003</v>
      </c>
      <c r="K67" s="127">
        <f t="shared" si="3"/>
        <v>-4.5030562426705573E-3</v>
      </c>
      <c r="M67" s="132" t="s">
        <v>226</v>
      </c>
      <c r="N67" s="132">
        <v>1</v>
      </c>
      <c r="O67" s="132"/>
      <c r="P67" s="132">
        <v>0.14633580602542146</v>
      </c>
      <c r="Q67" s="132">
        <v>0.14633580602542146</v>
      </c>
      <c r="R67" s="132">
        <v>44.517522139803859</v>
      </c>
      <c r="S67" s="132">
        <v>8.6113118299587528E-10</v>
      </c>
    </row>
    <row r="68" spans="1:22">
      <c r="A68" s="2">
        <v>38686</v>
      </c>
      <c r="B68">
        <v>1249.48</v>
      </c>
      <c r="C68" s="127">
        <f t="shared" si="0"/>
        <v>3.5186121076047447E-2</v>
      </c>
      <c r="D68">
        <v>11.2403</v>
      </c>
      <c r="E68" s="127">
        <f t="shared" si="1"/>
        <v>1.4870526201740749E-2</v>
      </c>
      <c r="G68" s="2">
        <v>42738</v>
      </c>
      <c r="H68">
        <v>2257.83</v>
      </c>
      <c r="I68" s="127">
        <f t="shared" si="2"/>
        <v>8.4865755774221358E-3</v>
      </c>
      <c r="J68">
        <v>54.7774</v>
      </c>
      <c r="K68" s="127">
        <f t="shared" si="3"/>
        <v>2.2622728019475121E-2</v>
      </c>
      <c r="M68" s="132" t="s">
        <v>227</v>
      </c>
      <c r="N68" s="132">
        <v>118</v>
      </c>
      <c r="O68" s="132"/>
      <c r="P68" s="132">
        <v>0.38788378779870275</v>
      </c>
      <c r="Q68" s="132">
        <v>3.2871507440568031E-3</v>
      </c>
      <c r="R68" s="132"/>
      <c r="S68" s="132"/>
    </row>
    <row r="69" spans="1:22" ht="16" thickBot="1">
      <c r="A69" s="2">
        <v>38716</v>
      </c>
      <c r="B69">
        <v>1248.29</v>
      </c>
      <c r="C69" s="127">
        <f t="shared" si="0"/>
        <v>-9.5239619681791992E-4</v>
      </c>
      <c r="D69">
        <v>11.477499999999999</v>
      </c>
      <c r="E69" s="127">
        <f t="shared" si="1"/>
        <v>2.1102639609263067E-2</v>
      </c>
      <c r="G69" s="2">
        <v>42739</v>
      </c>
      <c r="H69">
        <v>2270.75</v>
      </c>
      <c r="I69" s="127">
        <f t="shared" si="2"/>
        <v>5.7223085883348493E-3</v>
      </c>
      <c r="J69">
        <v>55.926099999999998</v>
      </c>
      <c r="K69" s="127">
        <f t="shared" si="3"/>
        <v>2.0970327178726957E-2</v>
      </c>
      <c r="M69" s="133" t="s">
        <v>228</v>
      </c>
      <c r="N69" s="133">
        <v>119</v>
      </c>
      <c r="O69" s="133"/>
      <c r="P69" s="133">
        <v>0.53421959382412421</v>
      </c>
      <c r="Q69" s="133"/>
      <c r="R69" s="133"/>
      <c r="S69" s="133"/>
    </row>
    <row r="70" spans="1:22" ht="16" thickBot="1">
      <c r="A70" s="2">
        <v>38748</v>
      </c>
      <c r="B70">
        <v>1280.08</v>
      </c>
      <c r="C70" s="127">
        <f t="shared" si="0"/>
        <v>2.5466838635252998E-2</v>
      </c>
      <c r="D70">
        <v>10.7052</v>
      </c>
      <c r="E70" s="127">
        <f t="shared" si="1"/>
        <v>-6.7288172511435387E-2</v>
      </c>
      <c r="G70" s="2">
        <v>42740</v>
      </c>
      <c r="H70">
        <v>2269</v>
      </c>
      <c r="I70" s="127">
        <f t="shared" si="2"/>
        <v>-7.7067048332048887E-4</v>
      </c>
      <c r="J70">
        <v>55.915599999999998</v>
      </c>
      <c r="K70" s="127">
        <f t="shared" si="3"/>
        <v>-1.8774775999042304E-4</v>
      </c>
    </row>
    <row r="71" spans="1:22">
      <c r="A71" s="2">
        <v>38776</v>
      </c>
      <c r="B71">
        <v>1280.6600000000001</v>
      </c>
      <c r="C71" s="127">
        <f t="shared" si="0"/>
        <v>4.5309668145752973E-4</v>
      </c>
      <c r="D71">
        <v>11.4762</v>
      </c>
      <c r="E71" s="127">
        <f t="shared" si="1"/>
        <v>7.2021073870642383E-2</v>
      </c>
      <c r="G71" s="2">
        <v>42741</v>
      </c>
      <c r="H71">
        <v>2276.98</v>
      </c>
      <c r="I71" s="127">
        <f t="shared" si="2"/>
        <v>3.516967827236676E-3</v>
      </c>
      <c r="J71">
        <v>56.811300000000003</v>
      </c>
      <c r="K71" s="127">
        <f t="shared" si="3"/>
        <v>1.6018785455221889E-2</v>
      </c>
      <c r="M71" s="188"/>
      <c r="N71" s="188" t="s">
        <v>229</v>
      </c>
      <c r="O71" s="188"/>
      <c r="P71" s="188" t="s">
        <v>218</v>
      </c>
      <c r="Q71" s="188" t="s">
        <v>230</v>
      </c>
      <c r="R71" s="188" t="s">
        <v>231</v>
      </c>
      <c r="S71" s="188" t="s">
        <v>232</v>
      </c>
      <c r="T71" s="188" t="s">
        <v>233</v>
      </c>
      <c r="U71" s="188" t="s">
        <v>234</v>
      </c>
      <c r="V71" s="188" t="s">
        <v>235</v>
      </c>
    </row>
    <row r="72" spans="1:22">
      <c r="A72" s="2">
        <v>38807</v>
      </c>
      <c r="B72">
        <v>1294.83</v>
      </c>
      <c r="C72" s="127">
        <f t="shared" si="0"/>
        <v>1.1064607311854704E-2</v>
      </c>
      <c r="D72">
        <v>11.295</v>
      </c>
      <c r="E72" s="127">
        <f t="shared" si="1"/>
        <v>-1.5789198515187994E-2</v>
      </c>
      <c r="G72" s="2">
        <v>42744</v>
      </c>
      <c r="H72">
        <v>2268.9</v>
      </c>
      <c r="I72" s="127">
        <f t="shared" si="2"/>
        <v>-3.5485599346502506E-3</v>
      </c>
      <c r="J72">
        <v>56.252800000000001</v>
      </c>
      <c r="K72" s="127">
        <f t="shared" si="3"/>
        <v>-9.8307907053702733E-3</v>
      </c>
      <c r="M72" s="164" t="s">
        <v>236</v>
      </c>
      <c r="N72" s="164">
        <v>9.8407356833033061E-3</v>
      </c>
      <c r="O72" s="164"/>
      <c r="P72" s="164">
        <v>5.2703067154281965E-3</v>
      </c>
      <c r="Q72" s="164">
        <v>1.8672036021159304</v>
      </c>
      <c r="R72" s="164">
        <v>6.4354719383998379E-2</v>
      </c>
      <c r="S72" s="164">
        <v>-5.9590645041613516E-4</v>
      </c>
      <c r="T72" s="164">
        <v>2.0277377817022747E-2</v>
      </c>
      <c r="U72" s="164">
        <v>-5.9590645041613516E-4</v>
      </c>
      <c r="V72" s="164">
        <v>2.0277377817022747E-2</v>
      </c>
    </row>
    <row r="73" spans="1:22" ht="16" thickBot="1">
      <c r="A73" s="2">
        <v>38835</v>
      </c>
      <c r="B73">
        <v>1310.6099999999999</v>
      </c>
      <c r="C73" s="127">
        <f t="shared" ref="C73:C136" si="4">(B73-B72)/B72</f>
        <v>1.2186928013716066E-2</v>
      </c>
      <c r="D73">
        <v>10.862299999999999</v>
      </c>
      <c r="E73" s="127">
        <f t="shared" ref="E73:E136" si="5">(D73-D72)/D72</f>
        <v>-3.8308986277113814E-2</v>
      </c>
      <c r="G73" s="2">
        <v>42745</v>
      </c>
      <c r="H73">
        <v>2268.9</v>
      </c>
      <c r="I73" s="127">
        <f t="shared" ref="I73:I136" si="6">(H73-H72)/H72</f>
        <v>0</v>
      </c>
      <c r="J73">
        <v>55.968299999999999</v>
      </c>
      <c r="K73" s="127">
        <f t="shared" ref="K73:K136" si="7">(J73-J72)/J72</f>
        <v>-5.0575260253712048E-3</v>
      </c>
      <c r="M73" s="191" t="s">
        <v>237</v>
      </c>
      <c r="N73" s="191">
        <v>0.80201617723082907</v>
      </c>
      <c r="O73" s="191"/>
      <c r="P73" s="191">
        <v>0.12020364486328264</v>
      </c>
      <c r="Q73" s="191">
        <v>6.6721452427089645</v>
      </c>
      <c r="R73" s="191">
        <v>8.6113118299586898E-10</v>
      </c>
      <c r="S73" s="191">
        <v>0.56398023504660688</v>
      </c>
      <c r="T73" s="191">
        <v>1.0400521194150514</v>
      </c>
      <c r="U73" s="191">
        <v>0.56398023504660688</v>
      </c>
      <c r="V73" s="191">
        <v>1.0400521194150514</v>
      </c>
    </row>
    <row r="74" spans="1:22">
      <c r="A74" s="2">
        <v>38868</v>
      </c>
      <c r="B74">
        <v>1270.0899999999999</v>
      </c>
      <c r="C74" s="127">
        <f t="shared" si="4"/>
        <v>-3.0916901290238885E-2</v>
      </c>
      <c r="D74">
        <v>10.6592</v>
      </c>
      <c r="E74" s="127">
        <f t="shared" si="5"/>
        <v>-1.8697697541036354E-2</v>
      </c>
      <c r="G74" s="2">
        <v>42746</v>
      </c>
      <c r="H74">
        <v>2275.3200000000002</v>
      </c>
      <c r="I74" s="127">
        <f t="shared" si="6"/>
        <v>2.8295649874388791E-3</v>
      </c>
      <c r="J74">
        <v>55.525700000000001</v>
      </c>
      <c r="K74" s="127">
        <f t="shared" si="7"/>
        <v>-7.9080479485708656E-3</v>
      </c>
    </row>
    <row r="75" spans="1:22">
      <c r="A75" s="2">
        <v>38898</v>
      </c>
      <c r="B75">
        <v>1270.2</v>
      </c>
      <c r="C75" s="127">
        <f t="shared" si="4"/>
        <v>8.6608035651117117E-5</v>
      </c>
      <c r="D75">
        <v>10.792</v>
      </c>
      <c r="E75" s="127">
        <f t="shared" si="5"/>
        <v>1.2458721104773302E-2</v>
      </c>
      <c r="G75" s="2">
        <v>42747</v>
      </c>
      <c r="H75">
        <v>2270.44</v>
      </c>
      <c r="I75" s="127">
        <f t="shared" si="6"/>
        <v>-2.1447532654747942E-3</v>
      </c>
      <c r="J75">
        <v>55.22</v>
      </c>
      <c r="K75" s="127">
        <f t="shared" si="7"/>
        <v>-5.5055586872385515E-3</v>
      </c>
    </row>
    <row r="76" spans="1:22">
      <c r="A76" s="2">
        <v>38929</v>
      </c>
      <c r="B76">
        <v>1276.6600000000001</v>
      </c>
      <c r="C76" s="127">
        <f t="shared" si="4"/>
        <v>5.0858132577547123E-3</v>
      </c>
      <c r="D76">
        <v>10.525499999999999</v>
      </c>
      <c r="E76" s="127">
        <f t="shared" si="5"/>
        <v>-2.4694217939214291E-2</v>
      </c>
      <c r="G76" s="2">
        <v>42748</v>
      </c>
      <c r="H76">
        <v>2274.64</v>
      </c>
      <c r="I76" s="127">
        <f t="shared" si="6"/>
        <v>1.8498617008156208E-3</v>
      </c>
      <c r="J76">
        <v>55.768000000000001</v>
      </c>
      <c r="K76" s="127">
        <f t="shared" si="7"/>
        <v>9.9239406012314717E-3</v>
      </c>
    </row>
    <row r="77" spans="1:22">
      <c r="A77" s="2">
        <v>38960</v>
      </c>
      <c r="B77">
        <v>1303.82</v>
      </c>
      <c r="C77" s="127">
        <f t="shared" si="4"/>
        <v>2.1274262528785937E-2</v>
      </c>
      <c r="D77">
        <v>10.76</v>
      </c>
      <c r="E77" s="127">
        <f t="shared" si="5"/>
        <v>2.2279226640064664E-2</v>
      </c>
      <c r="G77" s="2">
        <v>42752</v>
      </c>
      <c r="H77">
        <v>2267.89</v>
      </c>
      <c r="I77" s="127">
        <f t="shared" si="6"/>
        <v>-2.9675025498540428E-3</v>
      </c>
      <c r="J77">
        <v>56.537300000000002</v>
      </c>
      <c r="K77" s="127">
        <f t="shared" si="7"/>
        <v>1.3794649261225096E-2</v>
      </c>
    </row>
    <row r="78" spans="1:22">
      <c r="A78" s="2">
        <v>38989</v>
      </c>
      <c r="B78">
        <v>1335.85</v>
      </c>
      <c r="C78" s="127">
        <f t="shared" si="4"/>
        <v>2.4566274485741876E-2</v>
      </c>
      <c r="D78">
        <v>11.715299999999999</v>
      </c>
      <c r="E78" s="127">
        <f t="shared" si="5"/>
        <v>8.8782527881040837E-2</v>
      </c>
      <c r="G78" s="2">
        <v>42753</v>
      </c>
      <c r="H78">
        <v>2271.89</v>
      </c>
      <c r="I78" s="127">
        <f t="shared" si="6"/>
        <v>1.7637539739581726E-3</v>
      </c>
      <c r="J78">
        <v>56.136899999999997</v>
      </c>
      <c r="K78" s="127">
        <f t="shared" si="7"/>
        <v>-7.0820502570869978E-3</v>
      </c>
    </row>
    <row r="79" spans="1:22">
      <c r="A79" s="2">
        <v>39021</v>
      </c>
      <c r="B79">
        <v>1377.94</v>
      </c>
      <c r="C79" s="127">
        <f t="shared" si="4"/>
        <v>3.1508028596025112E-2</v>
      </c>
      <c r="D79">
        <v>12.2849</v>
      </c>
      <c r="E79" s="127">
        <f t="shared" si="5"/>
        <v>4.8620180447790602E-2</v>
      </c>
      <c r="G79" s="2">
        <v>42754</v>
      </c>
      <c r="H79">
        <v>2263.69</v>
      </c>
      <c r="I79" s="127">
        <f t="shared" si="6"/>
        <v>-3.6093296770529464E-3</v>
      </c>
      <c r="J79">
        <v>55.778599999999997</v>
      </c>
      <c r="K79" s="127">
        <f t="shared" si="7"/>
        <v>-6.3826110811248905E-3</v>
      </c>
    </row>
    <row r="80" spans="1:22">
      <c r="A80" s="2">
        <v>39051</v>
      </c>
      <c r="B80">
        <v>1400.63</v>
      </c>
      <c r="C80" s="127">
        <f t="shared" si="4"/>
        <v>1.6466609576614406E-2</v>
      </c>
      <c r="D80">
        <v>13.2302</v>
      </c>
      <c r="E80" s="127">
        <f t="shared" si="5"/>
        <v>7.694812330584698E-2</v>
      </c>
      <c r="G80" s="2">
        <v>42755</v>
      </c>
      <c r="H80">
        <v>2271.31</v>
      </c>
      <c r="I80" s="127">
        <f t="shared" si="6"/>
        <v>3.3661852992237853E-3</v>
      </c>
      <c r="J80">
        <v>56.063099999999999</v>
      </c>
      <c r="K80" s="127">
        <f t="shared" si="7"/>
        <v>5.1005224225778578E-3</v>
      </c>
    </row>
    <row r="81" spans="1:11">
      <c r="A81" s="2">
        <v>39080</v>
      </c>
      <c r="B81">
        <v>1418.3</v>
      </c>
      <c r="C81" s="127">
        <f t="shared" si="4"/>
        <v>1.2615751483260993E-2</v>
      </c>
      <c r="D81">
        <v>13.2903</v>
      </c>
      <c r="E81" s="127">
        <f t="shared" si="5"/>
        <v>4.5426372995117431E-3</v>
      </c>
      <c r="G81" s="2">
        <v>42758</v>
      </c>
      <c r="H81">
        <v>2265.1999999999998</v>
      </c>
      <c r="I81" s="127">
        <f t="shared" si="6"/>
        <v>-2.6900775323492289E-3</v>
      </c>
      <c r="J81">
        <v>56.1053</v>
      </c>
      <c r="K81" s="127">
        <f t="shared" si="7"/>
        <v>7.5272327074316482E-4</v>
      </c>
    </row>
    <row r="82" spans="1:11">
      <c r="A82" s="2">
        <v>39113</v>
      </c>
      <c r="B82">
        <v>1438.24</v>
      </c>
      <c r="C82" s="127">
        <f t="shared" si="4"/>
        <v>1.4059084819854795E-2</v>
      </c>
      <c r="D82">
        <v>13.2608</v>
      </c>
      <c r="E82" s="127">
        <f t="shared" si="5"/>
        <v>-2.2196639654485247E-3</v>
      </c>
      <c r="G82" s="2">
        <v>42759</v>
      </c>
      <c r="H82">
        <v>2280.0700000000002</v>
      </c>
      <c r="I82" s="127">
        <f t="shared" si="6"/>
        <v>6.5645417623169467E-3</v>
      </c>
      <c r="J82">
        <v>56.326599999999999</v>
      </c>
      <c r="K82" s="127">
        <f t="shared" si="7"/>
        <v>3.9443688920654443E-3</v>
      </c>
    </row>
    <row r="83" spans="1:11">
      <c r="A83" s="2">
        <v>39141</v>
      </c>
      <c r="B83">
        <v>1406.82</v>
      </c>
      <c r="C83" s="127">
        <f t="shared" si="4"/>
        <v>-2.1846145288686222E-2</v>
      </c>
      <c r="D83">
        <v>14.0204</v>
      </c>
      <c r="E83" s="127">
        <f t="shared" si="5"/>
        <v>5.7281611969112023E-2</v>
      </c>
      <c r="G83" s="2">
        <v>42760</v>
      </c>
      <c r="H83">
        <v>2298.37</v>
      </c>
      <c r="I83" s="127">
        <f t="shared" si="6"/>
        <v>8.0260693750629254E-3</v>
      </c>
      <c r="J83">
        <v>56.758600000000001</v>
      </c>
      <c r="K83" s="127">
        <f t="shared" si="7"/>
        <v>7.6695557693878588E-3</v>
      </c>
    </row>
    <row r="84" spans="1:11">
      <c r="A84" s="2">
        <v>39171</v>
      </c>
      <c r="B84">
        <v>1420.86</v>
      </c>
      <c r="C84" s="127">
        <f t="shared" si="4"/>
        <v>9.9799547916577559E-3</v>
      </c>
      <c r="D84">
        <v>14.3103</v>
      </c>
      <c r="E84" s="127">
        <f t="shared" si="5"/>
        <v>2.0677013494622077E-2</v>
      </c>
      <c r="G84" s="2">
        <v>42761</v>
      </c>
      <c r="H84">
        <v>2296.6799999999998</v>
      </c>
      <c r="I84" s="127">
        <f t="shared" si="6"/>
        <v>-7.3530371524169506E-4</v>
      </c>
      <c r="J84">
        <v>56.537300000000002</v>
      </c>
      <c r="K84" s="127">
        <f t="shared" si="7"/>
        <v>-3.8989686144478438E-3</v>
      </c>
    </row>
    <row r="85" spans="1:11">
      <c r="A85" s="2">
        <v>39202</v>
      </c>
      <c r="B85">
        <v>1482.37</v>
      </c>
      <c r="C85" s="127">
        <f t="shared" si="4"/>
        <v>4.3290683107413817E-2</v>
      </c>
      <c r="D85">
        <v>14.5069</v>
      </c>
      <c r="E85" s="127">
        <f t="shared" si="5"/>
        <v>1.3738356288826937E-2</v>
      </c>
      <c r="G85" s="2">
        <v>42762</v>
      </c>
      <c r="H85">
        <v>2294.69</v>
      </c>
      <c r="I85" s="127">
        <f t="shared" si="6"/>
        <v>-8.6646811919805194E-4</v>
      </c>
      <c r="J85">
        <v>56.052599999999998</v>
      </c>
      <c r="K85" s="127">
        <f t="shared" si="7"/>
        <v>-8.5731012977274066E-3</v>
      </c>
    </row>
    <row r="86" spans="1:11">
      <c r="A86" s="2">
        <v>39233</v>
      </c>
      <c r="B86">
        <v>1530.62</v>
      </c>
      <c r="C86" s="127">
        <f t="shared" si="4"/>
        <v>3.2549228600147063E-2</v>
      </c>
      <c r="D86">
        <v>15.285299999999999</v>
      </c>
      <c r="E86" s="127">
        <f t="shared" si="5"/>
        <v>5.3657225182499331E-2</v>
      </c>
      <c r="G86" s="2">
        <v>42765</v>
      </c>
      <c r="H86">
        <v>2280.9</v>
      </c>
      <c r="I86" s="127">
        <f t="shared" si="6"/>
        <v>-6.0095263412486928E-3</v>
      </c>
      <c r="J86">
        <v>55.936599999999999</v>
      </c>
      <c r="K86" s="127">
        <f t="shared" si="7"/>
        <v>-2.0694847339820036E-3</v>
      </c>
    </row>
    <row r="87" spans="1:11">
      <c r="A87" s="2">
        <v>39262</v>
      </c>
      <c r="B87">
        <v>1503.35</v>
      </c>
      <c r="C87" s="127">
        <f t="shared" si="4"/>
        <v>-1.7816309730697352E-2</v>
      </c>
      <c r="D87">
        <v>15.7499</v>
      </c>
      <c r="E87" s="127">
        <f t="shared" si="5"/>
        <v>3.0395216318947014E-2</v>
      </c>
      <c r="G87" s="2">
        <v>42766</v>
      </c>
      <c r="H87">
        <v>2278.87</v>
      </c>
      <c r="I87" s="127">
        <f t="shared" si="6"/>
        <v>-8.8999956157665837E-4</v>
      </c>
      <c r="J87">
        <v>55.747</v>
      </c>
      <c r="K87" s="127">
        <f t="shared" si="7"/>
        <v>-3.389551742508459E-3</v>
      </c>
    </row>
    <row r="88" spans="1:11">
      <c r="A88" s="2">
        <v>39294</v>
      </c>
      <c r="B88">
        <v>1455.27</v>
      </c>
      <c r="C88" s="127">
        <f t="shared" si="4"/>
        <v>-3.1981907074200906E-2</v>
      </c>
      <c r="D88">
        <v>15.252800000000001</v>
      </c>
      <c r="E88" s="127">
        <f t="shared" si="5"/>
        <v>-3.1562105156223194E-2</v>
      </c>
      <c r="G88" s="2">
        <v>42767</v>
      </c>
      <c r="H88">
        <v>2279.5500000000002</v>
      </c>
      <c r="I88" s="127">
        <f t="shared" si="6"/>
        <v>2.9839350204280678E-4</v>
      </c>
      <c r="J88">
        <v>55.873399999999997</v>
      </c>
      <c r="K88" s="127">
        <f t="shared" si="7"/>
        <v>2.2673865858251875E-3</v>
      </c>
    </row>
    <row r="89" spans="1:11">
      <c r="A89" s="2">
        <v>39325</v>
      </c>
      <c r="B89">
        <v>1473.99</v>
      </c>
      <c r="C89" s="127">
        <f t="shared" si="4"/>
        <v>1.2863592323074088E-2</v>
      </c>
      <c r="D89">
        <v>15.223000000000001</v>
      </c>
      <c r="E89" s="127">
        <f t="shared" si="5"/>
        <v>-1.9537396412461858E-3</v>
      </c>
      <c r="G89" s="2">
        <v>42768</v>
      </c>
      <c r="H89">
        <v>2280.85</v>
      </c>
      <c r="I89" s="127">
        <f t="shared" si="6"/>
        <v>5.7028799543757628E-4</v>
      </c>
      <c r="J89">
        <v>55.641599999999997</v>
      </c>
      <c r="K89" s="127">
        <f t="shared" si="7"/>
        <v>-4.1486646597486427E-3</v>
      </c>
    </row>
    <row r="90" spans="1:11">
      <c r="A90" s="2">
        <v>39353</v>
      </c>
      <c r="B90">
        <v>1526.75</v>
      </c>
      <c r="C90" s="127">
        <f t="shared" si="4"/>
        <v>3.5794001316155462E-2</v>
      </c>
      <c r="D90">
        <v>15.899900000000001</v>
      </c>
      <c r="E90" s="127">
        <f t="shared" si="5"/>
        <v>4.4465611246140693E-2</v>
      </c>
      <c r="G90" s="2">
        <v>42769</v>
      </c>
      <c r="H90">
        <v>2297.42</v>
      </c>
      <c r="I90" s="127">
        <f t="shared" si="6"/>
        <v>7.2648354780016945E-3</v>
      </c>
      <c r="J90">
        <v>55.177900000000001</v>
      </c>
      <c r="K90" s="127">
        <f t="shared" si="7"/>
        <v>-8.3336927766274847E-3</v>
      </c>
    </row>
    <row r="91" spans="1:11">
      <c r="A91" s="2">
        <v>39386</v>
      </c>
      <c r="B91">
        <v>1549.38</v>
      </c>
      <c r="C91" s="127">
        <f t="shared" si="4"/>
        <v>1.4822335025380782E-2</v>
      </c>
      <c r="D91">
        <v>17.959900000000001</v>
      </c>
      <c r="E91" s="127">
        <f t="shared" si="5"/>
        <v>0.12956056327398288</v>
      </c>
      <c r="G91" s="2">
        <v>42772</v>
      </c>
      <c r="H91">
        <v>2292.56</v>
      </c>
      <c r="I91" s="127">
        <f t="shared" si="6"/>
        <v>-2.115416423640487E-3</v>
      </c>
      <c r="J91">
        <v>55.641599999999997</v>
      </c>
      <c r="K91" s="127">
        <f t="shared" si="7"/>
        <v>8.4037268544108375E-3</v>
      </c>
    </row>
    <row r="92" spans="1:11">
      <c r="A92" s="2">
        <v>39416</v>
      </c>
      <c r="B92">
        <v>1481.14</v>
      </c>
      <c r="C92" s="127">
        <f t="shared" si="4"/>
        <v>-4.4043423821141361E-2</v>
      </c>
      <c r="D92">
        <v>17.794499999999999</v>
      </c>
      <c r="E92" s="127">
        <f t="shared" si="5"/>
        <v>-9.2094053975802625E-3</v>
      </c>
      <c r="G92" s="2">
        <v>42773</v>
      </c>
      <c r="H92">
        <v>2293.08</v>
      </c>
      <c r="I92" s="127">
        <f t="shared" si="6"/>
        <v>2.2682067208709122E-4</v>
      </c>
      <c r="J92">
        <v>55.652099999999997</v>
      </c>
      <c r="K92" s="127">
        <f t="shared" si="7"/>
        <v>1.8870772946860619E-4</v>
      </c>
    </row>
    <row r="93" spans="1:11">
      <c r="A93" s="2">
        <v>39447</v>
      </c>
      <c r="B93">
        <v>1468.36</v>
      </c>
      <c r="C93" s="127">
        <f t="shared" si="4"/>
        <v>-8.6284888666839053E-3</v>
      </c>
      <c r="D93">
        <v>17.474699999999999</v>
      </c>
      <c r="E93" s="127">
        <f t="shared" si="5"/>
        <v>-1.7971845233077679E-2</v>
      </c>
      <c r="G93" s="2">
        <v>42774</v>
      </c>
      <c r="H93">
        <v>2294.67</v>
      </c>
      <c r="I93" s="127">
        <f t="shared" si="6"/>
        <v>6.9339054895605282E-4</v>
      </c>
      <c r="J93">
        <v>56.779699999999998</v>
      </c>
      <c r="K93" s="127">
        <f t="shared" si="7"/>
        <v>2.0261589409923456E-2</v>
      </c>
    </row>
    <row r="94" spans="1:11">
      <c r="A94" s="2">
        <v>39478</v>
      </c>
      <c r="B94">
        <v>1378.55</v>
      </c>
      <c r="C94" s="127">
        <f t="shared" si="4"/>
        <v>-6.1163474897164151E-2</v>
      </c>
      <c r="D94">
        <v>16.6831</v>
      </c>
      <c r="E94" s="127">
        <f t="shared" si="5"/>
        <v>-4.5299776247946975E-2</v>
      </c>
      <c r="G94" s="2">
        <v>42775</v>
      </c>
      <c r="H94">
        <v>2307.87</v>
      </c>
      <c r="I94" s="127">
        <f t="shared" si="6"/>
        <v>5.7524611382027994E-3</v>
      </c>
      <c r="J94">
        <v>58.286700000000003</v>
      </c>
      <c r="K94" s="127">
        <f t="shared" si="7"/>
        <v>2.6541175807551026E-2</v>
      </c>
    </row>
    <row r="95" spans="1:11">
      <c r="A95" s="2">
        <v>39507</v>
      </c>
      <c r="B95">
        <v>1330.63</v>
      </c>
      <c r="C95" s="127">
        <f t="shared" si="4"/>
        <v>-3.4761162090602336E-2</v>
      </c>
      <c r="D95">
        <v>16.375699999999998</v>
      </c>
      <c r="E95" s="127">
        <f t="shared" si="5"/>
        <v>-1.8425832129520366E-2</v>
      </c>
      <c r="G95" s="2">
        <v>42776</v>
      </c>
      <c r="H95">
        <v>2316.1</v>
      </c>
      <c r="I95" s="127">
        <f t="shared" si="6"/>
        <v>3.566058746809837E-3</v>
      </c>
      <c r="J95">
        <v>59.245600000000003</v>
      </c>
      <c r="K95" s="127">
        <f t="shared" si="7"/>
        <v>1.645143746343505E-2</v>
      </c>
    </row>
    <row r="96" spans="1:11">
      <c r="A96" s="2">
        <v>39538</v>
      </c>
      <c r="B96">
        <v>1322.7</v>
      </c>
      <c r="C96" s="127">
        <f t="shared" si="4"/>
        <v>-5.9595830546433368E-3</v>
      </c>
      <c r="D96">
        <v>18.560099999999998</v>
      </c>
      <c r="E96" s="127">
        <f t="shared" si="5"/>
        <v>0.13339277099604904</v>
      </c>
      <c r="G96" s="2">
        <v>42779</v>
      </c>
      <c r="H96">
        <v>2328.25</v>
      </c>
      <c r="I96" s="127">
        <f t="shared" si="6"/>
        <v>5.2458874832693285E-3</v>
      </c>
      <c r="J96">
        <v>59.108600000000003</v>
      </c>
      <c r="K96" s="127">
        <f t="shared" si="7"/>
        <v>-2.3124080100463233E-3</v>
      </c>
    </row>
    <row r="97" spans="1:11">
      <c r="A97" s="2">
        <v>39568</v>
      </c>
      <c r="B97">
        <v>1385.59</v>
      </c>
      <c r="C97" s="127">
        <f t="shared" si="4"/>
        <v>4.7546684811370581E-2</v>
      </c>
      <c r="D97">
        <v>18.232500000000002</v>
      </c>
      <c r="E97" s="127">
        <f t="shared" si="5"/>
        <v>-1.7650766967850218E-2</v>
      </c>
      <c r="G97" s="2">
        <v>42780</v>
      </c>
      <c r="H97">
        <v>2337.58</v>
      </c>
      <c r="I97" s="127">
        <f t="shared" si="6"/>
        <v>4.0073016213894247E-3</v>
      </c>
      <c r="J97">
        <v>59.488</v>
      </c>
      <c r="K97" s="127">
        <f t="shared" si="7"/>
        <v>6.418693726462762E-3</v>
      </c>
    </row>
    <row r="98" spans="1:11">
      <c r="A98" s="2">
        <v>39598</v>
      </c>
      <c r="B98">
        <v>1400.38</v>
      </c>
      <c r="C98" s="127">
        <f t="shared" si="4"/>
        <v>1.067415324879668E-2</v>
      </c>
      <c r="D98">
        <v>18.661100000000001</v>
      </c>
      <c r="E98" s="127">
        <f t="shared" si="5"/>
        <v>2.350747291923759E-2</v>
      </c>
      <c r="G98" s="2">
        <v>42781</v>
      </c>
      <c r="H98">
        <v>2349.25</v>
      </c>
      <c r="I98" s="127">
        <f t="shared" si="6"/>
        <v>4.9923425080639263E-3</v>
      </c>
      <c r="J98">
        <v>59.688200000000002</v>
      </c>
      <c r="K98" s="127">
        <f t="shared" si="7"/>
        <v>3.3653846153846555E-3</v>
      </c>
    </row>
    <row r="99" spans="1:11">
      <c r="A99" s="2">
        <v>39629</v>
      </c>
      <c r="B99">
        <v>1280</v>
      </c>
      <c r="C99" s="127">
        <f t="shared" si="4"/>
        <v>-8.5962381639269406E-2</v>
      </c>
      <c r="D99">
        <v>16.332899999999999</v>
      </c>
      <c r="E99" s="127">
        <f t="shared" si="5"/>
        <v>-0.12476220587210841</v>
      </c>
      <c r="G99" s="2">
        <v>42782</v>
      </c>
      <c r="H99">
        <v>2347.2199999999998</v>
      </c>
      <c r="I99" s="127">
        <f t="shared" si="6"/>
        <v>-8.6410556560612964E-4</v>
      </c>
      <c r="J99">
        <v>59.319400000000002</v>
      </c>
      <c r="K99" s="127">
        <f t="shared" si="7"/>
        <v>-6.1787757044105907E-3</v>
      </c>
    </row>
    <row r="100" spans="1:11">
      <c r="A100" s="2">
        <v>39660</v>
      </c>
      <c r="B100">
        <v>1267.3800000000001</v>
      </c>
      <c r="C100" s="127">
        <f t="shared" si="4"/>
        <v>-9.8593749999999151E-3</v>
      </c>
      <c r="D100">
        <v>16.077999999999999</v>
      </c>
      <c r="E100" s="127">
        <f t="shared" si="5"/>
        <v>-1.5606536499947912E-2</v>
      </c>
      <c r="G100" s="2">
        <v>42783</v>
      </c>
      <c r="H100">
        <v>2351.16</v>
      </c>
      <c r="I100" s="127">
        <f t="shared" si="6"/>
        <v>1.6785814708463864E-3</v>
      </c>
      <c r="J100">
        <v>59.804200000000002</v>
      </c>
      <c r="K100" s="127">
        <f t="shared" si="7"/>
        <v>8.1727057252770578E-3</v>
      </c>
    </row>
    <row r="101" spans="1:11">
      <c r="A101" s="2">
        <v>39689</v>
      </c>
      <c r="B101">
        <v>1282.83</v>
      </c>
      <c r="C101" s="127">
        <f t="shared" si="4"/>
        <v>1.2190503242910426E-2</v>
      </c>
      <c r="D101">
        <v>16.6069</v>
      </c>
      <c r="E101" s="127">
        <f t="shared" si="5"/>
        <v>3.2895882572459269E-2</v>
      </c>
      <c r="G101" s="2">
        <v>42787</v>
      </c>
      <c r="H101">
        <v>2365.38</v>
      </c>
      <c r="I101" s="127">
        <f t="shared" si="6"/>
        <v>6.048078395345385E-3</v>
      </c>
      <c r="J101">
        <v>60.447000000000003</v>
      </c>
      <c r="K101" s="127">
        <f t="shared" si="7"/>
        <v>1.0748408974620531E-2</v>
      </c>
    </row>
    <row r="102" spans="1:11">
      <c r="A102" s="2">
        <v>39721</v>
      </c>
      <c r="B102">
        <v>1166.3599999999999</v>
      </c>
      <c r="C102" s="127">
        <f t="shared" si="4"/>
        <v>-9.0791453271283046E-2</v>
      </c>
      <c r="D102">
        <v>18.3933</v>
      </c>
      <c r="E102" s="127">
        <f t="shared" si="5"/>
        <v>0.10756974510594997</v>
      </c>
      <c r="G102" s="2">
        <v>42788</v>
      </c>
      <c r="H102">
        <v>2362.8200000000002</v>
      </c>
      <c r="I102" s="127">
        <f t="shared" si="6"/>
        <v>-1.0822785345271986E-3</v>
      </c>
      <c r="J102">
        <v>61.374299999999998</v>
      </c>
      <c r="K102" s="127">
        <f t="shared" si="7"/>
        <v>1.5340711697850933E-2</v>
      </c>
    </row>
    <row r="103" spans="1:11">
      <c r="A103" s="2">
        <v>39752</v>
      </c>
      <c r="B103">
        <v>968.75</v>
      </c>
      <c r="C103" s="127">
        <f t="shared" si="4"/>
        <v>-0.16942453444905511</v>
      </c>
      <c r="D103">
        <v>15.8446</v>
      </c>
      <c r="E103" s="127">
        <f t="shared" si="5"/>
        <v>-0.13856676072265445</v>
      </c>
      <c r="G103" s="2">
        <v>42789</v>
      </c>
      <c r="H103">
        <v>2363.81</v>
      </c>
      <c r="I103" s="127">
        <f t="shared" si="6"/>
        <v>4.1899086684545658E-4</v>
      </c>
      <c r="J103">
        <v>60.4786</v>
      </c>
      <c r="K103" s="127">
        <f t="shared" si="7"/>
        <v>-1.4594056469890459E-2</v>
      </c>
    </row>
    <row r="104" spans="1:11">
      <c r="A104" s="2">
        <v>39780</v>
      </c>
      <c r="B104">
        <v>896.24</v>
      </c>
      <c r="C104" s="127">
        <f t="shared" si="4"/>
        <v>-7.484903225806451E-2</v>
      </c>
      <c r="D104">
        <v>14.6404</v>
      </c>
      <c r="E104" s="127">
        <f t="shared" si="5"/>
        <v>-7.6000656375042608E-2</v>
      </c>
      <c r="G104" s="2">
        <v>42790</v>
      </c>
      <c r="H104">
        <v>2367.34</v>
      </c>
      <c r="I104" s="127">
        <f t="shared" si="6"/>
        <v>1.4933518345383937E-3</v>
      </c>
      <c r="J104">
        <v>60.9739</v>
      </c>
      <c r="K104" s="127">
        <f t="shared" si="7"/>
        <v>8.1896737027642892E-3</v>
      </c>
    </row>
    <row r="105" spans="1:11">
      <c r="A105" s="2">
        <v>39813</v>
      </c>
      <c r="B105">
        <v>903.25</v>
      </c>
      <c r="C105" s="127">
        <f t="shared" si="4"/>
        <v>7.8215656520574748E-3</v>
      </c>
      <c r="D105">
        <v>14.0905</v>
      </c>
      <c r="E105" s="127">
        <f t="shared" si="5"/>
        <v>-3.7560449168055461E-2</v>
      </c>
      <c r="G105" s="2">
        <v>42793</v>
      </c>
      <c r="H105">
        <v>2369.75</v>
      </c>
      <c r="I105" s="127">
        <f t="shared" si="6"/>
        <v>1.0180202252316332E-3</v>
      </c>
      <c r="J105">
        <v>60.794699999999999</v>
      </c>
      <c r="K105" s="127">
        <f t="shared" si="7"/>
        <v>-2.9389624085059602E-3</v>
      </c>
    </row>
    <row r="106" spans="1:11">
      <c r="A106" s="2">
        <v>39843</v>
      </c>
      <c r="B106">
        <v>825.88</v>
      </c>
      <c r="C106" s="127">
        <f t="shared" si="4"/>
        <v>-8.5657348463880442E-2</v>
      </c>
      <c r="D106">
        <v>12.501899999999999</v>
      </c>
      <c r="E106" s="127">
        <f t="shared" si="5"/>
        <v>-0.11274262801178107</v>
      </c>
      <c r="G106" s="2">
        <v>42794</v>
      </c>
      <c r="H106">
        <v>2363.64</v>
      </c>
      <c r="I106" s="127">
        <f t="shared" si="6"/>
        <v>-2.5783310475789123E-3</v>
      </c>
      <c r="J106">
        <v>60.236199999999997</v>
      </c>
      <c r="K106" s="127">
        <f t="shared" si="7"/>
        <v>-9.1866560736380345E-3</v>
      </c>
    </row>
    <row r="107" spans="1:11">
      <c r="A107" s="2">
        <v>39871</v>
      </c>
      <c r="B107">
        <v>735.09</v>
      </c>
      <c r="C107" s="127">
        <f t="shared" si="4"/>
        <v>-0.10993122487528451</v>
      </c>
      <c r="D107">
        <v>11.4741</v>
      </c>
      <c r="E107" s="127">
        <f t="shared" si="5"/>
        <v>-8.2211503851414527E-2</v>
      </c>
      <c r="G107" s="2">
        <v>42795</v>
      </c>
      <c r="H107">
        <v>2395.96</v>
      </c>
      <c r="I107" s="127">
        <f t="shared" si="6"/>
        <v>1.3673825117192197E-2</v>
      </c>
      <c r="J107">
        <v>61.0687</v>
      </c>
      <c r="K107" s="127">
        <f t="shared" si="7"/>
        <v>1.3820592932489153E-2</v>
      </c>
    </row>
    <row r="108" spans="1:11">
      <c r="A108" s="2">
        <v>39903</v>
      </c>
      <c r="B108">
        <v>797.87</v>
      </c>
      <c r="C108" s="127">
        <f t="shared" si="4"/>
        <v>8.5404508291501674E-2</v>
      </c>
      <c r="D108">
        <v>13.024100000000001</v>
      </c>
      <c r="E108" s="127">
        <f t="shared" si="5"/>
        <v>0.13508684777019556</v>
      </c>
      <c r="G108" s="2">
        <v>42796</v>
      </c>
      <c r="H108">
        <v>2381.92</v>
      </c>
      <c r="I108" s="127">
        <f t="shared" si="6"/>
        <v>-5.8598641045760208E-3</v>
      </c>
      <c r="J108">
        <v>61.1004</v>
      </c>
      <c r="K108" s="127">
        <f t="shared" si="7"/>
        <v>5.1908751946579395E-4</v>
      </c>
    </row>
    <row r="109" spans="1:11">
      <c r="A109" s="2">
        <v>39933</v>
      </c>
      <c r="B109">
        <v>872.81</v>
      </c>
      <c r="C109" s="127">
        <f t="shared" si="4"/>
        <v>9.3925075513554765E-2</v>
      </c>
      <c r="D109">
        <v>14.574</v>
      </c>
      <c r="E109" s="127">
        <f t="shared" si="5"/>
        <v>0.11900246466166561</v>
      </c>
      <c r="G109" s="2">
        <v>42797</v>
      </c>
      <c r="H109">
        <v>2383.12</v>
      </c>
      <c r="I109" s="127">
        <f t="shared" si="6"/>
        <v>5.0379525760723201E-4</v>
      </c>
      <c r="J109">
        <v>59.9375</v>
      </c>
      <c r="K109" s="127">
        <f t="shared" si="7"/>
        <v>-1.9032608624493463E-2</v>
      </c>
    </row>
    <row r="110" spans="1:11">
      <c r="A110" s="2">
        <v>39962</v>
      </c>
      <c r="B110">
        <v>919.14</v>
      </c>
      <c r="C110" s="127">
        <f t="shared" si="4"/>
        <v>5.3081426656431577E-2</v>
      </c>
      <c r="D110">
        <v>15.8461</v>
      </c>
      <c r="E110" s="127">
        <f t="shared" si="5"/>
        <v>8.7285577055029512E-2</v>
      </c>
      <c r="G110" s="2">
        <v>42800</v>
      </c>
      <c r="H110">
        <v>2375.31</v>
      </c>
      <c r="I110" s="127">
        <f t="shared" si="6"/>
        <v>-3.2772164221692344E-3</v>
      </c>
      <c r="J110">
        <v>60.011499999999998</v>
      </c>
      <c r="K110" s="127">
        <f t="shared" si="7"/>
        <v>1.2346193952033045E-3</v>
      </c>
    </row>
    <row r="111" spans="1:11">
      <c r="A111" s="2">
        <v>39994</v>
      </c>
      <c r="B111">
        <v>919.32</v>
      </c>
      <c r="C111" s="127">
        <f t="shared" si="4"/>
        <v>1.9583523728709844E-4</v>
      </c>
      <c r="D111">
        <v>14.4518</v>
      </c>
      <c r="E111" s="127">
        <f t="shared" si="5"/>
        <v>-8.79901048207445E-2</v>
      </c>
      <c r="G111" s="2">
        <v>42801</v>
      </c>
      <c r="H111">
        <v>2368.39</v>
      </c>
      <c r="I111" s="127">
        <f t="shared" si="6"/>
        <v>-2.9133039476952789E-3</v>
      </c>
      <c r="J111">
        <v>59.779000000000003</v>
      </c>
      <c r="K111" s="127">
        <f t="shared" si="7"/>
        <v>-3.8742574339917283E-3</v>
      </c>
    </row>
    <row r="112" spans="1:11">
      <c r="A112" s="2">
        <v>40025</v>
      </c>
      <c r="B112">
        <v>987.48</v>
      </c>
      <c r="C112" s="127">
        <f t="shared" si="4"/>
        <v>7.4141756950789672E-2</v>
      </c>
      <c r="D112">
        <v>15.808199999999999</v>
      </c>
      <c r="E112" s="127">
        <f t="shared" si="5"/>
        <v>9.3856820603661753E-2</v>
      </c>
      <c r="G112" s="2">
        <v>42802</v>
      </c>
      <c r="H112">
        <v>2362.98</v>
      </c>
      <c r="I112" s="127">
        <f t="shared" si="6"/>
        <v>-2.2842521713061846E-3</v>
      </c>
      <c r="J112">
        <v>59.736699999999999</v>
      </c>
      <c r="K112" s="127">
        <f t="shared" si="7"/>
        <v>-7.0760635005611403E-4</v>
      </c>
    </row>
    <row r="113" spans="1:11">
      <c r="A113" s="2">
        <v>40056</v>
      </c>
      <c r="B113">
        <v>1020.62</v>
      </c>
      <c r="C113" s="127">
        <f t="shared" si="4"/>
        <v>3.3560173370599897E-2</v>
      </c>
      <c r="D113">
        <v>15.459300000000001</v>
      </c>
      <c r="E113" s="127">
        <f t="shared" si="5"/>
        <v>-2.2070824002732675E-2</v>
      </c>
      <c r="G113" s="2">
        <v>42803</v>
      </c>
      <c r="H113">
        <v>2364.87</v>
      </c>
      <c r="I113" s="127">
        <f t="shared" si="6"/>
        <v>7.9983749333463364E-4</v>
      </c>
      <c r="J113">
        <v>59.578099999999999</v>
      </c>
      <c r="K113" s="127">
        <f t="shared" si="7"/>
        <v>-2.6549842893899369E-3</v>
      </c>
    </row>
    <row r="114" spans="1:11">
      <c r="A114" s="2">
        <v>40086</v>
      </c>
      <c r="B114">
        <v>1057.08</v>
      </c>
      <c r="C114" s="127">
        <f t="shared" si="4"/>
        <v>3.5723383825517749E-2</v>
      </c>
      <c r="D114">
        <v>18.127500000000001</v>
      </c>
      <c r="E114" s="127">
        <f t="shared" si="5"/>
        <v>0.17259513690788073</v>
      </c>
      <c r="G114" s="2">
        <v>42804</v>
      </c>
      <c r="H114">
        <v>2372.6</v>
      </c>
      <c r="I114" s="127">
        <f t="shared" si="6"/>
        <v>3.2686786165835834E-3</v>
      </c>
      <c r="J114">
        <v>59.652099999999997</v>
      </c>
      <c r="K114" s="127">
        <f t="shared" si="7"/>
        <v>1.2420671354071054E-3</v>
      </c>
    </row>
    <row r="115" spans="1:11">
      <c r="A115" s="2">
        <v>40116</v>
      </c>
      <c r="B115">
        <v>1036.19</v>
      </c>
      <c r="C115" s="127">
        <f t="shared" si="4"/>
        <v>-1.976198584780705E-2</v>
      </c>
      <c r="D115">
        <v>17.421399999999998</v>
      </c>
      <c r="E115" s="127">
        <f t="shared" si="5"/>
        <v>-3.8951868707764598E-2</v>
      </c>
      <c r="G115" s="2">
        <v>42807</v>
      </c>
      <c r="H115">
        <v>2373.4699999999998</v>
      </c>
      <c r="I115" s="127">
        <f t="shared" si="6"/>
        <v>3.6668633566546864E-4</v>
      </c>
      <c r="J115">
        <v>59.905799999999999</v>
      </c>
      <c r="K115" s="127">
        <f t="shared" si="7"/>
        <v>4.2529936079367201E-3</v>
      </c>
    </row>
    <row r="116" spans="1:11">
      <c r="A116" s="2">
        <v>40147</v>
      </c>
      <c r="B116">
        <v>1095.6300000000001</v>
      </c>
      <c r="C116" s="127">
        <f t="shared" si="4"/>
        <v>5.7363996950366293E-2</v>
      </c>
      <c r="D116">
        <v>18.180700000000002</v>
      </c>
      <c r="E116" s="127">
        <f t="shared" si="5"/>
        <v>4.3584327321570207E-2</v>
      </c>
      <c r="G116" s="2">
        <v>42808</v>
      </c>
      <c r="H116">
        <v>2365.4499999999998</v>
      </c>
      <c r="I116" s="127">
        <f t="shared" si="6"/>
        <v>-3.3790189048102494E-3</v>
      </c>
      <c r="J116">
        <v>60.550699999999999</v>
      </c>
      <c r="K116" s="127">
        <f t="shared" si="7"/>
        <v>1.0765234751893803E-2</v>
      </c>
    </row>
    <row r="117" spans="1:11">
      <c r="A117" s="2">
        <v>40178</v>
      </c>
      <c r="B117">
        <v>1115.0999999999999</v>
      </c>
      <c r="C117" s="127">
        <f t="shared" si="4"/>
        <v>1.7770597738287375E-2</v>
      </c>
      <c r="D117">
        <v>18.587</v>
      </c>
      <c r="E117" s="127">
        <f t="shared" si="5"/>
        <v>2.2347874394275141E-2</v>
      </c>
      <c r="G117" s="2">
        <v>42809</v>
      </c>
      <c r="H117">
        <v>2385.2600000000002</v>
      </c>
      <c r="I117" s="127">
        <f t="shared" si="6"/>
        <v>8.3747278530513867E-3</v>
      </c>
      <c r="J117">
        <v>60.952399999999997</v>
      </c>
      <c r="K117" s="127">
        <f t="shared" si="7"/>
        <v>6.6341099277134399E-3</v>
      </c>
    </row>
    <row r="118" spans="1:11">
      <c r="A118" s="2">
        <v>40207</v>
      </c>
      <c r="B118">
        <v>1073.8699999999999</v>
      </c>
      <c r="C118" s="127">
        <f t="shared" si="4"/>
        <v>-3.6974262397991231E-2</v>
      </c>
      <c r="D118">
        <v>17.9343</v>
      </c>
      <c r="E118" s="127">
        <f t="shared" si="5"/>
        <v>-3.51159412492602E-2</v>
      </c>
      <c r="G118" s="2">
        <v>42810</v>
      </c>
      <c r="H118">
        <v>2381.38</v>
      </c>
      <c r="I118" s="127">
        <f t="shared" si="6"/>
        <v>-1.6266570520614562E-3</v>
      </c>
      <c r="J118">
        <v>60.8889</v>
      </c>
      <c r="K118" s="127">
        <f t="shared" si="7"/>
        <v>-1.04179654943854E-3</v>
      </c>
    </row>
    <row r="119" spans="1:11">
      <c r="A119" s="2">
        <v>40235</v>
      </c>
      <c r="B119">
        <v>1104.49</v>
      </c>
      <c r="C119" s="127">
        <f t="shared" si="4"/>
        <v>2.8513693463827205E-2</v>
      </c>
      <c r="D119">
        <v>19.017399999999999</v>
      </c>
      <c r="E119" s="127">
        <f t="shared" si="5"/>
        <v>6.0392655414484991E-2</v>
      </c>
      <c r="G119" s="2">
        <v>42811</v>
      </c>
      <c r="H119">
        <v>2378.25</v>
      </c>
      <c r="I119" s="127">
        <f t="shared" si="6"/>
        <v>-1.3143639402363792E-3</v>
      </c>
      <c r="J119">
        <v>61.1004</v>
      </c>
      <c r="K119" s="127">
        <f t="shared" si="7"/>
        <v>3.4735395121278413E-3</v>
      </c>
    </row>
    <row r="120" spans="1:11">
      <c r="A120" s="2">
        <v>40268</v>
      </c>
      <c r="B120">
        <v>1169.43</v>
      </c>
      <c r="C120" s="127">
        <f t="shared" si="4"/>
        <v>5.8796367554255859E-2</v>
      </c>
      <c r="D120">
        <v>20.7532</v>
      </c>
      <c r="E120" s="127">
        <f t="shared" si="5"/>
        <v>9.1274306687559884E-2</v>
      </c>
      <c r="G120" s="2">
        <v>42814</v>
      </c>
      <c r="H120">
        <v>2373.4699999999998</v>
      </c>
      <c r="I120" s="127">
        <f t="shared" si="6"/>
        <v>-2.0098812151793126E-3</v>
      </c>
      <c r="J120">
        <v>62.0306</v>
      </c>
      <c r="K120" s="127">
        <f t="shared" si="7"/>
        <v>1.5224122918998882E-2</v>
      </c>
    </row>
    <row r="121" spans="1:11">
      <c r="A121" s="2">
        <v>40298</v>
      </c>
      <c r="B121">
        <v>1186.69</v>
      </c>
      <c r="C121" s="127">
        <f t="shared" si="4"/>
        <v>1.475932719359003E-2</v>
      </c>
      <c r="D121">
        <v>21.433599999999998</v>
      </c>
      <c r="E121" s="127">
        <f t="shared" si="5"/>
        <v>3.2785305398685446E-2</v>
      </c>
      <c r="G121" s="2">
        <v>42815</v>
      </c>
      <c r="H121">
        <v>2344.02</v>
      </c>
      <c r="I121" s="127">
        <f t="shared" si="6"/>
        <v>-1.240799335993285E-2</v>
      </c>
      <c r="J121">
        <v>61.322299999999998</v>
      </c>
      <c r="K121" s="127">
        <f t="shared" si="7"/>
        <v>-1.1418557937534076E-2</v>
      </c>
    </row>
    <row r="122" spans="1:11">
      <c r="A122" s="2">
        <v>40326</v>
      </c>
      <c r="B122">
        <v>1089.4100000000001</v>
      </c>
      <c r="C122" s="127">
        <f t="shared" si="4"/>
        <v>-8.1975916203894841E-2</v>
      </c>
      <c r="D122">
        <v>20.436900000000001</v>
      </c>
      <c r="E122" s="127">
        <f t="shared" si="5"/>
        <v>-4.650175425500136E-2</v>
      </c>
      <c r="G122" s="2">
        <v>42816</v>
      </c>
      <c r="H122">
        <v>2348.4499999999998</v>
      </c>
      <c r="I122" s="127">
        <f t="shared" si="6"/>
        <v>1.8899156150544091E-3</v>
      </c>
      <c r="J122">
        <v>56.998800000000003</v>
      </c>
      <c r="K122" s="127">
        <f t="shared" si="7"/>
        <v>-7.0504530978126978E-2</v>
      </c>
    </row>
    <row r="123" spans="1:11">
      <c r="A123" s="2">
        <v>40359</v>
      </c>
      <c r="B123">
        <v>1030.71</v>
      </c>
      <c r="C123" s="127">
        <f t="shared" si="4"/>
        <v>-5.3882376699314345E-2</v>
      </c>
      <c r="D123">
        <v>19.1494</v>
      </c>
      <c r="E123" s="127">
        <f t="shared" si="5"/>
        <v>-6.2998791401827153E-2</v>
      </c>
      <c r="G123" s="2">
        <v>42817</v>
      </c>
      <c r="H123">
        <v>2345.96</v>
      </c>
      <c r="I123" s="127">
        <f t="shared" si="6"/>
        <v>-1.0602737976110974E-3</v>
      </c>
      <c r="J123">
        <v>58.531599999999997</v>
      </c>
      <c r="K123" s="127">
        <f t="shared" si="7"/>
        <v>2.689179421321141E-2</v>
      </c>
    </row>
    <row r="124" spans="1:11">
      <c r="A124" s="2">
        <v>40389</v>
      </c>
      <c r="B124">
        <v>1101.5999999999999</v>
      </c>
      <c r="C124" s="127">
        <f t="shared" si="4"/>
        <v>6.8777832756061225E-2</v>
      </c>
      <c r="D124">
        <v>20.875800000000002</v>
      </c>
      <c r="E124" s="127">
        <f t="shared" si="5"/>
        <v>9.0154260707907385E-2</v>
      </c>
      <c r="G124" s="2">
        <v>42818</v>
      </c>
      <c r="H124">
        <v>2343.98</v>
      </c>
      <c r="I124" s="127">
        <f t="shared" si="6"/>
        <v>-8.4400416034374759E-4</v>
      </c>
      <c r="J124">
        <v>59.578099999999999</v>
      </c>
      <c r="K124" s="127">
        <f t="shared" si="7"/>
        <v>1.7879231047844273E-2</v>
      </c>
    </row>
    <row r="125" spans="1:11">
      <c r="A125" s="2">
        <v>40421</v>
      </c>
      <c r="B125">
        <v>1049.33</v>
      </c>
      <c r="C125" s="127">
        <f t="shared" si="4"/>
        <v>-4.7449164851125623E-2</v>
      </c>
      <c r="D125">
        <v>19.843900000000001</v>
      </c>
      <c r="E125" s="127">
        <f t="shared" si="5"/>
        <v>-4.9430440989087852E-2</v>
      </c>
      <c r="G125" s="2">
        <v>42821</v>
      </c>
      <c r="H125">
        <v>2341.59</v>
      </c>
      <c r="I125" s="127">
        <f t="shared" si="6"/>
        <v>-1.0196332733213903E-3</v>
      </c>
      <c r="J125">
        <v>59.123600000000003</v>
      </c>
      <c r="K125" s="127">
        <f t="shared" si="7"/>
        <v>-7.6286420681424202E-3</v>
      </c>
    </row>
    <row r="126" spans="1:11">
      <c r="A126" s="2">
        <v>40451</v>
      </c>
      <c r="B126">
        <v>1141.2</v>
      </c>
      <c r="C126" s="127">
        <f t="shared" si="4"/>
        <v>8.7551104037814728E-2</v>
      </c>
      <c r="D126">
        <v>22.795000000000002</v>
      </c>
      <c r="E126" s="127">
        <f t="shared" si="5"/>
        <v>0.14871572624332918</v>
      </c>
      <c r="G126" s="2">
        <v>42822</v>
      </c>
      <c r="H126">
        <v>2358.5700000000002</v>
      </c>
      <c r="I126" s="127">
        <f t="shared" si="6"/>
        <v>7.2514829667021203E-3</v>
      </c>
      <c r="J126">
        <v>59.853000000000002</v>
      </c>
      <c r="K126" s="127">
        <f t="shared" si="7"/>
        <v>1.2336867173176164E-2</v>
      </c>
    </row>
    <row r="127" spans="1:11">
      <c r="A127" s="2">
        <v>40480</v>
      </c>
      <c r="B127">
        <v>1183.26</v>
      </c>
      <c r="C127" s="127">
        <f t="shared" si="4"/>
        <v>3.6855941114616146E-2</v>
      </c>
      <c r="D127">
        <v>23.1648</v>
      </c>
      <c r="E127" s="127">
        <f t="shared" si="5"/>
        <v>1.6222855889449349E-2</v>
      </c>
      <c r="G127" s="2">
        <v>42823</v>
      </c>
      <c r="H127">
        <v>2361.13</v>
      </c>
      <c r="I127" s="127">
        <f t="shared" si="6"/>
        <v>1.0854034436119959E-3</v>
      </c>
      <c r="J127">
        <v>59.916400000000003</v>
      </c>
      <c r="K127" s="127">
        <f t="shared" si="7"/>
        <v>1.0592618582193282E-3</v>
      </c>
    </row>
    <row r="128" spans="1:11">
      <c r="A128" s="2">
        <v>40512</v>
      </c>
      <c r="B128">
        <v>1180.55</v>
      </c>
      <c r="C128" s="127">
        <f t="shared" si="4"/>
        <v>-2.290282778087687E-3</v>
      </c>
      <c r="D128">
        <v>24.498799999999999</v>
      </c>
      <c r="E128" s="127">
        <f t="shared" si="5"/>
        <v>5.7587373946677706E-2</v>
      </c>
      <c r="G128" s="2">
        <v>42824</v>
      </c>
      <c r="H128">
        <v>2368.06</v>
      </c>
      <c r="I128" s="127">
        <f t="shared" si="6"/>
        <v>2.9350353432465964E-3</v>
      </c>
      <c r="J128">
        <v>59.239899999999999</v>
      </c>
      <c r="K128" s="127">
        <f t="shared" si="7"/>
        <v>-1.1290731752909124E-2</v>
      </c>
    </row>
    <row r="129" spans="1:11">
      <c r="A129" s="2">
        <v>40543</v>
      </c>
      <c r="B129">
        <v>1257.6400000000001</v>
      </c>
      <c r="C129" s="127">
        <f t="shared" si="4"/>
        <v>6.5300072000338952E-2</v>
      </c>
      <c r="D129">
        <v>24.385000000000002</v>
      </c>
      <c r="E129" s="127">
        <f t="shared" si="5"/>
        <v>-4.6451254755334008E-3</v>
      </c>
      <c r="G129" s="2">
        <v>42825</v>
      </c>
      <c r="H129">
        <v>2362.7199999999998</v>
      </c>
      <c r="I129" s="127">
        <f t="shared" si="6"/>
        <v>-2.2550104304790188E-3</v>
      </c>
      <c r="J129">
        <v>58.912199999999999</v>
      </c>
      <c r="K129" s="127">
        <f t="shared" si="7"/>
        <v>-5.5317446518309468E-3</v>
      </c>
    </row>
    <row r="130" spans="1:11">
      <c r="A130" s="2">
        <v>40574</v>
      </c>
      <c r="B130">
        <v>1286.1199999999999</v>
      </c>
      <c r="C130" s="127">
        <f t="shared" si="4"/>
        <v>2.2645590152984788E-2</v>
      </c>
      <c r="D130">
        <v>23.5457</v>
      </c>
      <c r="E130" s="127">
        <f t="shared" si="5"/>
        <v>-3.441870002050447E-2</v>
      </c>
      <c r="G130" s="2">
        <v>42828</v>
      </c>
      <c r="H130">
        <v>2358.84</v>
      </c>
      <c r="I130" s="127">
        <f t="shared" si="6"/>
        <v>-1.6421751202003007E-3</v>
      </c>
      <c r="J130">
        <v>58.732399999999998</v>
      </c>
      <c r="K130" s="127">
        <f t="shared" si="7"/>
        <v>-3.0519994160802038E-3</v>
      </c>
    </row>
    <row r="131" spans="1:11">
      <c r="A131" s="2">
        <v>40602</v>
      </c>
      <c r="B131">
        <v>1327.22</v>
      </c>
      <c r="C131" s="127">
        <f t="shared" si="4"/>
        <v>3.195658258949409E-2</v>
      </c>
      <c r="D131">
        <v>25.415600000000001</v>
      </c>
      <c r="E131" s="127">
        <f t="shared" si="5"/>
        <v>7.9415774430150785E-2</v>
      </c>
      <c r="G131" s="2">
        <v>42829</v>
      </c>
      <c r="H131">
        <v>2360.16</v>
      </c>
      <c r="I131" s="127">
        <f t="shared" si="6"/>
        <v>5.5959709009500806E-4</v>
      </c>
      <c r="J131">
        <v>58.1828</v>
      </c>
      <c r="K131" s="127">
        <f t="shared" si="7"/>
        <v>-9.3576969441057766E-3</v>
      </c>
    </row>
    <row r="132" spans="1:11">
      <c r="A132" s="2">
        <v>40633</v>
      </c>
      <c r="B132">
        <v>1325.83</v>
      </c>
      <c r="C132" s="127">
        <f t="shared" si="4"/>
        <v>-1.047301879115821E-3</v>
      </c>
      <c r="D132">
        <v>21.698699999999999</v>
      </c>
      <c r="E132" s="127">
        <f t="shared" si="5"/>
        <v>-0.14624482601237046</v>
      </c>
      <c r="G132" s="2">
        <v>42830</v>
      </c>
      <c r="H132">
        <v>2352.9499999999998</v>
      </c>
      <c r="I132" s="127">
        <f t="shared" si="6"/>
        <v>-3.054877635414564E-3</v>
      </c>
      <c r="J132">
        <v>58.119300000000003</v>
      </c>
      <c r="K132" s="127">
        <f t="shared" si="7"/>
        <v>-1.091387832830281E-3</v>
      </c>
    </row>
    <row r="133" spans="1:11">
      <c r="A133" s="2">
        <v>40662</v>
      </c>
      <c r="B133">
        <v>1363.61</v>
      </c>
      <c r="C133" s="127">
        <f t="shared" si="4"/>
        <v>2.8495357625034863E-2</v>
      </c>
      <c r="D133">
        <v>23.596299999999999</v>
      </c>
      <c r="E133" s="127">
        <f t="shared" si="5"/>
        <v>8.7452243682801301E-2</v>
      </c>
      <c r="G133" s="2">
        <v>42831</v>
      </c>
      <c r="H133">
        <v>2357.4899999999998</v>
      </c>
      <c r="I133" s="127">
        <f t="shared" si="6"/>
        <v>1.9294927644021181E-3</v>
      </c>
      <c r="J133">
        <v>58.288499999999999</v>
      </c>
      <c r="K133" s="127">
        <f t="shared" si="7"/>
        <v>2.9112532325750043E-3</v>
      </c>
    </row>
    <row r="134" spans="1:11">
      <c r="A134" s="2">
        <v>40694</v>
      </c>
      <c r="B134">
        <v>1345.2</v>
      </c>
      <c r="C134" s="127">
        <f t="shared" si="4"/>
        <v>-1.3500927684601796E-2</v>
      </c>
      <c r="D134">
        <v>24.206800000000001</v>
      </c>
      <c r="E134" s="127">
        <f t="shared" si="5"/>
        <v>2.5872700380992014E-2</v>
      </c>
      <c r="G134" s="2">
        <v>42832</v>
      </c>
      <c r="H134">
        <v>2355.54</v>
      </c>
      <c r="I134" s="127">
        <f t="shared" si="6"/>
        <v>-8.2715091050219439E-4</v>
      </c>
      <c r="J134">
        <v>58.256799999999998</v>
      </c>
      <c r="K134" s="127">
        <f t="shared" si="7"/>
        <v>-5.4384655635332404E-4</v>
      </c>
    </row>
    <row r="135" spans="1:11">
      <c r="A135" s="2">
        <v>40724</v>
      </c>
      <c r="B135">
        <v>1320.64</v>
      </c>
      <c r="C135" s="127">
        <f t="shared" si="4"/>
        <v>-1.8257508177222676E-2</v>
      </c>
      <c r="D135">
        <v>25.880800000000001</v>
      </c>
      <c r="E135" s="127">
        <f t="shared" si="5"/>
        <v>6.9154121982252903E-2</v>
      </c>
      <c r="G135" s="2">
        <v>42835</v>
      </c>
      <c r="H135">
        <v>2357.16</v>
      </c>
      <c r="I135" s="127">
        <f t="shared" si="6"/>
        <v>6.8774039073838311E-4</v>
      </c>
      <c r="J135">
        <v>58.034799999999997</v>
      </c>
      <c r="K135" s="127">
        <f t="shared" si="7"/>
        <v>-3.8107139424067458E-3</v>
      </c>
    </row>
    <row r="136" spans="1:11">
      <c r="A136" s="2">
        <v>40753</v>
      </c>
      <c r="B136">
        <v>1292.28</v>
      </c>
      <c r="C136" s="127">
        <f t="shared" si="4"/>
        <v>-2.1474436636782262E-2</v>
      </c>
      <c r="D136">
        <v>25.9297</v>
      </c>
      <c r="E136" s="127">
        <f t="shared" si="5"/>
        <v>1.8894315477110337E-3</v>
      </c>
      <c r="G136" s="2">
        <v>42836</v>
      </c>
      <c r="H136">
        <v>2353.7800000000002</v>
      </c>
      <c r="I136" s="127">
        <f t="shared" si="6"/>
        <v>-1.4339289653649539E-3</v>
      </c>
      <c r="J136">
        <v>58.055900000000001</v>
      </c>
      <c r="K136" s="127">
        <f t="shared" si="7"/>
        <v>3.6357495847326286E-4</v>
      </c>
    </row>
    <row r="137" spans="1:11">
      <c r="A137" s="2">
        <v>40786</v>
      </c>
      <c r="B137">
        <v>1218.8900000000001</v>
      </c>
      <c r="C137" s="127">
        <f t="shared" ref="C137:C200" si="8">(B137-B136)/B136</f>
        <v>-5.679109790447881E-2</v>
      </c>
      <c r="D137">
        <v>24.923000000000002</v>
      </c>
      <c r="E137" s="127">
        <f t="shared" ref="E137:E200" si="9">(D137-D136)/D136</f>
        <v>-3.8824205447806903E-2</v>
      </c>
      <c r="G137" s="2">
        <v>42837</v>
      </c>
      <c r="H137">
        <v>2344.9299999999998</v>
      </c>
      <c r="I137" s="127">
        <f t="shared" ref="I137:I200" si="10">(H137-H136)/H136</f>
        <v>-3.7599095922305243E-3</v>
      </c>
      <c r="J137">
        <v>58.743000000000002</v>
      </c>
      <c r="K137" s="127">
        <f t="shared" ref="K137:K200" si="11">(J137-J136)/J136</f>
        <v>1.1835145092919082E-2</v>
      </c>
    </row>
    <row r="138" spans="1:11">
      <c r="A138" s="2">
        <v>40816</v>
      </c>
      <c r="B138">
        <v>1131.42</v>
      </c>
      <c r="C138" s="127">
        <f t="shared" si="8"/>
        <v>-7.1762012979021919E-2</v>
      </c>
      <c r="D138">
        <v>24.6843</v>
      </c>
      <c r="E138" s="127">
        <f t="shared" si="9"/>
        <v>-9.5774986959836876E-3</v>
      </c>
      <c r="G138" s="2">
        <v>42838</v>
      </c>
      <c r="H138">
        <v>2328.9499999999998</v>
      </c>
      <c r="I138" s="127">
        <f t="shared" si="10"/>
        <v>-6.8147023578529076E-3</v>
      </c>
      <c r="J138">
        <v>58.499899999999997</v>
      </c>
      <c r="K138" s="127">
        <f t="shared" si="11"/>
        <v>-4.1383654222631704E-3</v>
      </c>
    </row>
    <row r="139" spans="1:11">
      <c r="A139" s="2">
        <v>40847</v>
      </c>
      <c r="B139">
        <v>1253.3</v>
      </c>
      <c r="C139" s="127">
        <f t="shared" si="8"/>
        <v>0.10772303830584563</v>
      </c>
      <c r="D139">
        <v>27.813500000000001</v>
      </c>
      <c r="E139" s="127">
        <f t="shared" si="9"/>
        <v>0.1267688368720199</v>
      </c>
      <c r="G139" s="2">
        <v>42842</v>
      </c>
      <c r="H139">
        <v>2349.0100000000002</v>
      </c>
      <c r="I139" s="127">
        <f t="shared" si="10"/>
        <v>8.6133236007644651E-3</v>
      </c>
      <c r="J139">
        <v>59.451300000000003</v>
      </c>
      <c r="K139" s="127">
        <f t="shared" si="11"/>
        <v>1.6263275663719198E-2</v>
      </c>
    </row>
    <row r="140" spans="1:11">
      <c r="A140" s="2">
        <v>40877</v>
      </c>
      <c r="B140">
        <v>1246.96</v>
      </c>
      <c r="C140" s="127">
        <f t="shared" si="8"/>
        <v>-5.0586451767333585E-3</v>
      </c>
      <c r="D140">
        <v>27.764399999999998</v>
      </c>
      <c r="E140" s="127">
        <f t="shared" si="9"/>
        <v>-1.7653297858954394E-3</v>
      </c>
      <c r="G140" s="2">
        <v>42843</v>
      </c>
      <c r="H140">
        <v>2342.19</v>
      </c>
      <c r="I140" s="127">
        <f t="shared" si="10"/>
        <v>-2.9033507733045678E-3</v>
      </c>
      <c r="J140">
        <v>59.313899999999997</v>
      </c>
      <c r="K140" s="127">
        <f t="shared" si="11"/>
        <v>-2.3111353326168917E-3</v>
      </c>
    </row>
    <row r="141" spans="1:11">
      <c r="A141" s="2">
        <v>40907</v>
      </c>
      <c r="B141">
        <v>1257.5999999999999</v>
      </c>
      <c r="C141" s="127">
        <f t="shared" si="8"/>
        <v>8.5327516520176047E-3</v>
      </c>
      <c r="D141">
        <v>27.923200000000001</v>
      </c>
      <c r="E141" s="127">
        <f t="shared" si="9"/>
        <v>5.7195545374653491E-3</v>
      </c>
      <c r="G141" s="2">
        <v>42844</v>
      </c>
      <c r="H141">
        <v>2338.17</v>
      </c>
      <c r="I141" s="127">
        <f t="shared" si="10"/>
        <v>-1.716342397499768E-3</v>
      </c>
      <c r="J141">
        <v>59.049599999999998</v>
      </c>
      <c r="K141" s="127">
        <f t="shared" si="11"/>
        <v>-4.4559538320696947E-3</v>
      </c>
    </row>
    <row r="142" spans="1:11">
      <c r="A142" s="2">
        <v>40939</v>
      </c>
      <c r="B142">
        <v>1312.41</v>
      </c>
      <c r="C142" s="127">
        <f t="shared" si="8"/>
        <v>4.3583015267175715E-2</v>
      </c>
      <c r="D142">
        <v>30.1311</v>
      </c>
      <c r="E142" s="127">
        <f t="shared" si="9"/>
        <v>7.9070450378180099E-2</v>
      </c>
      <c r="G142" s="2">
        <v>42845</v>
      </c>
      <c r="H142">
        <v>2355.84</v>
      </c>
      <c r="I142" s="127">
        <f t="shared" si="10"/>
        <v>7.5571921631019442E-3</v>
      </c>
      <c r="J142">
        <v>59.620399999999997</v>
      </c>
      <c r="K142" s="127">
        <f t="shared" si="11"/>
        <v>9.6664498997452719E-3</v>
      </c>
    </row>
    <row r="143" spans="1:11">
      <c r="A143" s="2">
        <v>40968</v>
      </c>
      <c r="B143">
        <v>1365.68</v>
      </c>
      <c r="C143" s="127">
        <f t="shared" si="8"/>
        <v>4.0589449943234185E-2</v>
      </c>
      <c r="D143">
        <v>31.2698</v>
      </c>
      <c r="E143" s="127">
        <f t="shared" si="9"/>
        <v>3.7791517734168355E-2</v>
      </c>
      <c r="G143" s="2">
        <v>42846</v>
      </c>
      <c r="H143">
        <v>2348.69</v>
      </c>
      <c r="I143" s="127">
        <f t="shared" si="10"/>
        <v>-3.035010866612372E-3</v>
      </c>
      <c r="J143">
        <v>59.039000000000001</v>
      </c>
      <c r="K143" s="127">
        <f t="shared" si="11"/>
        <v>-9.7516957283076775E-3</v>
      </c>
    </row>
    <row r="144" spans="1:11">
      <c r="A144" s="2">
        <v>40998</v>
      </c>
      <c r="B144">
        <v>1408.47</v>
      </c>
      <c r="C144" s="127">
        <f t="shared" si="8"/>
        <v>3.1332376545017838E-2</v>
      </c>
      <c r="D144">
        <v>31.524799999999999</v>
      </c>
      <c r="E144" s="127">
        <f t="shared" si="9"/>
        <v>8.1548330977492343E-3</v>
      </c>
      <c r="G144" s="2">
        <v>42849</v>
      </c>
      <c r="H144">
        <v>2374.15</v>
      </c>
      <c r="I144" s="127">
        <f t="shared" si="10"/>
        <v>1.084008532415944E-2</v>
      </c>
      <c r="J144">
        <v>58.637300000000003</v>
      </c>
      <c r="K144" s="127">
        <f t="shared" si="11"/>
        <v>-6.8039770321312717E-3</v>
      </c>
    </row>
    <row r="145" spans="1:11">
      <c r="A145" s="2">
        <v>41029</v>
      </c>
      <c r="B145">
        <v>1397.91</v>
      </c>
      <c r="C145" s="127">
        <f t="shared" si="8"/>
        <v>-7.4974972842871664E-3</v>
      </c>
      <c r="D145">
        <v>32.521900000000002</v>
      </c>
      <c r="E145" s="127">
        <f t="shared" si="9"/>
        <v>3.1629066639598136E-2</v>
      </c>
      <c r="G145" s="2">
        <v>42850</v>
      </c>
      <c r="H145">
        <v>2388.61</v>
      </c>
      <c r="I145" s="127">
        <f t="shared" si="10"/>
        <v>6.0906008466188053E-3</v>
      </c>
      <c r="J145">
        <v>58.616199999999999</v>
      </c>
      <c r="K145" s="127">
        <f t="shared" si="11"/>
        <v>-3.5983921497074583E-4</v>
      </c>
    </row>
    <row r="146" spans="1:11">
      <c r="A146" s="2">
        <v>41060</v>
      </c>
      <c r="B146">
        <v>1310.33</v>
      </c>
      <c r="C146" s="127">
        <f t="shared" si="8"/>
        <v>-6.2650671359386623E-2</v>
      </c>
      <c r="D146">
        <v>31.553799999999999</v>
      </c>
      <c r="E146" s="127">
        <f t="shared" si="9"/>
        <v>-2.9767633502347748E-2</v>
      </c>
      <c r="G146" s="2">
        <v>42851</v>
      </c>
      <c r="H146">
        <v>2387.4499999999998</v>
      </c>
      <c r="I146" s="127">
        <f t="shared" si="10"/>
        <v>-4.8563809077258708E-4</v>
      </c>
      <c r="J146">
        <v>58.309600000000003</v>
      </c>
      <c r="K146" s="127">
        <f t="shared" si="11"/>
        <v>-5.2306358992905717E-3</v>
      </c>
    </row>
    <row r="147" spans="1:11">
      <c r="A147" s="2">
        <v>41089</v>
      </c>
      <c r="B147">
        <v>1362.16</v>
      </c>
      <c r="C147" s="127">
        <f t="shared" si="8"/>
        <v>3.955492127937249E-2</v>
      </c>
      <c r="D147">
        <v>25.6036</v>
      </c>
      <c r="E147" s="127">
        <f t="shared" si="9"/>
        <v>-0.18857316709873292</v>
      </c>
      <c r="G147" s="2">
        <v>42852</v>
      </c>
      <c r="H147">
        <v>2388.77</v>
      </c>
      <c r="I147" s="127">
        <f t="shared" si="10"/>
        <v>5.5289116002436227E-4</v>
      </c>
      <c r="J147">
        <v>58.637300000000003</v>
      </c>
      <c r="K147" s="127">
        <f t="shared" si="11"/>
        <v>5.6200008231920657E-3</v>
      </c>
    </row>
    <row r="148" spans="1:11">
      <c r="A148" s="2">
        <v>41121</v>
      </c>
      <c r="B148">
        <v>1379.32</v>
      </c>
      <c r="C148" s="127">
        <f t="shared" si="8"/>
        <v>1.259763904387139E-2</v>
      </c>
      <c r="D148">
        <v>27.228200000000001</v>
      </c>
      <c r="E148" s="127">
        <f t="shared" si="9"/>
        <v>6.3452014560452477E-2</v>
      </c>
      <c r="G148" s="2">
        <v>42853</v>
      </c>
      <c r="H148">
        <v>2384.1999999999998</v>
      </c>
      <c r="I148" s="127">
        <f t="shared" si="10"/>
        <v>-1.913118466826092E-3</v>
      </c>
      <c r="J148">
        <v>58.573900000000002</v>
      </c>
      <c r="K148" s="127">
        <f t="shared" si="11"/>
        <v>-1.0812230440351354E-3</v>
      </c>
    </row>
    <row r="149" spans="1:11">
      <c r="A149" s="2">
        <v>41152</v>
      </c>
      <c r="B149">
        <v>1406.58</v>
      </c>
      <c r="C149" s="127">
        <f t="shared" si="8"/>
        <v>1.9763361656468401E-2</v>
      </c>
      <c r="D149">
        <v>28.5029</v>
      </c>
      <c r="E149" s="127">
        <f t="shared" si="9"/>
        <v>4.6815433998574976E-2</v>
      </c>
      <c r="G149" s="2">
        <v>42856</v>
      </c>
      <c r="H149">
        <v>2388.33</v>
      </c>
      <c r="I149" s="127">
        <f t="shared" si="10"/>
        <v>1.7322372284204804E-3</v>
      </c>
      <c r="J149">
        <v>58.129899999999999</v>
      </c>
      <c r="K149" s="127">
        <f t="shared" si="11"/>
        <v>-7.5801679587666621E-3</v>
      </c>
    </row>
    <row r="150" spans="1:11">
      <c r="A150" s="2">
        <v>41180</v>
      </c>
      <c r="B150">
        <v>1440.67</v>
      </c>
      <c r="C150" s="127">
        <f t="shared" si="8"/>
        <v>2.4236090375236493E-2</v>
      </c>
      <c r="D150">
        <v>27.785599999999999</v>
      </c>
      <c r="E150" s="127">
        <f t="shared" si="9"/>
        <v>-2.5165860315967906E-2</v>
      </c>
      <c r="G150" s="2">
        <v>42857</v>
      </c>
      <c r="H150">
        <v>2391.17</v>
      </c>
      <c r="I150" s="127">
        <f t="shared" si="10"/>
        <v>1.1891154069999311E-3</v>
      </c>
      <c r="J150">
        <v>58.214500000000001</v>
      </c>
      <c r="K150" s="127">
        <f t="shared" si="11"/>
        <v>1.4553611824551871E-3</v>
      </c>
    </row>
    <row r="151" spans="1:11">
      <c r="A151" s="2">
        <v>41213</v>
      </c>
      <c r="B151">
        <v>1412.16</v>
      </c>
      <c r="C151" s="127">
        <f t="shared" si="8"/>
        <v>-1.9789403541407811E-2</v>
      </c>
      <c r="D151">
        <v>26.752199999999998</v>
      </c>
      <c r="E151" s="127">
        <f t="shared" si="9"/>
        <v>-3.7191926753426245E-2</v>
      </c>
      <c r="G151" s="2">
        <v>42858</v>
      </c>
      <c r="H151">
        <v>2388.13</v>
      </c>
      <c r="I151" s="127">
        <f t="shared" si="10"/>
        <v>-1.2713441536988017E-3</v>
      </c>
      <c r="J151">
        <v>57.643599999999999</v>
      </c>
      <c r="K151" s="127">
        <f t="shared" si="11"/>
        <v>-9.8068350668648139E-3</v>
      </c>
    </row>
    <row r="152" spans="1:11">
      <c r="A152" s="2">
        <v>41243</v>
      </c>
      <c r="B152">
        <v>1416.18</v>
      </c>
      <c r="C152" s="127">
        <f t="shared" si="8"/>
        <v>2.8467029231814961E-3</v>
      </c>
      <c r="D152">
        <v>28.538</v>
      </c>
      <c r="E152" s="127">
        <f t="shared" si="9"/>
        <v>6.6753388506365904E-2</v>
      </c>
      <c r="G152" s="2">
        <v>42859</v>
      </c>
      <c r="H152">
        <v>2389.52</v>
      </c>
      <c r="I152" s="127">
        <f t="shared" si="10"/>
        <v>5.8204536603948388E-4</v>
      </c>
      <c r="J152">
        <v>57.580199999999998</v>
      </c>
      <c r="K152" s="127">
        <f t="shared" si="11"/>
        <v>-1.0998619100819772E-3</v>
      </c>
    </row>
    <row r="153" spans="1:11">
      <c r="A153" s="2">
        <v>41274</v>
      </c>
      <c r="B153">
        <v>1426.19</v>
      </c>
      <c r="C153" s="127">
        <f t="shared" si="8"/>
        <v>7.0683105254981645E-3</v>
      </c>
      <c r="D153">
        <v>30.3355</v>
      </c>
      <c r="E153" s="127">
        <f t="shared" si="9"/>
        <v>6.2986193846800737E-2</v>
      </c>
      <c r="G153" s="2">
        <v>42860</v>
      </c>
      <c r="H153">
        <v>2399.29</v>
      </c>
      <c r="I153" s="127">
        <f t="shared" si="10"/>
        <v>4.0886872677357716E-3</v>
      </c>
      <c r="J153">
        <v>57.030500000000004</v>
      </c>
      <c r="K153" s="127">
        <f t="shared" si="11"/>
        <v>-9.546684450557558E-3</v>
      </c>
    </row>
    <row r="154" spans="1:11">
      <c r="A154" s="2">
        <v>41305</v>
      </c>
      <c r="B154">
        <v>1498.11</v>
      </c>
      <c r="C154" s="127">
        <f t="shared" si="8"/>
        <v>5.0428063581991069E-2</v>
      </c>
      <c r="D154">
        <v>31.7759</v>
      </c>
      <c r="E154" s="127">
        <f t="shared" si="9"/>
        <v>4.7482322691236353E-2</v>
      </c>
      <c r="G154" s="2">
        <v>42863</v>
      </c>
      <c r="H154">
        <v>2399.38</v>
      </c>
      <c r="I154" s="127">
        <f t="shared" si="10"/>
        <v>3.7511097032932877E-5</v>
      </c>
      <c r="J154">
        <v>57.400500000000001</v>
      </c>
      <c r="K154" s="127">
        <f t="shared" si="11"/>
        <v>6.487756551318986E-3</v>
      </c>
    </row>
    <row r="155" spans="1:11">
      <c r="A155" s="2">
        <v>41333</v>
      </c>
      <c r="B155">
        <v>1514.68</v>
      </c>
      <c r="C155" s="127">
        <f t="shared" si="8"/>
        <v>1.1060603026480141E-2</v>
      </c>
      <c r="D155">
        <v>32.1404</v>
      </c>
      <c r="E155" s="127">
        <f t="shared" si="9"/>
        <v>1.1470957549589456E-2</v>
      </c>
      <c r="G155" s="2">
        <v>42864</v>
      </c>
      <c r="H155">
        <v>2396.92</v>
      </c>
      <c r="I155" s="127">
        <f t="shared" si="10"/>
        <v>-1.0252648600888713E-3</v>
      </c>
      <c r="J155">
        <v>58.0242</v>
      </c>
      <c r="K155" s="127">
        <f t="shared" si="11"/>
        <v>1.0865759009067857E-2</v>
      </c>
    </row>
    <row r="156" spans="1:11">
      <c r="A156" s="2">
        <v>41361</v>
      </c>
      <c r="B156">
        <v>1569.19</v>
      </c>
      <c r="C156" s="127">
        <f t="shared" si="8"/>
        <v>3.5987799403174259E-2</v>
      </c>
      <c r="D156">
        <v>34.825600000000001</v>
      </c>
      <c r="E156" s="127">
        <f t="shared" si="9"/>
        <v>8.3545942178691046E-2</v>
      </c>
      <c r="G156" s="2">
        <v>42865</v>
      </c>
      <c r="H156">
        <v>2399.63</v>
      </c>
      <c r="I156" s="127">
        <f t="shared" si="10"/>
        <v>1.1306176259533219E-3</v>
      </c>
      <c r="J156">
        <v>57.675400000000003</v>
      </c>
      <c r="K156" s="127">
        <f t="shared" si="11"/>
        <v>-6.011284946625668E-3</v>
      </c>
    </row>
    <row r="157" spans="1:11">
      <c r="A157" s="2">
        <v>41394</v>
      </c>
      <c r="B157">
        <v>1597.57</v>
      </c>
      <c r="C157" s="127">
        <f t="shared" si="8"/>
        <v>1.8085763992887974E-2</v>
      </c>
      <c r="D157">
        <v>37.534500000000001</v>
      </c>
      <c r="E157" s="127">
        <f t="shared" si="9"/>
        <v>7.778473306992556E-2</v>
      </c>
      <c r="G157" s="2">
        <v>42866</v>
      </c>
      <c r="H157">
        <v>2394.44</v>
      </c>
      <c r="I157" s="127">
        <f t="shared" si="10"/>
        <v>-2.1628334368215328E-3</v>
      </c>
      <c r="J157">
        <v>57.3371</v>
      </c>
      <c r="K157" s="127">
        <f t="shared" si="11"/>
        <v>-5.86558567430835E-3</v>
      </c>
    </row>
    <row r="158" spans="1:11">
      <c r="A158" s="2">
        <v>41425</v>
      </c>
      <c r="B158">
        <v>1630.74</v>
      </c>
      <c r="C158" s="127">
        <f t="shared" si="8"/>
        <v>2.0762783477406357E-2</v>
      </c>
      <c r="D158">
        <v>36.513500000000001</v>
      </c>
      <c r="E158" s="127">
        <f t="shared" si="9"/>
        <v>-2.7201641156802427E-2</v>
      </c>
      <c r="G158" s="2">
        <v>42867</v>
      </c>
      <c r="H158">
        <v>2390.9</v>
      </c>
      <c r="I158" s="127">
        <f t="shared" si="10"/>
        <v>-1.4784250179582547E-3</v>
      </c>
      <c r="J158">
        <v>57.294800000000002</v>
      </c>
      <c r="K158" s="127">
        <f t="shared" si="11"/>
        <v>-7.3774222972555889E-4</v>
      </c>
    </row>
    <row r="159" spans="1:11">
      <c r="A159" s="2">
        <v>41453</v>
      </c>
      <c r="B159">
        <v>1606.28</v>
      </c>
      <c r="C159" s="127">
        <f t="shared" si="8"/>
        <v>-1.4999325459607317E-2</v>
      </c>
      <c r="D159">
        <v>37.709699999999998</v>
      </c>
      <c r="E159" s="127">
        <f t="shared" si="9"/>
        <v>3.2760485847700097E-2</v>
      </c>
      <c r="G159" s="2">
        <v>42870</v>
      </c>
      <c r="H159">
        <v>2402.3200000000002</v>
      </c>
      <c r="I159" s="127">
        <f t="shared" si="10"/>
        <v>4.7764440168974326E-3</v>
      </c>
      <c r="J159">
        <v>56.840200000000003</v>
      </c>
      <c r="K159" s="127">
        <f t="shared" si="11"/>
        <v>-7.9344024239546909E-3</v>
      </c>
    </row>
    <row r="160" spans="1:11">
      <c r="A160" s="2">
        <v>41486</v>
      </c>
      <c r="B160">
        <v>1685.73</v>
      </c>
      <c r="C160" s="127">
        <f t="shared" si="8"/>
        <v>4.9462111213487092E-2</v>
      </c>
      <c r="D160">
        <v>37.259599999999999</v>
      </c>
      <c r="E160" s="127">
        <f t="shared" si="9"/>
        <v>-1.1935920996454468E-2</v>
      </c>
      <c r="G160" s="2">
        <v>42871</v>
      </c>
      <c r="H160">
        <v>2400.67</v>
      </c>
      <c r="I160" s="127">
        <f t="shared" si="10"/>
        <v>-6.8683605847684362E-4</v>
      </c>
      <c r="J160">
        <v>55.793700000000001</v>
      </c>
      <c r="K160" s="127">
        <f t="shared" si="11"/>
        <v>-1.8411265266483963E-2</v>
      </c>
    </row>
    <row r="161" spans="1:11">
      <c r="A161" s="2">
        <v>41516</v>
      </c>
      <c r="B161">
        <v>1632.97</v>
      </c>
      <c r="C161" s="127">
        <f t="shared" si="8"/>
        <v>-3.1298013323604608E-2</v>
      </c>
      <c r="D161">
        <v>37.324800000000003</v>
      </c>
      <c r="E161" s="127">
        <f t="shared" si="9"/>
        <v>1.7498845935008526E-3</v>
      </c>
      <c r="G161" s="2">
        <v>42872</v>
      </c>
      <c r="H161">
        <v>2357.0300000000002</v>
      </c>
      <c r="I161" s="127">
        <f t="shared" si="10"/>
        <v>-1.8178258569482634E-2</v>
      </c>
      <c r="J161">
        <v>54.757800000000003</v>
      </c>
      <c r="K161" s="127">
        <f t="shared" si="11"/>
        <v>-1.8566612359459903E-2</v>
      </c>
    </row>
    <row r="162" spans="1:11">
      <c r="A162" s="2">
        <v>41547</v>
      </c>
      <c r="B162">
        <v>1681.55</v>
      </c>
      <c r="C162" s="127">
        <f t="shared" si="8"/>
        <v>2.9749474883188257E-2</v>
      </c>
      <c r="D162">
        <v>43.159399999999998</v>
      </c>
      <c r="E162" s="127">
        <f t="shared" si="9"/>
        <v>0.15631965877914936</v>
      </c>
      <c r="G162" s="2">
        <v>42873</v>
      </c>
      <c r="H162">
        <v>2365.7199999999998</v>
      </c>
      <c r="I162" s="127">
        <f t="shared" si="10"/>
        <v>3.686843188249449E-3</v>
      </c>
      <c r="J162">
        <v>54.630899999999997</v>
      </c>
      <c r="K162" s="127">
        <f t="shared" si="11"/>
        <v>-2.3174780579206292E-3</v>
      </c>
    </row>
    <row r="163" spans="1:11">
      <c r="A163" s="2">
        <v>41578</v>
      </c>
      <c r="B163">
        <v>1756.54</v>
      </c>
      <c r="C163" s="127">
        <f t="shared" si="8"/>
        <v>4.4595759864410819E-2</v>
      </c>
      <c r="D163">
        <v>45.013100000000001</v>
      </c>
      <c r="E163" s="127">
        <f t="shared" si="9"/>
        <v>4.2950087350612003E-2</v>
      </c>
      <c r="G163" s="2">
        <v>42874</v>
      </c>
      <c r="H163">
        <v>2381.73</v>
      </c>
      <c r="I163" s="127">
        <f t="shared" si="10"/>
        <v>6.7674957306867334E-3</v>
      </c>
      <c r="J163">
        <v>54.725999999999999</v>
      </c>
      <c r="K163" s="127">
        <f t="shared" si="11"/>
        <v>1.7407730789718307E-3</v>
      </c>
    </row>
    <row r="164" spans="1:11">
      <c r="A164" s="2">
        <v>41607</v>
      </c>
      <c r="B164">
        <v>1805.81</v>
      </c>
      <c r="C164" s="127">
        <f t="shared" si="8"/>
        <v>2.804946087194142E-2</v>
      </c>
      <c r="D164">
        <v>47.0214</v>
      </c>
      <c r="E164" s="127">
        <f t="shared" si="9"/>
        <v>4.4615900704461552E-2</v>
      </c>
      <c r="G164" s="2">
        <v>42877</v>
      </c>
      <c r="H164">
        <v>2394.02</v>
      </c>
      <c r="I164" s="127">
        <f t="shared" si="10"/>
        <v>5.1601147065368294E-3</v>
      </c>
      <c r="J164">
        <v>54.514600000000002</v>
      </c>
      <c r="K164" s="127">
        <f t="shared" si="11"/>
        <v>-3.8628805321053537E-3</v>
      </c>
    </row>
    <row r="165" spans="1:11">
      <c r="A165" s="2">
        <v>41639</v>
      </c>
      <c r="B165">
        <v>1848.36</v>
      </c>
      <c r="C165" s="127">
        <f t="shared" si="8"/>
        <v>2.3562833299184276E-2</v>
      </c>
      <c r="D165">
        <v>46.866900000000001</v>
      </c>
      <c r="E165" s="127">
        <f t="shared" si="9"/>
        <v>-3.2857379831310583E-3</v>
      </c>
      <c r="G165" s="2">
        <v>42878</v>
      </c>
      <c r="H165">
        <v>2398.42</v>
      </c>
      <c r="I165" s="127">
        <f t="shared" si="10"/>
        <v>1.837912799391856E-3</v>
      </c>
      <c r="J165">
        <v>55.180599999999998</v>
      </c>
      <c r="K165" s="127">
        <f t="shared" si="11"/>
        <v>1.2216910699152095E-2</v>
      </c>
    </row>
    <row r="166" spans="1:11">
      <c r="A166" s="2">
        <v>41670</v>
      </c>
      <c r="B166">
        <v>1782.59</v>
      </c>
      <c r="C166" s="127">
        <f t="shared" si="8"/>
        <v>-3.5582895107013776E-2</v>
      </c>
      <c r="D166">
        <v>43.416200000000003</v>
      </c>
      <c r="E166" s="127">
        <f t="shared" si="9"/>
        <v>-7.362765619232331E-2</v>
      </c>
      <c r="G166" s="2">
        <v>42879</v>
      </c>
      <c r="H166">
        <v>2404.39</v>
      </c>
      <c r="I166" s="127">
        <f t="shared" si="10"/>
        <v>2.4891386829662028E-3</v>
      </c>
      <c r="J166">
        <v>54.979700000000001</v>
      </c>
      <c r="K166" s="127">
        <f t="shared" si="11"/>
        <v>-3.6407723004098758E-3</v>
      </c>
    </row>
    <row r="167" spans="1:11">
      <c r="A167" s="2">
        <v>41698</v>
      </c>
      <c r="B167">
        <v>1859.45</v>
      </c>
      <c r="C167" s="127">
        <f t="shared" si="8"/>
        <v>4.3117037568930677E-2</v>
      </c>
      <c r="D167">
        <v>46.807299999999998</v>
      </c>
      <c r="E167" s="127">
        <f t="shared" si="9"/>
        <v>7.8106789631519902E-2</v>
      </c>
      <c r="G167" s="2">
        <v>42880</v>
      </c>
      <c r="H167">
        <v>2415.0700000000002</v>
      </c>
      <c r="I167" s="127">
        <f t="shared" si="10"/>
        <v>4.4418750701842426E-3</v>
      </c>
      <c r="J167">
        <v>55.339199999999998</v>
      </c>
      <c r="K167" s="127">
        <f t="shared" si="11"/>
        <v>6.5387770395254436E-3</v>
      </c>
    </row>
    <row r="168" spans="1:11">
      <c r="A168" s="2">
        <v>41729</v>
      </c>
      <c r="B168">
        <v>1872.34</v>
      </c>
      <c r="C168" s="127">
        <f t="shared" si="8"/>
        <v>6.9321573583585854E-3</v>
      </c>
      <c r="D168">
        <v>44.153100000000002</v>
      </c>
      <c r="E168" s="127">
        <f t="shared" si="9"/>
        <v>-5.6704830229472668E-2</v>
      </c>
      <c r="G168" s="2">
        <v>42881</v>
      </c>
      <c r="H168">
        <v>2415.8200000000002</v>
      </c>
      <c r="I168" s="127">
        <f t="shared" si="10"/>
        <v>3.105500047617667E-4</v>
      </c>
      <c r="J168">
        <v>55.5929</v>
      </c>
      <c r="K168" s="127">
        <f t="shared" si="11"/>
        <v>4.5844536964755912E-3</v>
      </c>
    </row>
    <row r="169" spans="1:11">
      <c r="A169" s="2">
        <v>41759</v>
      </c>
      <c r="B169">
        <v>1883.95</v>
      </c>
      <c r="C169" s="127">
        <f t="shared" si="8"/>
        <v>6.2007968638175372E-3</v>
      </c>
      <c r="D169">
        <v>43.609099999999998</v>
      </c>
      <c r="E169" s="127">
        <f t="shared" si="9"/>
        <v>-1.2320765699350759E-2</v>
      </c>
      <c r="G169" s="2">
        <v>42885</v>
      </c>
      <c r="H169">
        <v>2412.91</v>
      </c>
      <c r="I169" s="127">
        <f t="shared" si="10"/>
        <v>-1.204559942379941E-3</v>
      </c>
      <c r="J169">
        <v>55.941699999999997</v>
      </c>
      <c r="K169" s="127">
        <f t="shared" si="11"/>
        <v>6.2741824945271273E-3</v>
      </c>
    </row>
    <row r="170" spans="1:11">
      <c r="A170" s="2">
        <v>41789</v>
      </c>
      <c r="B170">
        <v>1923.57</v>
      </c>
      <c r="C170" s="127">
        <f t="shared" si="8"/>
        <v>2.1030282120013743E-2</v>
      </c>
      <c r="D170">
        <v>46.119799999999998</v>
      </c>
      <c r="E170" s="127">
        <f t="shared" si="9"/>
        <v>5.7572846034428596E-2</v>
      </c>
      <c r="G170" s="2">
        <v>42886</v>
      </c>
      <c r="H170">
        <v>2411.8000000000002</v>
      </c>
      <c r="I170" s="127">
        <f t="shared" si="10"/>
        <v>-4.6002544645248791E-4</v>
      </c>
      <c r="J170">
        <v>56.015700000000002</v>
      </c>
      <c r="K170" s="127">
        <f t="shared" si="11"/>
        <v>1.3228057066554141E-3</v>
      </c>
    </row>
    <row r="171" spans="1:11">
      <c r="A171" s="2">
        <v>41820</v>
      </c>
      <c r="B171">
        <v>1960.23</v>
      </c>
      <c r="C171" s="127">
        <f t="shared" si="8"/>
        <v>1.9058313448431865E-2</v>
      </c>
      <c r="D171">
        <v>46.503599999999999</v>
      </c>
      <c r="E171" s="127">
        <f t="shared" si="9"/>
        <v>8.3218053851057648E-3</v>
      </c>
      <c r="G171" s="2">
        <v>42887</v>
      </c>
      <c r="H171">
        <v>2430.06</v>
      </c>
      <c r="I171" s="127">
        <f t="shared" si="10"/>
        <v>7.5711087154821137E-3</v>
      </c>
      <c r="J171">
        <v>55.476599999999998</v>
      </c>
      <c r="K171" s="127">
        <f t="shared" si="11"/>
        <v>-9.6240875326025523E-3</v>
      </c>
    </row>
    <row r="172" spans="1:11">
      <c r="A172" s="2">
        <v>41851</v>
      </c>
      <c r="B172">
        <v>1930.67</v>
      </c>
      <c r="C172" s="127">
        <f t="shared" si="8"/>
        <v>-1.5079863077291922E-2</v>
      </c>
      <c r="D172">
        <v>46.251800000000003</v>
      </c>
      <c r="E172" s="127">
        <f t="shared" si="9"/>
        <v>-5.414634565925989E-3</v>
      </c>
      <c r="G172" s="2">
        <v>42888</v>
      </c>
      <c r="H172">
        <v>2439.0700000000002</v>
      </c>
      <c r="I172" s="127">
        <f t="shared" si="10"/>
        <v>3.7077273812170146E-3</v>
      </c>
      <c r="J172">
        <v>56.197899999999997</v>
      </c>
      <c r="K172" s="127">
        <f t="shared" si="11"/>
        <v>1.3001878269396456E-2</v>
      </c>
    </row>
    <row r="173" spans="1:11">
      <c r="A173" s="2">
        <v>41880</v>
      </c>
      <c r="B173">
        <v>2003.37</v>
      </c>
      <c r="C173" s="127">
        <f t="shared" si="8"/>
        <v>3.7655321727690289E-2</v>
      </c>
      <c r="D173">
        <v>47.247199999999999</v>
      </c>
      <c r="E173" s="127">
        <f t="shared" si="9"/>
        <v>2.1521324575475904E-2</v>
      </c>
      <c r="G173" s="2">
        <v>42891</v>
      </c>
      <c r="H173">
        <v>2436.1</v>
      </c>
      <c r="I173" s="127">
        <f t="shared" si="10"/>
        <v>-1.217677229435914E-3</v>
      </c>
      <c r="J173">
        <v>56.229700000000001</v>
      </c>
      <c r="K173" s="127">
        <f t="shared" si="11"/>
        <v>5.6585744307178826E-4</v>
      </c>
    </row>
    <row r="174" spans="1:11">
      <c r="A174" s="2">
        <v>41912</v>
      </c>
      <c r="B174">
        <v>1972.29</v>
      </c>
      <c r="C174" s="127">
        <f t="shared" si="8"/>
        <v>-1.5513859147336702E-2</v>
      </c>
      <c r="D174">
        <v>53.653100000000002</v>
      </c>
      <c r="E174" s="127">
        <f t="shared" si="9"/>
        <v>0.13558263770128182</v>
      </c>
      <c r="G174" s="2">
        <v>42892</v>
      </c>
      <c r="H174">
        <v>2429.33</v>
      </c>
      <c r="I174" s="127">
        <f t="shared" si="10"/>
        <v>-2.7790320594392602E-3</v>
      </c>
      <c r="J174">
        <v>55.667499999999997</v>
      </c>
      <c r="K174" s="127">
        <f t="shared" si="11"/>
        <v>-9.9982749329981177E-3</v>
      </c>
    </row>
    <row r="175" spans="1:11">
      <c r="A175" s="2">
        <v>41943</v>
      </c>
      <c r="B175">
        <v>2018.05</v>
      </c>
      <c r="C175" s="127">
        <f t="shared" si="8"/>
        <v>2.3201456175308902E-2</v>
      </c>
      <c r="D175">
        <v>55.920699999999997</v>
      </c>
      <c r="E175" s="127">
        <f t="shared" si="9"/>
        <v>4.2264100303617019E-2</v>
      </c>
      <c r="G175" s="2">
        <v>42893</v>
      </c>
      <c r="H175">
        <v>2433.14</v>
      </c>
      <c r="I175" s="127">
        <f t="shared" si="10"/>
        <v>1.5683336557816129E-3</v>
      </c>
      <c r="J175">
        <v>56.463099999999997</v>
      </c>
      <c r="K175" s="127">
        <f t="shared" si="11"/>
        <v>1.429200161674227E-2</v>
      </c>
    </row>
    <row r="176" spans="1:11">
      <c r="A176" s="2">
        <v>41971</v>
      </c>
      <c r="B176">
        <v>2067.56</v>
      </c>
      <c r="C176" s="127">
        <f t="shared" si="8"/>
        <v>2.4533584400782932E-2</v>
      </c>
      <c r="D176">
        <v>59.722099999999998</v>
      </c>
      <c r="E176" s="127">
        <f t="shared" si="9"/>
        <v>6.7978405134413569E-2</v>
      </c>
      <c r="G176" s="2">
        <v>42894</v>
      </c>
      <c r="H176">
        <v>2433.79</v>
      </c>
      <c r="I176" s="127">
        <f t="shared" si="10"/>
        <v>2.6714451285174342E-4</v>
      </c>
      <c r="J176">
        <v>56.431199999999997</v>
      </c>
      <c r="K176" s="127">
        <f t="shared" si="11"/>
        <v>-5.6497075080894001E-4</v>
      </c>
    </row>
    <row r="177" spans="1:11">
      <c r="A177" s="2">
        <v>42004</v>
      </c>
      <c r="B177">
        <v>2058.9</v>
      </c>
      <c r="C177" s="127">
        <f t="shared" si="8"/>
        <v>-4.1885120625277401E-3</v>
      </c>
      <c r="D177">
        <v>58.001899999999999</v>
      </c>
      <c r="E177" s="127">
        <f t="shared" si="9"/>
        <v>-2.8803407783718229E-2</v>
      </c>
      <c r="G177" s="2">
        <v>42895</v>
      </c>
      <c r="H177">
        <v>2431.77</v>
      </c>
      <c r="I177" s="127">
        <f t="shared" si="10"/>
        <v>-8.2998122270203339E-4</v>
      </c>
      <c r="J177">
        <v>56.707000000000001</v>
      </c>
      <c r="K177" s="127">
        <f t="shared" si="11"/>
        <v>4.8873672720056256E-3</v>
      </c>
    </row>
    <row r="178" spans="1:11">
      <c r="A178" s="2">
        <v>42034</v>
      </c>
      <c r="B178">
        <v>1994.99</v>
      </c>
      <c r="C178" s="127">
        <f t="shared" si="8"/>
        <v>-3.1040847054252307E-2</v>
      </c>
      <c r="D178">
        <v>55.6492</v>
      </c>
      <c r="E178" s="127">
        <f t="shared" si="9"/>
        <v>-4.0562464333064929E-2</v>
      </c>
      <c r="G178" s="2">
        <v>42898</v>
      </c>
      <c r="H178">
        <v>2429.39</v>
      </c>
      <c r="I178" s="127">
        <f t="shared" si="10"/>
        <v>-9.7871098006806125E-4</v>
      </c>
      <c r="J178">
        <v>57.311700000000002</v>
      </c>
      <c r="K178" s="127">
        <f t="shared" si="11"/>
        <v>1.0663586506075108E-2</v>
      </c>
    </row>
    <row r="179" spans="1:11">
      <c r="A179" s="2">
        <v>42062</v>
      </c>
      <c r="B179">
        <v>2104.5</v>
      </c>
      <c r="C179" s="127">
        <f t="shared" si="8"/>
        <v>5.4892505726845744E-2</v>
      </c>
      <c r="D179">
        <v>58.755899999999997</v>
      </c>
      <c r="E179" s="127">
        <f t="shared" si="9"/>
        <v>5.5826498853532421E-2</v>
      </c>
      <c r="G179" s="2">
        <v>42899</v>
      </c>
      <c r="H179">
        <v>2440.35</v>
      </c>
      <c r="I179" s="127">
        <f t="shared" si="10"/>
        <v>4.5114205623634071E-3</v>
      </c>
      <c r="J179">
        <v>57.608699999999999</v>
      </c>
      <c r="K179" s="127">
        <f t="shared" si="11"/>
        <v>5.1821879302131509E-3</v>
      </c>
    </row>
    <row r="180" spans="1:11">
      <c r="A180" s="2">
        <v>42094</v>
      </c>
      <c r="B180">
        <v>2067.89</v>
      </c>
      <c r="C180" s="127">
        <f t="shared" si="8"/>
        <v>-1.7396056070325554E-2</v>
      </c>
      <c r="D180">
        <v>60.697899999999997</v>
      </c>
      <c r="E180" s="127">
        <f t="shared" si="9"/>
        <v>3.3051999884266943E-2</v>
      </c>
      <c r="G180" s="2">
        <v>42900</v>
      </c>
      <c r="H180">
        <v>2437.92</v>
      </c>
      <c r="I180" s="127">
        <f t="shared" si="10"/>
        <v>-9.9575880508936693E-4</v>
      </c>
      <c r="J180">
        <v>57.979900000000001</v>
      </c>
      <c r="K180" s="127">
        <f t="shared" si="11"/>
        <v>6.4434712118135243E-3</v>
      </c>
    </row>
    <row r="181" spans="1:11">
      <c r="A181" s="2">
        <v>42124</v>
      </c>
      <c r="B181">
        <v>2085.5100000000002</v>
      </c>
      <c r="C181" s="127">
        <f t="shared" si="8"/>
        <v>8.5207627098154871E-3</v>
      </c>
      <c r="D181">
        <v>59.796500000000002</v>
      </c>
      <c r="E181" s="127">
        <f t="shared" si="9"/>
        <v>-1.4850596149125346E-2</v>
      </c>
      <c r="G181" s="2">
        <v>42901</v>
      </c>
      <c r="H181">
        <v>2432.46</v>
      </c>
      <c r="I181" s="127">
        <f t="shared" si="10"/>
        <v>-2.2396140972632556E-3</v>
      </c>
      <c r="J181">
        <v>56.113</v>
      </c>
      <c r="K181" s="127">
        <f t="shared" si="11"/>
        <v>-3.2199089684528621E-2</v>
      </c>
    </row>
    <row r="182" spans="1:11">
      <c r="A182" s="2">
        <v>42153</v>
      </c>
      <c r="B182">
        <v>2107.39</v>
      </c>
      <c r="C182" s="127">
        <f t="shared" si="8"/>
        <v>1.0491438545008008E-2</v>
      </c>
      <c r="D182">
        <v>61.677999999999997</v>
      </c>
      <c r="E182" s="127">
        <f t="shared" si="9"/>
        <v>3.1465052302392202E-2</v>
      </c>
      <c r="G182" s="2">
        <v>42902</v>
      </c>
      <c r="H182">
        <v>2433.15</v>
      </c>
      <c r="I182" s="127">
        <f t="shared" si="10"/>
        <v>2.8366345181423519E-4</v>
      </c>
      <c r="J182">
        <v>54.203699999999998</v>
      </c>
      <c r="K182" s="127">
        <f t="shared" si="11"/>
        <v>-3.4025983283731076E-2</v>
      </c>
    </row>
    <row r="183" spans="1:11">
      <c r="A183" s="2">
        <v>42185</v>
      </c>
      <c r="B183">
        <v>2063.11</v>
      </c>
      <c r="C183" s="127">
        <f t="shared" si="8"/>
        <v>-2.1011772856471631E-2</v>
      </c>
      <c r="D183">
        <v>65.530199999999994</v>
      </c>
      <c r="E183" s="127">
        <f t="shared" si="9"/>
        <v>6.2456629592399178E-2</v>
      </c>
      <c r="G183" s="2">
        <v>42905</v>
      </c>
      <c r="H183">
        <v>2453.46</v>
      </c>
      <c r="I183" s="127">
        <f t="shared" si="10"/>
        <v>8.3472042414154263E-3</v>
      </c>
      <c r="J183">
        <v>55.179600000000001</v>
      </c>
      <c r="K183" s="127">
        <f t="shared" si="11"/>
        <v>1.8004305979112182E-2</v>
      </c>
    </row>
    <row r="184" spans="1:11">
      <c r="A184" s="2">
        <v>42216</v>
      </c>
      <c r="B184">
        <v>2103.84</v>
      </c>
      <c r="C184" s="127">
        <f t="shared" si="8"/>
        <v>1.9742039930008587E-2</v>
      </c>
      <c r="D184">
        <v>69.898099999999999</v>
      </c>
      <c r="E184" s="127">
        <f t="shared" si="9"/>
        <v>6.6654763757778956E-2</v>
      </c>
      <c r="G184" s="2">
        <v>42906</v>
      </c>
      <c r="H184">
        <v>2437.0300000000002</v>
      </c>
      <c r="I184" s="127">
        <f t="shared" si="10"/>
        <v>-6.6966651178335234E-3</v>
      </c>
      <c r="J184">
        <v>54.691600000000001</v>
      </c>
      <c r="K184" s="127">
        <f t="shared" si="11"/>
        <v>-8.8438480887864275E-3</v>
      </c>
    </row>
    <row r="185" spans="1:11">
      <c r="A185" s="2">
        <v>42247</v>
      </c>
      <c r="B185">
        <v>1972.18</v>
      </c>
      <c r="C185" s="127">
        <f t="shared" si="8"/>
        <v>-6.2580804623925804E-2</v>
      </c>
      <c r="D185">
        <v>67.793000000000006</v>
      </c>
      <c r="E185" s="127">
        <f t="shared" si="9"/>
        <v>-3.0116698451030759E-2</v>
      </c>
      <c r="G185" s="2">
        <v>42907</v>
      </c>
      <c r="H185">
        <v>2435.61</v>
      </c>
      <c r="I185" s="127">
        <f t="shared" si="10"/>
        <v>-5.826764545369046E-4</v>
      </c>
      <c r="J185">
        <v>55.784199999999998</v>
      </c>
      <c r="K185" s="127">
        <f t="shared" si="11"/>
        <v>1.997747368882968E-2</v>
      </c>
    </row>
    <row r="186" spans="1:11">
      <c r="A186" s="2">
        <v>42277</v>
      </c>
      <c r="B186">
        <v>1920.03</v>
      </c>
      <c r="C186" s="127">
        <f t="shared" si="8"/>
        <v>-2.6442819620927142E-2</v>
      </c>
      <c r="D186">
        <v>74.769499999999994</v>
      </c>
      <c r="E186" s="127">
        <f t="shared" si="9"/>
        <v>0.10290885489652304</v>
      </c>
      <c r="G186" s="2">
        <v>42908</v>
      </c>
      <c r="H186">
        <v>2434.5</v>
      </c>
      <c r="I186" s="127">
        <f t="shared" si="10"/>
        <v>-4.557379876089059E-4</v>
      </c>
      <c r="J186">
        <v>55.582700000000003</v>
      </c>
      <c r="K186" s="127">
        <f t="shared" si="11"/>
        <v>-3.6121339017140303E-3</v>
      </c>
    </row>
    <row r="187" spans="1:11">
      <c r="A187" s="2">
        <v>42307</v>
      </c>
      <c r="B187">
        <v>2079.36</v>
      </c>
      <c r="C187" s="127">
        <f t="shared" si="8"/>
        <v>8.298307838940025E-2</v>
      </c>
      <c r="D187">
        <v>79.670199999999994</v>
      </c>
      <c r="E187" s="127">
        <f t="shared" si="9"/>
        <v>6.5544105551060272E-2</v>
      </c>
      <c r="G187" s="2">
        <v>42909</v>
      </c>
      <c r="H187">
        <v>2438.3000000000002</v>
      </c>
      <c r="I187" s="127">
        <f t="shared" si="10"/>
        <v>1.5608954610803786E-3</v>
      </c>
      <c r="J187">
        <v>56.06</v>
      </c>
      <c r="K187" s="127">
        <f t="shared" si="11"/>
        <v>8.5872042919829302E-3</v>
      </c>
    </row>
    <row r="188" spans="1:11">
      <c r="A188" s="2">
        <v>42338</v>
      </c>
      <c r="B188">
        <v>2080.41</v>
      </c>
      <c r="C188" s="127">
        <f t="shared" si="8"/>
        <v>5.0496306555850219E-4</v>
      </c>
      <c r="D188">
        <v>80.430199999999999</v>
      </c>
      <c r="E188" s="127">
        <f t="shared" si="9"/>
        <v>9.5393258709028615E-3</v>
      </c>
      <c r="G188" s="2">
        <v>42912</v>
      </c>
      <c r="H188">
        <v>2439.0700000000002</v>
      </c>
      <c r="I188" s="127">
        <f t="shared" si="10"/>
        <v>3.1579379075584701E-4</v>
      </c>
      <c r="J188">
        <v>56.516100000000002</v>
      </c>
      <c r="K188" s="127">
        <f t="shared" si="11"/>
        <v>8.1359257937923517E-3</v>
      </c>
    </row>
    <row r="189" spans="1:11">
      <c r="A189" s="2">
        <v>42369</v>
      </c>
      <c r="B189">
        <v>2043.94</v>
      </c>
      <c r="C189" s="127">
        <f t="shared" si="8"/>
        <v>-1.7530198374358805E-2</v>
      </c>
      <c r="D189">
        <v>76.198300000000003</v>
      </c>
      <c r="E189" s="127">
        <f t="shared" si="9"/>
        <v>-5.2615808489845803E-2</v>
      </c>
      <c r="G189" s="2">
        <v>42913</v>
      </c>
      <c r="H189">
        <v>2419.38</v>
      </c>
      <c r="I189" s="127">
        <f t="shared" si="10"/>
        <v>-8.0727490395929823E-3</v>
      </c>
      <c r="J189">
        <v>56.1661</v>
      </c>
      <c r="K189" s="127">
        <f t="shared" si="11"/>
        <v>-6.1929255557266229E-3</v>
      </c>
    </row>
    <row r="190" spans="1:11">
      <c r="A190" s="2">
        <v>42398</v>
      </c>
      <c r="B190">
        <v>1940.24</v>
      </c>
      <c r="C190" s="127">
        <f t="shared" si="8"/>
        <v>-5.0735344481736278E-2</v>
      </c>
      <c r="D190">
        <v>75.600899999999996</v>
      </c>
      <c r="E190" s="127">
        <f t="shared" si="9"/>
        <v>-7.8400699228198985E-3</v>
      </c>
      <c r="G190" s="2">
        <v>42914</v>
      </c>
      <c r="H190">
        <v>2440.69</v>
      </c>
      <c r="I190" s="127">
        <f t="shared" si="10"/>
        <v>8.8080417296993209E-3</v>
      </c>
      <c r="J190">
        <v>56.600999999999999</v>
      </c>
      <c r="K190" s="127">
        <f t="shared" si="11"/>
        <v>7.7431048265768666E-3</v>
      </c>
    </row>
    <row r="191" spans="1:11">
      <c r="A191" s="2">
        <v>42429</v>
      </c>
      <c r="B191">
        <v>1932.23</v>
      </c>
      <c r="C191" s="127">
        <f t="shared" si="8"/>
        <v>-4.1283552550199932E-3</v>
      </c>
      <c r="D191">
        <v>75.088899999999995</v>
      </c>
      <c r="E191" s="127">
        <f t="shared" si="9"/>
        <v>-6.7724061486040578E-3</v>
      </c>
      <c r="G191" s="2">
        <v>42915</v>
      </c>
      <c r="H191">
        <v>2419.6999999999998</v>
      </c>
      <c r="I191" s="127">
        <f t="shared" si="10"/>
        <v>-8.6000270415334343E-3</v>
      </c>
      <c r="J191">
        <v>56.3994</v>
      </c>
      <c r="K191" s="127">
        <f t="shared" si="11"/>
        <v>-3.5617745269518049E-3</v>
      </c>
    </row>
    <row r="192" spans="1:11">
      <c r="A192" s="2">
        <v>42460</v>
      </c>
      <c r="B192">
        <v>2059.7399999999998</v>
      </c>
      <c r="C192" s="127">
        <f t="shared" si="8"/>
        <v>6.5991108718941205E-2</v>
      </c>
      <c r="D192">
        <v>75.137699999999995</v>
      </c>
      <c r="E192" s="127">
        <f t="shared" si="9"/>
        <v>6.4989632289193158E-4</v>
      </c>
      <c r="G192" s="2">
        <v>42916</v>
      </c>
      <c r="H192">
        <v>2423.41</v>
      </c>
      <c r="I192" s="127">
        <f t="shared" si="10"/>
        <v>1.5332479232962916E-3</v>
      </c>
      <c r="J192">
        <v>62.583500000000001</v>
      </c>
      <c r="K192" s="127">
        <f t="shared" si="11"/>
        <v>0.1096483295921588</v>
      </c>
    </row>
    <row r="193" spans="1:11">
      <c r="A193" s="2">
        <v>42489</v>
      </c>
      <c r="B193">
        <v>2065.3000000000002</v>
      </c>
      <c r="C193" s="127">
        <f t="shared" si="8"/>
        <v>2.6993698233759604E-3</v>
      </c>
      <c r="D193">
        <v>72.045100000000005</v>
      </c>
      <c r="E193" s="127">
        <f t="shared" si="9"/>
        <v>-4.1159098561707241E-2</v>
      </c>
      <c r="G193" s="2">
        <v>42919</v>
      </c>
      <c r="H193">
        <v>2429.0100000000002</v>
      </c>
      <c r="I193" s="127">
        <f t="shared" si="10"/>
        <v>2.3107934687074676E-3</v>
      </c>
      <c r="J193">
        <v>62.212299999999999</v>
      </c>
      <c r="K193" s="127">
        <f t="shared" si="11"/>
        <v>-5.9312758155105061E-3</v>
      </c>
    </row>
    <row r="194" spans="1:11">
      <c r="A194" s="2">
        <v>42521</v>
      </c>
      <c r="B194">
        <v>2096.96</v>
      </c>
      <c r="C194" s="127">
        <f t="shared" si="8"/>
        <v>1.5329492083474484E-2</v>
      </c>
      <c r="D194">
        <v>67.498000000000005</v>
      </c>
      <c r="E194" s="127">
        <f t="shared" si="9"/>
        <v>-6.3114632362228654E-2</v>
      </c>
      <c r="G194" s="2">
        <v>42921</v>
      </c>
      <c r="H194">
        <v>2432.54</v>
      </c>
      <c r="I194" s="127">
        <f t="shared" si="10"/>
        <v>1.4532669688472855E-3</v>
      </c>
      <c r="J194">
        <v>61.056100000000001</v>
      </c>
      <c r="K194" s="127">
        <f t="shared" si="11"/>
        <v>-1.858474931806087E-2</v>
      </c>
    </row>
    <row r="195" spans="1:11">
      <c r="A195" s="2">
        <v>42551</v>
      </c>
      <c r="B195">
        <v>2098.86</v>
      </c>
      <c r="C195" s="127">
        <f t="shared" si="8"/>
        <v>9.0607355409740335E-4</v>
      </c>
      <c r="D195">
        <v>67.6691</v>
      </c>
      <c r="E195" s="127">
        <f t="shared" si="9"/>
        <v>2.5348899226643098E-3</v>
      </c>
      <c r="G195" s="2">
        <v>42922</v>
      </c>
      <c r="H195">
        <v>2409.75</v>
      </c>
      <c r="I195" s="127">
        <f t="shared" si="10"/>
        <v>-9.3688079127167336E-3</v>
      </c>
      <c r="J195">
        <v>60.631799999999998</v>
      </c>
      <c r="K195" s="127">
        <f t="shared" si="11"/>
        <v>-6.9493465845345895E-3</v>
      </c>
    </row>
    <row r="196" spans="1:11">
      <c r="A196" s="2">
        <v>42580</v>
      </c>
      <c r="B196">
        <v>2173.6</v>
      </c>
      <c r="C196" s="127">
        <f t="shared" si="8"/>
        <v>3.5609807228685945E-2</v>
      </c>
      <c r="D196">
        <v>68.036900000000003</v>
      </c>
      <c r="E196" s="127">
        <f t="shared" si="9"/>
        <v>5.4352725246826477E-3</v>
      </c>
      <c r="G196" s="2">
        <v>42923</v>
      </c>
      <c r="H196">
        <v>2425.1799999999998</v>
      </c>
      <c r="I196" s="127">
        <f t="shared" si="10"/>
        <v>6.4031538541341783E-3</v>
      </c>
      <c r="J196">
        <v>61.501600000000003</v>
      </c>
      <c r="K196" s="127">
        <f t="shared" si="11"/>
        <v>1.4345607420528584E-2</v>
      </c>
    </row>
    <row r="197" spans="1:11">
      <c r="A197" s="2">
        <v>42613</v>
      </c>
      <c r="B197">
        <v>2170.9499999999998</v>
      </c>
      <c r="C197" s="127">
        <f t="shared" si="8"/>
        <v>-1.2191755612808663E-3</v>
      </c>
      <c r="D197">
        <v>70.660300000000007</v>
      </c>
      <c r="E197" s="127">
        <f t="shared" si="9"/>
        <v>3.8558488114537902E-2</v>
      </c>
      <c r="G197" s="2">
        <v>42926</v>
      </c>
      <c r="H197">
        <v>2427.4299999999998</v>
      </c>
      <c r="I197" s="127">
        <f t="shared" si="10"/>
        <v>9.2776618642739924E-4</v>
      </c>
      <c r="J197">
        <v>62.2971</v>
      </c>
      <c r="K197" s="127">
        <f t="shared" si="11"/>
        <v>1.293462283908056E-2</v>
      </c>
    </row>
    <row r="198" spans="1:11">
      <c r="A198" s="2">
        <v>42643</v>
      </c>
      <c r="B198">
        <v>2168.27</v>
      </c>
      <c r="C198" s="127">
        <f t="shared" si="8"/>
        <v>-1.2344825997834296E-3</v>
      </c>
      <c r="D198">
        <v>64.739199999999997</v>
      </c>
      <c r="E198" s="127">
        <f t="shared" si="9"/>
        <v>-8.3796700551795125E-2</v>
      </c>
      <c r="G198" s="2">
        <v>42927</v>
      </c>
      <c r="H198">
        <v>2425.5300000000002</v>
      </c>
      <c r="I198" s="127">
        <f t="shared" si="10"/>
        <v>-7.827208199617028E-4</v>
      </c>
      <c r="J198">
        <v>61.713700000000003</v>
      </c>
      <c r="K198" s="127">
        <f t="shared" si="11"/>
        <v>-9.3648018928649563E-3</v>
      </c>
    </row>
    <row r="199" spans="1:11">
      <c r="A199" s="2">
        <v>42674</v>
      </c>
      <c r="B199">
        <v>2126.15</v>
      </c>
      <c r="C199" s="127">
        <f t="shared" si="8"/>
        <v>-1.9425625037472222E-2</v>
      </c>
      <c r="D199">
        <v>61.702100000000002</v>
      </c>
      <c r="E199" s="127">
        <f t="shared" si="9"/>
        <v>-4.6912844150066656E-2</v>
      </c>
      <c r="G199" s="2">
        <v>42928</v>
      </c>
      <c r="H199">
        <v>2443.25</v>
      </c>
      <c r="I199" s="127">
        <f t="shared" si="10"/>
        <v>7.3056198026822169E-3</v>
      </c>
      <c r="J199">
        <v>61.7562</v>
      </c>
      <c r="K199" s="127">
        <f t="shared" si="11"/>
        <v>6.8866394333830044E-4</v>
      </c>
    </row>
    <row r="200" spans="1:11">
      <c r="A200" s="2">
        <v>42704</v>
      </c>
      <c r="B200">
        <v>2198.81</v>
      </c>
      <c r="C200" s="127">
        <f t="shared" si="8"/>
        <v>3.4174446769983234E-2</v>
      </c>
      <c r="D200">
        <v>61.566800000000001</v>
      </c>
      <c r="E200" s="127">
        <f t="shared" si="9"/>
        <v>-2.1927940864249493E-3</v>
      </c>
      <c r="G200" s="2">
        <v>42929</v>
      </c>
      <c r="H200">
        <v>2447.83</v>
      </c>
      <c r="I200" s="127">
        <f t="shared" si="10"/>
        <v>1.8745523380742566E-3</v>
      </c>
      <c r="J200">
        <v>61.459099999999999</v>
      </c>
      <c r="K200" s="127">
        <f t="shared" si="11"/>
        <v>-4.8108529993749673E-3</v>
      </c>
    </row>
    <row r="201" spans="1:11">
      <c r="A201" s="2">
        <v>42734</v>
      </c>
      <c r="B201">
        <v>2238.83</v>
      </c>
      <c r="C201" s="127">
        <f t="shared" ref="C201:C210" si="12">(B201-B200)/B200</f>
        <v>1.8200754044233009E-2</v>
      </c>
      <c r="D201">
        <v>62.722700000000003</v>
      </c>
      <c r="E201" s="127">
        <f t="shared" ref="E201:E210" si="13">(D201-D200)/D200</f>
        <v>1.8774729237186316E-2</v>
      </c>
      <c r="G201" s="2">
        <v>42930</v>
      </c>
      <c r="H201">
        <v>2459.27</v>
      </c>
      <c r="I201" s="127">
        <f t="shared" ref="I201:I258" si="14">(H201-H200)/H200</f>
        <v>4.6735271648766681E-3</v>
      </c>
      <c r="J201">
        <v>61.522799999999997</v>
      </c>
      <c r="K201" s="127">
        <f t="shared" ref="K201:K258" si="15">(J201-J200)/J200</f>
        <v>1.036461646851275E-3</v>
      </c>
    </row>
    <row r="202" spans="1:11">
      <c r="A202" s="2">
        <v>42766</v>
      </c>
      <c r="B202">
        <v>2278.87</v>
      </c>
      <c r="C202" s="127">
        <f t="shared" si="12"/>
        <v>1.7884341374735897E-2</v>
      </c>
      <c r="D202">
        <v>65.277000000000001</v>
      </c>
      <c r="E202" s="127">
        <f t="shared" si="13"/>
        <v>4.0723693335905461E-2</v>
      </c>
      <c r="G202" s="2">
        <v>42933</v>
      </c>
      <c r="H202">
        <v>2459.14</v>
      </c>
      <c r="I202" s="127">
        <f t="shared" si="14"/>
        <v>-5.2861214913412981E-5</v>
      </c>
      <c r="J202">
        <v>61.3</v>
      </c>
      <c r="K202" s="127">
        <f t="shared" si="15"/>
        <v>-3.621421651810377E-3</v>
      </c>
    </row>
    <row r="203" spans="1:11">
      <c r="A203" s="2">
        <v>42794</v>
      </c>
      <c r="B203">
        <v>2363.64</v>
      </c>
      <c r="C203" s="127">
        <f t="shared" si="12"/>
        <v>3.7198260541408672E-2</v>
      </c>
      <c r="D203">
        <v>70.533699999999996</v>
      </c>
      <c r="E203" s="127">
        <f t="shared" si="13"/>
        <v>8.0529129708779429E-2</v>
      </c>
      <c r="G203" s="2">
        <v>42934</v>
      </c>
      <c r="H203">
        <v>2460.61</v>
      </c>
      <c r="I203" s="127">
        <f t="shared" si="14"/>
        <v>5.9776995209717817E-4</v>
      </c>
      <c r="J203">
        <v>61.151499999999999</v>
      </c>
      <c r="K203" s="127">
        <f t="shared" si="15"/>
        <v>-2.4225122349102535E-3</v>
      </c>
    </row>
    <row r="204" spans="1:11">
      <c r="A204" s="2">
        <v>42825</v>
      </c>
      <c r="B204">
        <v>2362.7199999999998</v>
      </c>
      <c r="C204" s="127">
        <f t="shared" si="12"/>
        <v>-3.8923017041515325E-4</v>
      </c>
      <c r="D204">
        <v>68.991200000000006</v>
      </c>
      <c r="E204" s="127">
        <f t="shared" si="13"/>
        <v>-2.1868978941980782E-2</v>
      </c>
      <c r="G204" s="2">
        <v>42935</v>
      </c>
      <c r="H204">
        <v>2473.83</v>
      </c>
      <c r="I204" s="127">
        <f t="shared" si="14"/>
        <v>5.3726514969864381E-3</v>
      </c>
      <c r="J204">
        <v>61.278799999999997</v>
      </c>
      <c r="K204" s="127">
        <f t="shared" si="15"/>
        <v>2.0817150846667407E-3</v>
      </c>
    </row>
    <row r="205" spans="1:11">
      <c r="A205" s="2">
        <v>42853</v>
      </c>
      <c r="B205">
        <v>2384.1999999999998</v>
      </c>
      <c r="C205" s="127">
        <f t="shared" si="12"/>
        <v>9.0912169025529985E-3</v>
      </c>
      <c r="D205">
        <v>68.595100000000002</v>
      </c>
      <c r="E205" s="127">
        <f t="shared" si="13"/>
        <v>-5.7413119354353028E-3</v>
      </c>
      <c r="G205" s="2">
        <v>42936</v>
      </c>
      <c r="H205">
        <v>2473.4499999999998</v>
      </c>
      <c r="I205" s="127">
        <f t="shared" si="14"/>
        <v>-1.5360796821127932E-4</v>
      </c>
      <c r="J205">
        <v>62.689599999999999</v>
      </c>
      <c r="K205" s="127">
        <f t="shared" si="15"/>
        <v>2.3022644046554467E-2</v>
      </c>
    </row>
    <row r="206" spans="1:11">
      <c r="A206" s="2">
        <v>42886</v>
      </c>
      <c r="B206">
        <v>2411.8000000000002</v>
      </c>
      <c r="C206" s="127">
        <f t="shared" si="12"/>
        <v>1.1576210049492646E-2</v>
      </c>
      <c r="D206">
        <v>65.599199999999996</v>
      </c>
      <c r="E206" s="127">
        <f t="shared" si="13"/>
        <v>-4.3675131314044387E-2</v>
      </c>
      <c r="G206" s="2">
        <v>42937</v>
      </c>
      <c r="H206">
        <v>2472.54</v>
      </c>
      <c r="I206" s="127">
        <f t="shared" si="14"/>
        <v>-3.679071741898379E-4</v>
      </c>
      <c r="J206">
        <v>63.591200000000001</v>
      </c>
      <c r="K206" s="127">
        <f t="shared" si="15"/>
        <v>1.4381970853219704E-2</v>
      </c>
    </row>
    <row r="207" spans="1:11">
      <c r="A207" s="2">
        <v>42916</v>
      </c>
      <c r="B207">
        <v>2423.41</v>
      </c>
      <c r="C207" s="127">
        <f t="shared" si="12"/>
        <v>4.81383199270241E-3</v>
      </c>
      <c r="D207">
        <v>73.262200000000007</v>
      </c>
      <c r="E207" s="127">
        <f t="shared" si="13"/>
        <v>0.11681544896889004</v>
      </c>
      <c r="G207" s="2">
        <v>42940</v>
      </c>
      <c r="H207">
        <v>2469.91</v>
      </c>
      <c r="I207" s="127">
        <f t="shared" si="14"/>
        <v>-1.0636834995592019E-3</v>
      </c>
      <c r="J207">
        <v>62.530500000000004</v>
      </c>
      <c r="K207" s="127">
        <f t="shared" si="15"/>
        <v>-1.6679980877857267E-2</v>
      </c>
    </row>
    <row r="208" spans="1:11">
      <c r="A208" s="2">
        <v>42947</v>
      </c>
      <c r="B208">
        <v>2470.3000000000002</v>
      </c>
      <c r="C208" s="127">
        <f t="shared" si="12"/>
        <v>1.9348768883515513E-2</v>
      </c>
      <c r="D208">
        <v>73.324299999999994</v>
      </c>
      <c r="E208" s="127">
        <f t="shared" si="13"/>
        <v>8.4764039299920987E-4</v>
      </c>
      <c r="G208" s="2">
        <v>42941</v>
      </c>
      <c r="H208">
        <v>2477.13</v>
      </c>
      <c r="I208" s="127">
        <f t="shared" si="14"/>
        <v>2.9231834358337976E-3</v>
      </c>
      <c r="J208">
        <v>62.997199999999999</v>
      </c>
      <c r="K208" s="127">
        <f t="shared" si="15"/>
        <v>7.4635577838014387E-3</v>
      </c>
    </row>
    <row r="209" spans="1:11">
      <c r="A209" s="2">
        <v>42978</v>
      </c>
      <c r="B209">
        <v>2471.65</v>
      </c>
      <c r="C209" s="127">
        <f t="shared" si="12"/>
        <v>5.4649232886690234E-4</v>
      </c>
      <c r="D209">
        <v>65.799400000000006</v>
      </c>
      <c r="E209" s="127">
        <f t="shared" si="13"/>
        <v>-0.10262491425080074</v>
      </c>
      <c r="G209" s="2">
        <v>42942</v>
      </c>
      <c r="H209">
        <v>2477.83</v>
      </c>
      <c r="I209" s="127">
        <f t="shared" si="14"/>
        <v>2.8258508838850525E-4</v>
      </c>
      <c r="J209">
        <v>61.904699999999998</v>
      </c>
      <c r="K209" s="127">
        <f t="shared" si="15"/>
        <v>-1.7342040598629798E-2</v>
      </c>
    </row>
    <row r="210" spans="1:11">
      <c r="A210" s="3">
        <v>43007</v>
      </c>
      <c r="B210">
        <v>2519.36</v>
      </c>
      <c r="C210" s="127">
        <f t="shared" si="12"/>
        <v>1.9302894827342074E-2</v>
      </c>
      <c r="D210">
        <v>64.603200000000001</v>
      </c>
      <c r="E210" s="127">
        <f t="shared" si="13"/>
        <v>-1.8179497077481017E-2</v>
      </c>
      <c r="G210" s="2">
        <v>42943</v>
      </c>
      <c r="H210">
        <v>2475.42</v>
      </c>
      <c r="I210" s="127">
        <f t="shared" si="14"/>
        <v>-9.7262524063388312E-4</v>
      </c>
      <c r="J210">
        <v>61.681899999999999</v>
      </c>
      <c r="K210" s="127">
        <f t="shared" si="15"/>
        <v>-3.5990805221574364E-3</v>
      </c>
    </row>
    <row r="211" spans="1:11">
      <c r="A211" s="100" t="s">
        <v>11</v>
      </c>
      <c r="B211" s="100"/>
      <c r="C211" s="100"/>
      <c r="D211" s="134"/>
      <c r="E211" s="134"/>
      <c r="G211" s="2">
        <v>42944</v>
      </c>
      <c r="H211">
        <v>2472.1</v>
      </c>
      <c r="I211" s="127">
        <f t="shared" si="14"/>
        <v>-1.3411865461215324E-3</v>
      </c>
      <c r="J211">
        <v>62.233499999999999</v>
      </c>
      <c r="K211" s="127">
        <f t="shared" si="15"/>
        <v>8.942655787192038E-3</v>
      </c>
    </row>
    <row r="212" spans="1:11">
      <c r="A212" s="2"/>
      <c r="G212" s="2">
        <v>42947</v>
      </c>
      <c r="H212">
        <v>2470.3000000000002</v>
      </c>
      <c r="I212" s="127">
        <f t="shared" si="14"/>
        <v>-7.2812588487509696E-4</v>
      </c>
      <c r="J212">
        <v>62.636600000000001</v>
      </c>
      <c r="K212" s="127">
        <f t="shared" si="15"/>
        <v>6.4772188612242923E-3</v>
      </c>
    </row>
    <row r="213" spans="1:11">
      <c r="A213" s="2"/>
      <c r="G213" s="2">
        <v>42948</v>
      </c>
      <c r="H213">
        <v>2476.35</v>
      </c>
      <c r="I213" s="127">
        <f t="shared" si="14"/>
        <v>2.4490952515887651E-3</v>
      </c>
      <c r="J213">
        <v>63.474499999999999</v>
      </c>
      <c r="K213" s="127">
        <f t="shared" si="15"/>
        <v>1.3377162872825116E-2</v>
      </c>
    </row>
    <row r="214" spans="1:11">
      <c r="A214" s="2"/>
      <c r="G214" s="2">
        <v>42949</v>
      </c>
      <c r="H214">
        <v>2477.5700000000002</v>
      </c>
      <c r="I214" s="127">
        <f t="shared" si="14"/>
        <v>4.9266056898267805E-4</v>
      </c>
      <c r="J214">
        <v>63.421500000000002</v>
      </c>
      <c r="K214" s="127">
        <f t="shared" si="15"/>
        <v>-8.3498097661261254E-4</v>
      </c>
    </row>
    <row r="215" spans="1:11">
      <c r="A215" s="2"/>
      <c r="G215" s="2">
        <v>42950</v>
      </c>
      <c r="H215">
        <v>2472.16</v>
      </c>
      <c r="I215" s="127">
        <f t="shared" si="14"/>
        <v>-2.1835911800676907E-3</v>
      </c>
      <c r="J215">
        <v>63.7928</v>
      </c>
      <c r="K215" s="127">
        <f t="shared" si="15"/>
        <v>5.8544815244041528E-3</v>
      </c>
    </row>
    <row r="216" spans="1:11">
      <c r="A216" s="2"/>
      <c r="G216" s="2">
        <v>42951</v>
      </c>
      <c r="H216">
        <v>2476.83</v>
      </c>
      <c r="I216" s="127">
        <f t="shared" si="14"/>
        <v>1.8890363083295875E-3</v>
      </c>
      <c r="J216">
        <v>63.389699999999998</v>
      </c>
      <c r="K216" s="127">
        <f t="shared" si="15"/>
        <v>-6.3188949223110134E-3</v>
      </c>
    </row>
    <row r="217" spans="1:11">
      <c r="A217" s="2"/>
      <c r="G217" s="2">
        <v>42954</v>
      </c>
      <c r="H217">
        <v>2480.91</v>
      </c>
      <c r="I217" s="127">
        <f t="shared" si="14"/>
        <v>1.6472668693450609E-3</v>
      </c>
      <c r="J217">
        <v>63.421500000000002</v>
      </c>
      <c r="K217" s="127">
        <f t="shared" si="15"/>
        <v>5.0165878683767313E-4</v>
      </c>
    </row>
    <row r="218" spans="1:11">
      <c r="A218" s="2"/>
      <c r="G218" s="2">
        <v>42955</v>
      </c>
      <c r="H218">
        <v>2474.92</v>
      </c>
      <c r="I218" s="127">
        <f t="shared" si="14"/>
        <v>-2.4144366381689711E-3</v>
      </c>
      <c r="J218">
        <v>63.0715</v>
      </c>
      <c r="K218" s="127">
        <f t="shared" si="15"/>
        <v>-5.5186332710516371E-3</v>
      </c>
    </row>
    <row r="219" spans="1:11">
      <c r="A219" s="2"/>
      <c r="G219" s="2">
        <v>42956</v>
      </c>
      <c r="H219">
        <v>2474.02</v>
      </c>
      <c r="I219" s="127">
        <f t="shared" si="14"/>
        <v>-3.6364811791899976E-4</v>
      </c>
      <c r="J219">
        <v>63.538200000000003</v>
      </c>
      <c r="K219" s="127">
        <f t="shared" si="15"/>
        <v>7.3995386188691085E-3</v>
      </c>
    </row>
    <row r="220" spans="1:11">
      <c r="A220" s="2"/>
      <c r="G220" s="2">
        <v>42957</v>
      </c>
      <c r="H220">
        <v>2438.21</v>
      </c>
      <c r="I220" s="127">
        <f t="shared" si="14"/>
        <v>-1.4474418153450637E-2</v>
      </c>
      <c r="J220">
        <v>62.657800000000002</v>
      </c>
      <c r="K220" s="127">
        <f t="shared" si="15"/>
        <v>-1.3856231369475395E-2</v>
      </c>
    </row>
    <row r="221" spans="1:11">
      <c r="A221" s="2"/>
      <c r="G221" s="2">
        <v>42958</v>
      </c>
      <c r="H221">
        <v>2441.3200000000002</v>
      </c>
      <c r="I221" s="127">
        <f t="shared" si="14"/>
        <v>1.2755258980974269E-3</v>
      </c>
      <c r="J221">
        <v>62.551699999999997</v>
      </c>
      <c r="K221" s="127">
        <f t="shared" si="15"/>
        <v>-1.6933246938131399E-3</v>
      </c>
    </row>
    <row r="222" spans="1:11">
      <c r="A222" s="2"/>
      <c r="G222" s="2">
        <v>42961</v>
      </c>
      <c r="H222">
        <v>2465.84</v>
      </c>
      <c r="I222" s="127">
        <f t="shared" si="14"/>
        <v>1.0043746825487842E-2</v>
      </c>
      <c r="J222">
        <v>63.410899999999998</v>
      </c>
      <c r="K222" s="127">
        <f t="shared" si="15"/>
        <v>1.3735837715042139E-2</v>
      </c>
    </row>
    <row r="223" spans="1:11">
      <c r="A223" s="2"/>
      <c r="G223" s="2">
        <v>42962</v>
      </c>
      <c r="H223">
        <v>2464.61</v>
      </c>
      <c r="I223" s="127">
        <f t="shared" si="14"/>
        <v>-4.9881581935568335E-4</v>
      </c>
      <c r="J223">
        <v>62.116799999999998</v>
      </c>
      <c r="K223" s="127">
        <f t="shared" si="15"/>
        <v>-2.0408163265306128E-2</v>
      </c>
    </row>
    <row r="224" spans="1:11">
      <c r="A224" s="2"/>
      <c r="G224" s="2">
        <v>42963</v>
      </c>
      <c r="H224">
        <v>2468.11</v>
      </c>
      <c r="I224" s="127">
        <f t="shared" si="14"/>
        <v>1.4201029777530724E-3</v>
      </c>
      <c r="J224">
        <v>62.095599999999997</v>
      </c>
      <c r="K224" s="127">
        <f t="shared" si="15"/>
        <v>-3.4129253277696744E-4</v>
      </c>
    </row>
    <row r="225" spans="1:11">
      <c r="A225" s="2"/>
      <c r="G225" s="2">
        <v>42964</v>
      </c>
      <c r="H225">
        <v>2430.0100000000002</v>
      </c>
      <c r="I225" s="127">
        <f t="shared" si="14"/>
        <v>-1.5436913265616163E-2</v>
      </c>
      <c r="J225">
        <v>60.95</v>
      </c>
      <c r="K225" s="127">
        <f t="shared" si="15"/>
        <v>-1.8448972229916365E-2</v>
      </c>
    </row>
    <row r="226" spans="1:11">
      <c r="A226" s="2"/>
      <c r="G226" s="2">
        <v>42965</v>
      </c>
      <c r="H226">
        <v>2425.5500000000002</v>
      </c>
      <c r="I226" s="127">
        <f t="shared" si="14"/>
        <v>-1.8353833934839922E-3</v>
      </c>
      <c r="J226">
        <v>58.287500000000001</v>
      </c>
      <c r="K226" s="127">
        <f t="shared" si="15"/>
        <v>-4.3683347005742432E-2</v>
      </c>
    </row>
    <row r="227" spans="1:11">
      <c r="A227" s="2"/>
      <c r="G227" s="2">
        <v>42968</v>
      </c>
      <c r="H227">
        <v>2428.37</v>
      </c>
      <c r="I227" s="127">
        <f t="shared" si="14"/>
        <v>1.1626229102676543E-3</v>
      </c>
      <c r="J227">
        <v>56.866100000000003</v>
      </c>
      <c r="K227" s="127">
        <f t="shared" si="15"/>
        <v>-2.4386017585245522E-2</v>
      </c>
    </row>
    <row r="228" spans="1:11">
      <c r="A228" s="2"/>
      <c r="G228" s="2">
        <v>42969</v>
      </c>
      <c r="H228">
        <v>2452.5100000000002</v>
      </c>
      <c r="I228" s="127">
        <f t="shared" si="14"/>
        <v>9.9408245036795573E-3</v>
      </c>
      <c r="J228">
        <v>57.417700000000004</v>
      </c>
      <c r="K228" s="127">
        <f t="shared" si="15"/>
        <v>9.699979425351845E-3</v>
      </c>
    </row>
    <row r="229" spans="1:11">
      <c r="A229" s="2"/>
      <c r="G229" s="2">
        <v>42970</v>
      </c>
      <c r="H229">
        <v>2444.04</v>
      </c>
      <c r="I229" s="127">
        <f t="shared" si="14"/>
        <v>-3.4536046743949074E-3</v>
      </c>
      <c r="J229">
        <v>56.866100000000003</v>
      </c>
      <c r="K229" s="127">
        <f t="shared" si="15"/>
        <v>-9.6067937238865451E-3</v>
      </c>
    </row>
    <row r="230" spans="1:11">
      <c r="A230" s="2"/>
      <c r="G230" s="2">
        <v>42971</v>
      </c>
      <c r="H230">
        <v>2438.9699999999998</v>
      </c>
      <c r="I230" s="127">
        <f t="shared" si="14"/>
        <v>-2.0744341336476342E-3</v>
      </c>
      <c r="J230">
        <v>57.110100000000003</v>
      </c>
      <c r="K230" s="127">
        <f t="shared" si="15"/>
        <v>4.2907813266603433E-3</v>
      </c>
    </row>
    <row r="231" spans="1:11">
      <c r="A231" s="2"/>
      <c r="G231" s="2">
        <v>42972</v>
      </c>
      <c r="H231">
        <v>2443.0500000000002</v>
      </c>
      <c r="I231" s="127">
        <f t="shared" si="14"/>
        <v>1.672837304272042E-3</v>
      </c>
      <c r="J231">
        <v>57.1738</v>
      </c>
      <c r="K231" s="127">
        <f t="shared" si="15"/>
        <v>1.115389396971765E-3</v>
      </c>
    </row>
    <row r="232" spans="1:11">
      <c r="A232" s="2"/>
      <c r="G232" s="2">
        <v>42975</v>
      </c>
      <c r="H232">
        <v>2444.2399999999998</v>
      </c>
      <c r="I232" s="127">
        <f t="shared" si="14"/>
        <v>4.87096047972657E-4</v>
      </c>
      <c r="J232">
        <v>56.993400000000001</v>
      </c>
      <c r="K232" s="127">
        <f t="shared" si="15"/>
        <v>-3.1552914097016252E-3</v>
      </c>
    </row>
    <row r="233" spans="1:11">
      <c r="A233" s="2"/>
      <c r="G233" s="2">
        <v>42976</v>
      </c>
      <c r="H233">
        <v>2446.3000000000002</v>
      </c>
      <c r="I233" s="127">
        <f t="shared" si="14"/>
        <v>8.427977612674698E-4</v>
      </c>
      <c r="J233">
        <v>55.932699999999997</v>
      </c>
      <c r="K233" s="127">
        <f t="shared" si="15"/>
        <v>-1.8610926879252757E-2</v>
      </c>
    </row>
    <row r="234" spans="1:11">
      <c r="A234" s="2"/>
      <c r="G234" s="2">
        <v>42977</v>
      </c>
      <c r="H234">
        <v>2457.59</v>
      </c>
      <c r="I234" s="127">
        <f t="shared" si="14"/>
        <v>4.6151330580877087E-3</v>
      </c>
      <c r="J234">
        <v>55.752400000000002</v>
      </c>
      <c r="K234" s="127">
        <f t="shared" si="15"/>
        <v>-3.223516833623184E-3</v>
      </c>
    </row>
    <row r="235" spans="1:11">
      <c r="A235" s="2"/>
      <c r="G235" s="2">
        <v>42978</v>
      </c>
      <c r="H235">
        <v>2471.65</v>
      </c>
      <c r="I235" s="127">
        <f t="shared" si="14"/>
        <v>5.7210519248531875E-3</v>
      </c>
      <c r="J235">
        <v>56.208500000000001</v>
      </c>
      <c r="K235" s="127">
        <f t="shared" si="15"/>
        <v>8.1808137407537486E-3</v>
      </c>
    </row>
    <row r="236" spans="1:11">
      <c r="A236" s="2"/>
      <c r="G236" s="2">
        <v>42979</v>
      </c>
      <c r="H236">
        <v>2476.5500000000002</v>
      </c>
      <c r="I236" s="127">
        <f t="shared" si="14"/>
        <v>1.9824813383772341E-3</v>
      </c>
      <c r="J236">
        <v>56.793900000000001</v>
      </c>
      <c r="K236" s="127">
        <f t="shared" si="15"/>
        <v>1.0414794915359776E-2</v>
      </c>
    </row>
    <row r="237" spans="1:11">
      <c r="A237" s="2"/>
      <c r="G237" s="2">
        <v>42983</v>
      </c>
      <c r="H237">
        <v>2457.85</v>
      </c>
      <c r="I237" s="127">
        <f t="shared" si="14"/>
        <v>-7.5508267549616488E-3</v>
      </c>
      <c r="J237">
        <v>56.421399999999998</v>
      </c>
      <c r="K237" s="127">
        <f t="shared" si="15"/>
        <v>-6.5588029700373151E-3</v>
      </c>
    </row>
    <row r="238" spans="1:11">
      <c r="A238" s="2"/>
      <c r="G238" s="2">
        <v>42984</v>
      </c>
      <c r="H238">
        <v>2465.54</v>
      </c>
      <c r="I238" s="127">
        <f t="shared" si="14"/>
        <v>3.128750737433145E-3</v>
      </c>
      <c r="J238">
        <v>56.155299999999997</v>
      </c>
      <c r="K238" s="127">
        <f t="shared" si="15"/>
        <v>-4.7162955899712087E-3</v>
      </c>
    </row>
    <row r="239" spans="1:11">
      <c r="A239" s="2"/>
      <c r="G239" s="2">
        <v>42985</v>
      </c>
      <c r="H239">
        <v>2465.1</v>
      </c>
      <c r="I239" s="127">
        <f t="shared" si="14"/>
        <v>-1.7845989113948854E-4</v>
      </c>
      <c r="J239">
        <v>55.761499999999998</v>
      </c>
      <c r="K239" s="127">
        <f t="shared" si="15"/>
        <v>-7.0126951507693634E-3</v>
      </c>
    </row>
    <row r="240" spans="1:11">
      <c r="A240" s="2"/>
      <c r="G240" s="2">
        <v>42986</v>
      </c>
      <c r="H240">
        <v>2461.4299999999998</v>
      </c>
      <c r="I240" s="127">
        <f t="shared" si="14"/>
        <v>-1.4887834164942894E-3</v>
      </c>
      <c r="J240">
        <v>55.559199999999997</v>
      </c>
      <c r="K240" s="127">
        <f t="shared" si="15"/>
        <v>-3.6279511849573818E-3</v>
      </c>
    </row>
    <row r="241" spans="1:11">
      <c r="A241" s="2"/>
      <c r="G241" s="2">
        <v>42989</v>
      </c>
      <c r="H241">
        <v>2488.11</v>
      </c>
      <c r="I241" s="127">
        <f t="shared" si="14"/>
        <v>1.0839227603466397E-2</v>
      </c>
      <c r="J241">
        <v>56.442700000000002</v>
      </c>
      <c r="K241" s="127">
        <f t="shared" si="15"/>
        <v>1.5901956831631935E-2</v>
      </c>
    </row>
    <row r="242" spans="1:11">
      <c r="A242" s="2"/>
      <c r="G242" s="2">
        <v>42990</v>
      </c>
      <c r="H242">
        <v>2496.48</v>
      </c>
      <c r="I242" s="127">
        <f t="shared" si="14"/>
        <v>3.3639991801005143E-3</v>
      </c>
      <c r="J242">
        <v>56.836500000000001</v>
      </c>
      <c r="K242" s="127">
        <f t="shared" si="15"/>
        <v>6.9769872809061009E-3</v>
      </c>
    </row>
    <row r="243" spans="1:11">
      <c r="A243" s="2"/>
      <c r="G243" s="2">
        <v>42991</v>
      </c>
      <c r="H243">
        <v>2498.37</v>
      </c>
      <c r="I243" s="127">
        <f t="shared" si="14"/>
        <v>7.5706594885593817E-4</v>
      </c>
      <c r="J243">
        <v>56.964199999999998</v>
      </c>
      <c r="K243" s="127">
        <f t="shared" si="15"/>
        <v>2.2467956330878441E-3</v>
      </c>
    </row>
    <row r="244" spans="1:11">
      <c r="A244" s="2"/>
      <c r="G244" s="2">
        <v>42992</v>
      </c>
      <c r="H244">
        <v>2495.62</v>
      </c>
      <c r="I244" s="127">
        <f t="shared" si="14"/>
        <v>-1.1007176679194836E-3</v>
      </c>
      <c r="J244">
        <v>57.1877</v>
      </c>
      <c r="K244" s="127">
        <f t="shared" si="15"/>
        <v>3.9235168755113103E-3</v>
      </c>
    </row>
    <row r="245" spans="1:11">
      <c r="A245" s="2"/>
      <c r="G245" s="2">
        <v>42993</v>
      </c>
      <c r="H245">
        <v>2500.23</v>
      </c>
      <c r="I245" s="127">
        <f t="shared" si="14"/>
        <v>1.8472363580994413E-3</v>
      </c>
      <c r="J245">
        <v>57.3367</v>
      </c>
      <c r="K245" s="127">
        <f t="shared" si="15"/>
        <v>2.6054553688992723E-3</v>
      </c>
    </row>
    <row r="246" spans="1:11">
      <c r="A246" s="2"/>
      <c r="G246" s="2">
        <v>42996</v>
      </c>
      <c r="H246">
        <v>2503.87</v>
      </c>
      <c r="I246" s="127">
        <f t="shared" si="14"/>
        <v>1.4558660603223993E-3</v>
      </c>
      <c r="J246">
        <v>56.942900000000002</v>
      </c>
      <c r="K246" s="127">
        <f t="shared" si="15"/>
        <v>-6.8682013439908263E-3</v>
      </c>
    </row>
    <row r="247" spans="1:11">
      <c r="A247" s="2"/>
      <c r="G247" s="2">
        <v>42997</v>
      </c>
      <c r="H247">
        <v>2506.65</v>
      </c>
      <c r="I247" s="127">
        <f t="shared" si="14"/>
        <v>1.1102812845715632E-3</v>
      </c>
      <c r="J247">
        <v>56.762</v>
      </c>
      <c r="K247" s="127">
        <f t="shared" si="15"/>
        <v>-3.1768666506272279E-3</v>
      </c>
    </row>
    <row r="248" spans="1:11">
      <c r="A248" s="2"/>
      <c r="G248" s="2">
        <v>42998</v>
      </c>
      <c r="H248">
        <v>2508.2399999999998</v>
      </c>
      <c r="I248" s="127">
        <f t="shared" si="14"/>
        <v>6.3431272814301587E-4</v>
      </c>
      <c r="J248">
        <v>57.006799999999998</v>
      </c>
      <c r="K248" s="127">
        <f t="shared" si="15"/>
        <v>4.3127444417039203E-3</v>
      </c>
    </row>
    <row r="249" spans="1:11">
      <c r="A249" s="2"/>
      <c r="G249" s="2">
        <v>42999</v>
      </c>
      <c r="H249">
        <v>2500.6</v>
      </c>
      <c r="I249" s="127">
        <f t="shared" si="14"/>
        <v>-3.0459605141453265E-3</v>
      </c>
      <c r="J249">
        <v>56.612900000000003</v>
      </c>
      <c r="K249" s="127">
        <f t="shared" si="15"/>
        <v>-6.9097020004630161E-3</v>
      </c>
    </row>
    <row r="250" spans="1:11">
      <c r="A250" s="2"/>
      <c r="G250" s="2">
        <v>43000</v>
      </c>
      <c r="H250">
        <v>2502.2199999999998</v>
      </c>
      <c r="I250" s="127">
        <f t="shared" si="14"/>
        <v>6.4784451731580062E-4</v>
      </c>
      <c r="J250">
        <v>56.666200000000003</v>
      </c>
      <c r="K250" s="127">
        <f t="shared" si="15"/>
        <v>9.4148153512715513E-4</v>
      </c>
    </row>
    <row r="251" spans="1:11">
      <c r="A251" s="2"/>
      <c r="G251" s="2">
        <v>43003</v>
      </c>
      <c r="H251">
        <v>2496.66</v>
      </c>
      <c r="I251" s="127">
        <f t="shared" si="14"/>
        <v>-2.222026840165911E-3</v>
      </c>
      <c r="J251">
        <v>56.655500000000004</v>
      </c>
      <c r="K251" s="127">
        <f t="shared" si="15"/>
        <v>-1.8882508444187065E-4</v>
      </c>
    </row>
    <row r="252" spans="1:11">
      <c r="A252" s="2"/>
      <c r="G252" s="2">
        <v>43004</v>
      </c>
      <c r="H252">
        <v>2496.84</v>
      </c>
      <c r="I252" s="127">
        <f t="shared" si="14"/>
        <v>7.2096320684550985E-5</v>
      </c>
      <c r="J252">
        <v>57.155799999999999</v>
      </c>
      <c r="K252" s="127">
        <f t="shared" si="15"/>
        <v>8.8305636698995816E-3</v>
      </c>
    </row>
    <row r="253" spans="1:11">
      <c r="A253" s="2"/>
      <c r="G253" s="2">
        <v>43005</v>
      </c>
      <c r="H253">
        <v>2507.04</v>
      </c>
      <c r="I253" s="127">
        <f t="shared" si="14"/>
        <v>4.0851636468495446E-3</v>
      </c>
      <c r="J253">
        <v>56.0595</v>
      </c>
      <c r="K253" s="127">
        <f t="shared" si="15"/>
        <v>-1.9180905524898598E-2</v>
      </c>
    </row>
    <row r="254" spans="1:11">
      <c r="A254" s="2"/>
      <c r="G254" s="2">
        <v>43006</v>
      </c>
      <c r="H254">
        <v>2510.06</v>
      </c>
      <c r="I254" s="127">
        <f t="shared" si="14"/>
        <v>1.2046078243665764E-3</v>
      </c>
      <c r="J254">
        <v>56.0169</v>
      </c>
      <c r="K254" s="127">
        <f t="shared" si="15"/>
        <v>-7.5990688464934919E-4</v>
      </c>
    </row>
    <row r="255" spans="1:11">
      <c r="A255" s="2"/>
      <c r="G255" s="2">
        <v>43007</v>
      </c>
      <c r="H255">
        <v>2519.36</v>
      </c>
      <c r="I255" s="127">
        <f t="shared" si="14"/>
        <v>3.7050907149630613E-3</v>
      </c>
      <c r="J255">
        <v>55.186700000000002</v>
      </c>
      <c r="K255" s="127">
        <f t="shared" si="15"/>
        <v>-1.4820527376559535E-2</v>
      </c>
    </row>
    <row r="256" spans="1:11">
      <c r="A256" s="2"/>
      <c r="G256" s="2">
        <v>43010</v>
      </c>
      <c r="H256">
        <v>2529.12</v>
      </c>
      <c r="I256" s="127">
        <f t="shared" si="14"/>
        <v>3.8739997459671357E-3</v>
      </c>
      <c r="J256">
        <v>55.207999999999998</v>
      </c>
      <c r="K256" s="127">
        <f t="shared" si="15"/>
        <v>3.8596255981960403E-4</v>
      </c>
    </row>
    <row r="257" spans="1:11">
      <c r="A257" s="2"/>
      <c r="G257" s="2">
        <v>43011</v>
      </c>
      <c r="H257">
        <v>2534.58</v>
      </c>
      <c r="I257" s="127">
        <f t="shared" si="14"/>
        <v>2.1588536724236242E-3</v>
      </c>
      <c r="J257">
        <v>54.782299999999999</v>
      </c>
      <c r="K257" s="127">
        <f t="shared" si="15"/>
        <v>-7.7108390088392823E-3</v>
      </c>
    </row>
    <row r="258" spans="1:11">
      <c r="A258" s="2"/>
      <c r="G258" s="2">
        <v>43012</v>
      </c>
      <c r="H258">
        <v>2537.7399999999998</v>
      </c>
      <c r="I258" s="127">
        <f t="shared" si="14"/>
        <v>1.2467548864111035E-3</v>
      </c>
      <c r="J258">
        <v>55.4315</v>
      </c>
      <c r="K258" s="127">
        <f t="shared" si="15"/>
        <v>1.18505429673453E-2</v>
      </c>
    </row>
    <row r="259" spans="1:11">
      <c r="A259" s="2"/>
      <c r="G259" s="100" t="s">
        <v>11</v>
      </c>
      <c r="H259" s="100"/>
      <c r="I259" s="100"/>
      <c r="J259" s="100"/>
      <c r="K259" s="100"/>
    </row>
    <row r="260" spans="1:11">
      <c r="A260" s="2"/>
      <c r="G260" s="2"/>
    </row>
    <row r="261" spans="1:11">
      <c r="A261" s="2"/>
      <c r="G261" s="2"/>
    </row>
    <row r="262" spans="1:11">
      <c r="A262" s="2"/>
      <c r="G262" s="2"/>
    </row>
    <row r="263" spans="1:11">
      <c r="A263" s="2"/>
      <c r="G263" s="2"/>
    </row>
    <row r="264" spans="1:11">
      <c r="A264" s="2"/>
      <c r="G264" s="2"/>
    </row>
    <row r="265" spans="1:11">
      <c r="A265" s="2"/>
      <c r="G265" s="2"/>
    </row>
    <row r="266" spans="1:11">
      <c r="A266" s="2"/>
      <c r="G266" s="2"/>
    </row>
    <row r="267" spans="1:11">
      <c r="A267" s="2"/>
      <c r="G267" s="2"/>
    </row>
    <row r="268" spans="1:11">
      <c r="A268" s="2"/>
      <c r="G268" s="2"/>
    </row>
    <row r="269" spans="1:11">
      <c r="A269" s="2"/>
      <c r="G269" s="2"/>
    </row>
    <row r="270" spans="1:11">
      <c r="A270" s="2"/>
      <c r="G270" s="2"/>
    </row>
    <row r="271" spans="1:11">
      <c r="A271" s="2"/>
      <c r="G271" s="2"/>
    </row>
    <row r="272" spans="1:11">
      <c r="A272" s="2"/>
      <c r="G272" s="2"/>
    </row>
    <row r="273" spans="1:7">
      <c r="A273" s="2"/>
      <c r="G273" s="2"/>
    </row>
    <row r="274" spans="1:7">
      <c r="A274" s="2"/>
      <c r="G274" s="2"/>
    </row>
    <row r="275" spans="1:7">
      <c r="A275" s="2"/>
      <c r="G275" s="2"/>
    </row>
    <row r="276" spans="1:7">
      <c r="A276" s="2"/>
      <c r="G276" s="2"/>
    </row>
    <row r="277" spans="1:7">
      <c r="A277" s="2"/>
      <c r="G277" s="2"/>
    </row>
    <row r="278" spans="1:7">
      <c r="A278" s="2"/>
      <c r="G278" s="2"/>
    </row>
    <row r="279" spans="1:7">
      <c r="A279" s="2"/>
      <c r="G279" s="2"/>
    </row>
    <row r="280" spans="1:7">
      <c r="A280" s="2"/>
      <c r="G280" s="2"/>
    </row>
    <row r="281" spans="1:7">
      <c r="A281" s="2"/>
      <c r="G281" s="2"/>
    </row>
    <row r="282" spans="1:7">
      <c r="A282" s="2"/>
      <c r="G282" s="2"/>
    </row>
    <row r="283" spans="1:7">
      <c r="A283" s="2"/>
      <c r="G283" s="2"/>
    </row>
    <row r="284" spans="1:7">
      <c r="A284" s="2"/>
      <c r="G284" s="2"/>
    </row>
    <row r="285" spans="1:7">
      <c r="A285" s="2"/>
      <c r="G285" s="2"/>
    </row>
    <row r="286" spans="1:7">
      <c r="A286" s="2"/>
      <c r="G286" s="2"/>
    </row>
    <row r="287" spans="1:7">
      <c r="A287" s="2"/>
      <c r="G287" s="2"/>
    </row>
    <row r="288" spans="1:7">
      <c r="A288" s="2"/>
      <c r="G288" s="2"/>
    </row>
    <row r="289" spans="1:7">
      <c r="A289" s="2"/>
      <c r="G289" s="2"/>
    </row>
    <row r="290" spans="1:7">
      <c r="A290" s="2"/>
      <c r="G290" s="2"/>
    </row>
    <row r="291" spans="1:7">
      <c r="A291" s="2"/>
      <c r="G291" s="2"/>
    </row>
    <row r="292" spans="1:7">
      <c r="A292" s="2"/>
      <c r="G292" s="2"/>
    </row>
    <row r="293" spans="1:7">
      <c r="A293" s="2"/>
      <c r="G293" s="2"/>
    </row>
    <row r="294" spans="1:7">
      <c r="A294" s="2"/>
      <c r="G294" s="2"/>
    </row>
    <row r="295" spans="1:7">
      <c r="A295" s="2"/>
      <c r="G295" s="2"/>
    </row>
    <row r="296" spans="1:7">
      <c r="A296" s="2"/>
      <c r="G296" s="2"/>
    </row>
    <row r="297" spans="1:7">
      <c r="A297" s="2"/>
      <c r="G297" s="2"/>
    </row>
    <row r="298" spans="1:7">
      <c r="A298" s="2"/>
      <c r="G298" s="2"/>
    </row>
    <row r="299" spans="1:7">
      <c r="A299" s="2"/>
      <c r="G299" s="2"/>
    </row>
    <row r="300" spans="1:7">
      <c r="A300" s="2"/>
      <c r="G300" s="2"/>
    </row>
    <row r="301" spans="1:7">
      <c r="A301" s="2"/>
      <c r="G301" s="2"/>
    </row>
    <row r="302" spans="1:7">
      <c r="A302" s="2"/>
      <c r="G302" s="2"/>
    </row>
    <row r="303" spans="1:7">
      <c r="A303" s="2"/>
      <c r="G303" s="2"/>
    </row>
    <row r="304" spans="1:7">
      <c r="A304" s="2"/>
      <c r="G304" s="2"/>
    </row>
    <row r="305" spans="1:7">
      <c r="A305" s="2"/>
      <c r="G305" s="2"/>
    </row>
    <row r="306" spans="1:7">
      <c r="A306" s="2"/>
      <c r="G306" s="2"/>
    </row>
    <row r="307" spans="1:7">
      <c r="A307" s="2"/>
      <c r="G307" s="2"/>
    </row>
    <row r="308" spans="1:7">
      <c r="A308" s="2"/>
      <c r="G308" s="2"/>
    </row>
    <row r="309" spans="1:7">
      <c r="A309" s="2"/>
      <c r="G309" s="2"/>
    </row>
    <row r="310" spans="1:7">
      <c r="A310" s="2"/>
      <c r="G310" s="2"/>
    </row>
    <row r="311" spans="1:7">
      <c r="A311" s="2"/>
      <c r="G311" s="2"/>
    </row>
    <row r="312" spans="1:7">
      <c r="A312" s="2"/>
      <c r="G312" s="2"/>
    </row>
    <row r="313" spans="1:7">
      <c r="A313" s="2"/>
      <c r="G313" s="2"/>
    </row>
    <row r="314" spans="1:7">
      <c r="A314" s="2"/>
      <c r="G314" s="2"/>
    </row>
    <row r="315" spans="1:7">
      <c r="A315" s="2"/>
      <c r="G315" s="2"/>
    </row>
    <row r="316" spans="1:7">
      <c r="A316" s="2"/>
      <c r="G316" s="2"/>
    </row>
    <row r="317" spans="1:7">
      <c r="A317" s="2"/>
      <c r="G317" s="2"/>
    </row>
    <row r="318" spans="1:7">
      <c r="A318" s="2"/>
      <c r="G318" s="2"/>
    </row>
    <row r="319" spans="1:7">
      <c r="A319" s="2"/>
      <c r="G319" s="2"/>
    </row>
    <row r="320" spans="1:7">
      <c r="A320" s="2"/>
      <c r="G320" s="2"/>
    </row>
    <row r="321" spans="1:7">
      <c r="A321" s="2"/>
      <c r="G321" s="2"/>
    </row>
    <row r="322" spans="1:7">
      <c r="A322" s="2"/>
      <c r="G322" s="2"/>
    </row>
    <row r="323" spans="1:7">
      <c r="A323" s="2"/>
      <c r="G323" s="2"/>
    </row>
    <row r="324" spans="1:7">
      <c r="A324" s="2"/>
      <c r="G324" s="2"/>
    </row>
    <row r="325" spans="1:7">
      <c r="A325" s="2"/>
      <c r="G325" s="2"/>
    </row>
    <row r="326" spans="1:7">
      <c r="A326" s="2"/>
      <c r="G326" s="2"/>
    </row>
    <row r="327" spans="1:7">
      <c r="A327" s="2"/>
      <c r="G327" s="2"/>
    </row>
    <row r="328" spans="1:7">
      <c r="A328" s="2"/>
      <c r="G328" s="2"/>
    </row>
    <row r="329" spans="1:7">
      <c r="A329" s="2"/>
      <c r="G329" s="2"/>
    </row>
    <row r="330" spans="1:7">
      <c r="A330" s="2"/>
      <c r="G330" s="2"/>
    </row>
    <row r="331" spans="1:7">
      <c r="A331" s="2"/>
      <c r="G331" s="2"/>
    </row>
    <row r="332" spans="1:7">
      <c r="A332" s="2"/>
      <c r="G332" s="2"/>
    </row>
    <row r="333" spans="1:7">
      <c r="A333" s="2"/>
      <c r="G333" s="2"/>
    </row>
    <row r="334" spans="1:7">
      <c r="A334" s="2"/>
      <c r="G334" s="2"/>
    </row>
    <row r="335" spans="1:7">
      <c r="A335" s="2"/>
      <c r="G335" s="2"/>
    </row>
    <row r="336" spans="1:7">
      <c r="A336" s="2"/>
      <c r="G336" s="2"/>
    </row>
    <row r="337" spans="1:7">
      <c r="A337" s="2"/>
      <c r="G337" s="2"/>
    </row>
    <row r="338" spans="1:7">
      <c r="A338" s="2"/>
      <c r="G338" s="2"/>
    </row>
    <row r="339" spans="1:7">
      <c r="A339" s="2"/>
      <c r="G339" s="2"/>
    </row>
    <row r="340" spans="1:7">
      <c r="A340" s="2"/>
      <c r="G340" s="2"/>
    </row>
    <row r="341" spans="1:7">
      <c r="A341" s="2"/>
      <c r="G341" s="2"/>
    </row>
    <row r="342" spans="1:7">
      <c r="A342" s="2"/>
      <c r="G342" s="2"/>
    </row>
    <row r="343" spans="1:7">
      <c r="A343" s="2"/>
      <c r="G343" s="2"/>
    </row>
    <row r="344" spans="1:7">
      <c r="A344" s="2"/>
      <c r="G344" s="2"/>
    </row>
    <row r="345" spans="1:7">
      <c r="A345" s="2"/>
      <c r="G345" s="2"/>
    </row>
    <row r="346" spans="1:7">
      <c r="A346" s="2"/>
      <c r="G346" s="2"/>
    </row>
    <row r="347" spans="1:7">
      <c r="A347" s="2"/>
      <c r="G347" s="2"/>
    </row>
    <row r="348" spans="1:7">
      <c r="A348" s="2"/>
      <c r="G348" s="2"/>
    </row>
    <row r="349" spans="1:7">
      <c r="A349" s="2"/>
      <c r="G349" s="2"/>
    </row>
    <row r="350" spans="1:7">
      <c r="A350" s="2"/>
      <c r="G350" s="2"/>
    </row>
    <row r="351" spans="1:7">
      <c r="A351" s="2"/>
      <c r="G351" s="2"/>
    </row>
    <row r="352" spans="1:7">
      <c r="A352" s="2"/>
      <c r="G352" s="2"/>
    </row>
    <row r="353" spans="1:7">
      <c r="A353" s="2"/>
      <c r="G353" s="2"/>
    </row>
    <row r="354" spans="1:7">
      <c r="A354" s="2"/>
      <c r="G354" s="2"/>
    </row>
    <row r="355" spans="1:7">
      <c r="A355" s="2"/>
      <c r="G355" s="2"/>
    </row>
    <row r="356" spans="1:7">
      <c r="A356" s="2"/>
      <c r="G356" s="2"/>
    </row>
    <row r="357" spans="1:7">
      <c r="A357" s="2"/>
      <c r="G357" s="2"/>
    </row>
    <row r="358" spans="1:7">
      <c r="A358" s="2"/>
      <c r="G358" s="2"/>
    </row>
    <row r="359" spans="1:7">
      <c r="A359" s="2"/>
      <c r="G359" s="2"/>
    </row>
    <row r="360" spans="1:7">
      <c r="A360" s="2"/>
      <c r="G360" s="2"/>
    </row>
    <row r="361" spans="1:7">
      <c r="A361" s="2"/>
      <c r="G361" s="2"/>
    </row>
    <row r="362" spans="1:7">
      <c r="A362" s="2"/>
      <c r="G362" s="2"/>
    </row>
    <row r="363" spans="1:7">
      <c r="A363" s="2"/>
      <c r="G363" s="2"/>
    </row>
    <row r="364" spans="1:7">
      <c r="A364" s="2"/>
      <c r="G364" s="2"/>
    </row>
    <row r="365" spans="1:7">
      <c r="A365" s="2"/>
      <c r="G365" s="2"/>
    </row>
    <row r="366" spans="1:7">
      <c r="A366" s="2"/>
      <c r="G366" s="2"/>
    </row>
    <row r="367" spans="1:7">
      <c r="A367" s="2"/>
      <c r="G367" s="2"/>
    </row>
    <row r="368" spans="1:7">
      <c r="A368" s="2"/>
      <c r="G368" s="2"/>
    </row>
    <row r="369" spans="1:7">
      <c r="A369" s="2"/>
      <c r="G369" s="2"/>
    </row>
    <row r="370" spans="1:7">
      <c r="A370" s="2"/>
      <c r="G370" s="2"/>
    </row>
    <row r="371" spans="1:7">
      <c r="A371" s="2"/>
      <c r="G371" s="2"/>
    </row>
    <row r="372" spans="1:7">
      <c r="A372" s="2"/>
      <c r="G372" s="2"/>
    </row>
    <row r="373" spans="1:7">
      <c r="A373" s="2"/>
      <c r="G373" s="2"/>
    </row>
    <row r="374" spans="1:7">
      <c r="A374" s="2"/>
      <c r="G374" s="2"/>
    </row>
    <row r="375" spans="1:7">
      <c r="A375" s="2"/>
      <c r="G375" s="2"/>
    </row>
    <row r="376" spans="1:7">
      <c r="A376" s="2"/>
      <c r="G376" s="2"/>
    </row>
    <row r="377" spans="1:7">
      <c r="A377" s="2"/>
      <c r="G377" s="2"/>
    </row>
    <row r="378" spans="1:7">
      <c r="A378" s="2"/>
      <c r="G378" s="2"/>
    </row>
    <row r="379" spans="1:7">
      <c r="A379" s="2"/>
      <c r="G379" s="2"/>
    </row>
    <row r="380" spans="1:7">
      <c r="A380" s="2"/>
      <c r="G380" s="2"/>
    </row>
    <row r="381" spans="1:7">
      <c r="A381" s="2"/>
      <c r="G381" s="2"/>
    </row>
    <row r="382" spans="1:7">
      <c r="A382" s="2"/>
      <c r="G382" s="2"/>
    </row>
    <row r="383" spans="1:7">
      <c r="A383" s="2"/>
      <c r="G383" s="2"/>
    </row>
    <row r="384" spans="1:7">
      <c r="A384" s="2"/>
      <c r="G384" s="2"/>
    </row>
    <row r="385" spans="1:7">
      <c r="A385" s="2"/>
      <c r="G385" s="2"/>
    </row>
    <row r="386" spans="1:7">
      <c r="A386" s="2"/>
      <c r="G386" s="2"/>
    </row>
    <row r="387" spans="1:7">
      <c r="A387" s="2"/>
      <c r="G387" s="2"/>
    </row>
    <row r="388" spans="1:7">
      <c r="A388" s="2"/>
      <c r="G388" s="2"/>
    </row>
    <row r="389" spans="1:7">
      <c r="A389" s="2"/>
      <c r="G389" s="2"/>
    </row>
    <row r="390" spans="1:7">
      <c r="A390" s="2"/>
      <c r="G390" s="2"/>
    </row>
    <row r="391" spans="1:7">
      <c r="A391" s="2"/>
      <c r="G391" s="2"/>
    </row>
    <row r="392" spans="1:7">
      <c r="A392" s="2"/>
      <c r="G392" s="2"/>
    </row>
    <row r="393" spans="1:7">
      <c r="A393" s="2"/>
      <c r="G393" s="2"/>
    </row>
    <row r="394" spans="1:7">
      <c r="A394" s="2"/>
      <c r="G394" s="2"/>
    </row>
    <row r="395" spans="1:7">
      <c r="A395" s="2"/>
      <c r="G395" s="2"/>
    </row>
    <row r="396" spans="1:7">
      <c r="A396" s="2"/>
      <c r="G396" s="2"/>
    </row>
    <row r="397" spans="1:7">
      <c r="A397" s="2"/>
      <c r="G397" s="2"/>
    </row>
    <row r="398" spans="1:7">
      <c r="A398" s="2"/>
      <c r="G398" s="2"/>
    </row>
    <row r="399" spans="1:7">
      <c r="A399" s="2"/>
      <c r="G399" s="2"/>
    </row>
    <row r="400" spans="1:7">
      <c r="A400" s="2"/>
      <c r="G400" s="2"/>
    </row>
    <row r="401" spans="1:7">
      <c r="A401" s="2"/>
      <c r="G401" s="2"/>
    </row>
    <row r="402" spans="1:7">
      <c r="A402" s="2"/>
      <c r="G402" s="2"/>
    </row>
    <row r="403" spans="1:7">
      <c r="A403" s="2"/>
      <c r="G403" s="2"/>
    </row>
    <row r="404" spans="1:7">
      <c r="A404" s="2"/>
      <c r="G404" s="2"/>
    </row>
    <row r="405" spans="1:7">
      <c r="A405" s="2"/>
      <c r="G405" s="2"/>
    </row>
    <row r="406" spans="1:7">
      <c r="A406" s="2"/>
      <c r="G406" s="2"/>
    </row>
    <row r="407" spans="1:7">
      <c r="A407" s="2"/>
      <c r="G407" s="2"/>
    </row>
    <row r="408" spans="1:7">
      <c r="A408" s="2"/>
      <c r="G408" s="2"/>
    </row>
    <row r="409" spans="1:7">
      <c r="A409" s="2"/>
      <c r="G409" s="2"/>
    </row>
    <row r="410" spans="1:7">
      <c r="A410" s="2"/>
      <c r="G410" s="2"/>
    </row>
    <row r="411" spans="1:7">
      <c r="A411" s="2"/>
      <c r="G411" s="2"/>
    </row>
    <row r="412" spans="1:7">
      <c r="A412" s="2"/>
      <c r="G412" s="2"/>
    </row>
    <row r="413" spans="1:7">
      <c r="A413" s="2"/>
      <c r="G413" s="2"/>
    </row>
    <row r="414" spans="1:7">
      <c r="A414" s="2"/>
      <c r="G414" s="2"/>
    </row>
    <row r="415" spans="1:7">
      <c r="A415" s="2"/>
      <c r="G415" s="2"/>
    </row>
    <row r="416" spans="1:7">
      <c r="A416" s="2"/>
      <c r="G416" s="2"/>
    </row>
    <row r="417" spans="1:7">
      <c r="A417" s="2"/>
      <c r="G417" s="2"/>
    </row>
    <row r="418" spans="1:7">
      <c r="A418" s="2"/>
      <c r="G418" s="2"/>
    </row>
    <row r="419" spans="1:7">
      <c r="A419" s="2"/>
      <c r="G419" s="2"/>
    </row>
    <row r="420" spans="1:7">
      <c r="A420" s="2"/>
      <c r="G420" s="2"/>
    </row>
    <row r="421" spans="1:7">
      <c r="A421" s="2"/>
      <c r="G421" s="2"/>
    </row>
    <row r="422" spans="1:7">
      <c r="A422" s="2"/>
      <c r="G422" s="2"/>
    </row>
    <row r="423" spans="1:7">
      <c r="A423" s="2"/>
      <c r="G423" s="2"/>
    </row>
    <row r="424" spans="1:7">
      <c r="A424" s="2"/>
      <c r="G424" s="2"/>
    </row>
    <row r="425" spans="1:7">
      <c r="A425" s="2"/>
      <c r="G425" s="2"/>
    </row>
    <row r="426" spans="1:7">
      <c r="A426" s="2"/>
      <c r="G426" s="2"/>
    </row>
    <row r="427" spans="1:7">
      <c r="A427" s="2"/>
      <c r="G427" s="2"/>
    </row>
    <row r="428" spans="1:7">
      <c r="A428" s="2"/>
      <c r="G428" s="2"/>
    </row>
    <row r="429" spans="1:7">
      <c r="A429" s="2"/>
      <c r="G429" s="2"/>
    </row>
    <row r="430" spans="1:7">
      <c r="A430" s="2"/>
      <c r="G430" s="2"/>
    </row>
    <row r="431" spans="1:7">
      <c r="A431" s="2"/>
      <c r="G431" s="2"/>
    </row>
    <row r="432" spans="1:7">
      <c r="A432" s="2"/>
      <c r="G432" s="2"/>
    </row>
    <row r="433" spans="1:7">
      <c r="A433" s="2"/>
      <c r="G433" s="2"/>
    </row>
    <row r="434" spans="1:7">
      <c r="A434" s="2"/>
      <c r="G434" s="2"/>
    </row>
    <row r="435" spans="1:7">
      <c r="A435" s="2"/>
      <c r="G435" s="2"/>
    </row>
    <row r="436" spans="1:7">
      <c r="A436" s="2"/>
      <c r="G436" s="2"/>
    </row>
    <row r="437" spans="1:7">
      <c r="A437" s="2"/>
      <c r="G437" s="2"/>
    </row>
    <row r="438" spans="1:7">
      <c r="A438" s="2"/>
      <c r="G438" s="2"/>
    </row>
    <row r="439" spans="1:7">
      <c r="A439" s="2"/>
      <c r="G439" s="2"/>
    </row>
    <row r="440" spans="1:7">
      <c r="A440" s="2"/>
      <c r="G440" s="2"/>
    </row>
    <row r="441" spans="1:7">
      <c r="A441" s="2"/>
      <c r="G441" s="2"/>
    </row>
    <row r="442" spans="1:7">
      <c r="A442" s="2"/>
      <c r="G442" s="2"/>
    </row>
    <row r="443" spans="1:7">
      <c r="A443" s="2"/>
      <c r="G443" s="2"/>
    </row>
    <row r="444" spans="1:7">
      <c r="A444" s="2"/>
      <c r="G444" s="2"/>
    </row>
    <row r="445" spans="1:7">
      <c r="A445" s="2"/>
      <c r="G445" s="2"/>
    </row>
    <row r="446" spans="1:7">
      <c r="A446" s="2"/>
      <c r="G446" s="2"/>
    </row>
    <row r="447" spans="1:7">
      <c r="A447" s="2"/>
      <c r="G447" s="2"/>
    </row>
    <row r="448" spans="1:7">
      <c r="A448" s="2"/>
      <c r="G448" s="2"/>
    </row>
    <row r="449" spans="1:7">
      <c r="A449" s="2"/>
      <c r="G449" s="2"/>
    </row>
    <row r="450" spans="1:7">
      <c r="A450" s="2"/>
      <c r="G450" s="2"/>
    </row>
    <row r="451" spans="1:7">
      <c r="A451" s="2"/>
      <c r="G451" s="2"/>
    </row>
    <row r="452" spans="1:7">
      <c r="A452" s="2"/>
      <c r="G452" s="2"/>
    </row>
    <row r="453" spans="1:7">
      <c r="A453" s="2"/>
      <c r="G453" s="2"/>
    </row>
    <row r="454" spans="1:7">
      <c r="A454" s="2"/>
      <c r="G454" s="2"/>
    </row>
    <row r="455" spans="1:7">
      <c r="A455" s="2"/>
      <c r="G455" s="2"/>
    </row>
    <row r="456" spans="1:7">
      <c r="A456" s="2"/>
      <c r="G456" s="2"/>
    </row>
    <row r="457" spans="1:7">
      <c r="A457" s="2"/>
      <c r="G457" s="2"/>
    </row>
    <row r="458" spans="1:7">
      <c r="A458" s="2"/>
      <c r="G458" s="2"/>
    </row>
    <row r="459" spans="1:7">
      <c r="A459" s="2"/>
      <c r="G459" s="2"/>
    </row>
    <row r="460" spans="1:7">
      <c r="A460" s="2"/>
      <c r="G460" s="2"/>
    </row>
    <row r="461" spans="1:7">
      <c r="A461" s="2"/>
      <c r="G461" s="2"/>
    </row>
    <row r="462" spans="1:7">
      <c r="A462" s="2"/>
      <c r="G462" s="2"/>
    </row>
    <row r="463" spans="1:7">
      <c r="A463" s="2"/>
      <c r="G463" s="2"/>
    </row>
    <row r="464" spans="1:7">
      <c r="A464" s="2"/>
      <c r="G464" s="2"/>
    </row>
    <row r="465" spans="1:7">
      <c r="A465" s="2"/>
      <c r="G465" s="2"/>
    </row>
    <row r="466" spans="1:7">
      <c r="A466" s="2"/>
      <c r="G466" s="2"/>
    </row>
    <row r="467" spans="1:7">
      <c r="A467" s="2"/>
      <c r="G467" s="2"/>
    </row>
    <row r="468" spans="1:7">
      <c r="A468" s="2"/>
      <c r="G468" s="2"/>
    </row>
    <row r="469" spans="1:7">
      <c r="A469" s="2"/>
      <c r="G469" s="2"/>
    </row>
    <row r="470" spans="1:7">
      <c r="A470" s="2"/>
      <c r="G470" s="2"/>
    </row>
    <row r="471" spans="1:7">
      <c r="A471" s="2"/>
      <c r="G471" s="2"/>
    </row>
    <row r="472" spans="1:7">
      <c r="A472" s="2"/>
      <c r="G472" s="2"/>
    </row>
    <row r="473" spans="1:7">
      <c r="A473" s="2"/>
      <c r="G473" s="2"/>
    </row>
    <row r="474" spans="1:7">
      <c r="A474" s="2"/>
      <c r="G474" s="2"/>
    </row>
    <row r="475" spans="1:7">
      <c r="A475" s="2"/>
      <c r="G475" s="2"/>
    </row>
    <row r="476" spans="1:7">
      <c r="A476" s="2"/>
      <c r="G476" s="2"/>
    </row>
    <row r="477" spans="1:7">
      <c r="A477" s="2"/>
      <c r="G477" s="2"/>
    </row>
    <row r="478" spans="1:7">
      <c r="A478" s="2"/>
      <c r="G478" s="2"/>
    </row>
    <row r="479" spans="1:7">
      <c r="A479" s="2"/>
      <c r="G479" s="2"/>
    </row>
    <row r="480" spans="1:7">
      <c r="A480" s="2"/>
      <c r="G480" s="2"/>
    </row>
    <row r="481" spans="1:7">
      <c r="A481" s="2"/>
      <c r="G481" s="2"/>
    </row>
    <row r="482" spans="1:7">
      <c r="A482" s="2"/>
      <c r="G482" s="2"/>
    </row>
    <row r="483" spans="1:7">
      <c r="A483" s="2"/>
      <c r="G483" s="2"/>
    </row>
    <row r="484" spans="1:7">
      <c r="A484" s="2"/>
      <c r="G484" s="2"/>
    </row>
    <row r="485" spans="1:7">
      <c r="A485" s="2"/>
      <c r="G485" s="2"/>
    </row>
    <row r="486" spans="1:7">
      <c r="A486" s="2"/>
      <c r="G486" s="2"/>
    </row>
    <row r="487" spans="1:7">
      <c r="A487" s="2"/>
      <c r="G487" s="2"/>
    </row>
    <row r="488" spans="1:7">
      <c r="A488" s="2"/>
      <c r="G488" s="2"/>
    </row>
    <row r="489" spans="1:7">
      <c r="A489" s="2"/>
      <c r="G489" s="2"/>
    </row>
    <row r="490" spans="1:7">
      <c r="A490" s="2"/>
      <c r="G490" s="2"/>
    </row>
    <row r="491" spans="1:7">
      <c r="A491" s="2"/>
      <c r="G491" s="2"/>
    </row>
    <row r="492" spans="1:7">
      <c r="A492" s="2"/>
      <c r="G492" s="2"/>
    </row>
    <row r="493" spans="1:7">
      <c r="A493" s="2"/>
      <c r="G493" s="2"/>
    </row>
    <row r="494" spans="1:7">
      <c r="A494" s="2"/>
      <c r="G494" s="2"/>
    </row>
    <row r="495" spans="1:7">
      <c r="A495" s="2"/>
      <c r="G495" s="2"/>
    </row>
    <row r="496" spans="1:7">
      <c r="A496" s="2"/>
      <c r="G496" s="2"/>
    </row>
    <row r="497" spans="1:7">
      <c r="A497" s="2"/>
      <c r="G497" s="2"/>
    </row>
    <row r="498" spans="1:7">
      <c r="A498" s="2"/>
      <c r="G498" s="2"/>
    </row>
    <row r="499" spans="1:7">
      <c r="A499" s="2"/>
      <c r="G499" s="2"/>
    </row>
    <row r="500" spans="1:7">
      <c r="A500" s="2"/>
      <c r="G500" s="2"/>
    </row>
    <row r="501" spans="1:7">
      <c r="A501" s="2"/>
      <c r="G501" s="2"/>
    </row>
    <row r="502" spans="1:7">
      <c r="A502" s="2"/>
      <c r="G502" s="2"/>
    </row>
    <row r="503" spans="1:7">
      <c r="A503" s="2"/>
      <c r="G503" s="2"/>
    </row>
    <row r="504" spans="1:7">
      <c r="A504" s="2"/>
      <c r="G504" s="2"/>
    </row>
    <row r="505" spans="1:7">
      <c r="A505" s="2"/>
      <c r="G505" s="2"/>
    </row>
    <row r="506" spans="1:7">
      <c r="A506" s="2"/>
      <c r="G506" s="2"/>
    </row>
    <row r="507" spans="1:7">
      <c r="A507" s="2"/>
      <c r="G507" s="2"/>
    </row>
    <row r="508" spans="1:7">
      <c r="A508" s="2"/>
      <c r="G508" s="2"/>
    </row>
    <row r="509" spans="1:7">
      <c r="A509" s="2"/>
      <c r="G509" s="2"/>
    </row>
    <row r="510" spans="1:7">
      <c r="A510" s="2"/>
      <c r="G510" s="2"/>
    </row>
    <row r="511" spans="1:7">
      <c r="A511" s="2"/>
      <c r="G511" s="2"/>
    </row>
    <row r="512" spans="1:7">
      <c r="A512" s="2"/>
      <c r="G512" s="2"/>
    </row>
    <row r="513" spans="1:7">
      <c r="A513" s="2"/>
      <c r="G513" s="2"/>
    </row>
    <row r="514" spans="1:7">
      <c r="A514" s="2"/>
      <c r="G514" s="2"/>
    </row>
    <row r="515" spans="1:7">
      <c r="A515" s="2"/>
      <c r="G515" s="2"/>
    </row>
    <row r="516" spans="1:7">
      <c r="A516" s="2"/>
      <c r="G516" s="2"/>
    </row>
    <row r="517" spans="1:7">
      <c r="A517" s="2"/>
      <c r="G517" s="2"/>
    </row>
    <row r="518" spans="1:7">
      <c r="A518" s="2"/>
      <c r="G518" s="2"/>
    </row>
    <row r="519" spans="1:7">
      <c r="A519" s="2"/>
      <c r="G519" s="2"/>
    </row>
    <row r="520" spans="1:7">
      <c r="A520" s="2"/>
      <c r="G520" s="2"/>
    </row>
    <row r="521" spans="1:7">
      <c r="A521" s="2"/>
      <c r="G521" s="2"/>
    </row>
    <row r="522" spans="1:7">
      <c r="A522" s="2"/>
      <c r="G522" s="2"/>
    </row>
    <row r="523" spans="1:7">
      <c r="A523" s="2"/>
      <c r="G523" s="2"/>
    </row>
    <row r="524" spans="1:7">
      <c r="A524" s="2"/>
      <c r="G524" s="2"/>
    </row>
    <row r="525" spans="1:7">
      <c r="A525" s="2"/>
      <c r="G525" s="2"/>
    </row>
    <row r="526" spans="1:7">
      <c r="A526" s="2"/>
      <c r="G526" s="2"/>
    </row>
    <row r="527" spans="1:7">
      <c r="A527" s="2"/>
      <c r="G527" s="2"/>
    </row>
    <row r="528" spans="1:7">
      <c r="A528" s="2"/>
      <c r="G528" s="2"/>
    </row>
    <row r="529" spans="1:7">
      <c r="A529" s="2"/>
      <c r="G529" s="2"/>
    </row>
    <row r="530" spans="1:7">
      <c r="A530" s="2"/>
      <c r="G530" s="2"/>
    </row>
    <row r="531" spans="1:7">
      <c r="A531" s="2"/>
      <c r="G531" s="2"/>
    </row>
    <row r="532" spans="1:7">
      <c r="A532" s="2"/>
      <c r="G532" s="2"/>
    </row>
    <row r="533" spans="1:7">
      <c r="A533" s="2"/>
      <c r="G533" s="2"/>
    </row>
    <row r="534" spans="1:7">
      <c r="A534" s="2"/>
      <c r="G534" s="2"/>
    </row>
    <row r="535" spans="1:7">
      <c r="A535" s="2"/>
      <c r="G535" s="2"/>
    </row>
    <row r="536" spans="1:7">
      <c r="A536" s="2"/>
      <c r="G536" s="2"/>
    </row>
    <row r="537" spans="1:7">
      <c r="A537" s="2"/>
      <c r="G537" s="2"/>
    </row>
    <row r="538" spans="1:7">
      <c r="A538" s="2"/>
      <c r="G538" s="2"/>
    </row>
    <row r="539" spans="1:7">
      <c r="A539" s="2"/>
      <c r="G539" s="2"/>
    </row>
    <row r="540" spans="1:7">
      <c r="A540" s="2"/>
      <c r="G540" s="2"/>
    </row>
    <row r="541" spans="1:7">
      <c r="A541" s="2"/>
      <c r="G541" s="2"/>
    </row>
    <row r="542" spans="1:7">
      <c r="A542" s="2"/>
      <c r="G542" s="2"/>
    </row>
    <row r="543" spans="1:7">
      <c r="A543" s="2"/>
      <c r="G543" s="2"/>
    </row>
    <row r="544" spans="1:7">
      <c r="A544" s="2"/>
      <c r="G544" s="2"/>
    </row>
    <row r="545" spans="1:7">
      <c r="A545" s="2"/>
      <c r="G545" s="2"/>
    </row>
    <row r="546" spans="1:7">
      <c r="A546" s="2"/>
      <c r="G546" s="2"/>
    </row>
    <row r="547" spans="1:7">
      <c r="A547" s="2"/>
      <c r="G547" s="2"/>
    </row>
    <row r="548" spans="1:7">
      <c r="A548" s="2"/>
      <c r="G548" s="2"/>
    </row>
    <row r="549" spans="1:7">
      <c r="A549" s="2"/>
      <c r="G549" s="2"/>
    </row>
    <row r="550" spans="1:7">
      <c r="A550" s="2"/>
      <c r="G550" s="2"/>
    </row>
    <row r="551" spans="1:7">
      <c r="A551" s="2"/>
      <c r="G551" s="2"/>
    </row>
    <row r="552" spans="1:7">
      <c r="A552" s="2"/>
      <c r="G552" s="2"/>
    </row>
    <row r="553" spans="1:7">
      <c r="A553" s="2"/>
      <c r="G553" s="2"/>
    </row>
    <row r="554" spans="1:7">
      <c r="A554" s="2"/>
      <c r="G554" s="2"/>
    </row>
    <row r="555" spans="1:7">
      <c r="A555" s="2"/>
      <c r="G555" s="2"/>
    </row>
    <row r="556" spans="1:7">
      <c r="A556" s="2"/>
      <c r="G556" s="2"/>
    </row>
    <row r="557" spans="1:7">
      <c r="A557" s="2"/>
      <c r="G557" s="2"/>
    </row>
    <row r="558" spans="1:7">
      <c r="A558" s="2"/>
      <c r="G558" s="2"/>
    </row>
    <row r="559" spans="1:7">
      <c r="A559" s="2"/>
      <c r="G559" s="2"/>
    </row>
    <row r="560" spans="1:7">
      <c r="A560" s="2"/>
      <c r="G560" s="2"/>
    </row>
    <row r="561" spans="1:7">
      <c r="A561" s="2"/>
      <c r="G561" s="2"/>
    </row>
    <row r="562" spans="1:7">
      <c r="A562" s="2"/>
      <c r="G562" s="2"/>
    </row>
    <row r="563" spans="1:7">
      <c r="A563" s="2"/>
      <c r="G563" s="2"/>
    </row>
    <row r="564" spans="1:7">
      <c r="A564" s="2"/>
      <c r="G564" s="2"/>
    </row>
    <row r="565" spans="1:7">
      <c r="A565" s="2"/>
      <c r="G565" s="2"/>
    </row>
    <row r="566" spans="1:7">
      <c r="A566" s="2"/>
      <c r="G566" s="2"/>
    </row>
    <row r="567" spans="1:7">
      <c r="A567" s="2"/>
      <c r="G567" s="2"/>
    </row>
    <row r="568" spans="1:7">
      <c r="A568" s="2"/>
      <c r="G568" s="2"/>
    </row>
    <row r="569" spans="1:7">
      <c r="A569" s="2"/>
      <c r="G569" s="2"/>
    </row>
    <row r="570" spans="1:7">
      <c r="A570" s="2"/>
      <c r="G570" s="2"/>
    </row>
    <row r="571" spans="1:7">
      <c r="A571" s="2"/>
      <c r="G571" s="2"/>
    </row>
    <row r="572" spans="1:7">
      <c r="A572" s="2"/>
      <c r="G572" s="2"/>
    </row>
    <row r="573" spans="1:7">
      <c r="A573" s="2"/>
      <c r="G573" s="2"/>
    </row>
    <row r="574" spans="1:7">
      <c r="A574" s="2"/>
      <c r="G574" s="2"/>
    </row>
    <row r="575" spans="1:7">
      <c r="A575" s="2"/>
      <c r="G575" s="2"/>
    </row>
    <row r="576" spans="1:7">
      <c r="A576" s="2"/>
      <c r="G576" s="2"/>
    </row>
    <row r="577" spans="1:7">
      <c r="A577" s="2"/>
      <c r="G577" s="2"/>
    </row>
    <row r="578" spans="1:7">
      <c r="A578" s="2"/>
      <c r="G578" s="2"/>
    </row>
    <row r="579" spans="1:7">
      <c r="A579" s="2"/>
      <c r="G579" s="2"/>
    </row>
    <row r="580" spans="1:7">
      <c r="A580" s="2"/>
      <c r="G580" s="2"/>
    </row>
    <row r="581" spans="1:7">
      <c r="A581" s="2"/>
      <c r="G581" s="2"/>
    </row>
    <row r="582" spans="1:7">
      <c r="A582" s="2"/>
      <c r="G582" s="2"/>
    </row>
    <row r="583" spans="1:7">
      <c r="A583" s="2"/>
      <c r="G583" s="2"/>
    </row>
    <row r="584" spans="1:7">
      <c r="A584" s="2"/>
      <c r="G584" s="2"/>
    </row>
    <row r="585" spans="1:7">
      <c r="A585" s="2"/>
      <c r="G585" s="2"/>
    </row>
    <row r="586" spans="1:7">
      <c r="A586" s="2"/>
      <c r="G586" s="2"/>
    </row>
    <row r="587" spans="1:7">
      <c r="A587" s="2"/>
      <c r="G587" s="2"/>
    </row>
    <row r="588" spans="1:7">
      <c r="A588" s="2"/>
      <c r="G588" s="2"/>
    </row>
    <row r="589" spans="1:7">
      <c r="A589" s="2"/>
      <c r="G589" s="2"/>
    </row>
    <row r="590" spans="1:7">
      <c r="A590" s="2"/>
      <c r="G590" s="2"/>
    </row>
    <row r="591" spans="1:7">
      <c r="A591" s="2"/>
      <c r="G591" s="2"/>
    </row>
    <row r="592" spans="1:7">
      <c r="A592" s="2"/>
      <c r="G592" s="2"/>
    </row>
    <row r="593" spans="1:7">
      <c r="A593" s="2"/>
      <c r="G593" s="2"/>
    </row>
    <row r="594" spans="1:7">
      <c r="A594" s="2"/>
      <c r="G594" s="2"/>
    </row>
    <row r="595" spans="1:7">
      <c r="A595" s="2"/>
      <c r="G595" s="2"/>
    </row>
    <row r="596" spans="1:7">
      <c r="A596" s="2"/>
      <c r="G596" s="2"/>
    </row>
    <row r="597" spans="1:7">
      <c r="A597" s="2"/>
      <c r="G597" s="2"/>
    </row>
    <row r="598" spans="1:7">
      <c r="A598" s="2"/>
      <c r="G598" s="2"/>
    </row>
    <row r="599" spans="1:7">
      <c r="A599" s="2"/>
      <c r="G599" s="2"/>
    </row>
    <row r="600" spans="1:7">
      <c r="A600" s="2"/>
      <c r="G600" s="2"/>
    </row>
    <row r="601" spans="1:7">
      <c r="A601" s="2"/>
      <c r="G601" s="2"/>
    </row>
    <row r="602" spans="1:7">
      <c r="A602" s="2"/>
      <c r="G602" s="2"/>
    </row>
    <row r="603" spans="1:7">
      <c r="A603" s="2"/>
      <c r="G603" s="2"/>
    </row>
    <row r="604" spans="1:7">
      <c r="A604" s="2"/>
      <c r="G604" s="2"/>
    </row>
    <row r="605" spans="1:7">
      <c r="A605" s="2"/>
      <c r="G605" s="2"/>
    </row>
    <row r="606" spans="1:7">
      <c r="A606" s="2"/>
      <c r="G606" s="2"/>
    </row>
    <row r="607" spans="1:7">
      <c r="A607" s="2"/>
      <c r="G607" s="2"/>
    </row>
    <row r="608" spans="1:7">
      <c r="A608" s="2"/>
      <c r="G608" s="2"/>
    </row>
    <row r="609" spans="1:7">
      <c r="A609" s="2"/>
      <c r="G609" s="2"/>
    </row>
    <row r="610" spans="1:7">
      <c r="A610" s="2"/>
      <c r="G610" s="2"/>
    </row>
    <row r="611" spans="1:7">
      <c r="A611" s="2"/>
      <c r="G611" s="2"/>
    </row>
    <row r="612" spans="1:7">
      <c r="A612" s="2"/>
      <c r="G612" s="2"/>
    </row>
    <row r="613" spans="1:7">
      <c r="A613" s="2"/>
      <c r="G613" s="2"/>
    </row>
    <row r="614" spans="1:7">
      <c r="A614" s="2"/>
      <c r="G614" s="2"/>
    </row>
    <row r="615" spans="1:7">
      <c r="A615" s="2"/>
      <c r="G615" s="2"/>
    </row>
    <row r="616" spans="1:7">
      <c r="A616" s="2"/>
      <c r="G616" s="2"/>
    </row>
    <row r="617" spans="1:7">
      <c r="A617" s="2"/>
      <c r="G617" s="2"/>
    </row>
    <row r="618" spans="1:7">
      <c r="A618" s="2"/>
      <c r="G618" s="2"/>
    </row>
    <row r="619" spans="1:7">
      <c r="A619" s="2"/>
      <c r="G619" s="2"/>
    </row>
    <row r="620" spans="1:7">
      <c r="A620" s="2"/>
      <c r="G620" s="2"/>
    </row>
    <row r="621" spans="1:7">
      <c r="A621" s="2"/>
      <c r="G621" s="2"/>
    </row>
    <row r="622" spans="1:7">
      <c r="A622" s="2"/>
      <c r="G622" s="2"/>
    </row>
    <row r="623" spans="1:7">
      <c r="A623" s="2"/>
      <c r="G623" s="2"/>
    </row>
    <row r="624" spans="1:7">
      <c r="A624" s="2"/>
      <c r="G624" s="2"/>
    </row>
    <row r="625" spans="1:7">
      <c r="A625" s="2"/>
      <c r="G625" s="2"/>
    </row>
    <row r="626" spans="1:7">
      <c r="A626" s="2"/>
      <c r="G626" s="2"/>
    </row>
    <row r="627" spans="1:7">
      <c r="A627" s="2"/>
      <c r="G627" s="2"/>
    </row>
    <row r="628" spans="1:7">
      <c r="A628" s="2"/>
      <c r="G628" s="2"/>
    </row>
    <row r="629" spans="1:7">
      <c r="A629" s="2"/>
      <c r="G629" s="2"/>
    </row>
    <row r="630" spans="1:7">
      <c r="A630" s="2"/>
      <c r="G630" s="2"/>
    </row>
    <row r="631" spans="1:7">
      <c r="A631" s="2"/>
      <c r="G631" s="2"/>
    </row>
    <row r="632" spans="1:7">
      <c r="A632" s="2"/>
      <c r="G632" s="2"/>
    </row>
    <row r="633" spans="1:7">
      <c r="A633" s="2"/>
      <c r="G633" s="2"/>
    </row>
    <row r="634" spans="1:7">
      <c r="A634" s="2"/>
      <c r="G634" s="2"/>
    </row>
    <row r="635" spans="1:7">
      <c r="A635" s="2"/>
      <c r="G635" s="2"/>
    </row>
    <row r="636" spans="1:7">
      <c r="A636" s="2"/>
      <c r="G636" s="2"/>
    </row>
    <row r="637" spans="1:7">
      <c r="A637" s="2"/>
      <c r="G637" s="2"/>
    </row>
    <row r="638" spans="1:7">
      <c r="A638" s="2"/>
      <c r="G638" s="2"/>
    </row>
    <row r="639" spans="1:7">
      <c r="A639" s="2"/>
      <c r="G639" s="2"/>
    </row>
    <row r="640" spans="1:7">
      <c r="A640" s="2"/>
      <c r="G640" s="2"/>
    </row>
    <row r="641" spans="1:7">
      <c r="A641" s="2"/>
      <c r="G641" s="2"/>
    </row>
    <row r="642" spans="1:7">
      <c r="A642" s="2"/>
      <c r="G642" s="2"/>
    </row>
    <row r="643" spans="1:7">
      <c r="A643" s="2"/>
      <c r="G643" s="2"/>
    </row>
    <row r="644" spans="1:7">
      <c r="A644" s="2"/>
      <c r="G644" s="2"/>
    </row>
    <row r="645" spans="1:7">
      <c r="A645" s="2"/>
      <c r="G645" s="2"/>
    </row>
    <row r="646" spans="1:7">
      <c r="A646" s="2"/>
      <c r="G646" s="2"/>
    </row>
    <row r="647" spans="1:7">
      <c r="A647" s="2"/>
      <c r="G647" s="2"/>
    </row>
    <row r="648" spans="1:7">
      <c r="A648" s="2"/>
      <c r="G648" s="2"/>
    </row>
    <row r="649" spans="1:7">
      <c r="A649" s="2"/>
      <c r="G649" s="2"/>
    </row>
    <row r="650" spans="1:7">
      <c r="A650" s="2"/>
      <c r="G650" s="2"/>
    </row>
    <row r="651" spans="1:7">
      <c r="A651" s="2"/>
      <c r="G651" s="2"/>
    </row>
    <row r="652" spans="1:7">
      <c r="A652" s="2"/>
      <c r="G652" s="2"/>
    </row>
    <row r="653" spans="1:7">
      <c r="A653" s="2"/>
      <c r="G653" s="2"/>
    </row>
    <row r="654" spans="1:7">
      <c r="A654" s="2"/>
      <c r="G654" s="2"/>
    </row>
    <row r="655" spans="1:7">
      <c r="A655" s="2"/>
      <c r="G655" s="2"/>
    </row>
    <row r="656" spans="1:7">
      <c r="A656" s="2"/>
      <c r="G656" s="2"/>
    </row>
    <row r="657" spans="1:7">
      <c r="A657" s="2"/>
      <c r="G657" s="2"/>
    </row>
    <row r="658" spans="1:7">
      <c r="A658" s="2"/>
      <c r="G658" s="2"/>
    </row>
    <row r="659" spans="1:7">
      <c r="A659" s="2"/>
      <c r="G659" s="2"/>
    </row>
    <row r="660" spans="1:7">
      <c r="A660" s="2"/>
      <c r="G660" s="2"/>
    </row>
    <row r="661" spans="1:7">
      <c r="A661" s="2"/>
      <c r="G661" s="2"/>
    </row>
    <row r="662" spans="1:7">
      <c r="A662" s="2"/>
      <c r="G662" s="2"/>
    </row>
    <row r="663" spans="1:7">
      <c r="A663" s="2"/>
      <c r="G663" s="2"/>
    </row>
    <row r="664" spans="1:7">
      <c r="A664" s="2"/>
      <c r="G664" s="2"/>
    </row>
    <row r="665" spans="1:7">
      <c r="A665" s="2"/>
      <c r="G665" s="2"/>
    </row>
    <row r="666" spans="1:7">
      <c r="A666" s="2"/>
      <c r="G666" s="2"/>
    </row>
    <row r="667" spans="1:7">
      <c r="A667" s="2"/>
      <c r="G667" s="2"/>
    </row>
    <row r="668" spans="1:7">
      <c r="A668" s="2"/>
      <c r="G668" s="2"/>
    </row>
    <row r="669" spans="1:7">
      <c r="A669" s="2"/>
      <c r="G669" s="2"/>
    </row>
    <row r="670" spans="1:7">
      <c r="A670" s="2"/>
      <c r="G670" s="2"/>
    </row>
    <row r="671" spans="1:7">
      <c r="A671" s="2"/>
      <c r="G671" s="2"/>
    </row>
    <row r="672" spans="1:7">
      <c r="A672" s="2"/>
      <c r="G672" s="2"/>
    </row>
    <row r="673" spans="1:7">
      <c r="A673" s="2"/>
      <c r="G673" s="2"/>
    </row>
    <row r="674" spans="1:7">
      <c r="A674" s="2"/>
      <c r="G674" s="2"/>
    </row>
    <row r="675" spans="1:7">
      <c r="A675" s="2"/>
      <c r="G675" s="2"/>
    </row>
    <row r="676" spans="1:7">
      <c r="A676" s="2"/>
      <c r="G676" s="2"/>
    </row>
    <row r="677" spans="1:7">
      <c r="A677" s="2"/>
      <c r="G677" s="2"/>
    </row>
    <row r="678" spans="1:7">
      <c r="A678" s="2"/>
      <c r="G678" s="2"/>
    </row>
    <row r="679" spans="1:7">
      <c r="A679" s="2"/>
      <c r="G679" s="2"/>
    </row>
    <row r="680" spans="1:7">
      <c r="A680" s="2"/>
      <c r="G680" s="2"/>
    </row>
    <row r="681" spans="1:7">
      <c r="A681" s="2"/>
      <c r="G681" s="2"/>
    </row>
    <row r="682" spans="1:7">
      <c r="A682" s="2"/>
      <c r="G682" s="2"/>
    </row>
    <row r="683" spans="1:7">
      <c r="A683" s="2"/>
      <c r="G683" s="2"/>
    </row>
    <row r="684" spans="1:7">
      <c r="A684" s="2"/>
      <c r="G684" s="2"/>
    </row>
    <row r="685" spans="1:7">
      <c r="A685" s="2"/>
      <c r="G685" s="2"/>
    </row>
    <row r="686" spans="1:7">
      <c r="A686" s="2"/>
      <c r="G686" s="2"/>
    </row>
    <row r="687" spans="1:7">
      <c r="A687" s="2"/>
      <c r="G687" s="2"/>
    </row>
    <row r="688" spans="1:7">
      <c r="A688" s="2"/>
      <c r="G688" s="2"/>
    </row>
    <row r="689" spans="1:7">
      <c r="A689" s="2"/>
      <c r="G689" s="2"/>
    </row>
    <row r="690" spans="1:7">
      <c r="A690" s="2"/>
      <c r="G690" s="2"/>
    </row>
    <row r="691" spans="1:7">
      <c r="A691" s="2"/>
      <c r="G691" s="2"/>
    </row>
    <row r="692" spans="1:7">
      <c r="A692" s="2"/>
      <c r="G692" s="2"/>
    </row>
    <row r="693" spans="1:7">
      <c r="A693" s="2"/>
      <c r="G693" s="2"/>
    </row>
    <row r="694" spans="1:7">
      <c r="A694" s="2"/>
      <c r="G694" s="2"/>
    </row>
    <row r="695" spans="1:7">
      <c r="A695" s="2"/>
      <c r="G695" s="2"/>
    </row>
    <row r="696" spans="1:7">
      <c r="A696" s="2"/>
      <c r="G696" s="2"/>
    </row>
    <row r="697" spans="1:7">
      <c r="A697" s="2"/>
      <c r="G697" s="2"/>
    </row>
    <row r="698" spans="1:7">
      <c r="A698" s="2"/>
      <c r="G698" s="2"/>
    </row>
    <row r="699" spans="1:7">
      <c r="A699" s="2"/>
      <c r="G699" s="2"/>
    </row>
    <row r="700" spans="1:7">
      <c r="A700" s="2"/>
      <c r="G700" s="2"/>
    </row>
    <row r="701" spans="1:7">
      <c r="A701" s="2"/>
      <c r="G701" s="2"/>
    </row>
    <row r="702" spans="1:7">
      <c r="A702" s="2"/>
      <c r="G702" s="2"/>
    </row>
    <row r="703" spans="1:7">
      <c r="A703" s="2"/>
      <c r="G703" s="2"/>
    </row>
    <row r="704" spans="1:7">
      <c r="A704" s="2"/>
      <c r="G704" s="2"/>
    </row>
    <row r="705" spans="1:7">
      <c r="A705" s="2"/>
      <c r="G705" s="2"/>
    </row>
    <row r="706" spans="1:7">
      <c r="A706" s="2"/>
      <c r="G706" s="2"/>
    </row>
    <row r="707" spans="1:7">
      <c r="A707" s="2"/>
      <c r="G707" s="2"/>
    </row>
    <row r="708" spans="1:7">
      <c r="A708" s="2"/>
      <c r="G708" s="2"/>
    </row>
    <row r="709" spans="1:7">
      <c r="A709" s="2"/>
      <c r="G709" s="2"/>
    </row>
    <row r="710" spans="1:7">
      <c r="A710" s="2"/>
      <c r="G710" s="2"/>
    </row>
    <row r="711" spans="1:7">
      <c r="A711" s="2"/>
      <c r="G711" s="2"/>
    </row>
    <row r="712" spans="1:7">
      <c r="A712" s="2"/>
      <c r="G712" s="2"/>
    </row>
    <row r="713" spans="1:7">
      <c r="A713" s="2"/>
      <c r="G713" s="2"/>
    </row>
    <row r="714" spans="1:7">
      <c r="A714" s="2"/>
      <c r="G714" s="2"/>
    </row>
    <row r="715" spans="1:7">
      <c r="A715" s="2"/>
      <c r="G715" s="2"/>
    </row>
    <row r="716" spans="1:7">
      <c r="A716" s="2"/>
      <c r="G716" s="2"/>
    </row>
    <row r="717" spans="1:7">
      <c r="A717" s="2"/>
      <c r="G717" s="2"/>
    </row>
    <row r="718" spans="1:7">
      <c r="A718" s="2"/>
      <c r="G718" s="2"/>
    </row>
    <row r="719" spans="1:7">
      <c r="A719" s="2"/>
      <c r="G719" s="2"/>
    </row>
    <row r="720" spans="1:7">
      <c r="A720" s="2"/>
      <c r="G720" s="2"/>
    </row>
    <row r="721" spans="1:7">
      <c r="A721" s="2"/>
      <c r="G721" s="2"/>
    </row>
    <row r="722" spans="1:7">
      <c r="A722" s="2"/>
      <c r="G722" s="2"/>
    </row>
    <row r="723" spans="1:7">
      <c r="A723" s="2"/>
      <c r="G723" s="2"/>
    </row>
    <row r="724" spans="1:7">
      <c r="A724" s="2"/>
      <c r="G724" s="2"/>
    </row>
    <row r="725" spans="1:7">
      <c r="A725" s="2"/>
      <c r="G725" s="2"/>
    </row>
    <row r="726" spans="1:7">
      <c r="A726" s="2"/>
      <c r="G726" s="2"/>
    </row>
    <row r="727" spans="1:7">
      <c r="A727" s="2"/>
      <c r="G727" s="2"/>
    </row>
    <row r="728" spans="1:7">
      <c r="A728" s="2"/>
      <c r="G728" s="2"/>
    </row>
    <row r="729" spans="1:7">
      <c r="A729" s="2"/>
      <c r="G729" s="2"/>
    </row>
    <row r="730" spans="1:7">
      <c r="A730" s="2"/>
      <c r="G730" s="2"/>
    </row>
    <row r="731" spans="1:7">
      <c r="A731" s="2"/>
      <c r="G731" s="2"/>
    </row>
    <row r="732" spans="1:7">
      <c r="A732" s="2"/>
      <c r="G732" s="2"/>
    </row>
    <row r="733" spans="1:7">
      <c r="A733" s="2"/>
      <c r="G733" s="2"/>
    </row>
    <row r="734" spans="1:7">
      <c r="A734" s="2"/>
      <c r="G734" s="2"/>
    </row>
    <row r="735" spans="1:7">
      <c r="A735" s="2"/>
      <c r="G735" s="2"/>
    </row>
    <row r="736" spans="1:7">
      <c r="A736" s="2"/>
      <c r="G736" s="2"/>
    </row>
    <row r="737" spans="1:7">
      <c r="A737" s="2"/>
      <c r="G737" s="2"/>
    </row>
    <row r="738" spans="1:7">
      <c r="A738" s="2"/>
      <c r="G738" s="2"/>
    </row>
    <row r="739" spans="1:7">
      <c r="A739" s="2"/>
      <c r="G739" s="2"/>
    </row>
    <row r="740" spans="1:7">
      <c r="A740" s="2"/>
      <c r="G740" s="2"/>
    </row>
    <row r="741" spans="1:7">
      <c r="A741" s="2"/>
      <c r="G741" s="2"/>
    </row>
    <row r="742" spans="1:7">
      <c r="A742" s="2"/>
      <c r="G742" s="2"/>
    </row>
    <row r="743" spans="1:7">
      <c r="A743" s="2"/>
      <c r="G743" s="2"/>
    </row>
    <row r="744" spans="1:7">
      <c r="A744" s="2"/>
      <c r="G744" s="2"/>
    </row>
    <row r="745" spans="1:7">
      <c r="A745" s="2"/>
      <c r="G745" s="2"/>
    </row>
    <row r="746" spans="1:7">
      <c r="A746" s="2"/>
      <c r="G746" s="2"/>
    </row>
    <row r="747" spans="1:7">
      <c r="A747" s="2"/>
      <c r="G747" s="2"/>
    </row>
    <row r="748" spans="1:7">
      <c r="A748" s="2"/>
      <c r="G748" s="2"/>
    </row>
    <row r="749" spans="1:7">
      <c r="A749" s="2"/>
      <c r="G749" s="2"/>
    </row>
    <row r="750" spans="1:7">
      <c r="A750" s="2"/>
      <c r="G750" s="2"/>
    </row>
    <row r="751" spans="1:7">
      <c r="A751" s="2"/>
      <c r="G751" s="2"/>
    </row>
    <row r="752" spans="1:7">
      <c r="A752" s="2"/>
      <c r="G752" s="2"/>
    </row>
    <row r="753" spans="1:9">
      <c r="A753" s="2"/>
      <c r="G753" s="2"/>
    </row>
    <row r="754" spans="1:9">
      <c r="A754" s="2"/>
      <c r="G754" s="2"/>
    </row>
    <row r="755" spans="1:9">
      <c r="A755" s="2"/>
      <c r="G755" s="2"/>
    </row>
    <row r="756" spans="1:9">
      <c r="A756" s="2"/>
      <c r="G756" s="2"/>
    </row>
    <row r="757" spans="1:9">
      <c r="A757" s="2"/>
      <c r="G757" s="2"/>
    </row>
    <row r="758" spans="1:9">
      <c r="A758" s="2"/>
      <c r="G758" s="2"/>
    </row>
    <row r="759" spans="1:9">
      <c r="A759" s="2"/>
      <c r="G759" s="2"/>
    </row>
    <row r="760" spans="1:9">
      <c r="A760" s="2"/>
      <c r="G760" s="2"/>
    </row>
    <row r="761" spans="1:9">
      <c r="A761" s="2"/>
      <c r="G761" s="2"/>
    </row>
    <row r="762" spans="1:9">
      <c r="A762" s="2"/>
      <c r="G762" s="2"/>
    </row>
    <row r="763" spans="1:9">
      <c r="A763" s="2"/>
      <c r="G763" s="2"/>
    </row>
    <row r="764" spans="1:9">
      <c r="A764" s="2"/>
      <c r="G764" s="2"/>
    </row>
    <row r="765" spans="1:9">
      <c r="A765" s="2"/>
      <c r="G765" s="2"/>
    </row>
    <row r="766" spans="1:9">
      <c r="A766" s="2"/>
      <c r="G766" s="2"/>
    </row>
    <row r="767" spans="1:9">
      <c r="A767" s="2"/>
      <c r="G767" s="1"/>
      <c r="H767" s="1"/>
      <c r="I767" s="1"/>
    </row>
    <row r="768" spans="1:9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9">
      <c r="A1761" s="2"/>
    </row>
    <row r="1762" spans="1:19">
      <c r="A1762" s="2"/>
    </row>
    <row r="1763" spans="1:19">
      <c r="A1763" s="2"/>
    </row>
    <row r="1764" spans="1:19">
      <c r="A1764" s="2"/>
    </row>
    <row r="1765" spans="1:19">
      <c r="A1765" s="2"/>
    </row>
    <row r="1766" spans="1:19">
      <c r="A1766" s="2"/>
    </row>
    <row r="1767" spans="1:19">
      <c r="A1767" s="2"/>
    </row>
    <row r="1768" spans="1:19">
      <c r="A1768" s="2"/>
    </row>
    <row r="1769" spans="1:19">
      <c r="A1769" s="2"/>
    </row>
    <row r="1770" spans="1:19">
      <c r="A1770" s="2"/>
    </row>
    <row r="1771" spans="1:19">
      <c r="A1771" s="2"/>
    </row>
    <row r="1772" spans="1:19">
      <c r="A1772" s="1"/>
      <c r="B1772" s="1"/>
      <c r="C1772" s="1"/>
      <c r="D1772" s="1"/>
      <c r="E1772" s="1"/>
      <c r="F1772" s="1"/>
      <c r="J1772" s="1"/>
      <c r="K1772" s="1"/>
      <c r="L1772" s="1"/>
    </row>
    <row r="1776" spans="1:19">
      <c r="M1776" s="9"/>
      <c r="N1776" s="9"/>
      <c r="Q1776" s="9"/>
      <c r="R1776" s="9"/>
      <c r="S1776" s="9"/>
    </row>
    <row r="1777" spans="13:19">
      <c r="M1777" s="9"/>
      <c r="N1777" s="9"/>
      <c r="Q1777" s="9"/>
      <c r="R1777" s="9"/>
      <c r="S1777" s="9"/>
    </row>
    <row r="1778" spans="13:19">
      <c r="M1778" s="135"/>
      <c r="N1778" s="135"/>
      <c r="P1778" s="136"/>
      <c r="Q1778" s="135"/>
      <c r="R1778" s="135"/>
      <c r="S1778" s="135"/>
    </row>
    <row r="1779" spans="13:19">
      <c r="M1779" s="9"/>
      <c r="N1779" s="9"/>
      <c r="O1779" s="1"/>
      <c r="Q1779" s="9"/>
      <c r="R1779" s="9"/>
      <c r="S1779" s="9"/>
    </row>
    <row r="1780" spans="13:19">
      <c r="M1780" s="9"/>
      <c r="N1780" s="9"/>
      <c r="Q1780" s="9"/>
      <c r="R1780" s="9"/>
      <c r="S1780" s="9"/>
    </row>
    <row r="1781" spans="13:19">
      <c r="M1781" s="9"/>
      <c r="N1781" s="9"/>
      <c r="Q1781" s="9"/>
      <c r="R1781" s="9"/>
      <c r="S1781" s="9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R1775"/>
  <sheetViews>
    <sheetView showGridLines="0" zoomScaleNormal="100" workbookViewId="0">
      <pane ySplit="5" topLeftCell="A6" activePane="bottomLeft" state="frozen"/>
      <selection activeCell="F28" activeCellId="1" sqref="H23 F28"/>
      <selection pane="bottomLeft" activeCell="G216" sqref="G216"/>
    </sheetView>
  </sheetViews>
  <sheetFormatPr baseColWidth="10" defaultColWidth="8.83203125" defaultRowHeight="15"/>
  <cols>
    <col min="1" max="1" width="11.5" customWidth="1"/>
    <col min="2" max="2" width="13.83203125" bestFit="1" customWidth="1"/>
    <col min="6" max="6" width="2.1640625" customWidth="1"/>
    <col min="7" max="7" width="22.83203125" customWidth="1"/>
    <col min="8" max="8" width="8.83203125" style="108" customWidth="1"/>
    <col min="9" max="9" width="2.83203125" customWidth="1"/>
    <col min="10" max="10" width="22.83203125" customWidth="1"/>
    <col min="11" max="11" width="8.83203125" customWidth="1"/>
    <col min="12" max="12" width="2.83203125" customWidth="1"/>
    <col min="13" max="13" width="22.83203125" customWidth="1"/>
    <col min="14" max="14" width="8.83203125" customWidth="1"/>
    <col min="15" max="15" width="2.83203125" customWidth="1"/>
  </cols>
  <sheetData>
    <row r="1" spans="1:18" ht="30" customHeight="1">
      <c r="A1" s="5"/>
      <c r="B1" s="5"/>
      <c r="C1" s="5"/>
      <c r="D1" s="5"/>
      <c r="E1" s="5"/>
      <c r="F1" s="5"/>
      <c r="H1" s="7"/>
    </row>
    <row r="2" spans="1:18" ht="21.5" customHeight="1">
      <c r="A2" s="6" t="s">
        <v>239</v>
      </c>
      <c r="B2" s="7"/>
      <c r="C2" s="7"/>
      <c r="D2" s="7"/>
      <c r="E2" s="7"/>
      <c r="F2" s="7"/>
      <c r="G2" s="7"/>
      <c r="H2" s="7"/>
    </row>
    <row r="3" spans="1:18">
      <c r="A3" s="8"/>
      <c r="B3" s="8"/>
      <c r="C3" s="8"/>
      <c r="D3" s="8"/>
      <c r="E3" s="8"/>
      <c r="F3" s="8"/>
    </row>
    <row r="4" spans="1:18" ht="16" thickBot="1">
      <c r="A4" s="123" t="s">
        <v>378</v>
      </c>
      <c r="B4" s="313"/>
      <c r="C4" s="313"/>
      <c r="D4" s="313"/>
      <c r="E4" s="313"/>
      <c r="F4" s="8"/>
    </row>
    <row r="5" spans="1:18" s="192" customFormat="1" ht="6.5" customHeight="1">
      <c r="A5" s="193"/>
      <c r="B5" s="18"/>
      <c r="C5" s="18"/>
      <c r="D5" s="18"/>
      <c r="E5" s="18"/>
      <c r="F5" s="18"/>
      <c r="G5" s="18"/>
      <c r="L5" s="197"/>
      <c r="R5" s="197"/>
    </row>
    <row r="6" spans="1:18" ht="16" thickBot="1">
      <c r="A6" s="120" t="s">
        <v>5</v>
      </c>
      <c r="B6" s="120" t="s">
        <v>240</v>
      </c>
      <c r="C6" s="121" t="s">
        <v>208</v>
      </c>
      <c r="D6" s="121" t="s">
        <v>241</v>
      </c>
      <c r="E6" s="121" t="s">
        <v>242</v>
      </c>
      <c r="F6" s="5"/>
      <c r="G6" s="642" t="s">
        <v>281</v>
      </c>
      <c r="H6" s="642"/>
      <c r="J6" s="642" t="s">
        <v>284</v>
      </c>
      <c r="K6" s="642"/>
      <c r="M6" s="309" t="s">
        <v>243</v>
      </c>
      <c r="N6" s="309"/>
    </row>
    <row r="7" spans="1:18">
      <c r="A7" s="2">
        <v>36830</v>
      </c>
      <c r="B7">
        <v>1429.4</v>
      </c>
      <c r="C7" s="127"/>
      <c r="D7" s="127">
        <v>5.6000000000000008E-3</v>
      </c>
      <c r="E7" s="127"/>
      <c r="F7" s="8"/>
      <c r="I7" s="119"/>
      <c r="K7" s="108"/>
      <c r="N7" s="108"/>
    </row>
    <row r="8" spans="1:18" ht="17">
      <c r="A8" s="2">
        <v>36860</v>
      </c>
      <c r="B8">
        <v>1314.95</v>
      </c>
      <c r="C8" s="127">
        <f>(B8-B7)/B7</f>
        <v>-8.0068560235063688E-2</v>
      </c>
      <c r="D8" s="127">
        <v>5.1000000000000004E-3</v>
      </c>
      <c r="E8" s="127">
        <f>C8-D8</f>
        <v>-8.5168560235063695E-2</v>
      </c>
      <c r="F8" s="8"/>
      <c r="G8" s="137" t="s">
        <v>382</v>
      </c>
      <c r="H8" s="138">
        <f>AVERAGE(E199:E210)</f>
        <v>1.223519687557883E-2</v>
      </c>
      <c r="I8" s="119"/>
      <c r="J8" s="137" t="s">
        <v>384</v>
      </c>
      <c r="K8" s="138">
        <f>AVERAGE(D199:D210)</f>
        <v>4.5833333333333332E-4</v>
      </c>
      <c r="M8" s="162" t="s">
        <v>386</v>
      </c>
      <c r="N8" s="163">
        <f>K12+'Beta Calculation'!N9*H12</f>
        <v>0.14042272999791341</v>
      </c>
    </row>
    <row r="9" spans="1:18" ht="17">
      <c r="A9" s="2">
        <v>36889</v>
      </c>
      <c r="B9">
        <v>1320.28</v>
      </c>
      <c r="C9" s="127">
        <f t="shared" ref="C9:C72" si="0">(B9-B8)/B8</f>
        <v>4.0533860603064204E-3</v>
      </c>
      <c r="D9" s="127">
        <v>5.0000000000000001E-3</v>
      </c>
      <c r="E9" s="127">
        <f t="shared" ref="E9:E72" si="1">C9-D9</f>
        <v>-9.4661393969357969E-4</v>
      </c>
      <c r="G9" s="132" t="s">
        <v>277</v>
      </c>
      <c r="H9" s="140">
        <f>AVERAGE(E151:E210)</f>
        <v>9.6034981798575302E-3</v>
      </c>
      <c r="I9" s="119"/>
      <c r="J9" s="132" t="s">
        <v>285</v>
      </c>
      <c r="K9" s="140">
        <f>AVERAGE(D151:D210)</f>
        <v>1.2333333333333334E-4</v>
      </c>
      <c r="M9" s="164" t="s">
        <v>282</v>
      </c>
      <c r="N9" s="165">
        <f>K13+'Beta Calculation'!N32*H13</f>
        <v>7.6120312029536091E-2</v>
      </c>
    </row>
    <row r="10" spans="1:18" ht="17">
      <c r="A10" s="2">
        <v>36922</v>
      </c>
      <c r="B10">
        <v>1366.01</v>
      </c>
      <c r="C10" s="127">
        <f t="shared" si="0"/>
        <v>3.4636592238010133E-2</v>
      </c>
      <c r="D10" s="127">
        <v>5.4000000000000003E-3</v>
      </c>
      <c r="E10" s="127">
        <f t="shared" si="1"/>
        <v>2.9236592238010131E-2</v>
      </c>
      <c r="G10" s="141" t="s">
        <v>278</v>
      </c>
      <c r="H10" s="142">
        <f>AVERAGE(E91:E210)</f>
        <v>4.8574235776303199E-3</v>
      </c>
      <c r="J10" s="141" t="s">
        <v>287</v>
      </c>
      <c r="K10" s="142">
        <f>AVERAGE(D91:D210)</f>
        <v>2.9249999999999985E-4</v>
      </c>
      <c r="M10" s="166" t="s">
        <v>283</v>
      </c>
      <c r="N10" s="167">
        <f>K14+'Beta Calculation'!N55*H14</f>
        <v>5.1533817052804916E-2</v>
      </c>
    </row>
    <row r="11" spans="1:18" ht="16" thickBot="1">
      <c r="A11" s="2">
        <v>36950</v>
      </c>
      <c r="B11">
        <v>1239.94</v>
      </c>
      <c r="C11" s="127">
        <f t="shared" si="0"/>
        <v>-9.2290686012547446E-2</v>
      </c>
      <c r="D11" s="127">
        <v>3.8E-3</v>
      </c>
      <c r="E11" s="127">
        <f t="shared" si="1"/>
        <v>-9.6090686012547444E-2</v>
      </c>
      <c r="K11" s="108"/>
      <c r="M11" s="143"/>
      <c r="N11" s="144"/>
    </row>
    <row r="12" spans="1:18" ht="17">
      <c r="A12" s="2">
        <v>36980</v>
      </c>
      <c r="B12">
        <v>1160.33</v>
      </c>
      <c r="C12" s="127">
        <f>(B12-B11)/B11</f>
        <v>-6.4204719583205741E-2</v>
      </c>
      <c r="D12" s="127">
        <v>4.1999999999999997E-3</v>
      </c>
      <c r="E12" s="127">
        <f t="shared" si="1"/>
        <v>-6.8404719583205736E-2</v>
      </c>
      <c r="G12" s="162" t="s">
        <v>383</v>
      </c>
      <c r="H12" s="163">
        <f>(1+H8)^12-1</f>
        <v>0.15711683269955334</v>
      </c>
      <c r="J12" s="162" t="s">
        <v>385</v>
      </c>
      <c r="K12" s="163">
        <f>(1+K8)^12-1</f>
        <v>5.5138857871948055E-3</v>
      </c>
      <c r="M12" s="279" t="s">
        <v>289</v>
      </c>
      <c r="N12" s="280">
        <f>0.4*N8+0.4*N9+0.2*N10</f>
        <v>9.6923980221540793E-2</v>
      </c>
    </row>
    <row r="13" spans="1:18" ht="17">
      <c r="A13" s="2">
        <v>37011</v>
      </c>
      <c r="B13">
        <v>1249.46</v>
      </c>
      <c r="C13" s="127">
        <f t="shared" si="0"/>
        <v>7.6814354537071444E-2</v>
      </c>
      <c r="D13" s="127">
        <v>3.9000000000000003E-3</v>
      </c>
      <c r="E13" s="127">
        <f t="shared" si="1"/>
        <v>7.2914354537071444E-2</v>
      </c>
      <c r="G13" s="164" t="s">
        <v>279</v>
      </c>
      <c r="H13" s="165">
        <f>(1+H9)^12-1</f>
        <v>0.12152810245886903</v>
      </c>
      <c r="J13" s="164" t="s">
        <v>286</v>
      </c>
      <c r="K13" s="165">
        <f>(1+K9)^12-1</f>
        <v>1.481004346174597E-3</v>
      </c>
    </row>
    <row r="14" spans="1:18" ht="17">
      <c r="A14" s="2">
        <v>37042</v>
      </c>
      <c r="B14">
        <v>1255.82</v>
      </c>
      <c r="C14" s="127">
        <f t="shared" si="0"/>
        <v>5.0901989659532113E-3</v>
      </c>
      <c r="D14" s="127">
        <v>3.2000000000000002E-3</v>
      </c>
      <c r="E14" s="127">
        <f t="shared" si="1"/>
        <v>1.8901989659532111E-3</v>
      </c>
      <c r="G14" s="166" t="s">
        <v>280</v>
      </c>
      <c r="H14" s="167">
        <f>(1+H10)^12-1</f>
        <v>5.9871815799189765E-2</v>
      </c>
      <c r="J14" s="166" t="s">
        <v>288</v>
      </c>
      <c r="K14" s="167">
        <f>(1+K10)^12-1</f>
        <v>3.5156522216703845E-3</v>
      </c>
    </row>
    <row r="15" spans="1:18">
      <c r="A15" s="2">
        <v>37071</v>
      </c>
      <c r="B15">
        <v>1224.42</v>
      </c>
      <c r="C15" s="127">
        <f t="shared" si="0"/>
        <v>-2.5003583316080224E-2</v>
      </c>
      <c r="D15" s="127">
        <v>2.8000000000000004E-3</v>
      </c>
      <c r="E15" s="127">
        <f t="shared" si="1"/>
        <v>-2.7803583316080224E-2</v>
      </c>
      <c r="G15" s="132"/>
      <c r="H15" s="140"/>
    </row>
    <row r="16" spans="1:18">
      <c r="A16" s="2">
        <v>37103</v>
      </c>
      <c r="B16">
        <v>1211.23</v>
      </c>
      <c r="C16" s="127">
        <f t="shared" si="0"/>
        <v>-1.0772447362833058E-2</v>
      </c>
      <c r="D16" s="127">
        <v>3.0000000000000001E-3</v>
      </c>
      <c r="E16" s="127">
        <f t="shared" si="1"/>
        <v>-1.3772447362833059E-2</v>
      </c>
    </row>
    <row r="17" spans="1:10">
      <c r="A17" s="2">
        <v>37134</v>
      </c>
      <c r="B17">
        <v>1133.58</v>
      </c>
      <c r="C17" s="127">
        <f t="shared" si="0"/>
        <v>-6.410838569057907E-2</v>
      </c>
      <c r="D17" s="127">
        <v>3.0999999999999999E-3</v>
      </c>
      <c r="E17" s="127">
        <f t="shared" si="1"/>
        <v>-6.7208385690579076E-2</v>
      </c>
    </row>
    <row r="18" spans="1:10">
      <c r="A18" s="2">
        <v>37162</v>
      </c>
      <c r="B18">
        <v>1040.94</v>
      </c>
      <c r="C18" s="127">
        <f t="shared" si="0"/>
        <v>-8.1723389615201286E-2</v>
      </c>
      <c r="D18" s="127">
        <v>2.8000000000000004E-3</v>
      </c>
      <c r="E18" s="127">
        <f t="shared" si="1"/>
        <v>-8.4523389615201283E-2</v>
      </c>
    </row>
    <row r="19" spans="1:10">
      <c r="A19" s="2">
        <v>37195</v>
      </c>
      <c r="B19">
        <v>1059.78</v>
      </c>
      <c r="C19" s="127">
        <f t="shared" si="0"/>
        <v>1.8099025880454124E-2</v>
      </c>
      <c r="D19" s="127">
        <v>2.2000000000000001E-3</v>
      </c>
      <c r="E19" s="127">
        <f t="shared" si="1"/>
        <v>1.5899025880454123E-2</v>
      </c>
    </row>
    <row r="20" spans="1:10">
      <c r="A20" s="2">
        <v>37225</v>
      </c>
      <c r="B20">
        <v>1139.45</v>
      </c>
      <c r="C20" s="127">
        <f t="shared" si="0"/>
        <v>7.5175979920360902E-2</v>
      </c>
      <c r="D20" s="127">
        <v>1.7000000000000001E-3</v>
      </c>
      <c r="E20" s="127">
        <f t="shared" si="1"/>
        <v>7.3475979920360895E-2</v>
      </c>
      <c r="J20" s="159"/>
    </row>
    <row r="21" spans="1:10">
      <c r="A21" s="2">
        <v>37256</v>
      </c>
      <c r="B21">
        <v>1148.08</v>
      </c>
      <c r="C21" s="127">
        <f t="shared" si="0"/>
        <v>7.573829479134566E-3</v>
      </c>
      <c r="D21" s="127">
        <v>1.5E-3</v>
      </c>
      <c r="E21" s="127">
        <f t="shared" si="1"/>
        <v>6.0738294791345664E-3</v>
      </c>
    </row>
    <row r="22" spans="1:10">
      <c r="A22" s="2">
        <v>37287</v>
      </c>
      <c r="B22">
        <v>1130.2</v>
      </c>
      <c r="C22" s="127">
        <f t="shared" si="0"/>
        <v>-1.5573827607832104E-2</v>
      </c>
      <c r="D22" s="127">
        <v>1.4000000000000002E-3</v>
      </c>
      <c r="E22" s="127">
        <f t="shared" si="1"/>
        <v>-1.6973827607832104E-2</v>
      </c>
    </row>
    <row r="23" spans="1:10">
      <c r="A23" s="2">
        <v>37315</v>
      </c>
      <c r="B23">
        <v>1106.73</v>
      </c>
      <c r="C23" s="127">
        <f t="shared" si="0"/>
        <v>-2.0766236064413402E-2</v>
      </c>
      <c r="D23" s="127">
        <v>1.2999999999999999E-3</v>
      </c>
      <c r="E23" s="127">
        <f t="shared" si="1"/>
        <v>-2.2066236064413401E-2</v>
      </c>
    </row>
    <row r="24" spans="1:10">
      <c r="A24" s="2">
        <v>37344</v>
      </c>
      <c r="B24">
        <v>1147.3900000000001</v>
      </c>
      <c r="C24" s="127">
        <f t="shared" si="0"/>
        <v>3.673886133022515E-2</v>
      </c>
      <c r="D24" s="127">
        <v>1.2999999999999999E-3</v>
      </c>
      <c r="E24" s="127">
        <f t="shared" si="1"/>
        <v>3.5438861330225148E-2</v>
      </c>
    </row>
    <row r="25" spans="1:10">
      <c r="A25" s="2">
        <v>37376</v>
      </c>
      <c r="B25">
        <v>1076.92</v>
      </c>
      <c r="C25" s="127">
        <f t="shared" si="0"/>
        <v>-6.1417652236815751E-2</v>
      </c>
      <c r="D25" s="127">
        <v>1.5E-3</v>
      </c>
      <c r="E25" s="127">
        <f t="shared" si="1"/>
        <v>-6.2917652236815752E-2</v>
      </c>
    </row>
    <row r="26" spans="1:10">
      <c r="A26" s="2">
        <v>37407</v>
      </c>
      <c r="B26">
        <v>1067.1400000000001</v>
      </c>
      <c r="C26" s="127">
        <f t="shared" si="0"/>
        <v>-9.0814545184414557E-3</v>
      </c>
      <c r="D26" s="127">
        <v>1.4000000000000002E-3</v>
      </c>
      <c r="E26" s="127">
        <f t="shared" si="1"/>
        <v>-1.0481454518441456E-2</v>
      </c>
    </row>
    <row r="27" spans="1:10">
      <c r="A27" s="2">
        <v>37435</v>
      </c>
      <c r="B27">
        <v>989.81</v>
      </c>
      <c r="C27" s="127">
        <f t="shared" si="0"/>
        <v>-7.2464718781041049E-2</v>
      </c>
      <c r="D27" s="127">
        <v>1.2999999999999999E-3</v>
      </c>
      <c r="E27" s="127">
        <f t="shared" si="1"/>
        <v>-7.3764718781041044E-2</v>
      </c>
    </row>
    <row r="28" spans="1:10">
      <c r="A28" s="2">
        <v>37468</v>
      </c>
      <c r="B28">
        <v>911.62</v>
      </c>
      <c r="C28" s="127">
        <f t="shared" si="0"/>
        <v>-7.8994958628423581E-2</v>
      </c>
      <c r="D28" s="127">
        <v>1.5E-3</v>
      </c>
      <c r="E28" s="127">
        <f t="shared" si="1"/>
        <v>-8.0494958628423582E-2</v>
      </c>
    </row>
    <row r="29" spans="1:10">
      <c r="A29" s="2">
        <v>37498</v>
      </c>
      <c r="B29">
        <v>916.07</v>
      </c>
      <c r="C29" s="127">
        <f t="shared" si="0"/>
        <v>4.8814198898664415E-3</v>
      </c>
      <c r="D29" s="127">
        <v>1.4000000000000002E-3</v>
      </c>
      <c r="E29" s="127">
        <f t="shared" si="1"/>
        <v>3.4814198898664413E-3</v>
      </c>
    </row>
    <row r="30" spans="1:10">
      <c r="A30" s="2">
        <v>37529</v>
      </c>
      <c r="B30">
        <v>815.28</v>
      </c>
      <c r="C30" s="127">
        <f t="shared" si="0"/>
        <v>-0.11002434311788409</v>
      </c>
      <c r="D30" s="127">
        <v>1.4000000000000002E-3</v>
      </c>
      <c r="E30" s="127">
        <f t="shared" si="1"/>
        <v>-0.11142434311788409</v>
      </c>
    </row>
    <row r="31" spans="1:10">
      <c r="A31" s="2">
        <v>37560</v>
      </c>
      <c r="B31">
        <v>885.76</v>
      </c>
      <c r="C31" s="127">
        <f t="shared" si="0"/>
        <v>8.6448827396722619E-2</v>
      </c>
      <c r="D31" s="127">
        <v>1.4000000000000002E-3</v>
      </c>
      <c r="E31" s="127">
        <f t="shared" si="1"/>
        <v>8.504882739672262E-2</v>
      </c>
    </row>
    <row r="32" spans="1:10">
      <c r="A32" s="2">
        <v>37589</v>
      </c>
      <c r="B32">
        <v>936.31</v>
      </c>
      <c r="C32" s="127">
        <f t="shared" si="0"/>
        <v>5.7069635115606886E-2</v>
      </c>
      <c r="D32" s="127">
        <v>1.1999999999999999E-3</v>
      </c>
      <c r="E32" s="127">
        <f t="shared" si="1"/>
        <v>5.5869635115606886E-2</v>
      </c>
    </row>
    <row r="33" spans="1:5">
      <c r="A33" s="2">
        <v>37621</v>
      </c>
      <c r="B33">
        <v>879.82</v>
      </c>
      <c r="C33" s="127">
        <f t="shared" si="0"/>
        <v>-6.0332582157618629E-2</v>
      </c>
      <c r="D33" s="127">
        <v>1.1000000000000001E-3</v>
      </c>
      <c r="E33" s="127">
        <f t="shared" si="1"/>
        <v>-6.1432582157618626E-2</v>
      </c>
    </row>
    <row r="34" spans="1:5">
      <c r="A34" s="2">
        <v>37652</v>
      </c>
      <c r="B34">
        <v>855.7</v>
      </c>
      <c r="C34" s="127">
        <f t="shared" si="0"/>
        <v>-2.7414698461048853E-2</v>
      </c>
      <c r="D34" s="127">
        <v>1E-3</v>
      </c>
      <c r="E34" s="127">
        <f t="shared" si="1"/>
        <v>-2.8414698461048854E-2</v>
      </c>
    </row>
    <row r="35" spans="1:5">
      <c r="A35" s="2">
        <v>37680</v>
      </c>
      <c r="B35">
        <v>841.15</v>
      </c>
      <c r="C35" s="127">
        <f t="shared" si="0"/>
        <v>-1.7003622764987809E-2</v>
      </c>
      <c r="D35" s="127">
        <v>8.9999999999999998E-4</v>
      </c>
      <c r="E35" s="127">
        <f t="shared" si="1"/>
        <v>-1.790362276498781E-2</v>
      </c>
    </row>
    <row r="36" spans="1:5">
      <c r="A36" s="2">
        <v>37711</v>
      </c>
      <c r="B36">
        <v>848.18</v>
      </c>
      <c r="C36" s="127">
        <f t="shared" si="0"/>
        <v>8.3576056589193051E-3</v>
      </c>
      <c r="D36" s="127">
        <v>1E-3</v>
      </c>
      <c r="E36" s="127">
        <f t="shared" si="1"/>
        <v>7.3576056589193051E-3</v>
      </c>
    </row>
    <row r="37" spans="1:5">
      <c r="A37" s="2">
        <v>37741</v>
      </c>
      <c r="B37">
        <v>916.92</v>
      </c>
      <c r="C37" s="127">
        <f t="shared" si="0"/>
        <v>8.1044117993822079E-2</v>
      </c>
      <c r="D37" s="127">
        <v>1E-3</v>
      </c>
      <c r="E37" s="127">
        <f t="shared" si="1"/>
        <v>8.0044117993822078E-2</v>
      </c>
    </row>
    <row r="38" spans="1:5">
      <c r="A38" s="2">
        <v>37771</v>
      </c>
      <c r="B38">
        <v>963.59</v>
      </c>
      <c r="C38" s="127">
        <f t="shared" si="0"/>
        <v>5.0898660733760932E-2</v>
      </c>
      <c r="D38" s="127">
        <v>8.9999999999999998E-4</v>
      </c>
      <c r="E38" s="127">
        <f t="shared" si="1"/>
        <v>4.9998660733760934E-2</v>
      </c>
    </row>
    <row r="39" spans="1:5">
      <c r="A39" s="2">
        <v>37802</v>
      </c>
      <c r="B39">
        <v>974.5</v>
      </c>
      <c r="C39" s="127">
        <f t="shared" si="0"/>
        <v>1.1322242862628264E-2</v>
      </c>
      <c r="D39" s="127">
        <v>1E-3</v>
      </c>
      <c r="E39" s="127">
        <f t="shared" si="1"/>
        <v>1.0322242862628263E-2</v>
      </c>
    </row>
    <row r="40" spans="1:5">
      <c r="A40" s="2">
        <v>37833</v>
      </c>
      <c r="B40">
        <v>990.31</v>
      </c>
      <c r="C40" s="127">
        <f t="shared" si="0"/>
        <v>1.6223704463827548E-2</v>
      </c>
      <c r="D40" s="127">
        <v>7.000000000000001E-4</v>
      </c>
      <c r="E40" s="127">
        <f t="shared" si="1"/>
        <v>1.5523704463827549E-2</v>
      </c>
    </row>
    <row r="41" spans="1:5">
      <c r="A41" s="2">
        <v>37862</v>
      </c>
      <c r="B41">
        <v>1008.01</v>
      </c>
      <c r="C41" s="127">
        <f t="shared" si="0"/>
        <v>1.7873191222950436E-2</v>
      </c>
      <c r="D41" s="127">
        <v>7.000000000000001E-4</v>
      </c>
      <c r="E41" s="127">
        <f t="shared" si="1"/>
        <v>1.7173191222950437E-2</v>
      </c>
    </row>
    <row r="42" spans="1:5">
      <c r="A42" s="2">
        <v>37894</v>
      </c>
      <c r="B42">
        <v>995.97</v>
      </c>
      <c r="C42" s="127">
        <f t="shared" si="0"/>
        <v>-1.1944325949147294E-2</v>
      </c>
      <c r="D42" s="127">
        <v>8.0000000000000004E-4</v>
      </c>
      <c r="E42" s="127">
        <f t="shared" si="1"/>
        <v>-1.2744325949147295E-2</v>
      </c>
    </row>
    <row r="43" spans="1:5">
      <c r="A43" s="2">
        <v>37925</v>
      </c>
      <c r="B43">
        <v>1050.71</v>
      </c>
      <c r="C43" s="127">
        <f t="shared" si="0"/>
        <v>5.4961494824141297E-2</v>
      </c>
      <c r="D43" s="127">
        <v>7.000000000000001E-4</v>
      </c>
      <c r="E43" s="127">
        <f t="shared" si="1"/>
        <v>5.4261494824141297E-2</v>
      </c>
    </row>
    <row r="44" spans="1:5">
      <c r="A44" s="2">
        <v>37953</v>
      </c>
      <c r="B44">
        <v>1058.2</v>
      </c>
      <c r="C44" s="127">
        <f t="shared" si="0"/>
        <v>7.1285131006652725E-3</v>
      </c>
      <c r="D44" s="127">
        <v>7.000000000000001E-4</v>
      </c>
      <c r="E44" s="127">
        <f t="shared" si="1"/>
        <v>6.4285131006652724E-3</v>
      </c>
    </row>
    <row r="45" spans="1:5">
      <c r="A45" s="2">
        <v>37986</v>
      </c>
      <c r="B45">
        <v>1111.92</v>
      </c>
      <c r="C45" s="127">
        <f t="shared" si="0"/>
        <v>5.076545076545079E-2</v>
      </c>
      <c r="D45" s="127">
        <v>8.0000000000000004E-4</v>
      </c>
      <c r="E45" s="127">
        <f t="shared" si="1"/>
        <v>4.9965450765450788E-2</v>
      </c>
    </row>
    <row r="46" spans="1:5">
      <c r="A46" s="2">
        <v>38016</v>
      </c>
      <c r="B46">
        <v>1131.1300000000001</v>
      </c>
      <c r="C46" s="127">
        <f t="shared" si="0"/>
        <v>1.7276422764227674E-2</v>
      </c>
      <c r="D46" s="127">
        <v>7.000000000000001E-4</v>
      </c>
      <c r="E46" s="127">
        <f t="shared" si="1"/>
        <v>1.6576422764227675E-2</v>
      </c>
    </row>
    <row r="47" spans="1:5">
      <c r="A47" s="2">
        <v>38044</v>
      </c>
      <c r="B47">
        <v>1144.94</v>
      </c>
      <c r="C47" s="127">
        <f t="shared" si="0"/>
        <v>1.2209029908144903E-2</v>
      </c>
      <c r="D47" s="127">
        <v>5.9999999999999995E-4</v>
      </c>
      <c r="E47" s="127">
        <f t="shared" si="1"/>
        <v>1.1609029908144903E-2</v>
      </c>
    </row>
    <row r="48" spans="1:5">
      <c r="A48" s="2">
        <v>38077</v>
      </c>
      <c r="B48">
        <v>1126.21</v>
      </c>
      <c r="C48" s="127">
        <f t="shared" si="0"/>
        <v>-1.635893583943265E-2</v>
      </c>
      <c r="D48" s="127">
        <v>8.9999999999999998E-4</v>
      </c>
      <c r="E48" s="127">
        <f t="shared" si="1"/>
        <v>-1.7258935839432651E-2</v>
      </c>
    </row>
    <row r="49" spans="1:5">
      <c r="A49" s="2">
        <v>38107</v>
      </c>
      <c r="B49">
        <v>1107.3</v>
      </c>
      <c r="C49" s="127">
        <f t="shared" si="0"/>
        <v>-1.6790829419024943E-2</v>
      </c>
      <c r="D49" s="127">
        <v>8.0000000000000004E-4</v>
      </c>
      <c r="E49" s="127">
        <f t="shared" si="1"/>
        <v>-1.7590829419024942E-2</v>
      </c>
    </row>
    <row r="50" spans="1:5">
      <c r="A50" s="2">
        <v>38138</v>
      </c>
      <c r="B50">
        <v>1120.68</v>
      </c>
      <c r="C50" s="127">
        <f t="shared" si="0"/>
        <v>1.208344622053654E-2</v>
      </c>
      <c r="D50" s="127">
        <v>5.9999999999999995E-4</v>
      </c>
      <c r="E50" s="127">
        <f t="shared" si="1"/>
        <v>1.148344622053654E-2</v>
      </c>
    </row>
    <row r="51" spans="1:5">
      <c r="A51" s="2">
        <v>38168</v>
      </c>
      <c r="B51">
        <v>1140.8399999999999</v>
      </c>
      <c r="C51" s="127">
        <f t="shared" si="0"/>
        <v>1.7989078059749308E-2</v>
      </c>
      <c r="D51" s="127">
        <v>8.0000000000000004E-4</v>
      </c>
      <c r="E51" s="127">
        <f t="shared" si="1"/>
        <v>1.718907805974931E-2</v>
      </c>
    </row>
    <row r="52" spans="1:5">
      <c r="A52" s="2">
        <v>38198</v>
      </c>
      <c r="B52">
        <v>1101.72</v>
      </c>
      <c r="C52" s="127">
        <f t="shared" si="0"/>
        <v>-3.4290522772693711E-2</v>
      </c>
      <c r="D52" s="127">
        <v>1E-3</v>
      </c>
      <c r="E52" s="127">
        <f t="shared" si="1"/>
        <v>-3.5290522772693712E-2</v>
      </c>
    </row>
    <row r="53" spans="1:5">
      <c r="A53" s="2">
        <v>38230</v>
      </c>
      <c r="B53">
        <v>1104.24</v>
      </c>
      <c r="C53" s="127">
        <f t="shared" si="0"/>
        <v>2.287332534582273E-3</v>
      </c>
      <c r="D53" s="127">
        <v>1.1000000000000001E-3</v>
      </c>
      <c r="E53" s="127">
        <f t="shared" si="1"/>
        <v>1.1873325345822729E-3</v>
      </c>
    </row>
    <row r="54" spans="1:5">
      <c r="A54" s="2">
        <v>38260</v>
      </c>
      <c r="B54">
        <v>1114.58</v>
      </c>
      <c r="C54" s="127">
        <f t="shared" si="0"/>
        <v>9.3639063971599629E-3</v>
      </c>
      <c r="D54" s="127">
        <v>1.1000000000000001E-3</v>
      </c>
      <c r="E54" s="127">
        <f t="shared" si="1"/>
        <v>8.2639063971599626E-3</v>
      </c>
    </row>
    <row r="55" spans="1:5">
      <c r="A55" s="2">
        <v>38289</v>
      </c>
      <c r="B55">
        <v>1130.2</v>
      </c>
      <c r="C55" s="127">
        <f t="shared" si="0"/>
        <v>1.4014247519245024E-2</v>
      </c>
      <c r="D55" s="127">
        <v>1.1000000000000001E-3</v>
      </c>
      <c r="E55" s="127">
        <f t="shared" si="1"/>
        <v>1.2914247519245024E-2</v>
      </c>
    </row>
    <row r="56" spans="1:5">
      <c r="A56" s="2">
        <v>38321</v>
      </c>
      <c r="B56">
        <v>1173.82</v>
      </c>
      <c r="C56" s="127">
        <f t="shared" si="0"/>
        <v>3.8594938948858508E-2</v>
      </c>
      <c r="D56" s="127">
        <v>1.5E-3</v>
      </c>
      <c r="E56" s="127">
        <f t="shared" si="1"/>
        <v>3.7094938948858507E-2</v>
      </c>
    </row>
    <row r="57" spans="1:5">
      <c r="A57" s="2">
        <v>38352</v>
      </c>
      <c r="B57">
        <v>1211.92</v>
      </c>
      <c r="C57" s="127">
        <f t="shared" si="0"/>
        <v>3.2458128162750795E-2</v>
      </c>
      <c r="D57" s="127">
        <v>1.6000000000000001E-3</v>
      </c>
      <c r="E57" s="127">
        <f t="shared" si="1"/>
        <v>3.0858128162750794E-2</v>
      </c>
    </row>
    <row r="58" spans="1:5">
      <c r="A58" s="2">
        <v>38383</v>
      </c>
      <c r="B58">
        <v>1181.27</v>
      </c>
      <c r="C58" s="127">
        <f t="shared" si="0"/>
        <v>-2.5290448214403665E-2</v>
      </c>
      <c r="D58" s="127">
        <v>1.6000000000000001E-3</v>
      </c>
      <c r="E58" s="127">
        <f t="shared" si="1"/>
        <v>-2.6890448214403666E-2</v>
      </c>
    </row>
    <row r="59" spans="1:5">
      <c r="A59" s="2">
        <v>38411</v>
      </c>
      <c r="B59">
        <v>1203.5999999999999</v>
      </c>
      <c r="C59" s="127">
        <f t="shared" si="0"/>
        <v>1.890338364641439E-2</v>
      </c>
      <c r="D59" s="127">
        <v>1.6000000000000001E-3</v>
      </c>
      <c r="E59" s="127">
        <f t="shared" si="1"/>
        <v>1.7303383646414389E-2</v>
      </c>
    </row>
    <row r="60" spans="1:5">
      <c r="A60" s="2">
        <v>38442</v>
      </c>
      <c r="B60">
        <v>1180.5899999999999</v>
      </c>
      <c r="C60" s="127">
        <f t="shared" si="0"/>
        <v>-1.9117647058823524E-2</v>
      </c>
      <c r="D60" s="127">
        <v>2.0999999999999999E-3</v>
      </c>
      <c r="E60" s="127">
        <f t="shared" si="1"/>
        <v>-2.1217647058823525E-2</v>
      </c>
    </row>
    <row r="61" spans="1:5">
      <c r="A61" s="2">
        <v>38471</v>
      </c>
      <c r="B61">
        <v>1156.8499999999999</v>
      </c>
      <c r="C61" s="127">
        <f t="shared" si="0"/>
        <v>-2.0108589772910163E-2</v>
      </c>
      <c r="D61" s="127">
        <v>2.0999999999999999E-3</v>
      </c>
      <c r="E61" s="127">
        <f t="shared" si="1"/>
        <v>-2.2208589772910164E-2</v>
      </c>
    </row>
    <row r="62" spans="1:5">
      <c r="A62" s="2">
        <v>38503</v>
      </c>
      <c r="B62">
        <v>1191.5</v>
      </c>
      <c r="C62" s="127">
        <f t="shared" si="0"/>
        <v>2.9952024895189604E-2</v>
      </c>
      <c r="D62" s="127">
        <v>2.3999999999999998E-3</v>
      </c>
      <c r="E62" s="127">
        <f t="shared" si="1"/>
        <v>2.7552024895189604E-2</v>
      </c>
    </row>
    <row r="63" spans="1:5">
      <c r="A63" s="2">
        <v>38533</v>
      </c>
      <c r="B63">
        <v>1191.33</v>
      </c>
      <c r="C63" s="127">
        <f t="shared" si="0"/>
        <v>-1.4267729752419031E-4</v>
      </c>
      <c r="D63" s="127">
        <v>2.3E-3</v>
      </c>
      <c r="E63" s="127">
        <f t="shared" si="1"/>
        <v>-2.44267729752419E-3</v>
      </c>
    </row>
    <row r="64" spans="1:5">
      <c r="A64" s="2">
        <v>38562</v>
      </c>
      <c r="B64">
        <v>1234.18</v>
      </c>
      <c r="C64" s="127">
        <f t="shared" si="0"/>
        <v>3.5968203604375061E-2</v>
      </c>
      <c r="D64" s="127">
        <v>2.3999999999999998E-3</v>
      </c>
      <c r="E64" s="127">
        <f t="shared" si="1"/>
        <v>3.3568203604375062E-2</v>
      </c>
    </row>
    <row r="65" spans="1:5">
      <c r="A65" s="2">
        <v>38595</v>
      </c>
      <c r="B65">
        <v>1220.33</v>
      </c>
      <c r="C65" s="127">
        <f t="shared" si="0"/>
        <v>-1.1222025960556917E-2</v>
      </c>
      <c r="D65" s="127">
        <v>3.0000000000000001E-3</v>
      </c>
      <c r="E65" s="127">
        <f t="shared" si="1"/>
        <v>-1.4222025960556918E-2</v>
      </c>
    </row>
    <row r="66" spans="1:5">
      <c r="A66" s="2">
        <v>38625</v>
      </c>
      <c r="B66">
        <v>1228.81</v>
      </c>
      <c r="C66" s="127">
        <f t="shared" si="0"/>
        <v>6.9489400408086488E-3</v>
      </c>
      <c r="D66" s="127">
        <v>2.8999999999999998E-3</v>
      </c>
      <c r="E66" s="127">
        <f t="shared" si="1"/>
        <v>4.048940040808649E-3</v>
      </c>
    </row>
    <row r="67" spans="1:5">
      <c r="A67" s="2">
        <v>38656</v>
      </c>
      <c r="B67">
        <v>1207.01</v>
      </c>
      <c r="C67" s="127">
        <f t="shared" si="0"/>
        <v>-1.774074104214643E-2</v>
      </c>
      <c r="D67" s="127">
        <v>2.7000000000000001E-3</v>
      </c>
      <c r="E67" s="127">
        <f t="shared" si="1"/>
        <v>-2.0440741042146431E-2</v>
      </c>
    </row>
    <row r="68" spans="1:5">
      <c r="A68" s="2">
        <v>38686</v>
      </c>
      <c r="B68">
        <v>1249.48</v>
      </c>
      <c r="C68" s="127">
        <f t="shared" si="0"/>
        <v>3.5186121076047447E-2</v>
      </c>
      <c r="D68" s="127">
        <v>3.0999999999999999E-3</v>
      </c>
      <c r="E68" s="127">
        <f t="shared" si="1"/>
        <v>3.2086121076047448E-2</v>
      </c>
    </row>
    <row r="69" spans="1:5">
      <c r="A69" s="2">
        <v>38716</v>
      </c>
      <c r="B69">
        <v>1248.29</v>
      </c>
      <c r="C69" s="127">
        <f t="shared" si="0"/>
        <v>-9.5239619681791992E-4</v>
      </c>
      <c r="D69" s="127">
        <v>3.2000000000000002E-3</v>
      </c>
      <c r="E69" s="127">
        <f t="shared" si="1"/>
        <v>-4.1523961968179205E-3</v>
      </c>
    </row>
    <row r="70" spans="1:5">
      <c r="A70" s="2">
        <v>38748</v>
      </c>
      <c r="B70">
        <v>1280.08</v>
      </c>
      <c r="C70" s="127">
        <f t="shared" si="0"/>
        <v>2.5466838635252998E-2</v>
      </c>
      <c r="D70" s="127">
        <v>3.4999999999999996E-3</v>
      </c>
      <c r="E70" s="127">
        <f t="shared" si="1"/>
        <v>2.1966838635252998E-2</v>
      </c>
    </row>
    <row r="71" spans="1:5">
      <c r="A71" s="2">
        <v>38776</v>
      </c>
      <c r="B71">
        <v>1280.6600000000001</v>
      </c>
      <c r="C71" s="127">
        <f t="shared" si="0"/>
        <v>4.5309668145752973E-4</v>
      </c>
      <c r="D71" s="127">
        <v>3.4000000000000002E-3</v>
      </c>
      <c r="E71" s="127">
        <f t="shared" si="1"/>
        <v>-2.9469033185424705E-3</v>
      </c>
    </row>
    <row r="72" spans="1:5">
      <c r="A72" s="2">
        <v>38807</v>
      </c>
      <c r="B72">
        <v>1294.83</v>
      </c>
      <c r="C72" s="127">
        <f t="shared" si="0"/>
        <v>1.1064607311854704E-2</v>
      </c>
      <c r="D72" s="127">
        <v>3.7000000000000002E-3</v>
      </c>
      <c r="E72" s="127">
        <f t="shared" si="1"/>
        <v>7.364607311854704E-3</v>
      </c>
    </row>
    <row r="73" spans="1:5">
      <c r="A73" s="2">
        <v>38835</v>
      </c>
      <c r="B73">
        <v>1310.6099999999999</v>
      </c>
      <c r="C73" s="127">
        <f t="shared" ref="C73:C136" si="2">(B73-B72)/B72</f>
        <v>1.2186928013716066E-2</v>
      </c>
      <c r="D73" s="127">
        <v>3.5999999999999999E-3</v>
      </c>
      <c r="E73" s="127">
        <f t="shared" ref="E73:E136" si="3">C73-D73</f>
        <v>8.5869280137160671E-3</v>
      </c>
    </row>
    <row r="74" spans="1:5">
      <c r="A74" s="2">
        <v>38868</v>
      </c>
      <c r="B74">
        <v>1270.0899999999999</v>
      </c>
      <c r="C74" s="127">
        <f t="shared" si="2"/>
        <v>-3.0916901290238885E-2</v>
      </c>
      <c r="D74" s="127">
        <v>4.3E-3</v>
      </c>
      <c r="E74" s="127">
        <f t="shared" si="3"/>
        <v>-3.5216901290238883E-2</v>
      </c>
    </row>
    <row r="75" spans="1:5">
      <c r="A75" s="2">
        <v>38898</v>
      </c>
      <c r="B75">
        <v>1270.2</v>
      </c>
      <c r="C75" s="127">
        <f t="shared" si="2"/>
        <v>8.6608035651117117E-5</v>
      </c>
      <c r="D75" s="127">
        <v>4.0000000000000001E-3</v>
      </c>
      <c r="E75" s="127">
        <f t="shared" si="3"/>
        <v>-3.9133919643488833E-3</v>
      </c>
    </row>
    <row r="76" spans="1:5">
      <c r="A76" s="2">
        <v>38929</v>
      </c>
      <c r="B76">
        <v>1276.6600000000001</v>
      </c>
      <c r="C76" s="127">
        <f t="shared" si="2"/>
        <v>5.0858132577547123E-3</v>
      </c>
      <c r="D76" s="127">
        <v>4.0000000000000001E-3</v>
      </c>
      <c r="E76" s="127">
        <f t="shared" si="3"/>
        <v>1.0858132577547122E-3</v>
      </c>
    </row>
    <row r="77" spans="1:5">
      <c r="A77" s="2">
        <v>38960</v>
      </c>
      <c r="B77">
        <v>1303.82</v>
      </c>
      <c r="C77" s="127">
        <f t="shared" si="2"/>
        <v>2.1274262528785937E-2</v>
      </c>
      <c r="D77" s="127">
        <v>4.1999999999999997E-3</v>
      </c>
      <c r="E77" s="127">
        <f t="shared" si="3"/>
        <v>1.7074262528785938E-2</v>
      </c>
    </row>
    <row r="78" spans="1:5">
      <c r="A78" s="2">
        <v>38989</v>
      </c>
      <c r="B78">
        <v>1335.85</v>
      </c>
      <c r="C78" s="127">
        <f t="shared" si="2"/>
        <v>2.4566274485741876E-2</v>
      </c>
      <c r="D78" s="127">
        <v>4.0999999999999995E-3</v>
      </c>
      <c r="E78" s="127">
        <f t="shared" si="3"/>
        <v>2.0466274485741877E-2</v>
      </c>
    </row>
    <row r="79" spans="1:5">
      <c r="A79" s="2">
        <v>39021</v>
      </c>
      <c r="B79">
        <v>1377.94</v>
      </c>
      <c r="C79" s="127">
        <f t="shared" si="2"/>
        <v>3.1508028596025112E-2</v>
      </c>
      <c r="D79" s="127">
        <v>4.0999999999999995E-3</v>
      </c>
      <c r="E79" s="127">
        <f t="shared" si="3"/>
        <v>2.7408028596025112E-2</v>
      </c>
    </row>
    <row r="80" spans="1:5">
      <c r="A80" s="2">
        <v>39051</v>
      </c>
      <c r="B80">
        <v>1400.63</v>
      </c>
      <c r="C80" s="127">
        <f t="shared" si="2"/>
        <v>1.6466609576614406E-2</v>
      </c>
      <c r="D80" s="127">
        <v>4.1999999999999997E-3</v>
      </c>
      <c r="E80" s="127">
        <f t="shared" si="3"/>
        <v>1.2266609576614407E-2</v>
      </c>
    </row>
    <row r="81" spans="1:5">
      <c r="A81" s="2">
        <v>39080</v>
      </c>
      <c r="B81">
        <v>1418.3</v>
      </c>
      <c r="C81" s="127">
        <f t="shared" si="2"/>
        <v>1.2615751483260993E-2</v>
      </c>
      <c r="D81" s="127">
        <v>4.0000000000000001E-3</v>
      </c>
      <c r="E81" s="127">
        <f t="shared" si="3"/>
        <v>8.6157514832609933E-3</v>
      </c>
    </row>
    <row r="82" spans="1:5">
      <c r="A82" s="2">
        <v>39113</v>
      </c>
      <c r="B82">
        <v>1438.24</v>
      </c>
      <c r="C82" s="127">
        <f t="shared" si="2"/>
        <v>1.4059084819854795E-2</v>
      </c>
      <c r="D82" s="127">
        <v>4.4000000000000003E-3</v>
      </c>
      <c r="E82" s="127">
        <f t="shared" si="3"/>
        <v>9.6590848198547935E-3</v>
      </c>
    </row>
    <row r="83" spans="1:5">
      <c r="A83" s="2">
        <v>39141</v>
      </c>
      <c r="B83">
        <v>1406.82</v>
      </c>
      <c r="C83" s="127">
        <f t="shared" si="2"/>
        <v>-2.1846145288686222E-2</v>
      </c>
      <c r="D83" s="127">
        <v>3.8E-3</v>
      </c>
      <c r="E83" s="127">
        <f t="shared" si="3"/>
        <v>-2.5646145288686223E-2</v>
      </c>
    </row>
    <row r="84" spans="1:5">
      <c r="A84" s="2">
        <v>39171</v>
      </c>
      <c r="B84">
        <v>1420.86</v>
      </c>
      <c r="C84" s="127">
        <f t="shared" si="2"/>
        <v>9.9799547916577559E-3</v>
      </c>
      <c r="D84" s="127">
        <v>4.3E-3</v>
      </c>
      <c r="E84" s="127">
        <f t="shared" si="3"/>
        <v>5.6799547916577559E-3</v>
      </c>
    </row>
    <row r="85" spans="1:5">
      <c r="A85" s="2">
        <v>39202</v>
      </c>
      <c r="B85">
        <v>1482.37</v>
      </c>
      <c r="C85" s="127">
        <f t="shared" si="2"/>
        <v>4.3290683107413817E-2</v>
      </c>
      <c r="D85" s="127">
        <v>4.4000000000000003E-3</v>
      </c>
      <c r="E85" s="127">
        <f t="shared" si="3"/>
        <v>3.8890683107413816E-2</v>
      </c>
    </row>
    <row r="86" spans="1:5">
      <c r="A86" s="2">
        <v>39233</v>
      </c>
      <c r="B86">
        <v>1530.62</v>
      </c>
      <c r="C86" s="127">
        <f t="shared" si="2"/>
        <v>3.2549228600147063E-2</v>
      </c>
      <c r="D86" s="127">
        <v>4.0999999999999995E-3</v>
      </c>
      <c r="E86" s="127">
        <f t="shared" si="3"/>
        <v>2.8449228600147064E-2</v>
      </c>
    </row>
    <row r="87" spans="1:5">
      <c r="A87" s="2">
        <v>39262</v>
      </c>
      <c r="B87">
        <v>1503.35</v>
      </c>
      <c r="C87" s="127">
        <f t="shared" si="2"/>
        <v>-1.7816309730697352E-2</v>
      </c>
      <c r="D87" s="127">
        <v>4.0000000000000001E-3</v>
      </c>
      <c r="E87" s="127">
        <f t="shared" si="3"/>
        <v>-2.1816309730697352E-2</v>
      </c>
    </row>
    <row r="88" spans="1:5">
      <c r="A88" s="2">
        <v>39294</v>
      </c>
      <c r="B88">
        <v>1455.27</v>
      </c>
      <c r="C88" s="127">
        <f t="shared" si="2"/>
        <v>-3.1981907074200906E-2</v>
      </c>
      <c r="D88" s="127">
        <v>4.0000000000000001E-3</v>
      </c>
      <c r="E88" s="127">
        <f t="shared" si="3"/>
        <v>-3.5981907074200903E-2</v>
      </c>
    </row>
    <row r="89" spans="1:5">
      <c r="A89" s="2">
        <v>39325</v>
      </c>
      <c r="B89">
        <v>1473.99</v>
      </c>
      <c r="C89" s="127">
        <f t="shared" si="2"/>
        <v>1.2863592323074088E-2</v>
      </c>
      <c r="D89" s="127">
        <v>4.1999999999999997E-3</v>
      </c>
      <c r="E89" s="127">
        <f t="shared" si="3"/>
        <v>8.6635923230740895E-3</v>
      </c>
    </row>
    <row r="90" spans="1:5">
      <c r="A90" s="2">
        <v>39353</v>
      </c>
      <c r="B90">
        <v>1526.75</v>
      </c>
      <c r="C90" s="127">
        <f t="shared" si="2"/>
        <v>3.5794001316155462E-2</v>
      </c>
      <c r="D90" s="127">
        <v>3.2000000000000002E-3</v>
      </c>
      <c r="E90" s="127">
        <f t="shared" si="3"/>
        <v>3.259400131615546E-2</v>
      </c>
    </row>
    <row r="91" spans="1:5">
      <c r="A91" s="2">
        <v>39386</v>
      </c>
      <c r="B91">
        <v>1549.38</v>
      </c>
      <c r="C91" s="127">
        <f t="shared" si="2"/>
        <v>1.4822335025380782E-2</v>
      </c>
      <c r="D91" s="127">
        <v>3.2000000000000002E-3</v>
      </c>
      <c r="E91" s="127">
        <f t="shared" si="3"/>
        <v>1.1622335025380782E-2</v>
      </c>
    </row>
    <row r="92" spans="1:5">
      <c r="A92" s="2">
        <v>39416</v>
      </c>
      <c r="B92">
        <v>1481.14</v>
      </c>
      <c r="C92" s="127">
        <f t="shared" si="2"/>
        <v>-4.4043423821141361E-2</v>
      </c>
      <c r="D92" s="127">
        <v>3.4000000000000002E-3</v>
      </c>
      <c r="E92" s="127">
        <f t="shared" si="3"/>
        <v>-4.7443423821141362E-2</v>
      </c>
    </row>
    <row r="93" spans="1:5">
      <c r="A93" s="2">
        <v>39447</v>
      </c>
      <c r="B93">
        <v>1468.36</v>
      </c>
      <c r="C93" s="127">
        <f t="shared" si="2"/>
        <v>-8.6284888666839053E-3</v>
      </c>
      <c r="D93" s="127">
        <v>2.7000000000000001E-3</v>
      </c>
      <c r="E93" s="127">
        <f t="shared" si="3"/>
        <v>-1.1328488866683906E-2</v>
      </c>
    </row>
    <row r="94" spans="1:5">
      <c r="A94" s="2">
        <v>39478</v>
      </c>
      <c r="B94">
        <v>1378.55</v>
      </c>
      <c r="C94" s="127">
        <f t="shared" si="2"/>
        <v>-6.1163474897164151E-2</v>
      </c>
      <c r="D94" s="127">
        <v>2.0999999999999999E-3</v>
      </c>
      <c r="E94" s="127">
        <f t="shared" si="3"/>
        <v>-6.3263474897164149E-2</v>
      </c>
    </row>
    <row r="95" spans="1:5">
      <c r="A95" s="2">
        <v>39507</v>
      </c>
      <c r="B95">
        <v>1330.63</v>
      </c>
      <c r="C95" s="127">
        <f t="shared" si="2"/>
        <v>-3.4761162090602336E-2</v>
      </c>
      <c r="D95" s="127">
        <v>1.2999999999999999E-3</v>
      </c>
      <c r="E95" s="127">
        <f t="shared" si="3"/>
        <v>-3.6061162090602339E-2</v>
      </c>
    </row>
    <row r="96" spans="1:5">
      <c r="A96" s="2">
        <v>39538</v>
      </c>
      <c r="B96">
        <v>1322.7</v>
      </c>
      <c r="C96" s="127">
        <f t="shared" si="2"/>
        <v>-5.9595830546433368E-3</v>
      </c>
      <c r="D96" s="127">
        <v>1.7000000000000001E-3</v>
      </c>
      <c r="E96" s="127">
        <f t="shared" si="3"/>
        <v>-7.6595830546433369E-3</v>
      </c>
    </row>
    <row r="97" spans="1:5">
      <c r="A97" s="2">
        <v>39568</v>
      </c>
      <c r="B97">
        <v>1385.59</v>
      </c>
      <c r="C97" s="127">
        <f t="shared" si="2"/>
        <v>4.7546684811370581E-2</v>
      </c>
      <c r="D97" s="127">
        <v>1.8E-3</v>
      </c>
      <c r="E97" s="127">
        <f t="shared" si="3"/>
        <v>4.5746684811370578E-2</v>
      </c>
    </row>
    <row r="98" spans="1:5">
      <c r="A98" s="2">
        <v>39598</v>
      </c>
      <c r="B98">
        <v>1400.38</v>
      </c>
      <c r="C98" s="127">
        <f t="shared" si="2"/>
        <v>1.067415324879668E-2</v>
      </c>
      <c r="D98" s="127">
        <v>1.8E-3</v>
      </c>
      <c r="E98" s="127">
        <f t="shared" si="3"/>
        <v>8.8741532487966804E-3</v>
      </c>
    </row>
    <row r="99" spans="1:5">
      <c r="A99" s="2">
        <v>39629</v>
      </c>
      <c r="B99">
        <v>1280</v>
      </c>
      <c r="C99" s="127">
        <f t="shared" si="2"/>
        <v>-8.5962381639269406E-2</v>
      </c>
      <c r="D99" s="127">
        <v>1.7000000000000001E-3</v>
      </c>
      <c r="E99" s="127">
        <f t="shared" si="3"/>
        <v>-8.7662381639269399E-2</v>
      </c>
    </row>
    <row r="100" spans="1:5">
      <c r="A100" s="2">
        <v>39660</v>
      </c>
      <c r="B100">
        <v>1267.3800000000001</v>
      </c>
      <c r="C100" s="127">
        <f t="shared" si="2"/>
        <v>-9.8593749999999151E-3</v>
      </c>
      <c r="D100" s="127">
        <v>1.5E-3</v>
      </c>
      <c r="E100" s="127">
        <f t="shared" si="3"/>
        <v>-1.1359374999999915E-2</v>
      </c>
    </row>
    <row r="101" spans="1:5">
      <c r="A101" s="2">
        <v>39689</v>
      </c>
      <c r="B101">
        <v>1282.83</v>
      </c>
      <c r="C101" s="127">
        <f t="shared" si="2"/>
        <v>1.2190503242910426E-2</v>
      </c>
      <c r="D101" s="127">
        <v>1.2999999999999999E-3</v>
      </c>
      <c r="E101" s="127">
        <f t="shared" si="3"/>
        <v>1.0890503242910427E-2</v>
      </c>
    </row>
    <row r="102" spans="1:5">
      <c r="A102" s="2">
        <v>39721</v>
      </c>
      <c r="B102">
        <v>1166.3599999999999</v>
      </c>
      <c r="C102" s="127">
        <f t="shared" si="2"/>
        <v>-9.0791453271283046E-2</v>
      </c>
      <c r="D102" s="127">
        <v>1.5E-3</v>
      </c>
      <c r="E102" s="127">
        <f t="shared" si="3"/>
        <v>-9.2291453271283047E-2</v>
      </c>
    </row>
    <row r="103" spans="1:5">
      <c r="A103" s="2">
        <v>39752</v>
      </c>
      <c r="B103">
        <v>968.75</v>
      </c>
      <c r="C103" s="127">
        <f t="shared" si="2"/>
        <v>-0.16942453444905511</v>
      </c>
      <c r="D103" s="127">
        <v>8.0000000000000004E-4</v>
      </c>
      <c r="E103" s="127">
        <f t="shared" si="3"/>
        <v>-0.17022453444905511</v>
      </c>
    </row>
    <row r="104" spans="1:5">
      <c r="A104" s="2">
        <v>39780</v>
      </c>
      <c r="B104">
        <v>896.24</v>
      </c>
      <c r="C104" s="127">
        <f t="shared" si="2"/>
        <v>-7.484903225806451E-2</v>
      </c>
      <c r="D104" s="127">
        <v>2.9999999999999997E-4</v>
      </c>
      <c r="E104" s="127">
        <f t="shared" si="3"/>
        <v>-7.5149032258064505E-2</v>
      </c>
    </row>
    <row r="105" spans="1:5">
      <c r="A105" s="2">
        <v>39813</v>
      </c>
      <c r="B105">
        <v>903.25</v>
      </c>
      <c r="C105" s="127">
        <f t="shared" si="2"/>
        <v>7.8215656520574748E-3</v>
      </c>
      <c r="D105" s="127">
        <v>0</v>
      </c>
      <c r="E105" s="127">
        <f t="shared" si="3"/>
        <v>7.8215656520574748E-3</v>
      </c>
    </row>
    <row r="106" spans="1:5">
      <c r="A106" s="2">
        <v>39843</v>
      </c>
      <c r="B106">
        <v>825.88</v>
      </c>
      <c r="C106" s="127">
        <f t="shared" si="2"/>
        <v>-8.5657348463880442E-2</v>
      </c>
      <c r="D106" s="127">
        <v>0</v>
      </c>
      <c r="E106" s="127">
        <f t="shared" si="3"/>
        <v>-8.5657348463880442E-2</v>
      </c>
    </row>
    <row r="107" spans="1:5">
      <c r="A107" s="2">
        <v>39871</v>
      </c>
      <c r="B107">
        <v>735.09</v>
      </c>
      <c r="C107" s="127">
        <f t="shared" si="2"/>
        <v>-0.10993122487528451</v>
      </c>
      <c r="D107" s="127">
        <v>1E-4</v>
      </c>
      <c r="E107" s="127">
        <f t="shared" si="3"/>
        <v>-0.11003122487528451</v>
      </c>
    </row>
    <row r="108" spans="1:5">
      <c r="A108" s="2">
        <v>39903</v>
      </c>
      <c r="B108">
        <v>797.87</v>
      </c>
      <c r="C108" s="127">
        <f t="shared" si="2"/>
        <v>8.5404508291501674E-2</v>
      </c>
      <c r="D108" s="127">
        <v>2.0000000000000001E-4</v>
      </c>
      <c r="E108" s="127">
        <f t="shared" si="3"/>
        <v>8.5204508291501668E-2</v>
      </c>
    </row>
    <row r="109" spans="1:5">
      <c r="A109" s="2">
        <v>39933</v>
      </c>
      <c r="B109">
        <v>872.81</v>
      </c>
      <c r="C109" s="127">
        <f t="shared" si="2"/>
        <v>9.3925075513554765E-2</v>
      </c>
      <c r="D109" s="127">
        <v>1E-4</v>
      </c>
      <c r="E109" s="127">
        <f t="shared" si="3"/>
        <v>9.3825075513554762E-2</v>
      </c>
    </row>
    <row r="110" spans="1:5">
      <c r="A110" s="2">
        <v>39962</v>
      </c>
      <c r="B110">
        <v>919.14</v>
      </c>
      <c r="C110" s="127">
        <f t="shared" si="2"/>
        <v>5.3081426656431577E-2</v>
      </c>
      <c r="D110" s="127">
        <v>0</v>
      </c>
      <c r="E110" s="127">
        <f t="shared" si="3"/>
        <v>5.3081426656431577E-2</v>
      </c>
    </row>
    <row r="111" spans="1:5">
      <c r="A111" s="2">
        <v>39994</v>
      </c>
      <c r="B111">
        <v>919.32</v>
      </c>
      <c r="C111" s="127">
        <f t="shared" si="2"/>
        <v>1.9583523728709844E-4</v>
      </c>
      <c r="D111" s="127">
        <v>1E-4</v>
      </c>
      <c r="E111" s="127">
        <f t="shared" si="3"/>
        <v>9.5835237287098438E-5</v>
      </c>
    </row>
    <row r="112" spans="1:5">
      <c r="A112" s="2">
        <v>40025</v>
      </c>
      <c r="B112">
        <v>987.48</v>
      </c>
      <c r="C112" s="127">
        <f t="shared" si="2"/>
        <v>7.4141756950789672E-2</v>
      </c>
      <c r="D112" s="127">
        <v>1E-4</v>
      </c>
      <c r="E112" s="127">
        <f t="shared" si="3"/>
        <v>7.4041756950789669E-2</v>
      </c>
    </row>
    <row r="113" spans="1:5">
      <c r="A113" s="2">
        <v>40056</v>
      </c>
      <c r="B113">
        <v>1020.62</v>
      </c>
      <c r="C113" s="127">
        <f t="shared" si="2"/>
        <v>3.3560173370599897E-2</v>
      </c>
      <c r="D113" s="127">
        <v>1E-4</v>
      </c>
      <c r="E113" s="127">
        <f t="shared" si="3"/>
        <v>3.3460173370599894E-2</v>
      </c>
    </row>
    <row r="114" spans="1:5">
      <c r="A114" s="2">
        <v>40086</v>
      </c>
      <c r="B114">
        <v>1057.08</v>
      </c>
      <c r="C114" s="127">
        <f t="shared" si="2"/>
        <v>3.5723383825517749E-2</v>
      </c>
      <c r="D114" s="127">
        <v>1E-4</v>
      </c>
      <c r="E114" s="127">
        <f t="shared" si="3"/>
        <v>3.5623383825517746E-2</v>
      </c>
    </row>
    <row r="115" spans="1:5">
      <c r="A115" s="2">
        <v>40116</v>
      </c>
      <c r="B115">
        <v>1036.19</v>
      </c>
      <c r="C115" s="127">
        <f t="shared" si="2"/>
        <v>-1.976198584780705E-2</v>
      </c>
      <c r="D115" s="127">
        <v>0</v>
      </c>
      <c r="E115" s="127">
        <f t="shared" si="3"/>
        <v>-1.976198584780705E-2</v>
      </c>
    </row>
    <row r="116" spans="1:5">
      <c r="A116" s="2">
        <v>40147</v>
      </c>
      <c r="B116">
        <v>1095.6300000000001</v>
      </c>
      <c r="C116" s="127">
        <f t="shared" si="2"/>
        <v>5.7363996950366293E-2</v>
      </c>
      <c r="D116" s="127">
        <v>0</v>
      </c>
      <c r="E116" s="127">
        <f t="shared" si="3"/>
        <v>5.7363996950366293E-2</v>
      </c>
    </row>
    <row r="117" spans="1:5">
      <c r="A117" s="2">
        <v>40178</v>
      </c>
      <c r="B117">
        <v>1115.0999999999999</v>
      </c>
      <c r="C117" s="127">
        <f t="shared" si="2"/>
        <v>1.7770597738287375E-2</v>
      </c>
      <c r="D117" s="127">
        <v>1E-4</v>
      </c>
      <c r="E117" s="127">
        <f t="shared" si="3"/>
        <v>1.7670597738287375E-2</v>
      </c>
    </row>
    <row r="118" spans="1:5">
      <c r="A118" s="2">
        <v>40207</v>
      </c>
      <c r="B118">
        <v>1073.8699999999999</v>
      </c>
      <c r="C118" s="127">
        <f t="shared" si="2"/>
        <v>-3.6974262397991231E-2</v>
      </c>
      <c r="D118" s="127">
        <v>0</v>
      </c>
      <c r="E118" s="127">
        <f t="shared" si="3"/>
        <v>-3.6974262397991231E-2</v>
      </c>
    </row>
    <row r="119" spans="1:5">
      <c r="A119" s="2">
        <v>40235</v>
      </c>
      <c r="B119">
        <v>1104.49</v>
      </c>
      <c r="C119" s="127">
        <f t="shared" si="2"/>
        <v>2.8513693463827205E-2</v>
      </c>
      <c r="D119" s="127">
        <v>0</v>
      </c>
      <c r="E119" s="127">
        <f t="shared" si="3"/>
        <v>2.8513693463827205E-2</v>
      </c>
    </row>
    <row r="120" spans="1:5">
      <c r="A120" s="2">
        <v>40268</v>
      </c>
      <c r="B120">
        <v>1169.43</v>
      </c>
      <c r="C120" s="127">
        <f t="shared" si="2"/>
        <v>5.8796367554255859E-2</v>
      </c>
      <c r="D120" s="127">
        <v>1E-4</v>
      </c>
      <c r="E120" s="127">
        <f t="shared" si="3"/>
        <v>5.8696367554255856E-2</v>
      </c>
    </row>
    <row r="121" spans="1:5">
      <c r="A121" s="2">
        <v>40298</v>
      </c>
      <c r="B121">
        <v>1186.69</v>
      </c>
      <c r="C121" s="127">
        <f t="shared" si="2"/>
        <v>1.475932719359003E-2</v>
      </c>
      <c r="D121" s="127">
        <v>1E-4</v>
      </c>
      <c r="E121" s="127">
        <f t="shared" si="3"/>
        <v>1.4659327193590031E-2</v>
      </c>
    </row>
    <row r="122" spans="1:5">
      <c r="A122" s="2">
        <v>40329</v>
      </c>
      <c r="B122">
        <v>1089.4100000000001</v>
      </c>
      <c r="C122" s="127">
        <f t="shared" si="2"/>
        <v>-8.1975916203894841E-2</v>
      </c>
      <c r="D122" s="127">
        <v>1E-4</v>
      </c>
      <c r="E122" s="127">
        <f t="shared" si="3"/>
        <v>-8.2075916203894844E-2</v>
      </c>
    </row>
    <row r="123" spans="1:5">
      <c r="A123" s="2">
        <v>40359</v>
      </c>
      <c r="B123">
        <v>1030.71</v>
      </c>
      <c r="C123" s="127">
        <f t="shared" si="2"/>
        <v>-5.3882376699314345E-2</v>
      </c>
      <c r="D123" s="127">
        <v>1E-4</v>
      </c>
      <c r="E123" s="127">
        <f t="shared" si="3"/>
        <v>-5.3982376699314348E-2</v>
      </c>
    </row>
    <row r="124" spans="1:5">
      <c r="A124" s="2">
        <v>40389</v>
      </c>
      <c r="B124">
        <v>1101.5999999999999</v>
      </c>
      <c r="C124" s="127">
        <f t="shared" si="2"/>
        <v>6.8777832756061225E-2</v>
      </c>
      <c r="D124" s="127">
        <v>1E-4</v>
      </c>
      <c r="E124" s="127">
        <f t="shared" si="3"/>
        <v>6.8677832756061222E-2</v>
      </c>
    </row>
    <row r="125" spans="1:5">
      <c r="A125" s="2">
        <v>40421</v>
      </c>
      <c r="B125">
        <v>1049.33</v>
      </c>
      <c r="C125" s="127">
        <f t="shared" si="2"/>
        <v>-4.7449164851125623E-2</v>
      </c>
      <c r="D125" s="127">
        <v>1E-4</v>
      </c>
      <c r="E125" s="127">
        <f t="shared" si="3"/>
        <v>-4.7549164851125626E-2</v>
      </c>
    </row>
    <row r="126" spans="1:5">
      <c r="A126" s="2">
        <v>40451</v>
      </c>
      <c r="B126">
        <v>1141.2</v>
      </c>
      <c r="C126" s="127">
        <f t="shared" si="2"/>
        <v>8.7551104037814728E-2</v>
      </c>
      <c r="D126" s="127">
        <v>1E-4</v>
      </c>
      <c r="E126" s="127">
        <f t="shared" si="3"/>
        <v>8.7451104037814725E-2</v>
      </c>
    </row>
    <row r="127" spans="1:5">
      <c r="A127" s="2">
        <v>40480</v>
      </c>
      <c r="B127">
        <v>1183.26</v>
      </c>
      <c r="C127" s="127">
        <f t="shared" si="2"/>
        <v>3.6855941114616146E-2</v>
      </c>
      <c r="D127" s="127">
        <v>1E-4</v>
      </c>
      <c r="E127" s="127">
        <f t="shared" si="3"/>
        <v>3.6755941114616143E-2</v>
      </c>
    </row>
    <row r="128" spans="1:5">
      <c r="A128" s="2">
        <v>40512</v>
      </c>
      <c r="B128">
        <v>1180.55</v>
      </c>
      <c r="C128" s="127">
        <f t="shared" si="2"/>
        <v>-2.290282778087687E-3</v>
      </c>
      <c r="D128" s="127">
        <v>1E-4</v>
      </c>
      <c r="E128" s="127">
        <f t="shared" si="3"/>
        <v>-2.3902827780876868E-3</v>
      </c>
    </row>
    <row r="129" spans="1:5">
      <c r="A129" s="2">
        <v>40543</v>
      </c>
      <c r="B129">
        <v>1257.6400000000001</v>
      </c>
      <c r="C129" s="127">
        <f t="shared" si="2"/>
        <v>6.5300072000338952E-2</v>
      </c>
      <c r="D129" s="127">
        <v>1E-4</v>
      </c>
      <c r="E129" s="127">
        <f t="shared" si="3"/>
        <v>6.5200072000338949E-2</v>
      </c>
    </row>
    <row r="130" spans="1:5">
      <c r="A130" s="2">
        <v>40574</v>
      </c>
      <c r="B130">
        <v>1286.1199999999999</v>
      </c>
      <c r="C130" s="127">
        <f t="shared" si="2"/>
        <v>2.2645590152984788E-2</v>
      </c>
      <c r="D130" s="127">
        <v>1E-4</v>
      </c>
      <c r="E130" s="127">
        <f t="shared" si="3"/>
        <v>2.2545590152984789E-2</v>
      </c>
    </row>
    <row r="131" spans="1:5">
      <c r="A131" s="2">
        <v>40602</v>
      </c>
      <c r="B131">
        <v>1327.22</v>
      </c>
      <c r="C131" s="127">
        <f t="shared" si="2"/>
        <v>3.195658258949409E-2</v>
      </c>
      <c r="D131" s="127">
        <v>1E-4</v>
      </c>
      <c r="E131" s="127">
        <f t="shared" si="3"/>
        <v>3.1856582589494087E-2</v>
      </c>
    </row>
    <row r="132" spans="1:5">
      <c r="A132" s="2">
        <v>40633</v>
      </c>
      <c r="B132">
        <v>1325.83</v>
      </c>
      <c r="C132" s="127">
        <f t="shared" si="2"/>
        <v>-1.047301879115821E-3</v>
      </c>
      <c r="D132" s="127">
        <v>1E-4</v>
      </c>
      <c r="E132" s="127">
        <f t="shared" si="3"/>
        <v>-1.147301879115821E-3</v>
      </c>
    </row>
    <row r="133" spans="1:5">
      <c r="A133" s="2">
        <v>40662</v>
      </c>
      <c r="B133">
        <v>1363.61</v>
      </c>
      <c r="C133" s="127">
        <f t="shared" si="2"/>
        <v>2.8495357625034863E-2</v>
      </c>
      <c r="D133" s="127">
        <v>0</v>
      </c>
      <c r="E133" s="127">
        <f t="shared" si="3"/>
        <v>2.8495357625034863E-2</v>
      </c>
    </row>
    <row r="134" spans="1:5">
      <c r="A134" s="2">
        <v>40694</v>
      </c>
      <c r="B134">
        <v>1345.2</v>
      </c>
      <c r="C134" s="127">
        <f t="shared" si="2"/>
        <v>-1.3500927684601796E-2</v>
      </c>
      <c r="D134" s="127">
        <v>0</v>
      </c>
      <c r="E134" s="127">
        <f t="shared" si="3"/>
        <v>-1.3500927684601796E-2</v>
      </c>
    </row>
    <row r="135" spans="1:5">
      <c r="A135" s="2">
        <v>40724</v>
      </c>
      <c r="B135">
        <v>1320.64</v>
      </c>
      <c r="C135" s="127">
        <f t="shared" si="2"/>
        <v>-1.8257508177222676E-2</v>
      </c>
      <c r="D135" s="127">
        <v>0</v>
      </c>
      <c r="E135" s="127">
        <f t="shared" si="3"/>
        <v>-1.8257508177222676E-2</v>
      </c>
    </row>
    <row r="136" spans="1:5">
      <c r="A136" s="2">
        <v>40753</v>
      </c>
      <c r="B136">
        <v>1292.28</v>
      </c>
      <c r="C136" s="127">
        <f t="shared" si="2"/>
        <v>-2.1474436636782262E-2</v>
      </c>
      <c r="D136" s="127">
        <v>0</v>
      </c>
      <c r="E136" s="127">
        <f t="shared" si="3"/>
        <v>-2.1474436636782262E-2</v>
      </c>
    </row>
    <row r="137" spans="1:5">
      <c r="A137" s="2">
        <v>40786</v>
      </c>
      <c r="B137">
        <v>1218.8900000000001</v>
      </c>
      <c r="C137" s="127">
        <f t="shared" ref="C137:C200" si="4">(B137-B136)/B136</f>
        <v>-5.679109790447881E-2</v>
      </c>
      <c r="D137" s="127">
        <v>1E-4</v>
      </c>
      <c r="E137" s="127">
        <f t="shared" ref="E137:E200" si="5">C137-D137</f>
        <v>-5.6891097904478813E-2</v>
      </c>
    </row>
    <row r="138" spans="1:5">
      <c r="A138" s="2">
        <v>40816</v>
      </c>
      <c r="B138">
        <v>1131.42</v>
      </c>
      <c r="C138" s="127">
        <f t="shared" si="4"/>
        <v>-7.1762012979021919E-2</v>
      </c>
      <c r="D138" s="127">
        <v>0</v>
      </c>
      <c r="E138" s="127">
        <f t="shared" si="5"/>
        <v>-7.1762012979021919E-2</v>
      </c>
    </row>
    <row r="139" spans="1:5">
      <c r="A139" s="2">
        <v>40847</v>
      </c>
      <c r="B139">
        <v>1253.3</v>
      </c>
      <c r="C139" s="127">
        <f t="shared" si="4"/>
        <v>0.10772303830584563</v>
      </c>
      <c r="D139" s="127">
        <v>0</v>
      </c>
      <c r="E139" s="127">
        <f t="shared" si="5"/>
        <v>0.10772303830584563</v>
      </c>
    </row>
    <row r="140" spans="1:5">
      <c r="A140" s="2">
        <v>40877</v>
      </c>
      <c r="B140">
        <v>1246.96</v>
      </c>
      <c r="C140" s="127">
        <f t="shared" si="4"/>
        <v>-5.0586451767333585E-3</v>
      </c>
      <c r="D140" s="127">
        <v>0</v>
      </c>
      <c r="E140" s="127">
        <f t="shared" si="5"/>
        <v>-5.0586451767333585E-3</v>
      </c>
    </row>
    <row r="141" spans="1:5">
      <c r="A141" s="2">
        <v>40907</v>
      </c>
      <c r="B141">
        <v>1257.5999999999999</v>
      </c>
      <c r="C141" s="127">
        <f t="shared" si="4"/>
        <v>8.5327516520176047E-3</v>
      </c>
      <c r="D141" s="127">
        <v>0</v>
      </c>
      <c r="E141" s="127">
        <f t="shared" si="5"/>
        <v>8.5327516520176047E-3</v>
      </c>
    </row>
    <row r="142" spans="1:5">
      <c r="A142" s="2">
        <v>40939</v>
      </c>
      <c r="B142">
        <v>1312.41</v>
      </c>
      <c r="C142" s="127">
        <f t="shared" si="4"/>
        <v>4.3583015267175715E-2</v>
      </c>
      <c r="D142" s="127">
        <v>0</v>
      </c>
      <c r="E142" s="127">
        <f t="shared" si="5"/>
        <v>4.3583015267175715E-2</v>
      </c>
    </row>
    <row r="143" spans="1:5">
      <c r="A143" s="2">
        <v>40968</v>
      </c>
      <c r="B143">
        <v>1365.68</v>
      </c>
      <c r="C143" s="127">
        <f t="shared" si="4"/>
        <v>4.0589449943234185E-2</v>
      </c>
      <c r="D143" s="127">
        <v>0</v>
      </c>
      <c r="E143" s="127">
        <f t="shared" si="5"/>
        <v>4.0589449943234185E-2</v>
      </c>
    </row>
    <row r="144" spans="1:5">
      <c r="A144" s="2">
        <v>40998</v>
      </c>
      <c r="B144">
        <v>1408.47</v>
      </c>
      <c r="C144" s="127">
        <f t="shared" si="4"/>
        <v>3.1332376545017838E-2</v>
      </c>
      <c r="D144" s="127">
        <v>0</v>
      </c>
      <c r="E144" s="127">
        <f t="shared" si="5"/>
        <v>3.1332376545017838E-2</v>
      </c>
    </row>
    <row r="145" spans="1:5">
      <c r="A145" s="2">
        <v>41029</v>
      </c>
      <c r="B145">
        <v>1397.91</v>
      </c>
      <c r="C145" s="127">
        <f t="shared" si="4"/>
        <v>-7.4974972842871664E-3</v>
      </c>
      <c r="D145" s="127">
        <v>0</v>
      </c>
      <c r="E145" s="127">
        <f t="shared" si="5"/>
        <v>-7.4974972842871664E-3</v>
      </c>
    </row>
    <row r="146" spans="1:5">
      <c r="A146" s="2">
        <v>41060</v>
      </c>
      <c r="B146">
        <v>1310.33</v>
      </c>
      <c r="C146" s="127">
        <f t="shared" si="4"/>
        <v>-6.2650671359386623E-2</v>
      </c>
      <c r="D146" s="127">
        <v>1E-4</v>
      </c>
      <c r="E146" s="127">
        <f t="shared" si="5"/>
        <v>-6.2750671359386626E-2</v>
      </c>
    </row>
    <row r="147" spans="1:5">
      <c r="A147" s="2">
        <v>41089</v>
      </c>
      <c r="B147">
        <v>1362.16</v>
      </c>
      <c r="C147" s="127">
        <f t="shared" si="4"/>
        <v>3.955492127937249E-2</v>
      </c>
      <c r="D147" s="127">
        <v>0</v>
      </c>
      <c r="E147" s="127">
        <f t="shared" si="5"/>
        <v>3.955492127937249E-2</v>
      </c>
    </row>
    <row r="148" spans="1:5">
      <c r="A148" s="2">
        <v>41121</v>
      </c>
      <c r="B148">
        <v>1379.32</v>
      </c>
      <c r="C148" s="127">
        <f t="shared" si="4"/>
        <v>1.259763904387139E-2</v>
      </c>
      <c r="D148" s="127">
        <v>0</v>
      </c>
      <c r="E148" s="127">
        <f t="shared" si="5"/>
        <v>1.259763904387139E-2</v>
      </c>
    </row>
    <row r="149" spans="1:5">
      <c r="A149" s="2">
        <v>41152</v>
      </c>
      <c r="B149">
        <v>1406.58</v>
      </c>
      <c r="C149" s="127">
        <f t="shared" si="4"/>
        <v>1.9763361656468401E-2</v>
      </c>
      <c r="D149" s="127">
        <v>1E-4</v>
      </c>
      <c r="E149" s="127">
        <f t="shared" si="5"/>
        <v>1.9663361656468401E-2</v>
      </c>
    </row>
    <row r="150" spans="1:5">
      <c r="A150" s="2">
        <v>41180</v>
      </c>
      <c r="B150">
        <v>1440.67</v>
      </c>
      <c r="C150" s="127">
        <f t="shared" si="4"/>
        <v>2.4236090375236493E-2</v>
      </c>
      <c r="D150" s="127">
        <v>1E-4</v>
      </c>
      <c r="E150" s="127">
        <f t="shared" si="5"/>
        <v>2.4136090375236494E-2</v>
      </c>
    </row>
    <row r="151" spans="1:5">
      <c r="A151" s="2">
        <v>41213</v>
      </c>
      <c r="B151">
        <v>1412.16</v>
      </c>
      <c r="C151" s="127">
        <f t="shared" si="4"/>
        <v>-1.9789403541407811E-2</v>
      </c>
      <c r="D151" s="127">
        <v>1E-4</v>
      </c>
      <c r="E151" s="127">
        <f t="shared" si="5"/>
        <v>-1.9889403541407811E-2</v>
      </c>
    </row>
    <row r="152" spans="1:5">
      <c r="A152" s="2">
        <v>41243</v>
      </c>
      <c r="B152">
        <v>1416.18</v>
      </c>
      <c r="C152" s="127">
        <f t="shared" si="4"/>
        <v>2.8467029231814961E-3</v>
      </c>
      <c r="D152" s="127">
        <v>1E-4</v>
      </c>
      <c r="E152" s="127">
        <f t="shared" si="5"/>
        <v>2.7467029231814963E-3</v>
      </c>
    </row>
    <row r="153" spans="1:5">
      <c r="A153" s="2">
        <v>41274</v>
      </c>
      <c r="B153">
        <v>1426.19</v>
      </c>
      <c r="C153" s="127">
        <f t="shared" si="4"/>
        <v>7.0683105254981645E-3</v>
      </c>
      <c r="D153" s="127">
        <v>1E-4</v>
      </c>
      <c r="E153" s="127">
        <f t="shared" si="5"/>
        <v>6.9683105254981642E-3</v>
      </c>
    </row>
    <row r="154" spans="1:5">
      <c r="A154" s="2">
        <v>41305</v>
      </c>
      <c r="B154">
        <v>1498.11</v>
      </c>
      <c r="C154" s="127">
        <f t="shared" si="4"/>
        <v>5.0428063581991069E-2</v>
      </c>
      <c r="D154" s="127">
        <v>0</v>
      </c>
      <c r="E154" s="127">
        <f t="shared" si="5"/>
        <v>5.0428063581991069E-2</v>
      </c>
    </row>
    <row r="155" spans="1:5">
      <c r="A155" s="2">
        <v>41333</v>
      </c>
      <c r="B155">
        <v>1514.68</v>
      </c>
      <c r="C155" s="127">
        <f t="shared" si="4"/>
        <v>1.1060603026480141E-2</v>
      </c>
      <c r="D155" s="127">
        <v>0</v>
      </c>
      <c r="E155" s="127">
        <f t="shared" si="5"/>
        <v>1.1060603026480141E-2</v>
      </c>
    </row>
    <row r="156" spans="1:5">
      <c r="A156" s="2">
        <v>41362</v>
      </c>
      <c r="B156">
        <v>1569.19</v>
      </c>
      <c r="C156" s="127">
        <f t="shared" si="4"/>
        <v>3.5987799403174259E-2</v>
      </c>
      <c r="D156" s="127">
        <v>0</v>
      </c>
      <c r="E156" s="127">
        <f t="shared" si="5"/>
        <v>3.5987799403174259E-2</v>
      </c>
    </row>
    <row r="157" spans="1:5">
      <c r="A157" s="2">
        <v>41394</v>
      </c>
      <c r="B157">
        <v>1597.57</v>
      </c>
      <c r="C157" s="127">
        <f t="shared" si="4"/>
        <v>1.8085763992887974E-2</v>
      </c>
      <c r="D157" s="127">
        <v>0</v>
      </c>
      <c r="E157" s="127">
        <f t="shared" si="5"/>
        <v>1.8085763992887974E-2</v>
      </c>
    </row>
    <row r="158" spans="1:5">
      <c r="A158" s="2">
        <v>41425</v>
      </c>
      <c r="B158">
        <v>1630.74</v>
      </c>
      <c r="C158" s="127">
        <f t="shared" si="4"/>
        <v>2.0762783477406357E-2</v>
      </c>
      <c r="D158" s="127">
        <v>0</v>
      </c>
      <c r="E158" s="127">
        <f t="shared" si="5"/>
        <v>2.0762783477406357E-2</v>
      </c>
    </row>
    <row r="159" spans="1:5">
      <c r="A159" s="2">
        <v>41453</v>
      </c>
      <c r="B159">
        <v>1606.28</v>
      </c>
      <c r="C159" s="127">
        <f t="shared" si="4"/>
        <v>-1.4999325459607317E-2</v>
      </c>
      <c r="D159" s="127">
        <v>0</v>
      </c>
      <c r="E159" s="127">
        <f t="shared" si="5"/>
        <v>-1.4999325459607317E-2</v>
      </c>
    </row>
    <row r="160" spans="1:5">
      <c r="A160" s="2">
        <v>41486</v>
      </c>
      <c r="B160">
        <v>1685.73</v>
      </c>
      <c r="C160" s="127">
        <f t="shared" si="4"/>
        <v>4.9462111213487092E-2</v>
      </c>
      <c r="D160" s="127">
        <v>0</v>
      </c>
      <c r="E160" s="127">
        <f t="shared" si="5"/>
        <v>4.9462111213487092E-2</v>
      </c>
    </row>
    <row r="161" spans="1:5">
      <c r="A161" s="2">
        <v>41516</v>
      </c>
      <c r="B161">
        <v>1632.97</v>
      </c>
      <c r="C161" s="127">
        <f t="shared" si="4"/>
        <v>-3.1298013323604608E-2</v>
      </c>
      <c r="D161" s="127">
        <v>0</v>
      </c>
      <c r="E161" s="127">
        <f t="shared" si="5"/>
        <v>-3.1298013323604608E-2</v>
      </c>
    </row>
    <row r="162" spans="1:5">
      <c r="A162" s="2">
        <v>41547</v>
      </c>
      <c r="B162">
        <v>1681.55</v>
      </c>
      <c r="C162" s="127">
        <f t="shared" si="4"/>
        <v>2.9749474883188257E-2</v>
      </c>
      <c r="D162" s="127">
        <v>0</v>
      </c>
      <c r="E162" s="127">
        <f t="shared" si="5"/>
        <v>2.9749474883188257E-2</v>
      </c>
    </row>
    <row r="163" spans="1:5">
      <c r="A163" s="2">
        <v>41578</v>
      </c>
      <c r="B163">
        <v>1756.54</v>
      </c>
      <c r="C163" s="127">
        <f t="shared" si="4"/>
        <v>4.4595759864410819E-2</v>
      </c>
      <c r="D163" s="127">
        <v>0</v>
      </c>
      <c r="E163" s="127">
        <f t="shared" si="5"/>
        <v>4.4595759864410819E-2</v>
      </c>
    </row>
    <row r="164" spans="1:5">
      <c r="A164" s="2">
        <v>41607</v>
      </c>
      <c r="B164">
        <v>1805.81</v>
      </c>
      <c r="C164" s="127">
        <f t="shared" si="4"/>
        <v>2.804946087194142E-2</v>
      </c>
      <c r="D164" s="127">
        <v>0</v>
      </c>
      <c r="E164" s="127">
        <f t="shared" si="5"/>
        <v>2.804946087194142E-2</v>
      </c>
    </row>
    <row r="165" spans="1:5">
      <c r="A165" s="2">
        <v>41639</v>
      </c>
      <c r="B165">
        <v>1848.36</v>
      </c>
      <c r="C165" s="127">
        <f t="shared" si="4"/>
        <v>2.3562833299184276E-2</v>
      </c>
      <c r="D165" s="127">
        <v>0</v>
      </c>
      <c r="E165" s="127">
        <f t="shared" si="5"/>
        <v>2.3562833299184276E-2</v>
      </c>
    </row>
    <row r="166" spans="1:5">
      <c r="A166" s="2">
        <v>41670</v>
      </c>
      <c r="B166">
        <v>1782.59</v>
      </c>
      <c r="C166" s="127">
        <f t="shared" si="4"/>
        <v>-3.5582895107013776E-2</v>
      </c>
      <c r="D166" s="127">
        <v>0</v>
      </c>
      <c r="E166" s="127">
        <f t="shared" si="5"/>
        <v>-3.5582895107013776E-2</v>
      </c>
    </row>
    <row r="167" spans="1:5">
      <c r="A167" s="2">
        <v>41698</v>
      </c>
      <c r="B167">
        <v>1859.45</v>
      </c>
      <c r="C167" s="127">
        <f t="shared" si="4"/>
        <v>4.3117037568930677E-2</v>
      </c>
      <c r="D167" s="127">
        <v>0</v>
      </c>
      <c r="E167" s="127">
        <f t="shared" si="5"/>
        <v>4.3117037568930677E-2</v>
      </c>
    </row>
    <row r="168" spans="1:5">
      <c r="A168" s="2">
        <v>41729</v>
      </c>
      <c r="B168">
        <v>1872.34</v>
      </c>
      <c r="C168" s="127">
        <f t="shared" si="4"/>
        <v>6.9321573583585854E-3</v>
      </c>
      <c r="D168" s="127">
        <v>0</v>
      </c>
      <c r="E168" s="127">
        <f t="shared" si="5"/>
        <v>6.9321573583585854E-3</v>
      </c>
    </row>
    <row r="169" spans="1:5">
      <c r="A169" s="2">
        <v>41759</v>
      </c>
      <c r="B169">
        <v>1883.95</v>
      </c>
      <c r="C169" s="127">
        <f t="shared" si="4"/>
        <v>6.2007968638175372E-3</v>
      </c>
      <c r="D169" s="127">
        <v>0</v>
      </c>
      <c r="E169" s="127">
        <f t="shared" si="5"/>
        <v>6.2007968638175372E-3</v>
      </c>
    </row>
    <row r="170" spans="1:5">
      <c r="A170" s="2">
        <v>41789</v>
      </c>
      <c r="B170">
        <v>1923.57</v>
      </c>
      <c r="C170" s="127">
        <f t="shared" si="4"/>
        <v>2.1030282120013743E-2</v>
      </c>
      <c r="D170" s="127">
        <v>0</v>
      </c>
      <c r="E170" s="127">
        <f t="shared" si="5"/>
        <v>2.1030282120013743E-2</v>
      </c>
    </row>
    <row r="171" spans="1:5">
      <c r="A171" s="2">
        <v>41820</v>
      </c>
      <c r="B171">
        <v>1960.23</v>
      </c>
      <c r="C171" s="127">
        <f t="shared" si="4"/>
        <v>1.9058313448431865E-2</v>
      </c>
      <c r="D171" s="127">
        <v>0</v>
      </c>
      <c r="E171" s="127">
        <f t="shared" si="5"/>
        <v>1.9058313448431865E-2</v>
      </c>
    </row>
    <row r="172" spans="1:5">
      <c r="A172" s="2">
        <v>41851</v>
      </c>
      <c r="B172">
        <v>1930.67</v>
      </c>
      <c r="C172" s="127">
        <f t="shared" si="4"/>
        <v>-1.5079863077291922E-2</v>
      </c>
      <c r="D172" s="127">
        <v>0</v>
      </c>
      <c r="E172" s="127">
        <f t="shared" si="5"/>
        <v>-1.5079863077291922E-2</v>
      </c>
    </row>
    <row r="173" spans="1:5">
      <c r="A173" s="2">
        <v>41880</v>
      </c>
      <c r="B173">
        <v>2003.37</v>
      </c>
      <c r="C173" s="127">
        <f t="shared" si="4"/>
        <v>3.7655321727690289E-2</v>
      </c>
      <c r="D173" s="127">
        <v>0</v>
      </c>
      <c r="E173" s="127">
        <f t="shared" si="5"/>
        <v>3.7655321727690289E-2</v>
      </c>
    </row>
    <row r="174" spans="1:5">
      <c r="A174" s="2">
        <v>41912</v>
      </c>
      <c r="B174">
        <v>1972.29</v>
      </c>
      <c r="C174" s="127">
        <f t="shared" si="4"/>
        <v>-1.5513859147336702E-2</v>
      </c>
      <c r="D174" s="127">
        <v>0</v>
      </c>
      <c r="E174" s="127">
        <f t="shared" si="5"/>
        <v>-1.5513859147336702E-2</v>
      </c>
    </row>
    <row r="175" spans="1:5">
      <c r="A175" s="2">
        <v>41943</v>
      </c>
      <c r="B175">
        <v>2018.05</v>
      </c>
      <c r="C175" s="127">
        <f t="shared" si="4"/>
        <v>2.3201456175308902E-2</v>
      </c>
      <c r="D175" s="127">
        <v>0</v>
      </c>
      <c r="E175" s="127">
        <f t="shared" si="5"/>
        <v>2.3201456175308902E-2</v>
      </c>
    </row>
    <row r="176" spans="1:5">
      <c r="A176" s="2">
        <v>41971</v>
      </c>
      <c r="B176">
        <v>2067.56</v>
      </c>
      <c r="C176" s="127">
        <f t="shared" si="4"/>
        <v>2.4533584400782932E-2</v>
      </c>
      <c r="D176" s="127">
        <v>0</v>
      </c>
      <c r="E176" s="127">
        <f t="shared" si="5"/>
        <v>2.4533584400782932E-2</v>
      </c>
    </row>
    <row r="177" spans="1:5">
      <c r="A177" s="2">
        <v>42004</v>
      </c>
      <c r="B177">
        <v>2058.9</v>
      </c>
      <c r="C177" s="127">
        <f t="shared" si="4"/>
        <v>-4.1885120625277401E-3</v>
      </c>
      <c r="D177" s="127">
        <v>0</v>
      </c>
      <c r="E177" s="127">
        <f t="shared" si="5"/>
        <v>-4.1885120625277401E-3</v>
      </c>
    </row>
    <row r="178" spans="1:5">
      <c r="A178" s="2">
        <v>42034</v>
      </c>
      <c r="B178">
        <v>1994.99</v>
      </c>
      <c r="C178" s="127">
        <f t="shared" si="4"/>
        <v>-3.1040847054252307E-2</v>
      </c>
      <c r="D178" s="127">
        <v>0</v>
      </c>
      <c r="E178" s="127">
        <f t="shared" si="5"/>
        <v>-3.1040847054252307E-2</v>
      </c>
    </row>
    <row r="179" spans="1:5">
      <c r="A179" s="2">
        <v>42062</v>
      </c>
      <c r="B179">
        <v>2104.5</v>
      </c>
      <c r="C179" s="127">
        <f t="shared" si="4"/>
        <v>5.4892505726845744E-2</v>
      </c>
      <c r="D179" s="127">
        <v>0</v>
      </c>
      <c r="E179" s="127">
        <f t="shared" si="5"/>
        <v>5.4892505726845744E-2</v>
      </c>
    </row>
    <row r="180" spans="1:5">
      <c r="A180" s="2">
        <v>42094</v>
      </c>
      <c r="B180">
        <v>2067.89</v>
      </c>
      <c r="C180" s="127">
        <f t="shared" si="4"/>
        <v>-1.7396056070325554E-2</v>
      </c>
      <c r="D180" s="127">
        <v>0</v>
      </c>
      <c r="E180" s="127">
        <f t="shared" si="5"/>
        <v>-1.7396056070325554E-2</v>
      </c>
    </row>
    <row r="181" spans="1:5">
      <c r="A181" s="2">
        <v>42124</v>
      </c>
      <c r="B181">
        <v>2085.5100000000002</v>
      </c>
      <c r="C181" s="127">
        <f t="shared" si="4"/>
        <v>8.5207627098154871E-3</v>
      </c>
      <c r="D181" s="127">
        <v>0</v>
      </c>
      <c r="E181" s="127">
        <f t="shared" si="5"/>
        <v>8.5207627098154871E-3</v>
      </c>
    </row>
    <row r="182" spans="1:5">
      <c r="A182" s="2">
        <v>42153</v>
      </c>
      <c r="B182">
        <v>2107.39</v>
      </c>
      <c r="C182" s="127">
        <f t="shared" si="4"/>
        <v>1.0491438545008008E-2</v>
      </c>
      <c r="D182" s="127">
        <v>0</v>
      </c>
      <c r="E182" s="127">
        <f t="shared" si="5"/>
        <v>1.0491438545008008E-2</v>
      </c>
    </row>
    <row r="183" spans="1:5">
      <c r="A183" s="2">
        <v>42185</v>
      </c>
      <c r="B183">
        <v>2063.11</v>
      </c>
      <c r="C183" s="127">
        <f t="shared" si="4"/>
        <v>-2.1011772856471631E-2</v>
      </c>
      <c r="D183" s="127">
        <v>0</v>
      </c>
      <c r="E183" s="127">
        <f t="shared" si="5"/>
        <v>-2.1011772856471631E-2</v>
      </c>
    </row>
    <row r="184" spans="1:5">
      <c r="A184" s="2">
        <v>42216</v>
      </c>
      <c r="B184">
        <v>2103.84</v>
      </c>
      <c r="C184" s="127">
        <f t="shared" si="4"/>
        <v>1.9742039930008587E-2</v>
      </c>
      <c r="D184" s="127">
        <v>0</v>
      </c>
      <c r="E184" s="127">
        <f t="shared" si="5"/>
        <v>1.9742039930008587E-2</v>
      </c>
    </row>
    <row r="185" spans="1:5">
      <c r="A185" s="2">
        <v>42247</v>
      </c>
      <c r="B185">
        <v>1972.18</v>
      </c>
      <c r="C185" s="127">
        <f t="shared" si="4"/>
        <v>-6.2580804623925804E-2</v>
      </c>
      <c r="D185" s="127">
        <v>0</v>
      </c>
      <c r="E185" s="127">
        <f t="shared" si="5"/>
        <v>-6.2580804623925804E-2</v>
      </c>
    </row>
    <row r="186" spans="1:5">
      <c r="A186" s="2">
        <v>42277</v>
      </c>
      <c r="B186">
        <v>1920.03</v>
      </c>
      <c r="C186" s="127">
        <f t="shared" si="4"/>
        <v>-2.6442819620927142E-2</v>
      </c>
      <c r="D186" s="127">
        <v>0</v>
      </c>
      <c r="E186" s="127">
        <f t="shared" si="5"/>
        <v>-2.6442819620927142E-2</v>
      </c>
    </row>
    <row r="187" spans="1:5">
      <c r="A187" s="2">
        <v>42307</v>
      </c>
      <c r="B187">
        <v>2079.36</v>
      </c>
      <c r="C187" s="127">
        <f t="shared" si="4"/>
        <v>8.298307838940025E-2</v>
      </c>
      <c r="D187" s="127">
        <v>0</v>
      </c>
      <c r="E187" s="127">
        <f t="shared" si="5"/>
        <v>8.298307838940025E-2</v>
      </c>
    </row>
    <row r="188" spans="1:5">
      <c r="A188" s="2">
        <v>42338</v>
      </c>
      <c r="B188">
        <v>2080.41</v>
      </c>
      <c r="C188" s="127">
        <f t="shared" si="4"/>
        <v>5.0496306555850219E-4</v>
      </c>
      <c r="D188" s="127">
        <v>0</v>
      </c>
      <c r="E188" s="127">
        <f t="shared" si="5"/>
        <v>5.0496306555850219E-4</v>
      </c>
    </row>
    <row r="189" spans="1:5">
      <c r="A189" s="2">
        <v>42369</v>
      </c>
      <c r="B189">
        <v>2043.94</v>
      </c>
      <c r="C189" s="127">
        <f t="shared" si="4"/>
        <v>-1.7530198374358805E-2</v>
      </c>
      <c r="D189" s="127">
        <v>1E-4</v>
      </c>
      <c r="E189" s="127">
        <f t="shared" si="5"/>
        <v>-1.7630198374358804E-2</v>
      </c>
    </row>
    <row r="190" spans="1:5">
      <c r="A190" s="2">
        <v>42398</v>
      </c>
      <c r="B190">
        <v>1940.24</v>
      </c>
      <c r="C190" s="127">
        <f t="shared" si="4"/>
        <v>-5.0735344481736278E-2</v>
      </c>
      <c r="D190" s="127">
        <v>1E-4</v>
      </c>
      <c r="E190" s="127">
        <f t="shared" si="5"/>
        <v>-5.083534448173628E-2</v>
      </c>
    </row>
    <row r="191" spans="1:5">
      <c r="A191" s="2">
        <v>42429</v>
      </c>
      <c r="B191">
        <v>1932.23</v>
      </c>
      <c r="C191" s="127">
        <f t="shared" si="4"/>
        <v>-4.1283552550199932E-3</v>
      </c>
      <c r="D191" s="127">
        <v>2.0000000000000001E-4</v>
      </c>
      <c r="E191" s="127">
        <f t="shared" si="5"/>
        <v>-4.3283552550199928E-3</v>
      </c>
    </row>
    <row r="192" spans="1:5">
      <c r="A192" s="2">
        <v>42460</v>
      </c>
      <c r="B192">
        <v>2059.7399999999998</v>
      </c>
      <c r="C192" s="127">
        <f t="shared" si="4"/>
        <v>6.5991108718941205E-2</v>
      </c>
      <c r="D192" s="127">
        <v>2.0000000000000001E-4</v>
      </c>
      <c r="E192" s="127">
        <f t="shared" si="5"/>
        <v>6.5791108718941199E-2</v>
      </c>
    </row>
    <row r="193" spans="1:5">
      <c r="A193" s="2">
        <v>42489</v>
      </c>
      <c r="B193">
        <v>2065.3000000000002</v>
      </c>
      <c r="C193" s="127">
        <f t="shared" si="4"/>
        <v>2.6993698233759604E-3</v>
      </c>
      <c r="D193" s="127">
        <v>1E-4</v>
      </c>
      <c r="E193" s="127">
        <f t="shared" si="5"/>
        <v>2.5993698233759605E-3</v>
      </c>
    </row>
    <row r="194" spans="1:5">
      <c r="A194" s="2">
        <v>42521</v>
      </c>
      <c r="B194">
        <v>2096.96</v>
      </c>
      <c r="C194" s="127">
        <f t="shared" si="4"/>
        <v>1.5329492083474484E-2</v>
      </c>
      <c r="D194" s="127">
        <v>1E-4</v>
      </c>
      <c r="E194" s="127">
        <f t="shared" si="5"/>
        <v>1.5229492083474485E-2</v>
      </c>
    </row>
    <row r="195" spans="1:5">
      <c r="A195" s="2">
        <v>42551</v>
      </c>
      <c r="B195">
        <v>2098.86</v>
      </c>
      <c r="C195" s="127">
        <f t="shared" si="4"/>
        <v>9.0607355409740335E-4</v>
      </c>
      <c r="D195" s="127">
        <v>2.0000000000000001E-4</v>
      </c>
      <c r="E195" s="127">
        <f t="shared" si="5"/>
        <v>7.0607355409740336E-4</v>
      </c>
    </row>
    <row r="196" spans="1:5">
      <c r="A196" s="2">
        <v>42580</v>
      </c>
      <c r="B196">
        <v>2173.6</v>
      </c>
      <c r="C196" s="127">
        <f t="shared" si="4"/>
        <v>3.5609807228685945E-2</v>
      </c>
      <c r="D196" s="127">
        <v>2.0000000000000001E-4</v>
      </c>
      <c r="E196" s="127">
        <f t="shared" si="5"/>
        <v>3.5409807228685947E-2</v>
      </c>
    </row>
    <row r="197" spans="1:5">
      <c r="A197" s="2">
        <v>42613</v>
      </c>
      <c r="B197">
        <v>2170.9499999999998</v>
      </c>
      <c r="C197" s="127">
        <f t="shared" si="4"/>
        <v>-1.2191755612808663E-3</v>
      </c>
      <c r="D197" s="127">
        <v>2.0000000000000001E-4</v>
      </c>
      <c r="E197" s="127">
        <f t="shared" si="5"/>
        <v>-1.4191755612808664E-3</v>
      </c>
    </row>
    <row r="198" spans="1:5">
      <c r="A198" s="2">
        <v>42643</v>
      </c>
      <c r="B198">
        <v>2168.27</v>
      </c>
      <c r="C198" s="127">
        <f t="shared" si="4"/>
        <v>-1.2344825997834296E-3</v>
      </c>
      <c r="D198" s="127">
        <v>2.0000000000000001E-4</v>
      </c>
      <c r="E198" s="127">
        <f t="shared" si="5"/>
        <v>-1.4344825997834297E-3</v>
      </c>
    </row>
    <row r="199" spans="1:5">
      <c r="A199" s="2">
        <v>42674</v>
      </c>
      <c r="B199">
        <v>2126.15</v>
      </c>
      <c r="C199" s="127">
        <f t="shared" si="4"/>
        <v>-1.9425625037472222E-2</v>
      </c>
      <c r="D199" s="127">
        <v>2.0000000000000001E-4</v>
      </c>
      <c r="E199" s="127">
        <f t="shared" si="5"/>
        <v>-1.962562503747222E-2</v>
      </c>
    </row>
    <row r="200" spans="1:5">
      <c r="A200" s="2">
        <v>42704</v>
      </c>
      <c r="B200">
        <v>2198.81</v>
      </c>
      <c r="C200" s="127">
        <f t="shared" si="4"/>
        <v>3.4174446769983234E-2</v>
      </c>
      <c r="D200" s="127">
        <v>1E-4</v>
      </c>
      <c r="E200" s="127">
        <f t="shared" si="5"/>
        <v>3.4074446769983231E-2</v>
      </c>
    </row>
    <row r="201" spans="1:5">
      <c r="A201" s="2">
        <v>42734</v>
      </c>
      <c r="B201">
        <v>2238.83</v>
      </c>
      <c r="C201" s="127">
        <f t="shared" ref="C201:C210" si="6">(B201-B200)/B200</f>
        <v>1.8200754044233009E-2</v>
      </c>
      <c r="D201" s="127">
        <v>2.9999999999999997E-4</v>
      </c>
      <c r="E201" s="127">
        <f t="shared" ref="E201:E210" si="7">C201-D201</f>
        <v>1.7900754044233008E-2</v>
      </c>
    </row>
    <row r="202" spans="1:5">
      <c r="A202" s="2">
        <v>42766</v>
      </c>
      <c r="B202">
        <v>2278.87</v>
      </c>
      <c r="C202" s="127">
        <f t="shared" si="6"/>
        <v>1.7884341374735897E-2</v>
      </c>
      <c r="D202" s="127">
        <v>4.0000000000000002E-4</v>
      </c>
      <c r="E202" s="127">
        <f t="shared" si="7"/>
        <v>1.7484341374735896E-2</v>
      </c>
    </row>
    <row r="203" spans="1:5">
      <c r="A203" s="2">
        <v>42794</v>
      </c>
      <c r="B203">
        <v>2363.64</v>
      </c>
      <c r="C203" s="127">
        <f t="shared" si="6"/>
        <v>3.7198260541408672E-2</v>
      </c>
      <c r="D203" s="127">
        <v>4.0000000000000002E-4</v>
      </c>
      <c r="E203" s="127">
        <f t="shared" si="7"/>
        <v>3.6798260541408674E-2</v>
      </c>
    </row>
    <row r="204" spans="1:5">
      <c r="A204" s="2">
        <v>42825</v>
      </c>
      <c r="B204">
        <v>2362.7199999999998</v>
      </c>
      <c r="C204" s="127">
        <f t="shared" si="6"/>
        <v>-3.8923017041515325E-4</v>
      </c>
      <c r="D204" s="127">
        <v>2.9999999999999997E-4</v>
      </c>
      <c r="E204" s="127">
        <f t="shared" si="7"/>
        <v>-6.8923017041515322E-4</v>
      </c>
    </row>
    <row r="205" spans="1:5">
      <c r="A205" s="2">
        <v>42853</v>
      </c>
      <c r="B205">
        <v>2384.1999999999998</v>
      </c>
      <c r="C205" s="127">
        <f t="shared" si="6"/>
        <v>9.0912169025529985E-3</v>
      </c>
      <c r="D205" s="127">
        <v>5.0000000000000001E-4</v>
      </c>
      <c r="E205" s="127">
        <f t="shared" si="7"/>
        <v>8.5912169025529981E-3</v>
      </c>
    </row>
    <row r="206" spans="1:5">
      <c r="A206" s="2">
        <v>42886</v>
      </c>
      <c r="B206">
        <v>2411.8000000000002</v>
      </c>
      <c r="C206" s="127">
        <f t="shared" si="6"/>
        <v>1.1576210049492646E-2</v>
      </c>
      <c r="D206" s="127">
        <v>5.9999999999999995E-4</v>
      </c>
      <c r="E206" s="127">
        <f t="shared" si="7"/>
        <v>1.0976210049492646E-2</v>
      </c>
    </row>
    <row r="207" spans="1:5">
      <c r="A207" s="2">
        <v>42916</v>
      </c>
      <c r="B207">
        <v>2423.41</v>
      </c>
      <c r="C207" s="127">
        <f t="shared" si="6"/>
        <v>4.81383199270241E-3</v>
      </c>
      <c r="D207" s="127">
        <v>5.9999999999999995E-4</v>
      </c>
      <c r="E207" s="127">
        <f t="shared" si="7"/>
        <v>4.2138319927024102E-3</v>
      </c>
    </row>
    <row r="208" spans="1:5">
      <c r="A208" s="2">
        <v>42947</v>
      </c>
      <c r="B208">
        <v>2470.3000000000002</v>
      </c>
      <c r="C208" s="127">
        <f t="shared" si="6"/>
        <v>1.9348768883515513E-2</v>
      </c>
      <c r="D208" s="127">
        <v>7.000000000000001E-4</v>
      </c>
      <c r="E208" s="127">
        <f t="shared" si="7"/>
        <v>1.8648768883515514E-2</v>
      </c>
    </row>
    <row r="209" spans="1:5">
      <c r="A209" s="2">
        <v>42978</v>
      </c>
      <c r="B209">
        <v>2471.65</v>
      </c>
      <c r="C209" s="127">
        <f t="shared" si="6"/>
        <v>5.4649232886690234E-4</v>
      </c>
      <c r="D209" s="127">
        <v>7.000000000000001E-4</v>
      </c>
      <c r="E209" s="127">
        <f t="shared" si="7"/>
        <v>-1.5350767113309776E-4</v>
      </c>
    </row>
    <row r="210" spans="1:5">
      <c r="A210" s="3">
        <v>43007</v>
      </c>
      <c r="B210">
        <v>2519.36</v>
      </c>
      <c r="C210" s="127">
        <f t="shared" si="6"/>
        <v>1.9302894827342074E-2</v>
      </c>
      <c r="D210" s="127">
        <v>7.000000000000001E-4</v>
      </c>
      <c r="E210" s="127">
        <f t="shared" si="7"/>
        <v>1.8602894827342075E-2</v>
      </c>
    </row>
    <row r="211" spans="1:5">
      <c r="A211" s="100" t="s">
        <v>244</v>
      </c>
      <c r="B211" s="100"/>
      <c r="C211" s="100"/>
      <c r="D211" s="100"/>
      <c r="E211" s="100"/>
    </row>
    <row r="1772" spans="3:6">
      <c r="C1772" s="1"/>
      <c r="D1772" s="1"/>
      <c r="E1772" s="1"/>
    </row>
    <row r="1775" spans="3:6">
      <c r="F1775" s="1"/>
    </row>
  </sheetData>
  <mergeCells count="2">
    <mergeCell ref="G6:H6"/>
    <mergeCell ref="J6:K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S43"/>
  <sheetViews>
    <sheetView showGridLines="0" zoomScaleNormal="100" workbookViewId="0">
      <pane ySplit="3" topLeftCell="A4" activePane="bottomLeft" state="frozen"/>
      <selection activeCell="H1" sqref="H1"/>
      <selection pane="bottomLeft" activeCell="G43" sqref="G43"/>
    </sheetView>
  </sheetViews>
  <sheetFormatPr baseColWidth="10" defaultColWidth="10.83203125" defaultRowHeight="15"/>
  <cols>
    <col min="1" max="1" width="39.6640625" style="112" customWidth="1"/>
    <col min="2" max="2" width="15.83203125" style="112" customWidth="1"/>
    <col min="3" max="3" width="12.1640625" style="112" bestFit="1" customWidth="1"/>
    <col min="4" max="4" width="15.83203125" style="112" bestFit="1" customWidth="1"/>
    <col min="5" max="5" width="15.5" style="112" bestFit="1" customWidth="1"/>
    <col min="6" max="6" width="12" style="112" bestFit="1" customWidth="1"/>
    <col min="7" max="7" width="22" style="112" bestFit="1" customWidth="1"/>
    <col min="8" max="8" width="20" style="112" bestFit="1" customWidth="1"/>
    <col min="9" max="9" width="12" style="112" bestFit="1" customWidth="1"/>
    <col min="10" max="10" width="2.83203125" customWidth="1"/>
    <col min="11" max="11" width="22.83203125" style="112" bestFit="1" customWidth="1"/>
    <col min="12" max="12" width="34.33203125" style="112" customWidth="1"/>
    <col min="13" max="13" width="41" style="112" bestFit="1" customWidth="1"/>
    <col min="14" max="14" width="2.83203125" style="9" customWidth="1"/>
    <col min="15" max="15" width="16.5" style="112" bestFit="1" customWidth="1"/>
    <col min="16" max="16" width="22.83203125" style="112" bestFit="1" customWidth="1"/>
    <col min="17" max="18" width="13.1640625" style="112" bestFit="1" customWidth="1"/>
    <col min="19" max="16384" width="10.83203125" style="112"/>
  </cols>
  <sheetData>
    <row r="1" spans="1:19" customFormat="1" ht="30" customHeight="1">
      <c r="A1" s="5"/>
      <c r="B1" s="5"/>
      <c r="C1" s="5"/>
      <c r="D1" s="5"/>
      <c r="E1" s="5"/>
      <c r="F1" s="5"/>
      <c r="H1" s="7"/>
      <c r="N1" s="9"/>
    </row>
    <row r="2" spans="1:19" customFormat="1" ht="21.5" customHeight="1">
      <c r="A2" s="6" t="s">
        <v>563</v>
      </c>
      <c r="B2" s="7"/>
      <c r="C2" s="7"/>
      <c r="D2" s="7"/>
      <c r="E2" s="7"/>
      <c r="F2" s="7"/>
      <c r="G2" s="7"/>
      <c r="H2" s="7"/>
      <c r="N2" s="9"/>
    </row>
    <row r="3" spans="1:19" customFormat="1">
      <c r="A3" s="8"/>
      <c r="B3" s="8"/>
      <c r="C3" s="8"/>
      <c r="D3" s="8"/>
      <c r="E3" s="8"/>
      <c r="F3" s="8"/>
      <c r="H3" s="108"/>
      <c r="N3" s="9"/>
    </row>
    <row r="4" spans="1:19" customFormat="1" ht="16" thickBot="1">
      <c r="A4" s="123" t="s">
        <v>564</v>
      </c>
      <c r="B4" s="313"/>
      <c r="C4" s="313"/>
      <c r="D4" s="313"/>
      <c r="E4" s="313"/>
      <c r="F4" s="125"/>
      <c r="G4" s="126"/>
      <c r="H4" s="453"/>
      <c r="I4" s="126"/>
      <c r="J4" s="126"/>
      <c r="K4" s="126"/>
      <c r="L4" s="126"/>
      <c r="M4" s="126"/>
      <c r="N4" s="126"/>
      <c r="O4" s="126"/>
      <c r="P4" s="126"/>
    </row>
    <row r="5" spans="1:19" s="192" customFormat="1" ht="6.5" customHeight="1">
      <c r="A5" s="193"/>
      <c r="B5" s="18"/>
      <c r="C5" s="18"/>
      <c r="D5" s="18"/>
      <c r="E5" s="18"/>
      <c r="F5" s="18"/>
      <c r="G5" s="18"/>
      <c r="J5" s="197"/>
      <c r="M5" s="197"/>
      <c r="N5" s="197"/>
      <c r="S5" s="197"/>
    </row>
    <row r="6" spans="1:19" ht="17">
      <c r="A6" s="13" t="s">
        <v>566</v>
      </c>
      <c r="B6" s="13" t="s">
        <v>252</v>
      </c>
      <c r="C6" s="13" t="s">
        <v>251</v>
      </c>
      <c r="D6" s="13" t="s">
        <v>264</v>
      </c>
      <c r="E6" s="13" t="s">
        <v>263</v>
      </c>
      <c r="F6" s="13" t="s">
        <v>262</v>
      </c>
      <c r="G6" s="13" t="s">
        <v>261</v>
      </c>
      <c r="H6" s="13" t="s">
        <v>260</v>
      </c>
      <c r="I6" s="284" t="s">
        <v>329</v>
      </c>
      <c r="K6" s="13" t="s">
        <v>259</v>
      </c>
      <c r="L6" s="13" t="s">
        <v>330</v>
      </c>
      <c r="M6" s="13" t="s">
        <v>331</v>
      </c>
      <c r="N6" s="459"/>
      <c r="O6" s="13"/>
      <c r="P6" s="13" t="s">
        <v>250</v>
      </c>
    </row>
    <row r="7" spans="1:19">
      <c r="A7" t="s">
        <v>258</v>
      </c>
      <c r="B7" s="157">
        <v>500000000</v>
      </c>
      <c r="C7" s="139">
        <v>2.2499999999999999E-2</v>
      </c>
      <c r="D7" s="139" t="s">
        <v>253</v>
      </c>
      <c r="E7" s="158">
        <v>41579</v>
      </c>
      <c r="F7" s="157">
        <v>1000</v>
      </c>
      <c r="G7" s="156">
        <v>0.99787000000000003</v>
      </c>
      <c r="H7" s="155">
        <f>G7*F7</f>
        <v>997.87</v>
      </c>
      <c r="I7">
        <f>'Corporate Bond 1'!B21</f>
        <v>2.3012846404900644E-2</v>
      </c>
      <c r="K7" s="145">
        <v>500000</v>
      </c>
      <c r="L7" s="151">
        <f>K7*H7</f>
        <v>498935000</v>
      </c>
      <c r="M7" s="151">
        <v>497000000</v>
      </c>
      <c r="O7"/>
      <c r="P7" s="147">
        <f>M7/L7</f>
        <v>0.99612173930471903</v>
      </c>
    </row>
    <row r="8" spans="1:19">
      <c r="A8" t="s">
        <v>257</v>
      </c>
      <c r="B8" s="157">
        <v>1000000000</v>
      </c>
      <c r="C8" s="159">
        <v>2.3800000000000002E-2</v>
      </c>
      <c r="D8" s="139" t="s">
        <v>253</v>
      </c>
      <c r="E8" s="158">
        <v>42856</v>
      </c>
      <c r="F8" s="157">
        <v>1000</v>
      </c>
      <c r="G8" s="156">
        <v>0.95348999999999995</v>
      </c>
      <c r="H8" s="155">
        <f>G8*F8</f>
        <v>953.4899999999999</v>
      </c>
      <c r="I8">
        <f>'Corporate Bond 2'!B28</f>
        <v>2.9666211838011103E-2</v>
      </c>
      <c r="K8" s="145">
        <v>1000000</v>
      </c>
      <c r="L8" s="151">
        <f>K8*H8</f>
        <v>953489999.99999988</v>
      </c>
      <c r="M8" s="151">
        <v>993000000</v>
      </c>
      <c r="O8"/>
      <c r="P8" s="147">
        <f>M8/L8</f>
        <v>1.0414372463266528</v>
      </c>
    </row>
    <row r="9" spans="1:19">
      <c r="A9" t="s">
        <v>256</v>
      </c>
      <c r="B9" s="157">
        <v>500000000</v>
      </c>
      <c r="C9" s="159">
        <v>3.6299999999999999E-2</v>
      </c>
      <c r="D9" s="139" t="s">
        <v>253</v>
      </c>
      <c r="E9" s="158">
        <v>41579</v>
      </c>
      <c r="F9" s="157">
        <v>1000</v>
      </c>
      <c r="G9" s="156">
        <v>0.97935000000000005</v>
      </c>
      <c r="H9" s="155">
        <f>G9*F9</f>
        <v>979.35</v>
      </c>
      <c r="I9">
        <f>'Corporate Bond 3'!B61</f>
        <v>3.7903477744367864E-2</v>
      </c>
      <c r="K9" s="145">
        <v>500000</v>
      </c>
      <c r="L9" s="151">
        <f>K9*H9</f>
        <v>489675000</v>
      </c>
      <c r="M9" s="151">
        <v>495000000</v>
      </c>
      <c r="O9"/>
      <c r="P9" s="147">
        <f>M9/L9</f>
        <v>1.0108745596569153</v>
      </c>
    </row>
    <row r="10" spans="1:19">
      <c r="A10" t="s">
        <v>255</v>
      </c>
      <c r="B10" s="157">
        <v>1000000000</v>
      </c>
      <c r="C10" s="159">
        <v>3.8800000000000001E-2</v>
      </c>
      <c r="D10" s="139" t="s">
        <v>253</v>
      </c>
      <c r="E10" s="158">
        <v>42491</v>
      </c>
      <c r="F10" s="157">
        <v>1000</v>
      </c>
      <c r="G10" s="156">
        <v>1.01553</v>
      </c>
      <c r="H10" s="155">
        <f>G10*F10</f>
        <v>1015.5300000000001</v>
      </c>
      <c r="I10">
        <f>'Corporate Bond 4'!B66</f>
        <v>3.826335749612686E-2</v>
      </c>
      <c r="K10" s="145">
        <v>1000000</v>
      </c>
      <c r="L10" s="151">
        <f>K10*H10</f>
        <v>1015530000.0000001</v>
      </c>
      <c r="M10" s="151">
        <v>981000000</v>
      </c>
      <c r="O10"/>
      <c r="P10" s="147">
        <f>M10/L10</f>
        <v>0.96599805027916441</v>
      </c>
    </row>
    <row r="11" spans="1:19" ht="16" thickBot="1">
      <c r="A11" t="s">
        <v>254</v>
      </c>
      <c r="B11" s="157">
        <v>500000000</v>
      </c>
      <c r="C11" s="159">
        <v>3.8800000000000001E-2</v>
      </c>
      <c r="D11" s="139" t="s">
        <v>253</v>
      </c>
      <c r="E11" s="158">
        <v>42856</v>
      </c>
      <c r="F11" s="157">
        <v>1000</v>
      </c>
      <c r="G11" s="156">
        <v>0.93484999999999996</v>
      </c>
      <c r="H11" s="155">
        <f>G11*F11</f>
        <v>934.84999999999991</v>
      </c>
      <c r="I11">
        <f>'Corporate Bond 5'!B68</f>
        <v>3.828039634396263E-2</v>
      </c>
      <c r="K11" s="154">
        <v>500000</v>
      </c>
      <c r="L11" s="153">
        <f>K11*H11</f>
        <v>467424999.99999994</v>
      </c>
      <c r="M11" s="153">
        <v>490000000</v>
      </c>
      <c r="O11" s="126"/>
      <c r="P11" s="152">
        <f>M11/L11</f>
        <v>1.0482965181579933</v>
      </c>
    </row>
    <row r="12" spans="1:19">
      <c r="A12"/>
      <c r="B12"/>
      <c r="C12"/>
      <c r="D12"/>
      <c r="E12"/>
      <c r="F12"/>
      <c r="G12"/>
      <c r="H12"/>
      <c r="I12"/>
      <c r="K12" s="456" t="s">
        <v>248</v>
      </c>
      <c r="L12" s="457">
        <f>SUM(L7:L11)</f>
        <v>3425055000</v>
      </c>
      <c r="M12" s="457">
        <f>SUM(M7:M11)</f>
        <v>3456000000</v>
      </c>
      <c r="N12" s="11"/>
      <c r="O12" s="456" t="s">
        <v>247</v>
      </c>
      <c r="P12" s="458">
        <f>P7*(M7/M12)+P8*(M8/M12)+P9*(M9/M12)+P10*(M10/M12)+P11*(M11/M12)</f>
        <v>1.0101018455695203</v>
      </c>
      <c r="Q12" s="452"/>
    </row>
    <row r="13" spans="1:19" customFormat="1" ht="16" thickBot="1">
      <c r="A13" s="123" t="s">
        <v>565</v>
      </c>
      <c r="B13" s="313"/>
      <c r="C13" s="313"/>
      <c r="D13" s="313"/>
      <c r="E13" s="313"/>
      <c r="F13" s="125"/>
      <c r="G13" s="126"/>
      <c r="H13" s="453"/>
      <c r="I13" s="126"/>
      <c r="J13" s="126"/>
      <c r="K13" s="126"/>
      <c r="L13" s="126"/>
      <c r="M13" s="126"/>
      <c r="N13" s="126"/>
      <c r="O13" s="126"/>
      <c r="P13" s="126"/>
    </row>
    <row r="14" spans="1:19" s="192" customFormat="1" ht="6.5" customHeight="1">
      <c r="A14" s="193"/>
      <c r="B14" s="18"/>
      <c r="C14" s="18"/>
      <c r="D14" s="18"/>
      <c r="E14" s="18"/>
      <c r="F14" s="18"/>
      <c r="G14" s="18"/>
      <c r="J14"/>
      <c r="M14" s="197"/>
      <c r="N14" s="197"/>
      <c r="S14" s="197"/>
    </row>
    <row r="15" spans="1:19">
      <c r="A15" s="13" t="s">
        <v>566</v>
      </c>
      <c r="B15" s="13" t="s">
        <v>252</v>
      </c>
      <c r="C15" s="13" t="s">
        <v>251</v>
      </c>
      <c r="D15" s="13" t="s">
        <v>264</v>
      </c>
      <c r="E15" s="149"/>
      <c r="F15" s="149"/>
      <c r="G15" s="149"/>
      <c r="H15" s="149"/>
      <c r="I15" s="149"/>
      <c r="K15" s="13"/>
      <c r="L15" s="13" t="s">
        <v>332</v>
      </c>
      <c r="M15" s="13" t="s">
        <v>333</v>
      </c>
    </row>
    <row r="16" spans="1:19">
      <c r="A16" s="146" t="s">
        <v>249</v>
      </c>
      <c r="B16" s="285">
        <v>9000000000</v>
      </c>
      <c r="C16" s="149">
        <v>2.5999999999999999E-2</v>
      </c>
      <c r="D16" s="286" t="s">
        <v>334</v>
      </c>
      <c r="E16" s="150"/>
      <c r="F16" s="146"/>
      <c r="G16" s="157"/>
      <c r="H16" s="146"/>
      <c r="I16" s="146"/>
      <c r="K16" s="146"/>
      <c r="L16" s="151">
        <f>M16*P12</f>
        <v>14141425.837973284</v>
      </c>
      <c r="M16" s="157">
        <v>14000000</v>
      </c>
    </row>
    <row r="17" spans="1:19" ht="16" thickBot="1">
      <c r="A17" s="146" t="s">
        <v>249</v>
      </c>
      <c r="B17" s="285">
        <v>4000000000</v>
      </c>
      <c r="C17" s="149">
        <v>0.02</v>
      </c>
      <c r="D17" s="286" t="s">
        <v>334</v>
      </c>
      <c r="E17" s="149"/>
      <c r="F17" s="149"/>
      <c r="G17" s="157"/>
      <c r="H17" s="146"/>
      <c r="I17" s="146"/>
      <c r="K17" s="148"/>
      <c r="L17" s="153">
        <f>M17*P12</f>
        <v>7070712.9189866418</v>
      </c>
      <c r="M17" s="287">
        <v>7000000</v>
      </c>
    </row>
    <row r="18" spans="1:19" ht="16" thickBot="1">
      <c r="A18" s="146"/>
      <c r="B18" s="146"/>
      <c r="C18" s="146"/>
      <c r="D18" s="146"/>
      <c r="E18" s="146"/>
      <c r="F18" s="146"/>
      <c r="G18" s="146"/>
      <c r="H18" s="146"/>
      <c r="I18" s="146"/>
      <c r="K18" s="456" t="s">
        <v>248</v>
      </c>
      <c r="L18" s="457">
        <f>SUM(L16:L17)</f>
        <v>21212138.756959926</v>
      </c>
      <c r="M18" s="457">
        <f>SUM(M16:M17)</f>
        <v>21000000</v>
      </c>
      <c r="N18" s="11"/>
      <c r="O18" s="212"/>
      <c r="P18" s="288"/>
    </row>
    <row r="19" spans="1:19" ht="17">
      <c r="A19" s="454" t="s">
        <v>567</v>
      </c>
      <c r="B19" s="455">
        <f>I7*(L7/SUM(L7:L11,L16:L17))+I8*(L8/SUM(L7:L11,L16:L17))+I9*(L9/SUM(L7:L11,L16:L17))+I10*(L10/SUM(L7:L11,L16:L17))+I11*(L11/SUM(L7:L11,L16:L17))+C16*(L16/SUM(L7:L11,L16:L17))+C17*(L17/SUM(L7:L11,L16:L17))</f>
        <v>3.3540240697041548E-2</v>
      </c>
      <c r="C19"/>
      <c r="D19" s="151"/>
      <c r="E19"/>
      <c r="F19"/>
      <c r="G19"/>
      <c r="H19"/>
      <c r="I19"/>
      <c r="K19"/>
      <c r="L19"/>
      <c r="M19"/>
    </row>
    <row r="20" spans="1:19">
      <c r="A20"/>
      <c r="B20"/>
      <c r="C20"/>
      <c r="D20"/>
      <c r="E20"/>
      <c r="F20"/>
      <c r="G20"/>
      <c r="H20"/>
      <c r="I20"/>
      <c r="J20" s="12"/>
      <c r="K20"/>
      <c r="L20"/>
      <c r="M20"/>
    </row>
    <row r="21" spans="1:19" customFormat="1" ht="16" thickBot="1">
      <c r="A21" s="123" t="s">
        <v>335</v>
      </c>
      <c r="B21" s="313"/>
      <c r="C21" s="313"/>
      <c r="D21" s="313"/>
      <c r="E21" s="313"/>
      <c r="F21" s="125"/>
      <c r="G21" s="126"/>
      <c r="H21" s="453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1:19" s="192" customFormat="1" ht="6.5" customHeight="1">
      <c r="A22" s="193"/>
      <c r="B22" s="18"/>
      <c r="C22" s="18"/>
      <c r="D22" s="18"/>
      <c r="E22" s="18"/>
      <c r="F22" s="18"/>
      <c r="G22" s="18"/>
      <c r="M22" s="197"/>
      <c r="N22" s="197"/>
      <c r="S22" s="197"/>
    </row>
    <row r="23" spans="1:19">
      <c r="A23" s="13" t="s">
        <v>136</v>
      </c>
      <c r="B23" s="14" t="s">
        <v>51</v>
      </c>
      <c r="C23" s="14" t="s">
        <v>50</v>
      </c>
      <c r="D23" s="14" t="s">
        <v>49</v>
      </c>
      <c r="E23" s="14" t="s">
        <v>48</v>
      </c>
      <c r="F23" s="14" t="s">
        <v>47</v>
      </c>
      <c r="G23" s="14" t="s">
        <v>46</v>
      </c>
      <c r="H23" s="14" t="s">
        <v>45</v>
      </c>
      <c r="I23" s="14" t="s">
        <v>44</v>
      </c>
      <c r="J23" s="14"/>
      <c r="K23" s="14" t="s">
        <v>43</v>
      </c>
      <c r="L23" s="15" t="s">
        <v>42</v>
      </c>
      <c r="M23" s="15" t="s">
        <v>165</v>
      </c>
      <c r="N23" s="92"/>
      <c r="O23" s="92" t="s">
        <v>166</v>
      </c>
      <c r="P23" s="92" t="s">
        <v>167</v>
      </c>
      <c r="Q23" s="92" t="s">
        <v>168</v>
      </c>
      <c r="R23" s="93" t="s">
        <v>169</v>
      </c>
    </row>
    <row r="24" spans="1:19" s="192" customFormat="1" ht="6.5" customHeight="1">
      <c r="A24" s="193"/>
      <c r="B24" s="18"/>
      <c r="C24" s="18"/>
      <c r="D24" s="18"/>
      <c r="E24" s="18"/>
      <c r="F24" s="18"/>
      <c r="G24" s="18"/>
      <c r="M24" s="197"/>
      <c r="N24" s="197"/>
      <c r="S24" s="197"/>
    </row>
    <row r="25" spans="1:19">
      <c r="A25" s="460" t="s">
        <v>336</v>
      </c>
      <c r="B25" s="461">
        <f>'Balance Sheet'!B23+'Balance Sheet'!B24</f>
        <v>184</v>
      </c>
      <c r="C25" s="461">
        <f>'Balance Sheet'!C23+'Balance Sheet'!C24</f>
        <v>374.9</v>
      </c>
      <c r="D25" s="461">
        <f>'Balance Sheet'!D23+'Balance Sheet'!D24</f>
        <v>146</v>
      </c>
      <c r="E25" s="461">
        <f>'Balance Sheet'!E23+'Balance Sheet'!E24</f>
        <v>387</v>
      </c>
      <c r="F25" s="461">
        <f>'Balance Sheet'!F23+'Balance Sheet'!F24</f>
        <v>157</v>
      </c>
      <c r="G25" s="461">
        <f>'Balance Sheet'!G23+'Balance Sheet'!G24</f>
        <v>178</v>
      </c>
      <c r="H25" s="461">
        <f>'Balance Sheet'!H23+'Balance Sheet'!H24</f>
        <v>174</v>
      </c>
      <c r="I25" s="461">
        <f>'Balance Sheet'!I23+'Balance Sheet'!I24</f>
        <v>181</v>
      </c>
      <c r="J25" s="461"/>
      <c r="K25" s="461">
        <f>'Balance Sheet'!J23+'Balance Sheet'!J24</f>
        <v>45</v>
      </c>
      <c r="L25" s="461">
        <f>'Balance Sheet'!K23+'Balance Sheet'!K24</f>
        <v>331</v>
      </c>
      <c r="M25" s="650">
        <f>M27*M33</f>
        <v>2098.6877618369258</v>
      </c>
      <c r="N25" s="650"/>
      <c r="O25" s="650">
        <f t="shared" ref="O25:Q25" si="0">O27*O33</f>
        <v>2131.3816020742229</v>
      </c>
      <c r="P25" s="650">
        <f t="shared" si="0"/>
        <v>2164.5847544678591</v>
      </c>
      <c r="Q25" s="650">
        <f t="shared" si="0"/>
        <v>2198.3051531996452</v>
      </c>
      <c r="R25" s="465"/>
    </row>
    <row r="26" spans="1:19" ht="16" thickBot="1">
      <c r="A26" s="289" t="s">
        <v>337</v>
      </c>
      <c r="B26" s="290">
        <f>'Balance Sheet'!B30</f>
        <v>441.1</v>
      </c>
      <c r="C26" s="290">
        <f>'Balance Sheet'!C30</f>
        <v>437.2</v>
      </c>
      <c r="D26" s="290">
        <f>'Balance Sheet'!D30</f>
        <v>445.8</v>
      </c>
      <c r="E26" s="290">
        <f>'Balance Sheet'!E30</f>
        <v>276</v>
      </c>
      <c r="F26" s="290">
        <f>'Balance Sheet'!F30</f>
        <v>228</v>
      </c>
      <c r="G26" s="290">
        <f>'Balance Sheet'!G30</f>
        <v>1210</v>
      </c>
      <c r="H26" s="290">
        <f>'Balance Sheet'!H30</f>
        <v>1199</v>
      </c>
      <c r="I26" s="290">
        <f>'Balance Sheet'!I30</f>
        <v>1079</v>
      </c>
      <c r="J26" s="290"/>
      <c r="K26" s="290">
        <f>'Balance Sheet'!J30</f>
        <v>2010</v>
      </c>
      <c r="L26" s="290">
        <f>'Balance Sheet'!K30</f>
        <v>3471</v>
      </c>
      <c r="M26" s="651"/>
      <c r="N26" s="651"/>
      <c r="O26" s="651"/>
      <c r="P26" s="651"/>
      <c r="Q26" s="651"/>
      <c r="R26" s="466">
        <f>R27*R33</f>
        <v>2232.5508560519029</v>
      </c>
    </row>
    <row r="27" spans="1:19">
      <c r="A27" s="463" t="s">
        <v>338</v>
      </c>
      <c r="B27" s="464">
        <f t="shared" ref="B27:L27" si="1">(B25+B26)/B33</f>
        <v>1.8276865537734714E-2</v>
      </c>
      <c r="C27" s="464">
        <f t="shared" si="1"/>
        <v>2.8484767173594504E-2</v>
      </c>
      <c r="D27" s="464">
        <f t="shared" si="1"/>
        <v>1.6645642565681375E-2</v>
      </c>
      <c r="E27" s="464">
        <f t="shared" si="1"/>
        <v>1.6498447204968944E-2</v>
      </c>
      <c r="F27" s="464">
        <f t="shared" si="1"/>
        <v>7.7105727373374365E-3</v>
      </c>
      <c r="G27" s="464">
        <f t="shared" si="1"/>
        <v>2.4561137768164095E-2</v>
      </c>
      <c r="H27" s="464">
        <f t="shared" si="1"/>
        <v>2.0106993221029015E-2</v>
      </c>
      <c r="I27" s="464">
        <f t="shared" si="1"/>
        <v>1.4254814308982603E-2</v>
      </c>
      <c r="J27" s="464"/>
      <c r="K27" s="464">
        <f t="shared" si="1"/>
        <v>2.1646380514507606E-2</v>
      </c>
      <c r="L27" s="464">
        <f t="shared" si="1"/>
        <v>4.1842491523373736E-2</v>
      </c>
      <c r="M27" s="464">
        <f>(AVERAGE(G27:L27)+AVERAGE(B27:L27))/2</f>
        <v>2.2742587361374404E-2</v>
      </c>
      <c r="N27" s="464"/>
      <c r="O27" s="464">
        <f>$M$27</f>
        <v>2.2742587361374404E-2</v>
      </c>
      <c r="P27" s="464">
        <f t="shared" ref="P27:R27" si="2">$M$27</f>
        <v>2.2742587361374404E-2</v>
      </c>
      <c r="Q27" s="464">
        <f t="shared" si="2"/>
        <v>2.2742587361374404E-2</v>
      </c>
      <c r="R27" s="464">
        <f t="shared" si="2"/>
        <v>2.2742587361374404E-2</v>
      </c>
    </row>
    <row r="28" spans="1:19" s="192" customFormat="1" ht="6.5" customHeight="1">
      <c r="A28" s="193"/>
      <c r="B28" s="18"/>
      <c r="C28" s="18"/>
      <c r="D28" s="18"/>
      <c r="E28" s="18"/>
      <c r="F28" s="18"/>
      <c r="G28" s="18"/>
      <c r="M28" s="197"/>
      <c r="N28" s="197"/>
      <c r="S28" s="197"/>
    </row>
    <row r="29" spans="1:19">
      <c r="A29" s="460" t="s">
        <v>339</v>
      </c>
      <c r="B29" s="467">
        <v>33576.506999999998</v>
      </c>
      <c r="C29" s="467">
        <v>27697.775000000001</v>
      </c>
      <c r="D29" s="467">
        <v>34960.947999999997</v>
      </c>
      <c r="E29" s="467">
        <v>39522.6</v>
      </c>
      <c r="F29" s="467">
        <v>49546.44</v>
      </c>
      <c r="G29" s="467">
        <v>55124.04</v>
      </c>
      <c r="H29" s="467">
        <v>66911.7</v>
      </c>
      <c r="I29" s="467">
        <v>87131.19</v>
      </c>
      <c r="J29" s="467"/>
      <c r="K29" s="467">
        <v>92880.04</v>
      </c>
      <c r="L29" s="467">
        <v>87062.57</v>
      </c>
      <c r="M29" s="462"/>
      <c r="N29" s="462"/>
      <c r="O29" s="462"/>
      <c r="P29" s="462"/>
      <c r="Q29" s="462"/>
      <c r="R29" s="462"/>
    </row>
    <row r="30" spans="1:19" ht="16" thickBot="1">
      <c r="A30" s="289" t="s">
        <v>340</v>
      </c>
      <c r="B30" s="290">
        <f>'Balance Sheet'!B33</f>
        <v>0.1</v>
      </c>
      <c r="C30" s="290">
        <f>'Balance Sheet'!C33</f>
        <v>0.1</v>
      </c>
      <c r="D30" s="290">
        <f>'Balance Sheet'!D33</f>
        <v>0.1</v>
      </c>
      <c r="E30" s="290">
        <f>'Balance Sheet'!E33</f>
        <v>0</v>
      </c>
      <c r="F30" s="290">
        <f>'Balance Sheet'!F33</f>
        <v>0</v>
      </c>
      <c r="G30" s="290">
        <f>'Balance Sheet'!G33</f>
        <v>0</v>
      </c>
      <c r="H30" s="290">
        <f>'Balance Sheet'!H33</f>
        <v>0</v>
      </c>
      <c r="I30" s="290">
        <f>'Balance Sheet'!I33</f>
        <v>0</v>
      </c>
      <c r="J30" s="290"/>
      <c r="K30" s="290">
        <f>'Balance Sheet'!J33</f>
        <v>0</v>
      </c>
      <c r="L30" s="290">
        <f>'Balance Sheet'!K33</f>
        <v>0</v>
      </c>
      <c r="M30" s="12"/>
      <c r="N30" s="12"/>
    </row>
    <row r="31" spans="1:19">
      <c r="A31" s="463" t="s">
        <v>341</v>
      </c>
      <c r="B31" s="464">
        <f t="shared" ref="B31:I31" si="3">(B29+B30)/B33</f>
        <v>0.98172313446226533</v>
      </c>
      <c r="C31" s="464">
        <f t="shared" si="3"/>
        <v>0.97151523282640551</v>
      </c>
      <c r="D31" s="464">
        <f t="shared" si="3"/>
        <v>0.98335435743431854</v>
      </c>
      <c r="E31" s="464">
        <f t="shared" si="3"/>
        <v>0.98350155279503104</v>
      </c>
      <c r="F31" s="464">
        <f t="shared" si="3"/>
        <v>0.99228942726266256</v>
      </c>
      <c r="G31" s="464">
        <f t="shared" si="3"/>
        <v>0.97543886223183596</v>
      </c>
      <c r="H31" s="464">
        <f t="shared" si="3"/>
        <v>0.97989300677897095</v>
      </c>
      <c r="I31" s="464">
        <f t="shared" si="3"/>
        <v>0.98574518569101743</v>
      </c>
      <c r="J31" s="464"/>
      <c r="K31" s="464">
        <f>(K29+K30)/K33</f>
        <v>0.97835361948549238</v>
      </c>
      <c r="L31" s="464">
        <f>(L29+L30)/L33</f>
        <v>0.95815750847662629</v>
      </c>
      <c r="M31" s="469"/>
      <c r="N31" s="469"/>
      <c r="O31" s="469"/>
      <c r="P31" s="469"/>
      <c r="Q31" s="469"/>
      <c r="R31" s="469"/>
    </row>
    <row r="32" spans="1:19" s="192" customFormat="1" ht="6.5" customHeight="1">
      <c r="A32" s="193"/>
      <c r="B32" s="18"/>
      <c r="C32" s="18"/>
      <c r="D32" s="18"/>
      <c r="E32" s="18"/>
      <c r="F32" s="18"/>
      <c r="G32" s="18"/>
      <c r="M32" s="197"/>
      <c r="N32" s="197"/>
      <c r="S32" s="197"/>
    </row>
    <row r="33" spans="1:18">
      <c r="A33" s="13" t="s">
        <v>342</v>
      </c>
      <c r="B33" s="291">
        <f t="shared" ref="B33:L33" si="4">B25+B26+B29+B30</f>
        <v>34201.706999999995</v>
      </c>
      <c r="C33" s="291">
        <f t="shared" si="4"/>
        <v>28509.974999999999</v>
      </c>
      <c r="D33" s="291">
        <f t="shared" si="4"/>
        <v>35552.847999999998</v>
      </c>
      <c r="E33" s="291">
        <f t="shared" si="4"/>
        <v>40185.599999999999</v>
      </c>
      <c r="F33" s="291">
        <f t="shared" si="4"/>
        <v>49931.44</v>
      </c>
      <c r="G33" s="291">
        <f t="shared" si="4"/>
        <v>56512.04</v>
      </c>
      <c r="H33" s="291">
        <f t="shared" si="4"/>
        <v>68284.7</v>
      </c>
      <c r="I33" s="291">
        <f t="shared" si="4"/>
        <v>88391.19</v>
      </c>
      <c r="J33" s="291"/>
      <c r="K33" s="291">
        <f t="shared" si="4"/>
        <v>94935.039999999994</v>
      </c>
      <c r="L33" s="291">
        <f t="shared" si="4"/>
        <v>90864.57</v>
      </c>
      <c r="M33" s="291">
        <f>L33*(1+$M$34)</f>
        <v>92280.079152352686</v>
      </c>
      <c r="N33" s="291"/>
      <c r="O33" s="291">
        <f>M33*(1+$M$34)</f>
        <v>93717.639431568052</v>
      </c>
      <c r="P33" s="291">
        <f>O33*(1+$M$34)</f>
        <v>95177.594355167792</v>
      </c>
      <c r="Q33" s="291">
        <f t="shared" ref="Q33" si="5">P33*(1+$M$34)</f>
        <v>96660.292792068445</v>
      </c>
      <c r="R33" s="291">
        <f>Q33*(1+$M$34)</f>
        <v>98166.089045946748</v>
      </c>
    </row>
    <row r="34" spans="1:18">
      <c r="A34" s="468" t="s">
        <v>343</v>
      </c>
      <c r="B34" s="468"/>
      <c r="C34" s="470">
        <f>(C33-B33)/B33</f>
        <v>-0.16641660604834715</v>
      </c>
      <c r="D34" s="470">
        <f t="shared" ref="D34:L34" si="6">(D33-C33)/C33</f>
        <v>0.24703188971579246</v>
      </c>
      <c r="E34" s="470">
        <f t="shared" si="6"/>
        <v>0.1303060728074443</v>
      </c>
      <c r="F34" s="470">
        <f t="shared" si="6"/>
        <v>0.24252070393374753</v>
      </c>
      <c r="G34" s="470">
        <f t="shared" si="6"/>
        <v>0.13179271416966942</v>
      </c>
      <c r="H34" s="470">
        <f t="shared" si="6"/>
        <v>0.20832127100702783</v>
      </c>
      <c r="I34" s="470">
        <f t="shared" si="6"/>
        <v>0.29445087991892777</v>
      </c>
      <c r="J34" s="470"/>
      <c r="K34" s="470">
        <f>(K33-I33)/I33</f>
        <v>7.403283064748864E-2</v>
      </c>
      <c r="L34" s="470">
        <f t="shared" si="6"/>
        <v>-4.2876371042767633E-2</v>
      </c>
      <c r="M34" s="649">
        <f>AVERAGE(K34:L34)</f>
        <v>1.5578229802360503E-2</v>
      </c>
      <c r="N34" s="649"/>
      <c r="O34" s="649"/>
      <c r="P34" s="649"/>
      <c r="Q34" s="649"/>
      <c r="R34" s="649"/>
    </row>
    <row r="35" spans="1:18">
      <c r="A35" s="100" t="s">
        <v>11</v>
      </c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2"/>
    </row>
    <row r="36" spans="1:18">
      <c r="A36"/>
      <c r="J36" s="12"/>
    </row>
    <row r="37" spans="1:18">
      <c r="A37" t="s">
        <v>246</v>
      </c>
      <c r="B37"/>
    </row>
    <row r="38" spans="1:18">
      <c r="A38" s="111" t="s">
        <v>568</v>
      </c>
      <c r="B38" s="473">
        <f>L18+L12</f>
        <v>3446267138.7569599</v>
      </c>
      <c r="Q38" s="298"/>
    </row>
    <row r="39" spans="1:18">
      <c r="A39" s="12" t="s">
        <v>569</v>
      </c>
      <c r="B39" s="474">
        <f>'Share Prices'!F13</f>
        <v>52.08</v>
      </c>
    </row>
    <row r="40" spans="1:18">
      <c r="A40" s="12" t="s">
        <v>245</v>
      </c>
      <c r="B40" s="475">
        <v>1657800000</v>
      </c>
    </row>
    <row r="41" spans="1:18">
      <c r="A41" s="112" t="s">
        <v>570</v>
      </c>
      <c r="B41" s="475">
        <v>1692000000</v>
      </c>
    </row>
    <row r="42" spans="1:18" ht="6.5" customHeight="1" thickBot="1">
      <c r="A42" s="111"/>
      <c r="B42" s="473"/>
    </row>
    <row r="43" spans="1:18">
      <c r="A43" s="476" t="s">
        <v>571</v>
      </c>
      <c r="B43" s="477">
        <f>B39*B40</f>
        <v>86338224000</v>
      </c>
    </row>
  </sheetData>
  <mergeCells count="6">
    <mergeCell ref="M34:R34"/>
    <mergeCell ref="M25:M26"/>
    <mergeCell ref="O25:O26"/>
    <mergeCell ref="P25:P26"/>
    <mergeCell ref="Q25:Q26"/>
    <mergeCell ref="N25:N26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U23"/>
  <sheetViews>
    <sheetView showGridLines="0" workbookViewId="0">
      <pane ySplit="3" topLeftCell="A4" activePane="bottomLeft" state="frozen"/>
      <selection activeCell="F28" activeCellId="1" sqref="H23 F28"/>
      <selection pane="bottomLeft" activeCell="M7" sqref="M7"/>
    </sheetView>
  </sheetViews>
  <sheetFormatPr baseColWidth="10" defaultColWidth="8.83203125" defaultRowHeight="15"/>
  <cols>
    <col min="1" max="1" width="35.1640625" customWidth="1"/>
    <col min="2" max="2" width="16" customWidth="1"/>
    <col min="3" max="4" width="2.83203125" customWidth="1"/>
    <col min="5" max="5" width="3.33203125" customWidth="1"/>
    <col min="6" max="6" width="5.83203125" bestFit="1" customWidth="1"/>
    <col min="15" max="15" width="18.83203125" bestFit="1" customWidth="1"/>
  </cols>
  <sheetData>
    <row r="1" spans="1:21" ht="30" customHeight="1">
      <c r="A1" s="5"/>
      <c r="B1" s="5"/>
      <c r="C1" s="5"/>
      <c r="D1" s="5"/>
      <c r="E1" s="5"/>
      <c r="F1" s="5"/>
      <c r="G1" s="5"/>
      <c r="H1" s="5"/>
    </row>
    <row r="2" spans="1:21" ht="21.5" customHeight="1">
      <c r="A2" s="6" t="s">
        <v>205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1">
      <c r="A3" s="8"/>
      <c r="B3" s="8"/>
      <c r="C3" s="8"/>
      <c r="D3" s="8"/>
      <c r="H3" s="119"/>
      <c r="I3" s="8"/>
      <c r="J3" s="8"/>
      <c r="K3" s="8"/>
      <c r="L3" s="8"/>
    </row>
    <row r="4" spans="1:21" ht="16" thickBot="1">
      <c r="B4" s="108"/>
      <c r="C4" s="9"/>
      <c r="D4" s="9"/>
      <c r="E4" s="642" t="s">
        <v>652</v>
      </c>
      <c r="F4" s="642"/>
      <c r="G4" s="642"/>
      <c r="H4" s="642"/>
      <c r="I4" s="642"/>
      <c r="J4" s="642"/>
      <c r="K4" s="642"/>
      <c r="L4" s="642"/>
      <c r="M4" s="642"/>
      <c r="O4" s="441" t="s">
        <v>300</v>
      </c>
      <c r="P4" s="441"/>
    </row>
    <row r="5" spans="1:21">
      <c r="A5" s="111" t="s">
        <v>204</v>
      </c>
      <c r="B5" s="296">
        <f>'Cost of Debt'!L12+'Cost of Debt'!L18</f>
        <v>3446267138.7569599</v>
      </c>
      <c r="E5" s="118"/>
      <c r="F5" s="118"/>
      <c r="G5" s="118"/>
      <c r="H5" s="118"/>
      <c r="I5" s="118"/>
      <c r="J5" s="118"/>
      <c r="K5" s="118"/>
      <c r="L5" s="118"/>
      <c r="M5" s="118"/>
      <c r="O5" s="441" t="str">
        <f>'Table of Contents'!J1</f>
        <v>Scenario 1: Base Case</v>
      </c>
      <c r="P5" s="441">
        <f>B20</f>
        <v>9.4115960051753947E-2</v>
      </c>
    </row>
    <row r="6" spans="1:21" ht="17">
      <c r="A6" s="12" t="s">
        <v>203</v>
      </c>
      <c r="B6" s="173">
        <f>'Cost of Debt'!B43</f>
        <v>86338224000</v>
      </c>
      <c r="E6" s="117"/>
      <c r="F6" s="116"/>
      <c r="G6" s="652" t="s">
        <v>199</v>
      </c>
      <c r="H6" s="652"/>
      <c r="I6" s="652"/>
      <c r="J6" s="652"/>
      <c r="K6" s="652"/>
      <c r="L6" s="652"/>
      <c r="M6" s="652"/>
      <c r="O6" s="441" t="str">
        <f>'Table of Contents'!J2</f>
        <v>Scenario 2: Bull Case</v>
      </c>
      <c r="P6" s="441">
        <f>B21</f>
        <v>7.9998566043990846E-2</v>
      </c>
    </row>
    <row r="7" spans="1:21">
      <c r="A7" s="12" t="s">
        <v>202</v>
      </c>
      <c r="B7" s="173">
        <f>B6+B5</f>
        <v>89784491138.756958</v>
      </c>
      <c r="E7" s="115"/>
      <c r="F7" s="114">
        <f>B14</f>
        <v>9.449107342567524E-2</v>
      </c>
      <c r="G7" s="113">
        <v>2.8509204592485314E-2</v>
      </c>
      <c r="H7" s="113">
        <v>3.0186216627337396E-2</v>
      </c>
      <c r="I7" s="113">
        <v>3.186322866218947E-2</v>
      </c>
      <c r="J7" s="113">
        <v>3.3540240697041548E-2</v>
      </c>
      <c r="K7" s="113">
        <v>3.5217252731893627E-2</v>
      </c>
      <c r="L7" s="113">
        <v>3.6894264766745705E-2</v>
      </c>
      <c r="M7" s="113">
        <v>3.8571276801597776E-2</v>
      </c>
      <c r="O7" s="441" t="str">
        <f>'Table of Contents'!J3</f>
        <v>Scenario 3: Bear Case</v>
      </c>
      <c r="P7" s="441">
        <f>B22</f>
        <v>0.10823335405951703</v>
      </c>
    </row>
    <row r="8" spans="1:21" ht="15.5" customHeight="1">
      <c r="A8" s="112" t="s">
        <v>201</v>
      </c>
      <c r="B8" s="174">
        <f>B5/B7</f>
        <v>3.8383768678166758E-2</v>
      </c>
      <c r="E8" s="653" t="s">
        <v>198</v>
      </c>
      <c r="F8" s="107">
        <v>8.2385383188309666E-2</v>
      </c>
      <c r="G8" s="106">
        <f t="dataTable" ref="G8:M14" dt2D="1" dtr="1" r1="B11" r2="B12"/>
        <v>8.0317412411823941E-2</v>
      </c>
      <c r="H8" s="106">
        <v>8.0381782453840214E-2</v>
      </c>
      <c r="I8" s="106">
        <v>8.0446152495856474E-2</v>
      </c>
      <c r="J8" s="106">
        <v>8.0510522537872733E-2</v>
      </c>
      <c r="K8" s="106">
        <v>8.0574892579888993E-2</v>
      </c>
      <c r="L8" s="106">
        <v>8.0639262621905267E-2</v>
      </c>
      <c r="M8" s="105">
        <v>8.0703632663921526E-2</v>
      </c>
      <c r="O8" s="441"/>
      <c r="P8" s="441"/>
    </row>
    <row r="9" spans="1:21" ht="17">
      <c r="A9" s="109" t="s">
        <v>200</v>
      </c>
      <c r="B9" s="175">
        <f>B6/B7</f>
        <v>0.96161623132183327</v>
      </c>
      <c r="E9" s="653"/>
      <c r="F9" s="107">
        <v>8.7231582199386717E-2</v>
      </c>
      <c r="G9" s="106">
        <v>8.4977596041091452E-2</v>
      </c>
      <c r="H9" s="106">
        <v>8.5041966083107726E-2</v>
      </c>
      <c r="I9" s="106">
        <v>8.5106336125123985E-2</v>
      </c>
      <c r="J9" s="106">
        <v>8.5170706167140245E-2</v>
      </c>
      <c r="K9" s="106">
        <v>8.5235076209156505E-2</v>
      </c>
      <c r="L9" s="106">
        <v>8.5299446251172778E-2</v>
      </c>
      <c r="M9" s="105">
        <v>8.5363816293189038E-2</v>
      </c>
      <c r="O9" s="441" t="s">
        <v>316</v>
      </c>
      <c r="P9" s="441"/>
    </row>
    <row r="10" spans="1:21">
      <c r="B10" s="108"/>
      <c r="E10" s="653"/>
      <c r="F10" s="107">
        <v>9.2077781210463755E-2</v>
      </c>
      <c r="G10" s="106">
        <v>8.963777967035895E-2</v>
      </c>
      <c r="H10" s="106">
        <v>8.9702149712375223E-2</v>
      </c>
      <c r="I10" s="106">
        <v>8.9766519754391483E-2</v>
      </c>
      <c r="J10" s="106">
        <v>8.9830889796407742E-2</v>
      </c>
      <c r="K10" s="106">
        <v>8.9895259838424002E-2</v>
      </c>
      <c r="L10" s="106">
        <v>8.9959629880440276E-2</v>
      </c>
      <c r="M10" s="105">
        <v>9.0023999922456535E-2</v>
      </c>
      <c r="O10" s="441" t="str">
        <f>'Table of Contents'!J1</f>
        <v>Scenario 1: Base Case</v>
      </c>
      <c r="P10" s="441">
        <f>B14</f>
        <v>9.449107342567524E-2</v>
      </c>
    </row>
    <row r="11" spans="1:21" ht="17">
      <c r="A11" s="111" t="s">
        <v>199</v>
      </c>
      <c r="B11" s="292">
        <f>'Cost of Debt'!B19</f>
        <v>3.3540240697041548E-2</v>
      </c>
      <c r="E11" s="653"/>
      <c r="F11" s="107">
        <v>9.6923980221540793E-2</v>
      </c>
      <c r="G11" s="106">
        <v>9.4297963299626447E-2</v>
      </c>
      <c r="H11" s="106">
        <v>9.4362333341642721E-2</v>
      </c>
      <c r="I11" s="106">
        <v>9.442670338365898E-2</v>
      </c>
      <c r="J11" s="110">
        <v>9.449107342567524E-2</v>
      </c>
      <c r="K11" s="106">
        <v>9.45554434676915E-2</v>
      </c>
      <c r="L11" s="106">
        <v>9.4619813509707773E-2</v>
      </c>
      <c r="M11" s="105">
        <v>9.4684183551724033E-2</v>
      </c>
      <c r="O11" s="441" t="str">
        <f>'Table of Contents'!J2</f>
        <v>Scenario 2: Bull Case</v>
      </c>
      <c r="P11" s="441">
        <f t="shared" ref="P11:P12" si="0">B15</f>
        <v>8.0317412411823941E-2</v>
      </c>
    </row>
    <row r="12" spans="1:21" ht="17">
      <c r="A12" s="109" t="s">
        <v>198</v>
      </c>
      <c r="B12" s="293">
        <f>'Cost of Equity'!N12</f>
        <v>9.6923980221540793E-2</v>
      </c>
      <c r="E12" s="653"/>
      <c r="F12" s="107">
        <v>0.10177017923261783</v>
      </c>
      <c r="G12" s="106">
        <v>9.8958146928893945E-2</v>
      </c>
      <c r="H12" s="106">
        <v>9.9022516970910218E-2</v>
      </c>
      <c r="I12" s="106">
        <v>9.9086887012926478E-2</v>
      </c>
      <c r="J12" s="106">
        <v>9.9151257054942737E-2</v>
      </c>
      <c r="K12" s="106">
        <v>9.9215627096958997E-2</v>
      </c>
      <c r="L12" s="106">
        <v>9.9279997138975271E-2</v>
      </c>
      <c r="M12" s="105">
        <v>9.934436718099153E-2</v>
      </c>
      <c r="O12" s="441" t="str">
        <f>'Table of Contents'!J3</f>
        <v>Scenario 3: Bear Case</v>
      </c>
      <c r="P12" s="441">
        <f t="shared" si="0"/>
        <v>0.10866473443952653</v>
      </c>
    </row>
    <row r="13" spans="1:21" s="12" customFormat="1" ht="16" thickBot="1">
      <c r="A13"/>
      <c r="B13" s="108"/>
      <c r="E13" s="653"/>
      <c r="F13" s="107">
        <v>0.10661637824369488</v>
      </c>
      <c r="G13" s="106">
        <v>0.10361833055816146</v>
      </c>
      <c r="H13" s="106">
        <v>0.10368270060017773</v>
      </c>
      <c r="I13" s="106">
        <v>0.10374707064219399</v>
      </c>
      <c r="J13" s="106">
        <v>0.10381144068421025</v>
      </c>
      <c r="K13" s="106">
        <v>0.10387581072622651</v>
      </c>
      <c r="L13" s="106">
        <v>0.10394018076824278</v>
      </c>
      <c r="M13" s="105">
        <v>0.10400455081025904</v>
      </c>
      <c r="N13"/>
      <c r="O13"/>
      <c r="P13"/>
      <c r="Q13"/>
      <c r="R13"/>
      <c r="S13"/>
      <c r="T13"/>
      <c r="U13"/>
    </row>
    <row r="14" spans="1:21" s="12" customFormat="1" ht="17">
      <c r="A14" s="281" t="s">
        <v>325</v>
      </c>
      <c r="B14" s="314">
        <f>B8*B11+B9*B12</f>
        <v>9.449107342567524E-2</v>
      </c>
      <c r="E14" s="653"/>
      <c r="F14" s="107">
        <v>0.11146257725477191</v>
      </c>
      <c r="G14" s="104">
        <v>0.10827851418742894</v>
      </c>
      <c r="H14" s="104">
        <v>0.10834288422944521</v>
      </c>
      <c r="I14" s="104">
        <v>0.10840725427146147</v>
      </c>
      <c r="J14" s="104">
        <v>0.10847162431347773</v>
      </c>
      <c r="K14" s="104">
        <v>0.10853599435549399</v>
      </c>
      <c r="L14" s="104">
        <v>0.10860036439751027</v>
      </c>
      <c r="M14" s="103">
        <v>0.10866473443952653</v>
      </c>
      <c r="N14"/>
      <c r="O14"/>
      <c r="P14"/>
      <c r="Q14"/>
      <c r="R14"/>
      <c r="S14"/>
      <c r="T14"/>
      <c r="U14"/>
    </row>
    <row r="15" spans="1:21" s="12" customFormat="1" ht="17">
      <c r="A15" s="282" t="s">
        <v>326</v>
      </c>
      <c r="B15" s="315">
        <f>MIN(G8:M14)</f>
        <v>8.0317412411823941E-2</v>
      </c>
      <c r="F15" s="545"/>
      <c r="G15" s="545">
        <v>0.85</v>
      </c>
      <c r="H15" s="545">
        <v>0.9</v>
      </c>
      <c r="I15" s="545">
        <v>0.95</v>
      </c>
      <c r="J15" s="545">
        <v>1</v>
      </c>
      <c r="K15" s="545">
        <v>1.05</v>
      </c>
      <c r="L15" s="545">
        <v>1.1000000000000001</v>
      </c>
      <c r="M15" s="546">
        <v>1.1499999999999999</v>
      </c>
      <c r="N15"/>
      <c r="O15"/>
      <c r="P15"/>
      <c r="Q15"/>
      <c r="R15"/>
      <c r="S15"/>
      <c r="T15"/>
      <c r="U15"/>
    </row>
    <row r="16" spans="1:21" s="12" customFormat="1" ht="17">
      <c r="A16" s="279" t="s">
        <v>327</v>
      </c>
      <c r="B16" s="316">
        <f>MAX(G8:M14)</f>
        <v>0.10866473443952653</v>
      </c>
      <c r="C16"/>
      <c r="D16"/>
      <c r="F16" s="545">
        <v>0.85</v>
      </c>
      <c r="G16" s="547"/>
      <c r="H16" s="547"/>
      <c r="I16" s="547"/>
      <c r="J16" s="547"/>
      <c r="K16" s="547"/>
      <c r="L16" s="547"/>
      <c r="M16" s="545"/>
      <c r="N16"/>
      <c r="O16"/>
      <c r="P16"/>
      <c r="Q16"/>
      <c r="R16"/>
      <c r="S16"/>
      <c r="T16"/>
      <c r="U16"/>
    </row>
    <row r="17" spans="1:13" s="187" customFormat="1" ht="6" customHeight="1">
      <c r="A17" s="180"/>
      <c r="B17" s="185"/>
      <c r="C17"/>
      <c r="D17"/>
      <c r="E17" s="186"/>
      <c r="F17" s="545">
        <v>0.9</v>
      </c>
      <c r="G17" s="545"/>
      <c r="H17" s="548"/>
      <c r="I17" s="549"/>
      <c r="J17" s="550"/>
      <c r="K17" s="550"/>
      <c r="L17" s="550"/>
      <c r="M17" s="550"/>
    </row>
    <row r="18" spans="1:13">
      <c r="A18" s="102" t="s">
        <v>197</v>
      </c>
      <c r="B18" s="295">
        <f>'Marginal Tax Rate'!K18</f>
        <v>0.29137263404808794</v>
      </c>
      <c r="F18" s="545">
        <v>0.95</v>
      </c>
      <c r="G18" s="442"/>
      <c r="H18" s="442"/>
      <c r="I18" s="551"/>
      <c r="J18" s="442"/>
      <c r="K18" s="442"/>
      <c r="L18" s="442"/>
      <c r="M18" s="442"/>
    </row>
    <row r="19" spans="1:13" s="187" customFormat="1" ht="6" customHeight="1" thickBot="1">
      <c r="A19" s="180"/>
      <c r="B19" s="185"/>
      <c r="C19"/>
      <c r="D19"/>
      <c r="E19" s="186"/>
      <c r="F19" s="545">
        <v>1</v>
      </c>
      <c r="G19" s="545"/>
      <c r="H19" s="548"/>
      <c r="I19" s="549"/>
      <c r="J19" s="550"/>
      <c r="K19" s="550"/>
      <c r="L19" s="550"/>
      <c r="M19" s="550"/>
    </row>
    <row r="20" spans="1:13">
      <c r="A20" s="281" t="s">
        <v>313</v>
      </c>
      <c r="B20" s="314">
        <f>B9*B12+B8*B11*(1-B18)</f>
        <v>9.4115960051753947E-2</v>
      </c>
      <c r="F20" s="545">
        <v>1.05</v>
      </c>
      <c r="G20" s="442"/>
      <c r="H20" s="442"/>
      <c r="I20" s="442"/>
      <c r="J20" s="442"/>
      <c r="K20" s="442"/>
      <c r="L20" s="442"/>
      <c r="M20" s="442"/>
    </row>
    <row r="21" spans="1:13">
      <c r="A21" s="282" t="s">
        <v>314</v>
      </c>
      <c r="B21" s="315">
        <f>B9*F8+B8*G7*(1-B18)</f>
        <v>7.9998566043990846E-2</v>
      </c>
      <c r="F21" s="545">
        <v>1.1000000000000001</v>
      </c>
      <c r="G21" s="442"/>
      <c r="H21" s="442"/>
      <c r="I21" s="442"/>
      <c r="J21" s="442"/>
      <c r="K21" s="442"/>
      <c r="L21" s="442"/>
      <c r="M21" s="442"/>
    </row>
    <row r="22" spans="1:13">
      <c r="A22" s="279" t="s">
        <v>315</v>
      </c>
      <c r="B22" s="316">
        <f>B9*F14+B8*M7*(1-B18)</f>
        <v>0.10823335405951703</v>
      </c>
      <c r="F22" s="546">
        <v>1.1499999999999999</v>
      </c>
      <c r="G22" s="442"/>
      <c r="H22" s="442"/>
      <c r="I22" s="442"/>
      <c r="J22" s="442"/>
      <c r="K22" s="442"/>
      <c r="L22" s="442"/>
      <c r="M22" s="442"/>
    </row>
    <row r="23" spans="1:13">
      <c r="A23" s="100" t="s">
        <v>196</v>
      </c>
      <c r="B23" s="100"/>
      <c r="F23" s="442"/>
      <c r="G23" s="442"/>
      <c r="H23" s="442"/>
      <c r="I23" s="442"/>
      <c r="J23" s="442"/>
      <c r="K23" s="442"/>
      <c r="L23" s="442"/>
      <c r="M23" s="442"/>
    </row>
  </sheetData>
  <mergeCells count="3">
    <mergeCell ref="E4:M4"/>
    <mergeCell ref="G6:M6"/>
    <mergeCell ref="E8:E14"/>
  </mergeCells>
  <conditionalFormatting sqref="G8:M10 K11:M14 G11:I14 J12:J14">
    <cfRule type="colorScale" priority="4">
      <colorScale>
        <cfvo type="min"/>
        <cfvo type="percentile" val="50"/>
        <cfvo type="max"/>
        <color theme="6" tint="0.79998168889431442"/>
        <color theme="6" tint="0.39997558519241921"/>
        <color theme="6" tint="-0.249977111117893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X32"/>
  <sheetViews>
    <sheetView showGridLines="0" zoomScaleNormal="100" workbookViewId="0">
      <pane ySplit="3" topLeftCell="A4" activePane="bottomLeft" state="frozen"/>
      <selection activeCell="F28" activeCellId="1" sqref="H23 F28"/>
      <selection pane="bottomLeft" activeCell="A7" sqref="A7"/>
    </sheetView>
  </sheetViews>
  <sheetFormatPr baseColWidth="10" defaultColWidth="8.83203125" defaultRowHeight="15"/>
  <cols>
    <col min="1" max="1" width="32.1640625" style="86" customWidth="1"/>
    <col min="2" max="2" width="13.1640625" style="86" customWidth="1"/>
    <col min="3" max="3" width="13.5" style="86" bestFit="1" customWidth="1"/>
    <col min="4" max="6" width="13.1640625" style="86" customWidth="1"/>
    <col min="7" max="7" width="2.83203125" style="183" customWidth="1"/>
    <col min="8" max="8" width="32.1640625" style="183" customWidth="1"/>
    <col min="9" max="13" width="13.1640625" style="183" customWidth="1"/>
    <col min="14" max="16384" width="8.83203125" style="183"/>
  </cols>
  <sheetData>
    <row r="1" spans="1:24" ht="30" customHeight="1">
      <c r="A1" s="85"/>
      <c r="B1" s="171"/>
    </row>
    <row r="2" spans="1:24" ht="21.5" customHeight="1">
      <c r="A2" s="6" t="s">
        <v>297</v>
      </c>
      <c r="B2" s="171"/>
    </row>
    <row r="3" spans="1:24">
      <c r="A3" s="88"/>
      <c r="B3" s="171"/>
      <c r="C3" s="89"/>
      <c r="D3" s="89"/>
      <c r="E3" s="89"/>
      <c r="F3" s="89"/>
    </row>
    <row r="4" spans="1:24" ht="16" thickBot="1">
      <c r="A4" s="123" t="s">
        <v>317</v>
      </c>
      <c r="B4" s="184"/>
      <c r="C4" s="184"/>
      <c r="D4" s="184"/>
      <c r="E4" s="184"/>
      <c r="F4" s="184"/>
      <c r="H4" s="123" t="s">
        <v>293</v>
      </c>
      <c r="I4" s="184"/>
      <c r="J4" s="184"/>
      <c r="K4" s="184"/>
      <c r="L4" s="184"/>
      <c r="M4" s="184"/>
    </row>
    <row r="5" spans="1:24" s="192" customFormat="1" ht="6.5" customHeight="1">
      <c r="A5" s="193"/>
      <c r="B5" s="18"/>
      <c r="C5" s="18"/>
      <c r="D5" s="18"/>
      <c r="E5" s="18"/>
      <c r="F5" s="18"/>
      <c r="G5" s="18"/>
      <c r="H5" s="193"/>
      <c r="I5" s="18"/>
      <c r="J5" s="18"/>
      <c r="K5" s="18"/>
      <c r="L5" s="18"/>
      <c r="M5" s="18"/>
      <c r="R5" s="197"/>
      <c r="X5" s="197"/>
    </row>
    <row r="6" spans="1:24">
      <c r="A6" s="205" t="s">
        <v>291</v>
      </c>
      <c r="B6" s="171"/>
      <c r="C6" s="90"/>
      <c r="D6" s="90"/>
      <c r="E6" s="90"/>
      <c r="F6" s="90"/>
      <c r="H6" s="206" t="s">
        <v>292</v>
      </c>
      <c r="I6" s="95"/>
      <c r="J6" s="95"/>
      <c r="K6" s="95"/>
      <c r="L6" s="95"/>
      <c r="M6" s="95"/>
    </row>
    <row r="7" spans="1:24" s="202" customFormat="1" ht="17.5" customHeight="1">
      <c r="A7" s="207" t="s">
        <v>160</v>
      </c>
      <c r="B7" s="172"/>
      <c r="C7" s="172"/>
      <c r="D7" s="172"/>
      <c r="E7" s="172"/>
      <c r="F7" s="172"/>
      <c r="G7" s="87"/>
      <c r="H7" s="207" t="s">
        <v>160</v>
      </c>
      <c r="I7" s="172"/>
      <c r="J7" s="208" t="s">
        <v>295</v>
      </c>
      <c r="K7" s="209">
        <f>INDEX(WACC!O5:P7,MATCH(DCF!H7,WACC!O5:O7,0),2)</f>
        <v>9.4115960051753947E-2</v>
      </c>
      <c r="L7" s="172"/>
      <c r="M7" s="172"/>
    </row>
    <row r="8" spans="1:24" s="192" customFormat="1" ht="6.5" customHeight="1">
      <c r="A8" s="193"/>
      <c r="B8" s="18"/>
      <c r="C8" s="18"/>
      <c r="D8" s="18"/>
      <c r="E8" s="18"/>
      <c r="F8" s="18"/>
      <c r="G8" s="18"/>
      <c r="H8" s="193"/>
      <c r="I8" s="18"/>
      <c r="J8" s="18"/>
      <c r="K8" s="18"/>
      <c r="L8" s="18"/>
      <c r="M8" s="18"/>
      <c r="R8" s="197"/>
      <c r="X8" s="197"/>
    </row>
    <row r="9" spans="1:24">
      <c r="A9" s="91" t="s">
        <v>136</v>
      </c>
      <c r="B9" s="92" t="s">
        <v>165</v>
      </c>
      <c r="C9" s="92" t="s">
        <v>166</v>
      </c>
      <c r="D9" s="92" t="s">
        <v>167</v>
      </c>
      <c r="E9" s="92" t="s">
        <v>168</v>
      </c>
      <c r="F9" s="93" t="s">
        <v>169</v>
      </c>
      <c r="H9" s="91" t="s">
        <v>136</v>
      </c>
      <c r="I9" s="92" t="s">
        <v>165</v>
      </c>
      <c r="J9" s="92" t="s">
        <v>166</v>
      </c>
      <c r="K9" s="92" t="s">
        <v>167</v>
      </c>
      <c r="L9" s="92" t="s">
        <v>168</v>
      </c>
      <c r="M9" s="93" t="s">
        <v>169</v>
      </c>
    </row>
    <row r="10" spans="1:24" s="87" customFormat="1" ht="6.5" customHeight="1">
      <c r="A10" s="200"/>
      <c r="B10" s="201"/>
      <c r="C10" s="201"/>
      <c r="D10" s="201"/>
      <c r="E10" s="201"/>
      <c r="F10" s="94"/>
      <c r="H10" s="200"/>
      <c r="I10" s="201"/>
      <c r="J10" s="201"/>
      <c r="K10" s="201"/>
      <c r="L10" s="201"/>
      <c r="M10" s="94"/>
    </row>
    <row r="11" spans="1:24" s="203" customFormat="1">
      <c r="A11" s="273" t="s">
        <v>312</v>
      </c>
      <c r="B11" s="274">
        <f t="array" ref="B11">INDEX('Free Cash Flows'!$D$22:$H$24,MATCH(DCF!$A$7,'Free Cash Flows'!$C$22:$C$24,0),MATCH(DCF!B9,'Free Cash Flows'!$D$21:$H$21,0))</f>
        <v>4867.6183443062973</v>
      </c>
      <c r="C11" s="274">
        <f t="array" ref="C11">INDEX('Free Cash Flows'!$D$22:$H$24,MATCH(DCF!$A$7,'Free Cash Flows'!$C$22:$C$24,0),MATCH(DCF!C9,'Free Cash Flows'!$D$21:$H$21,0))</f>
        <v>5251.431761179304</v>
      </c>
      <c r="D11" s="274">
        <f t="array" ref="D11">INDEX('Free Cash Flows'!$D$22:$H$24,MATCH(DCF!$A$7,'Free Cash Flows'!$C$22:$C$24,0),MATCH(DCF!D9,'Free Cash Flows'!$D$21:$H$21,0))</f>
        <v>5666.3934523269709</v>
      </c>
      <c r="E11" s="274">
        <f t="array" ref="E11">INDEX('Free Cash Flows'!$D$22:$H$24,MATCH(DCF!$A$7,'Free Cash Flows'!$C$22:$C$24,0),MATCH(DCF!E9,'Free Cash Flows'!$D$21:$H$21,0))</f>
        <v>6115.0278675010768</v>
      </c>
      <c r="F11" s="274">
        <f t="array" ref="F11">INDEX('Free Cash Flows'!$D$22:$H$24,MATCH(DCF!$A$7,'Free Cash Flows'!$C$22:$C$24,0),MATCH(DCF!F9,'Free Cash Flows'!$D$21:$H$21,0))</f>
        <v>6600.0639692434588</v>
      </c>
      <c r="H11" s="273" t="s">
        <v>191</v>
      </c>
      <c r="I11" s="274">
        <f>I14*B11</f>
        <v>4448.9053464461376</v>
      </c>
      <c r="J11" s="274">
        <f>J14*C11</f>
        <v>4386.8321746078527</v>
      </c>
      <c r="K11" s="274">
        <f>K14*D11</f>
        <v>4326.3003562959775</v>
      </c>
      <c r="L11" s="274">
        <f>L14*E11</f>
        <v>4267.2199399268911</v>
      </c>
      <c r="M11" s="274">
        <f>M14*F11</f>
        <v>4209.50838378156</v>
      </c>
    </row>
    <row r="12" spans="1:24" s="87" customFormat="1" ht="6.5" customHeight="1">
      <c r="A12" s="200"/>
      <c r="B12" s="201"/>
      <c r="C12" s="201"/>
      <c r="D12" s="201"/>
      <c r="E12" s="201"/>
      <c r="F12" s="94"/>
      <c r="H12" s="200"/>
      <c r="I12" s="201"/>
      <c r="J12" s="201"/>
      <c r="K12" s="201"/>
      <c r="L12" s="201"/>
      <c r="M12" s="94"/>
    </row>
    <row r="13" spans="1:24">
      <c r="A13" s="95"/>
      <c r="B13" s="176"/>
      <c r="C13" s="95"/>
      <c r="D13" s="95"/>
      <c r="E13" s="95"/>
      <c r="F13" s="95"/>
      <c r="H13" s="252" t="s">
        <v>189</v>
      </c>
      <c r="I13" s="265">
        <v>1</v>
      </c>
      <c r="J13" s="265">
        <f>I13+1</f>
        <v>2</v>
      </c>
      <c r="K13" s="265">
        <f>J13+1</f>
        <v>3</v>
      </c>
      <c r="L13" s="265">
        <f>K13+1</f>
        <v>4</v>
      </c>
      <c r="M13" s="265">
        <f>L13+1</f>
        <v>5</v>
      </c>
    </row>
    <row r="14" spans="1:24" ht="15" customHeight="1" thickBot="1">
      <c r="A14" s="123" t="s">
        <v>294</v>
      </c>
      <c r="B14" s="184"/>
      <c r="C14" s="184"/>
      <c r="D14" s="184"/>
      <c r="E14" s="184"/>
      <c r="F14" s="184"/>
      <c r="H14" s="254" t="s">
        <v>190</v>
      </c>
      <c r="I14" s="266">
        <f>1/((1+$K$7)^I13)</f>
        <v>0.91397990387846806</v>
      </c>
      <c r="J14" s="266">
        <f>1/((1+$K$7)^J13)</f>
        <v>0.8353592646936937</v>
      </c>
      <c r="K14" s="266">
        <f>1/((1+$K$7)^K13)</f>
        <v>0.76350158044872996</v>
      </c>
      <c r="L14" s="266">
        <f>1/((1+$K$7)^L13)</f>
        <v>0.69782510110958862</v>
      </c>
      <c r="M14" s="266">
        <f>1/((1+$K$7)^M13)</f>
        <v>0.63779811883612403</v>
      </c>
    </row>
    <row r="15" spans="1:24" s="192" customFormat="1" ht="6.5" customHeight="1">
      <c r="A15" s="193"/>
      <c r="B15" s="18"/>
      <c r="C15" s="18"/>
      <c r="D15" s="18"/>
      <c r="E15" s="18"/>
      <c r="F15" s="18"/>
      <c r="G15" s="18"/>
      <c r="R15" s="197"/>
      <c r="X15" s="197"/>
    </row>
    <row r="16" spans="1:24" s="11" customFormat="1">
      <c r="A16" s="213" t="s">
        <v>194</v>
      </c>
      <c r="B16" s="216">
        <f>DCF!F11</f>
        <v>6600.0639692434588</v>
      </c>
      <c r="C16" s="211"/>
      <c r="D16" s="211"/>
      <c r="E16" s="211"/>
      <c r="F16" s="211"/>
    </row>
    <row r="17" spans="1:24" s="86" customFormat="1" ht="16">
      <c r="A17" s="9" t="s">
        <v>301</v>
      </c>
      <c r="B17" s="219">
        <v>2.1999999999999999E-2</v>
      </c>
      <c r="C17" s="177"/>
      <c r="D17" s="183"/>
      <c r="E17" s="177"/>
      <c r="F17" s="177"/>
      <c r="G17" s="177"/>
      <c r="O17" s="95"/>
      <c r="P17" s="181"/>
      <c r="Q17" s="183"/>
      <c r="R17" s="183"/>
      <c r="S17" s="183"/>
      <c r="T17" s="89"/>
      <c r="U17" s="89"/>
      <c r="V17" s="89"/>
      <c r="W17" s="89"/>
    </row>
    <row r="18" spans="1:24" s="86" customFormat="1" ht="16">
      <c r="A18" s="9" t="s">
        <v>302</v>
      </c>
      <c r="B18" s="220">
        <v>3.8399999999999997E-2</v>
      </c>
      <c r="C18" s="177"/>
      <c r="D18" s="183"/>
      <c r="E18" s="177"/>
      <c r="F18" s="613"/>
      <c r="G18" s="613"/>
      <c r="H18" s="614"/>
      <c r="I18" s="614"/>
      <c r="J18" s="614"/>
      <c r="K18" s="614"/>
      <c r="L18" s="614"/>
      <c r="M18" s="614"/>
      <c r="N18" s="614"/>
      <c r="O18" s="95"/>
      <c r="P18" s="181"/>
      <c r="Q18" s="183"/>
      <c r="R18" s="183"/>
      <c r="S18" s="183"/>
      <c r="T18" s="89"/>
      <c r="U18" s="89"/>
      <c r="V18" s="89"/>
      <c r="W18" s="89"/>
    </row>
    <row r="19" spans="1:24" s="86" customFormat="1">
      <c r="A19" s="168" t="s">
        <v>298</v>
      </c>
      <c r="B19" s="220">
        <f>0.25*B17+0.75*B18</f>
        <v>3.4299999999999997E-2</v>
      </c>
      <c r="C19" s="177"/>
      <c r="D19" s="183"/>
      <c r="E19" s="177"/>
      <c r="F19" s="613"/>
      <c r="G19" s="613"/>
      <c r="H19" s="623"/>
      <c r="I19" s="614"/>
      <c r="J19" s="614"/>
      <c r="K19" s="614"/>
      <c r="L19" s="614"/>
      <c r="M19" s="614"/>
      <c r="N19" s="614"/>
      <c r="O19" s="95"/>
      <c r="P19" s="179"/>
      <c r="Q19" s="183"/>
      <c r="R19" s="183"/>
      <c r="S19" s="183"/>
      <c r="T19" s="89"/>
      <c r="U19" s="89"/>
      <c r="V19" s="89"/>
      <c r="W19" s="89"/>
    </row>
    <row r="20" spans="1:24" s="11" customFormat="1">
      <c r="A20" s="214" t="s">
        <v>192</v>
      </c>
      <c r="B20" s="217">
        <f>B16*(1+B19)/(K7-B19)</f>
        <v>114124.15946316223</v>
      </c>
      <c r="C20" s="211"/>
      <c r="D20" s="211"/>
      <c r="E20" s="211"/>
      <c r="F20" s="615"/>
      <c r="G20" s="616"/>
      <c r="H20" s="616"/>
      <c r="I20" s="616"/>
      <c r="J20" s="616"/>
      <c r="K20" s="616"/>
      <c r="L20" s="616"/>
      <c r="M20" s="616"/>
      <c r="N20" s="616"/>
      <c r="Q20" s="183"/>
      <c r="R20" s="183"/>
      <c r="S20" s="183"/>
    </row>
    <row r="21" spans="1:24" s="11" customFormat="1">
      <c r="A21" s="214" t="s">
        <v>195</v>
      </c>
      <c r="B21" s="217">
        <f>1/((1+DCF!K7)^DCF!M13)</f>
        <v>0.63779811883612403</v>
      </c>
      <c r="C21" s="211"/>
      <c r="D21" s="211"/>
      <c r="E21" s="211"/>
      <c r="F21" s="615"/>
      <c r="G21" s="616"/>
      <c r="H21" s="616"/>
      <c r="I21" s="616"/>
      <c r="J21" s="616"/>
      <c r="K21" s="616"/>
      <c r="L21" s="616"/>
      <c r="M21" s="616"/>
      <c r="N21" s="616"/>
    </row>
    <row r="22" spans="1:24" s="11" customFormat="1">
      <c r="A22" s="215" t="s">
        <v>318</v>
      </c>
      <c r="B22" s="218">
        <f>B20*B21</f>
        <v>72788.174219358712</v>
      </c>
      <c r="C22" s="211"/>
      <c r="D22" s="211"/>
      <c r="E22" s="211"/>
      <c r="F22" s="615"/>
      <c r="G22" s="616"/>
      <c r="H22" s="616"/>
      <c r="I22" s="616"/>
      <c r="J22" s="616"/>
      <c r="K22" s="616"/>
      <c r="L22" s="616"/>
      <c r="M22" s="616"/>
      <c r="N22" s="616"/>
    </row>
    <row r="23" spans="1:24" s="192" customFormat="1" ht="6.5" customHeight="1" thickBot="1">
      <c r="A23" s="193"/>
      <c r="B23" s="18"/>
      <c r="C23" s="18"/>
      <c r="D23" s="18"/>
      <c r="E23" s="18"/>
      <c r="F23" s="18"/>
      <c r="G23" s="18"/>
      <c r="H23" s="617"/>
      <c r="I23" s="18"/>
      <c r="J23" s="18"/>
      <c r="K23" s="18"/>
      <c r="L23" s="18"/>
      <c r="M23" s="18"/>
      <c r="N23" s="618"/>
      <c r="R23" s="197"/>
      <c r="X23" s="197"/>
    </row>
    <row r="24" spans="1:24" s="269" customFormat="1">
      <c r="A24" s="267" t="s">
        <v>344</v>
      </c>
      <c r="B24" s="268">
        <f>B22+DCF!I11+DCF!J11+DCF!K11+DCF!L11+DCF!M11</f>
        <v>94426.94042041713</v>
      </c>
      <c r="C24" s="305"/>
      <c r="D24" s="210"/>
      <c r="E24" s="627">
        <f>ROUND(((B26-'Share Prices'!F13)/'Share Prices'!F13),3)</f>
        <v>9.4E-2</v>
      </c>
      <c r="F24" s="619"/>
      <c r="G24" s="620"/>
      <c r="H24" s="620"/>
      <c r="I24" s="620"/>
      <c r="J24" s="620"/>
      <c r="K24" s="620"/>
      <c r="L24" s="620"/>
      <c r="M24" s="620"/>
      <c r="N24" s="620"/>
    </row>
    <row r="25" spans="1:24" s="87" customFormat="1" ht="6.5" customHeight="1" thickBot="1">
      <c r="A25" s="200"/>
      <c r="B25" s="201"/>
      <c r="C25" s="201"/>
      <c r="D25" s="201"/>
      <c r="E25" s="201"/>
      <c r="F25" s="94"/>
      <c r="G25" s="621"/>
      <c r="H25" s="200"/>
      <c r="I25" s="201"/>
      <c r="J25" s="201"/>
      <c r="K25" s="201"/>
      <c r="L25" s="201"/>
      <c r="M25" s="94"/>
      <c r="N25" s="621"/>
    </row>
    <row r="26" spans="1:24" s="269" customFormat="1">
      <c r="A26" s="267" t="s">
        <v>400</v>
      </c>
      <c r="B26" s="268">
        <f>B24/'Income Statement'!K45</f>
        <v>56.959187127770015</v>
      </c>
      <c r="C26" s="325" t="str">
        <f>IF(B26&gt;'Share Prices'!F13,CONCATENATE("undervalued by ",(E24*100),"%"),CONCATENATE("overvalued by ",((-1*E24)*100),"%"))</f>
        <v>undervalued by 9,4%</v>
      </c>
      <c r="D26" s="210"/>
      <c r="E26" s="210"/>
      <c r="F26" s="619"/>
      <c r="G26" s="620"/>
      <c r="H26" s="620"/>
      <c r="I26" s="620"/>
      <c r="J26" s="620"/>
      <c r="K26" s="620"/>
      <c r="L26" s="620"/>
      <c r="M26" s="620"/>
      <c r="N26" s="620"/>
    </row>
    <row r="27" spans="1:24" s="212" customFormat="1">
      <c r="A27" s="100" t="s">
        <v>196</v>
      </c>
      <c r="B27" s="100"/>
      <c r="C27" s="199"/>
      <c r="D27" s="199"/>
      <c r="E27" s="199"/>
      <c r="F27" s="522"/>
      <c r="G27" s="622"/>
      <c r="H27" s="622"/>
      <c r="I27" s="622"/>
      <c r="J27" s="622"/>
      <c r="K27" s="622"/>
      <c r="L27" s="622"/>
      <c r="M27" s="622"/>
      <c r="N27" s="622"/>
    </row>
    <row r="28" spans="1:24" s="212" customFormat="1">
      <c r="C28" s="199"/>
      <c r="D28" s="199"/>
      <c r="E28" s="199"/>
      <c r="F28" s="199"/>
    </row>
    <row r="29" spans="1:24" s="212" customFormat="1">
      <c r="A29" s="654" t="s">
        <v>345</v>
      </c>
      <c r="B29" s="654"/>
      <c r="C29" s="654"/>
      <c r="D29" s="654"/>
      <c r="E29" s="654"/>
      <c r="F29" s="654"/>
      <c r="I29" s="560">
        <v>93827.414507664202</v>
      </c>
      <c r="J29" s="560">
        <v>94426.94042041713</v>
      </c>
    </row>
    <row r="30" spans="1:24" s="212" customFormat="1">
      <c r="A30" s="655"/>
      <c r="B30" s="655"/>
      <c r="C30" s="655"/>
      <c r="D30" s="655"/>
      <c r="E30" s="655"/>
      <c r="F30" s="655"/>
      <c r="J30" s="212">
        <f>(J29-I29)/J29</f>
        <v>6.349098150206481E-3</v>
      </c>
    </row>
    <row r="31" spans="1:24">
      <c r="A31" s="655"/>
      <c r="B31" s="655"/>
      <c r="C31" s="655"/>
      <c r="D31" s="655"/>
      <c r="E31" s="655"/>
      <c r="F31" s="655"/>
    </row>
    <row r="32" spans="1:24">
      <c r="A32" s="655"/>
      <c r="B32" s="655"/>
      <c r="C32" s="655"/>
      <c r="D32" s="655"/>
      <c r="E32" s="655"/>
      <c r="F32" s="655"/>
      <c r="J32" s="183">
        <f>J29/I29</f>
        <v>1.006389666771687</v>
      </c>
    </row>
  </sheetData>
  <mergeCells count="1">
    <mergeCell ref="A29:F32"/>
  </mergeCells>
  <dataValidations count="2">
    <dataValidation type="list" allowBlank="1" showInputMessage="1" showErrorMessage="1" sqref="A7:A8 H7:I7" xr:uid="{00000000-0002-0000-0800-000000000000}">
      <formula1>ScenarioSelection</formula1>
    </dataValidation>
    <dataValidation type="custom" allowBlank="1" showInputMessage="1" showErrorMessage="1" error="Cells containing formulas cannot be changed." sqref="R19" xr:uid="{00000000-0002-0000-0800-000001000000}">
      <formula1>""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P1777"/>
  <sheetViews>
    <sheetView showGridLines="0" workbookViewId="0">
      <pane ySplit="12" topLeftCell="A13" activePane="bottomLeft" state="frozen"/>
      <selection pane="bottomLeft" activeCell="F13" sqref="F13"/>
    </sheetView>
  </sheetViews>
  <sheetFormatPr baseColWidth="10" defaultColWidth="8.83203125" defaultRowHeight="15"/>
  <cols>
    <col min="1" max="1" width="10.1640625" bestFit="1" customWidth="1"/>
    <col min="2" max="2" width="16" bestFit="1" customWidth="1"/>
    <col min="3" max="3" width="11.83203125" bestFit="1" customWidth="1"/>
    <col min="4" max="4" width="8.83203125" customWidth="1"/>
    <col min="5" max="5" width="10.1640625" bestFit="1" customWidth="1"/>
    <col min="6" max="6" width="17.1640625" customWidth="1"/>
    <col min="7" max="7" width="11.83203125" bestFit="1" customWidth="1"/>
    <col min="9" max="9" width="11.5" bestFit="1" customWidth="1"/>
    <col min="10" max="10" width="35.83203125" bestFit="1" customWidth="1"/>
    <col min="11" max="11" width="28.83203125" bestFit="1" customWidth="1"/>
    <col min="13" max="13" width="11.5" bestFit="1" customWidth="1"/>
    <col min="14" max="14" width="35.83203125" bestFit="1" customWidth="1"/>
    <col min="15" max="15" width="28.83203125" bestFit="1" customWidth="1"/>
  </cols>
  <sheetData>
    <row r="1" spans="1:16" s="31" customFormat="1" ht="30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6" s="31" customFormat="1" ht="20">
      <c r="A2" s="6" t="s">
        <v>588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6" s="31" customForma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6" s="31" customFormat="1" ht="16" thickBot="1">
      <c r="A4" s="517" t="s">
        <v>593</v>
      </c>
      <c r="B4" s="518"/>
      <c r="C4" s="518"/>
      <c r="D4" s="34"/>
      <c r="E4" s="517" t="s">
        <v>593</v>
      </c>
      <c r="F4" s="518"/>
      <c r="G4" s="518"/>
      <c r="H4" s="34"/>
      <c r="I4" s="519" t="s">
        <v>594</v>
      </c>
      <c r="J4" s="518"/>
      <c r="K4" s="518"/>
      <c r="M4" s="519" t="s">
        <v>594</v>
      </c>
      <c r="N4" s="518"/>
      <c r="O4" s="518"/>
    </row>
    <row r="5" spans="1:16">
      <c r="A5" s="12" t="s">
        <v>1</v>
      </c>
      <c r="B5" s="12" t="s">
        <v>10</v>
      </c>
      <c r="C5" s="12"/>
      <c r="E5" s="111" t="s">
        <v>1</v>
      </c>
      <c r="F5" s="111" t="s">
        <v>10</v>
      </c>
      <c r="G5" s="111"/>
      <c r="I5" t="s">
        <v>1</v>
      </c>
      <c r="J5" t="s">
        <v>10</v>
      </c>
      <c r="M5" t="s">
        <v>1</v>
      </c>
      <c r="N5" t="s">
        <v>10</v>
      </c>
    </row>
    <row r="6" spans="1:16">
      <c r="A6" s="12" t="s">
        <v>2</v>
      </c>
      <c r="B6" s="4">
        <v>36830</v>
      </c>
      <c r="C6" s="12"/>
      <c r="E6" s="12" t="s">
        <v>2</v>
      </c>
      <c r="F6" s="4">
        <v>40452</v>
      </c>
      <c r="G6" s="12"/>
      <c r="I6" t="s">
        <v>2</v>
      </c>
      <c r="J6" s="4">
        <v>36830</v>
      </c>
      <c r="M6" t="s">
        <v>2</v>
      </c>
      <c r="N6" s="4">
        <v>41183</v>
      </c>
    </row>
    <row r="7" spans="1:16">
      <c r="A7" s="12" t="s">
        <v>3</v>
      </c>
      <c r="B7" s="4">
        <v>43007</v>
      </c>
      <c r="C7" s="12"/>
      <c r="E7" s="12" t="s">
        <v>3</v>
      </c>
      <c r="F7" s="4">
        <v>43013</v>
      </c>
      <c r="G7" s="12"/>
      <c r="I7" t="s">
        <v>3</v>
      </c>
      <c r="J7" s="4">
        <v>43007</v>
      </c>
      <c r="M7" t="s">
        <v>3</v>
      </c>
      <c r="N7" s="4">
        <v>43027</v>
      </c>
    </row>
    <row r="8" spans="1:16">
      <c r="A8" s="12" t="s">
        <v>4</v>
      </c>
      <c r="B8" s="12" t="s">
        <v>589</v>
      </c>
      <c r="C8" s="12"/>
      <c r="E8" s="12" t="s">
        <v>4</v>
      </c>
      <c r="F8" s="12" t="s">
        <v>590</v>
      </c>
      <c r="G8" s="12"/>
      <c r="I8" t="s">
        <v>4</v>
      </c>
      <c r="J8" t="s">
        <v>589</v>
      </c>
      <c r="M8" t="s">
        <v>4</v>
      </c>
      <c r="N8" t="s">
        <v>590</v>
      </c>
    </row>
    <row r="9" spans="1:16">
      <c r="A9" s="109" t="s">
        <v>9</v>
      </c>
      <c r="B9" s="109" t="s">
        <v>8</v>
      </c>
      <c r="C9" s="109"/>
      <c r="E9" s="109" t="s">
        <v>9</v>
      </c>
      <c r="F9" s="109" t="s">
        <v>8</v>
      </c>
      <c r="G9" s="109"/>
      <c r="I9" t="s">
        <v>9</v>
      </c>
      <c r="J9" t="s">
        <v>8</v>
      </c>
      <c r="M9" t="s">
        <v>9</v>
      </c>
      <c r="N9" t="s">
        <v>8</v>
      </c>
    </row>
    <row r="10" spans="1:16">
      <c r="A10" s="52" t="s">
        <v>591</v>
      </c>
      <c r="B10" s="52" t="s">
        <v>592</v>
      </c>
      <c r="C10" s="52"/>
      <c r="E10" s="52" t="s">
        <v>591</v>
      </c>
      <c r="F10" s="52" t="s">
        <v>592</v>
      </c>
      <c r="G10" s="52"/>
      <c r="I10" s="52" t="s">
        <v>591</v>
      </c>
      <c r="J10" s="52" t="s">
        <v>592</v>
      </c>
      <c r="K10" s="52"/>
      <c r="M10" s="52" t="s">
        <v>591</v>
      </c>
      <c r="N10" s="52" t="s">
        <v>592</v>
      </c>
      <c r="O10" s="52"/>
    </row>
    <row r="12" spans="1:16">
      <c r="A12" s="516" t="s">
        <v>5</v>
      </c>
      <c r="B12" s="516" t="s">
        <v>6</v>
      </c>
      <c r="C12" s="516" t="s">
        <v>7</v>
      </c>
      <c r="E12" s="516" t="s">
        <v>5</v>
      </c>
      <c r="F12" s="516" t="s">
        <v>6</v>
      </c>
      <c r="G12" s="516" t="s">
        <v>7</v>
      </c>
      <c r="I12" s="516" t="s">
        <v>5</v>
      </c>
      <c r="J12" s="516" t="s">
        <v>305</v>
      </c>
      <c r="K12" s="516" t="s">
        <v>304</v>
      </c>
      <c r="M12" s="516" t="s">
        <v>5</v>
      </c>
      <c r="N12" s="516" t="s">
        <v>305</v>
      </c>
      <c r="O12" s="516" t="s">
        <v>304</v>
      </c>
      <c r="P12" s="516"/>
    </row>
    <row r="13" spans="1:16">
      <c r="A13" s="3">
        <v>43007</v>
      </c>
      <c r="B13">
        <v>51.85</v>
      </c>
      <c r="C13">
        <v>212311860</v>
      </c>
      <c r="E13" s="2">
        <v>43012</v>
      </c>
      <c r="F13">
        <v>52.08</v>
      </c>
      <c r="G13">
        <v>8204280</v>
      </c>
      <c r="I13" s="2">
        <v>36830</v>
      </c>
      <c r="J13">
        <v>4.9922000000000004</v>
      </c>
      <c r="K13">
        <v>4.9922000000000004</v>
      </c>
      <c r="M13" s="2">
        <v>43026</v>
      </c>
      <c r="N13">
        <v>55.665700000000001</v>
      </c>
      <c r="O13">
        <v>55.665700000000001</v>
      </c>
    </row>
    <row r="14" spans="1:16">
      <c r="A14" s="2">
        <v>42978</v>
      </c>
      <c r="B14">
        <v>52.81</v>
      </c>
      <c r="C14">
        <v>174951250</v>
      </c>
      <c r="E14" s="2">
        <v>43011</v>
      </c>
      <c r="F14">
        <v>51.47</v>
      </c>
      <c r="G14">
        <v>8126729</v>
      </c>
      <c r="I14" s="2">
        <v>36860</v>
      </c>
      <c r="J14">
        <v>5.3281000000000001</v>
      </c>
      <c r="K14">
        <v>5.3281000000000001</v>
      </c>
      <c r="M14" s="2">
        <v>43025</v>
      </c>
      <c r="N14">
        <v>55.346400000000003</v>
      </c>
      <c r="O14">
        <v>55.346400000000003</v>
      </c>
    </row>
    <row r="15" spans="1:16">
      <c r="A15" s="2">
        <v>42947</v>
      </c>
      <c r="B15">
        <v>59.05</v>
      </c>
      <c r="C15">
        <v>158127101</v>
      </c>
      <c r="E15" s="2">
        <v>43010</v>
      </c>
      <c r="F15">
        <v>51.87</v>
      </c>
      <c r="G15">
        <v>7516205</v>
      </c>
      <c r="I15" s="2">
        <v>36889</v>
      </c>
      <c r="J15">
        <v>6.9916</v>
      </c>
      <c r="K15">
        <v>6.9916</v>
      </c>
      <c r="M15" s="2">
        <v>43024</v>
      </c>
      <c r="N15">
        <v>54.675800000000002</v>
      </c>
      <c r="O15">
        <v>54.675800000000002</v>
      </c>
    </row>
    <row r="16" spans="1:16">
      <c r="A16" s="2">
        <v>42916</v>
      </c>
      <c r="B16">
        <v>59</v>
      </c>
      <c r="C16">
        <v>275425135</v>
      </c>
      <c r="E16" s="2">
        <v>43007</v>
      </c>
      <c r="F16">
        <v>51.85</v>
      </c>
      <c r="G16">
        <v>12189882</v>
      </c>
      <c r="I16" s="2">
        <v>36922</v>
      </c>
      <c r="J16">
        <v>6.8922999999999996</v>
      </c>
      <c r="K16">
        <v>6.8922999999999996</v>
      </c>
      <c r="M16" s="2">
        <v>43021</v>
      </c>
      <c r="N16">
        <v>54.2607</v>
      </c>
      <c r="O16">
        <v>54.2607</v>
      </c>
    </row>
    <row r="17" spans="1:15">
      <c r="A17" s="2">
        <v>42886</v>
      </c>
      <c r="B17">
        <v>52.99</v>
      </c>
      <c r="C17">
        <v>223448944</v>
      </c>
      <c r="E17" s="2">
        <v>43006</v>
      </c>
      <c r="F17">
        <v>52.63</v>
      </c>
      <c r="G17">
        <v>11334704</v>
      </c>
      <c r="I17" s="2">
        <v>36950</v>
      </c>
      <c r="J17">
        <v>4.8917000000000002</v>
      </c>
      <c r="K17">
        <v>4.8917000000000002</v>
      </c>
      <c r="M17" s="2">
        <v>43020</v>
      </c>
      <c r="N17">
        <v>54.101100000000002</v>
      </c>
      <c r="O17">
        <v>54.101100000000002</v>
      </c>
    </row>
    <row r="18" spans="1:15">
      <c r="A18" s="2">
        <v>42853</v>
      </c>
      <c r="B18">
        <v>55.41</v>
      </c>
      <c r="C18">
        <v>137922961</v>
      </c>
      <c r="E18" s="2">
        <v>43005</v>
      </c>
      <c r="F18">
        <v>52.67</v>
      </c>
      <c r="G18">
        <v>36202500</v>
      </c>
      <c r="I18" s="2">
        <v>36980</v>
      </c>
      <c r="J18">
        <v>5.0946999999999996</v>
      </c>
      <c r="K18">
        <v>5.0946999999999996</v>
      </c>
      <c r="M18" s="2">
        <v>43019</v>
      </c>
      <c r="N18">
        <v>54.313899999999997</v>
      </c>
      <c r="O18">
        <v>54.313899999999997</v>
      </c>
    </row>
    <row r="19" spans="1:15">
      <c r="A19" s="2">
        <v>42825</v>
      </c>
      <c r="B19">
        <v>55.73</v>
      </c>
      <c r="C19">
        <v>249523050</v>
      </c>
      <c r="E19" s="2">
        <v>43004</v>
      </c>
      <c r="F19">
        <v>53.7</v>
      </c>
      <c r="G19">
        <v>16183717</v>
      </c>
      <c r="I19" s="2">
        <v>37011</v>
      </c>
      <c r="J19">
        <v>5.2530000000000001</v>
      </c>
      <c r="K19">
        <v>5.2530000000000001</v>
      </c>
      <c r="M19" s="2">
        <v>43018</v>
      </c>
      <c r="N19">
        <v>54.8461</v>
      </c>
      <c r="O19">
        <v>54.8461</v>
      </c>
    </row>
    <row r="20" spans="1:15">
      <c r="A20" s="2">
        <v>42794</v>
      </c>
      <c r="B20">
        <v>57.16</v>
      </c>
      <c r="C20">
        <v>178369648</v>
      </c>
      <c r="E20" s="2">
        <v>43003</v>
      </c>
      <c r="F20">
        <v>53.23</v>
      </c>
      <c r="G20">
        <v>12262360</v>
      </c>
      <c r="I20" s="2">
        <v>37042</v>
      </c>
      <c r="J20">
        <v>5.1638000000000002</v>
      </c>
      <c r="K20">
        <v>5.1638000000000002</v>
      </c>
      <c r="M20" s="2">
        <v>43017</v>
      </c>
      <c r="N20">
        <v>54.835500000000003</v>
      </c>
      <c r="O20">
        <v>54.835500000000003</v>
      </c>
    </row>
    <row r="21" spans="1:15">
      <c r="A21" s="2">
        <v>42766</v>
      </c>
      <c r="B21">
        <v>52.9</v>
      </c>
      <c r="C21">
        <v>175931076</v>
      </c>
      <c r="E21" s="2">
        <v>43000</v>
      </c>
      <c r="F21">
        <v>53.24</v>
      </c>
      <c r="G21">
        <v>10962392</v>
      </c>
      <c r="I21" s="2">
        <v>37071</v>
      </c>
      <c r="J21">
        <v>5.2907000000000002</v>
      </c>
      <c r="K21">
        <v>5.2907000000000002</v>
      </c>
      <c r="M21" s="2">
        <v>43014</v>
      </c>
      <c r="N21">
        <v>55.793399999999998</v>
      </c>
      <c r="O21">
        <v>55.793399999999998</v>
      </c>
    </row>
    <row r="22" spans="1:15">
      <c r="A22" s="2">
        <v>42734</v>
      </c>
      <c r="B22">
        <v>50.83</v>
      </c>
      <c r="C22">
        <v>215471219</v>
      </c>
      <c r="E22" s="2">
        <v>42999</v>
      </c>
      <c r="F22">
        <v>53.19</v>
      </c>
      <c r="G22">
        <v>8065367</v>
      </c>
      <c r="I22" s="2">
        <v>37103</v>
      </c>
      <c r="J22">
        <v>5.9912000000000001</v>
      </c>
      <c r="K22">
        <v>5.9912000000000001</v>
      </c>
      <c r="M22" s="2">
        <v>43013</v>
      </c>
      <c r="N22">
        <v>55.5379</v>
      </c>
      <c r="O22">
        <v>55.5379</v>
      </c>
    </row>
    <row r="23" spans="1:15">
      <c r="A23" s="2">
        <v>42704</v>
      </c>
      <c r="B23">
        <v>50.07</v>
      </c>
      <c r="C23">
        <v>166220023</v>
      </c>
      <c r="E23" s="2">
        <v>42998</v>
      </c>
      <c r="F23">
        <v>53.56</v>
      </c>
      <c r="G23">
        <v>7058002</v>
      </c>
      <c r="I23" s="2">
        <v>37134</v>
      </c>
      <c r="J23">
        <v>6.2999000000000001</v>
      </c>
      <c r="K23">
        <v>6.2999000000000001</v>
      </c>
      <c r="M23" s="2">
        <v>43012</v>
      </c>
      <c r="N23">
        <v>55.4315</v>
      </c>
      <c r="O23">
        <v>55.4315</v>
      </c>
    </row>
    <row r="24" spans="1:15">
      <c r="A24" s="2">
        <v>42674</v>
      </c>
      <c r="B24">
        <v>50.18</v>
      </c>
      <c r="C24">
        <v>190327931</v>
      </c>
      <c r="E24" s="2">
        <v>42997</v>
      </c>
      <c r="F24">
        <v>53.33</v>
      </c>
      <c r="G24">
        <v>14707174</v>
      </c>
      <c r="I24" s="2">
        <v>37162</v>
      </c>
      <c r="J24">
        <v>5.9131</v>
      </c>
      <c r="K24">
        <v>5.9131</v>
      </c>
      <c r="M24" s="2">
        <v>43011</v>
      </c>
      <c r="N24">
        <v>54.782299999999999</v>
      </c>
      <c r="O24">
        <v>54.782299999999999</v>
      </c>
    </row>
    <row r="25" spans="1:15">
      <c r="A25" s="2">
        <v>42643</v>
      </c>
      <c r="B25">
        <v>52.65</v>
      </c>
      <c r="C25">
        <v>230973651</v>
      </c>
      <c r="E25" s="2">
        <v>42996</v>
      </c>
      <c r="F25">
        <v>53.5</v>
      </c>
      <c r="G25">
        <v>8166438</v>
      </c>
      <c r="I25" s="2">
        <v>37195</v>
      </c>
      <c r="J25">
        <v>6.2351999999999999</v>
      </c>
      <c r="K25">
        <v>6.2351999999999999</v>
      </c>
      <c r="M25" s="2">
        <v>43010</v>
      </c>
      <c r="N25">
        <v>55.207999999999998</v>
      </c>
      <c r="O25">
        <v>55.207999999999998</v>
      </c>
    </row>
    <row r="26" spans="1:15">
      <c r="A26" s="2">
        <v>42613</v>
      </c>
      <c r="B26">
        <v>57.64</v>
      </c>
      <c r="C26">
        <v>181042086</v>
      </c>
      <c r="E26" s="2">
        <v>42993</v>
      </c>
      <c r="F26">
        <v>53.87</v>
      </c>
      <c r="G26">
        <v>10046827</v>
      </c>
      <c r="I26" s="2">
        <v>37225</v>
      </c>
      <c r="J26">
        <v>6.6937999999999995</v>
      </c>
      <c r="K26">
        <v>6.6937999999999995</v>
      </c>
      <c r="M26" s="2">
        <v>43007</v>
      </c>
      <c r="N26">
        <v>55.186700000000002</v>
      </c>
      <c r="O26">
        <v>55.186700000000002</v>
      </c>
    </row>
    <row r="27" spans="1:15">
      <c r="A27" s="2">
        <v>42580</v>
      </c>
      <c r="B27">
        <v>55.5</v>
      </c>
      <c r="C27">
        <v>166877361</v>
      </c>
      <c r="E27" s="2">
        <v>42992</v>
      </c>
      <c r="F27">
        <v>53.73</v>
      </c>
      <c r="G27">
        <v>7497401</v>
      </c>
      <c r="I27" s="2">
        <v>37256</v>
      </c>
      <c r="J27">
        <v>7.1195000000000004</v>
      </c>
      <c r="K27">
        <v>7.1195000000000004</v>
      </c>
      <c r="M27" s="2">
        <v>43006</v>
      </c>
      <c r="N27">
        <v>56.0169</v>
      </c>
      <c r="O27">
        <v>56.0169</v>
      </c>
    </row>
    <row r="28" spans="1:15">
      <c r="A28" s="2">
        <v>42551</v>
      </c>
      <c r="B28">
        <v>55.2</v>
      </c>
      <c r="C28">
        <v>316786140</v>
      </c>
      <c r="E28" s="2">
        <v>42991</v>
      </c>
      <c r="F28">
        <v>53.52</v>
      </c>
      <c r="G28">
        <v>6085952</v>
      </c>
      <c r="I28" s="2">
        <v>37287</v>
      </c>
      <c r="J28">
        <v>7.5841000000000003</v>
      </c>
      <c r="K28">
        <v>7.5841000000000003</v>
      </c>
      <c r="M28" s="2">
        <v>43005</v>
      </c>
      <c r="N28">
        <v>56.0595</v>
      </c>
      <c r="O28">
        <v>56.0595</v>
      </c>
    </row>
    <row r="29" spans="1:15">
      <c r="A29" s="2">
        <v>42521</v>
      </c>
      <c r="B29">
        <v>55.22</v>
      </c>
      <c r="C29">
        <v>192374924</v>
      </c>
      <c r="E29" s="2">
        <v>42990</v>
      </c>
      <c r="F29">
        <v>53.4</v>
      </c>
      <c r="G29">
        <v>7823691</v>
      </c>
      <c r="I29" s="2">
        <v>37315</v>
      </c>
      <c r="J29">
        <v>7.4511000000000003</v>
      </c>
      <c r="K29">
        <v>7.4511000000000003</v>
      </c>
      <c r="M29" s="2">
        <v>43004</v>
      </c>
      <c r="N29">
        <v>57.155799999999999</v>
      </c>
      <c r="O29">
        <v>57.155799999999999</v>
      </c>
    </row>
    <row r="30" spans="1:15">
      <c r="A30" s="2">
        <v>42489</v>
      </c>
      <c r="B30">
        <v>58.94</v>
      </c>
      <c r="C30">
        <v>178121773</v>
      </c>
      <c r="E30" s="2">
        <v>42989</v>
      </c>
      <c r="F30">
        <v>53.03</v>
      </c>
      <c r="G30">
        <v>8649915</v>
      </c>
      <c r="I30" s="2">
        <v>37343</v>
      </c>
      <c r="J30">
        <v>7.6119000000000003</v>
      </c>
      <c r="K30">
        <v>7.6119000000000003</v>
      </c>
      <c r="M30" s="2">
        <v>43003</v>
      </c>
      <c r="N30">
        <v>56.655500000000004</v>
      </c>
      <c r="O30">
        <v>56.655500000000004</v>
      </c>
    </row>
    <row r="31" spans="1:15">
      <c r="A31" s="2">
        <v>42460</v>
      </c>
      <c r="B31">
        <v>61.47</v>
      </c>
      <c r="C31">
        <v>230587076</v>
      </c>
      <c r="E31" s="2">
        <v>42986</v>
      </c>
      <c r="F31">
        <v>52.2</v>
      </c>
      <c r="G31">
        <v>8563283</v>
      </c>
      <c r="I31" s="2">
        <v>37376</v>
      </c>
      <c r="J31">
        <v>6.7645999999999997</v>
      </c>
      <c r="K31">
        <v>6.7645999999999997</v>
      </c>
      <c r="M31" s="2">
        <v>43000</v>
      </c>
      <c r="N31">
        <v>56.666200000000003</v>
      </c>
      <c r="O31">
        <v>56.666200000000003</v>
      </c>
    </row>
    <row r="32" spans="1:15">
      <c r="A32" s="2">
        <v>42429</v>
      </c>
      <c r="B32">
        <v>61.59</v>
      </c>
      <c r="C32">
        <v>211308102</v>
      </c>
      <c r="E32" s="2">
        <v>42985</v>
      </c>
      <c r="F32">
        <v>52.39</v>
      </c>
      <c r="G32">
        <v>6905762</v>
      </c>
      <c r="I32" s="2">
        <v>37407</v>
      </c>
      <c r="J32">
        <v>6.8178999999999998</v>
      </c>
      <c r="K32">
        <v>6.8178999999999998</v>
      </c>
      <c r="M32" s="2">
        <v>42999</v>
      </c>
      <c r="N32">
        <v>56.612900000000003</v>
      </c>
      <c r="O32">
        <v>56.612900000000003</v>
      </c>
    </row>
    <row r="33" spans="1:15">
      <c r="A33" s="2">
        <v>42398</v>
      </c>
      <c r="B33">
        <v>62.01</v>
      </c>
      <c r="C33">
        <v>201105045</v>
      </c>
      <c r="E33" s="2">
        <v>42984</v>
      </c>
      <c r="F33">
        <v>52.76</v>
      </c>
      <c r="G33">
        <v>7407562</v>
      </c>
      <c r="I33" s="2">
        <v>37435</v>
      </c>
      <c r="J33">
        <v>6.8204000000000002</v>
      </c>
      <c r="K33">
        <v>6.8204000000000002</v>
      </c>
      <c r="M33" s="2">
        <v>42998</v>
      </c>
      <c r="N33">
        <v>57.006799999999998</v>
      </c>
      <c r="O33">
        <v>57.006799999999998</v>
      </c>
    </row>
    <row r="34" spans="1:15">
      <c r="A34" s="2">
        <v>42369</v>
      </c>
      <c r="B34">
        <v>62.5</v>
      </c>
      <c r="C34">
        <v>234857660</v>
      </c>
      <c r="E34" s="2">
        <v>42983</v>
      </c>
      <c r="F34">
        <v>53.01</v>
      </c>
      <c r="G34">
        <v>6689126</v>
      </c>
      <c r="I34" s="2">
        <v>37468</v>
      </c>
      <c r="J34">
        <v>6.2660999999999998</v>
      </c>
      <c r="K34">
        <v>6.2660999999999998</v>
      </c>
      <c r="M34" s="2">
        <v>42997</v>
      </c>
      <c r="N34">
        <v>56.762</v>
      </c>
      <c r="O34">
        <v>56.762</v>
      </c>
    </row>
    <row r="35" spans="1:15">
      <c r="A35" s="2">
        <v>42338</v>
      </c>
      <c r="B35">
        <v>66.14</v>
      </c>
      <c r="C35">
        <v>163168148</v>
      </c>
      <c r="E35" s="2">
        <v>42979</v>
      </c>
      <c r="F35">
        <v>53.36</v>
      </c>
      <c r="G35">
        <v>5509805</v>
      </c>
      <c r="I35" s="2">
        <v>37498</v>
      </c>
      <c r="J35">
        <v>5.4893999999999998</v>
      </c>
      <c r="K35">
        <v>5.4893999999999998</v>
      </c>
      <c r="M35" s="2">
        <v>42996</v>
      </c>
      <c r="N35">
        <v>56.942900000000002</v>
      </c>
      <c r="O35">
        <v>56.942900000000002</v>
      </c>
    </row>
    <row r="36" spans="1:15">
      <c r="A36" s="2">
        <v>42307</v>
      </c>
      <c r="B36">
        <v>65.515000000000001</v>
      </c>
      <c r="C36">
        <v>177931480</v>
      </c>
      <c r="E36" s="2">
        <v>42978</v>
      </c>
      <c r="F36">
        <v>52.81</v>
      </c>
      <c r="G36">
        <v>7728916</v>
      </c>
      <c r="I36" s="2">
        <v>37529</v>
      </c>
      <c r="J36">
        <v>5.5045999999999999</v>
      </c>
      <c r="K36">
        <v>5.5045999999999999</v>
      </c>
      <c r="M36" s="2">
        <v>42993</v>
      </c>
      <c r="N36">
        <v>57.3367</v>
      </c>
      <c r="O36">
        <v>57.3367</v>
      </c>
    </row>
    <row r="37" spans="1:15">
      <c r="A37" s="2">
        <v>42277</v>
      </c>
      <c r="B37">
        <v>61.484999999999999</v>
      </c>
      <c r="C37">
        <v>222223410</v>
      </c>
      <c r="E37" s="2">
        <v>42977</v>
      </c>
      <c r="F37">
        <v>52.56</v>
      </c>
      <c r="G37">
        <v>7434491</v>
      </c>
      <c r="I37" s="2">
        <v>37560</v>
      </c>
      <c r="J37">
        <v>6.0157999999999996</v>
      </c>
      <c r="K37">
        <v>6.0157999999999996</v>
      </c>
      <c r="M37" s="2">
        <v>42992</v>
      </c>
      <c r="N37">
        <v>57.1877</v>
      </c>
      <c r="O37">
        <v>57.1877</v>
      </c>
    </row>
    <row r="38" spans="1:15">
      <c r="A38" s="2">
        <v>42247</v>
      </c>
      <c r="B38">
        <v>55.875</v>
      </c>
      <c r="C38">
        <v>169809456</v>
      </c>
      <c r="E38" s="2">
        <v>42976</v>
      </c>
      <c r="F38">
        <v>52.73</v>
      </c>
      <c r="G38">
        <v>12539931</v>
      </c>
      <c r="I38" s="2">
        <v>37589</v>
      </c>
      <c r="J38">
        <v>5.7085999999999997</v>
      </c>
      <c r="K38">
        <v>5.7085999999999997</v>
      </c>
      <c r="M38" s="2">
        <v>42991</v>
      </c>
      <c r="N38">
        <v>56.964199999999998</v>
      </c>
      <c r="O38">
        <v>56.964199999999998</v>
      </c>
    </row>
    <row r="39" spans="1:15">
      <c r="A39" s="2">
        <v>42216</v>
      </c>
      <c r="B39">
        <v>57.61</v>
      </c>
      <c r="C39">
        <v>126941414</v>
      </c>
      <c r="E39" s="2">
        <v>42975</v>
      </c>
      <c r="F39">
        <v>53.73</v>
      </c>
      <c r="G39">
        <v>5269393</v>
      </c>
      <c r="I39" s="2">
        <v>37621</v>
      </c>
      <c r="J39">
        <v>5.6868999999999996</v>
      </c>
      <c r="K39">
        <v>5.6868999999999996</v>
      </c>
      <c r="M39" s="2">
        <v>42990</v>
      </c>
      <c r="N39">
        <v>56.836500000000001</v>
      </c>
      <c r="O39">
        <v>56.836500000000001</v>
      </c>
    </row>
    <row r="40" spans="1:15">
      <c r="A40" s="2">
        <v>42185</v>
      </c>
      <c r="B40">
        <v>54.01</v>
      </c>
      <c r="C40">
        <v>137113666</v>
      </c>
      <c r="E40" s="2">
        <v>42972</v>
      </c>
      <c r="F40">
        <v>53.9</v>
      </c>
      <c r="G40">
        <v>6416622</v>
      </c>
      <c r="I40" s="2">
        <v>37652</v>
      </c>
      <c r="J40">
        <v>5.6959</v>
      </c>
      <c r="K40">
        <v>5.6959</v>
      </c>
      <c r="M40" s="2">
        <v>42989</v>
      </c>
      <c r="N40">
        <v>56.442700000000002</v>
      </c>
      <c r="O40">
        <v>56.442700000000002</v>
      </c>
    </row>
    <row r="41" spans="1:15">
      <c r="A41" s="2">
        <v>42153</v>
      </c>
      <c r="B41">
        <v>50.835000000000001</v>
      </c>
      <c r="C41">
        <v>114085382</v>
      </c>
      <c r="E41" s="2">
        <v>42971</v>
      </c>
      <c r="F41">
        <v>53.84</v>
      </c>
      <c r="G41">
        <v>5461911</v>
      </c>
      <c r="I41" s="2">
        <v>37680</v>
      </c>
      <c r="J41">
        <v>5.9298999999999999</v>
      </c>
      <c r="K41">
        <v>5.9298999999999999</v>
      </c>
      <c r="M41" s="2">
        <v>42986</v>
      </c>
      <c r="N41">
        <v>55.559199999999997</v>
      </c>
      <c r="O41">
        <v>55.559199999999997</v>
      </c>
    </row>
    <row r="42" spans="1:15">
      <c r="A42" s="2">
        <v>42124</v>
      </c>
      <c r="B42">
        <v>49.42</v>
      </c>
      <c r="C42">
        <v>112486506</v>
      </c>
      <c r="E42" s="2">
        <v>42970</v>
      </c>
      <c r="F42">
        <v>53.61</v>
      </c>
      <c r="G42">
        <v>6409366</v>
      </c>
      <c r="I42" s="2">
        <v>37711</v>
      </c>
      <c r="J42">
        <v>6.5936000000000003</v>
      </c>
      <c r="K42">
        <v>6.5936000000000003</v>
      </c>
      <c r="M42" s="2">
        <v>42985</v>
      </c>
      <c r="N42">
        <v>55.761499999999998</v>
      </c>
      <c r="O42">
        <v>55.761499999999998</v>
      </c>
    </row>
    <row r="43" spans="1:15">
      <c r="A43" s="2">
        <v>42094</v>
      </c>
      <c r="B43">
        <v>50.164999999999999</v>
      </c>
      <c r="C43">
        <v>189358694</v>
      </c>
      <c r="E43" s="2">
        <v>42969</v>
      </c>
      <c r="F43">
        <v>54.13</v>
      </c>
      <c r="G43">
        <v>8212816</v>
      </c>
      <c r="I43" s="2">
        <v>37741</v>
      </c>
      <c r="J43">
        <v>6.8642000000000003</v>
      </c>
      <c r="K43">
        <v>6.8642000000000003</v>
      </c>
      <c r="M43" s="2">
        <v>42984</v>
      </c>
      <c r="N43">
        <v>56.155299999999997</v>
      </c>
      <c r="O43">
        <v>56.155299999999997</v>
      </c>
    </row>
    <row r="44" spans="1:15">
      <c r="A44" s="2">
        <v>42062</v>
      </c>
      <c r="B44">
        <v>48.56</v>
      </c>
      <c r="C44">
        <v>138933154</v>
      </c>
      <c r="E44" s="2">
        <v>42968</v>
      </c>
      <c r="F44">
        <v>53.61</v>
      </c>
      <c r="G44">
        <v>14289253</v>
      </c>
      <c r="I44" s="2">
        <v>37771</v>
      </c>
      <c r="J44">
        <v>7.1795999999999998</v>
      </c>
      <c r="K44">
        <v>7.1795999999999998</v>
      </c>
      <c r="M44" s="2">
        <v>42983</v>
      </c>
      <c r="N44">
        <v>56.421399999999998</v>
      </c>
      <c r="O44">
        <v>56.421399999999998</v>
      </c>
    </row>
    <row r="45" spans="1:15">
      <c r="A45" s="2">
        <v>42034</v>
      </c>
      <c r="B45">
        <v>46.125</v>
      </c>
      <c r="C45">
        <v>130925134</v>
      </c>
      <c r="E45" s="2">
        <v>42965</v>
      </c>
      <c r="F45">
        <v>54.95</v>
      </c>
      <c r="G45">
        <v>22905183</v>
      </c>
      <c r="I45" s="2">
        <v>37802</v>
      </c>
      <c r="J45">
        <v>6.8769999999999998</v>
      </c>
      <c r="K45">
        <v>6.8769999999999998</v>
      </c>
      <c r="M45" s="2">
        <v>42979</v>
      </c>
      <c r="N45">
        <v>56.793900000000001</v>
      </c>
      <c r="O45">
        <v>56.793900000000001</v>
      </c>
    </row>
    <row r="46" spans="1:15">
      <c r="A46" s="2">
        <v>42004</v>
      </c>
      <c r="B46">
        <v>48.075000000000003</v>
      </c>
      <c r="C46">
        <v>168756462</v>
      </c>
      <c r="E46" s="2">
        <v>42964</v>
      </c>
      <c r="F46">
        <v>57.46</v>
      </c>
      <c r="G46">
        <v>9148637</v>
      </c>
      <c r="I46" s="2">
        <v>37833</v>
      </c>
      <c r="J46">
        <v>6.6520000000000001</v>
      </c>
      <c r="K46">
        <v>6.6520000000000001</v>
      </c>
      <c r="M46" s="2">
        <v>42978</v>
      </c>
      <c r="N46">
        <v>56.208500000000001</v>
      </c>
      <c r="O46">
        <v>56.208500000000001</v>
      </c>
    </row>
    <row r="47" spans="1:15">
      <c r="A47" s="2">
        <v>41971</v>
      </c>
      <c r="B47">
        <v>49.645000000000003</v>
      </c>
      <c r="C47">
        <v>99490536</v>
      </c>
      <c r="E47" s="2">
        <v>42963</v>
      </c>
      <c r="F47">
        <v>58.54</v>
      </c>
      <c r="G47">
        <v>5489569</v>
      </c>
      <c r="I47" s="2">
        <v>37862</v>
      </c>
      <c r="J47">
        <v>7.3257000000000003</v>
      </c>
      <c r="K47">
        <v>7.3257000000000003</v>
      </c>
      <c r="M47" s="2">
        <v>42977</v>
      </c>
      <c r="N47">
        <v>55.752400000000002</v>
      </c>
      <c r="O47">
        <v>55.752400000000002</v>
      </c>
    </row>
    <row r="48" spans="1:15">
      <c r="A48" s="2">
        <v>41943</v>
      </c>
      <c r="B48">
        <v>46.484999999999999</v>
      </c>
      <c r="C48">
        <v>183668614</v>
      </c>
      <c r="E48" s="2">
        <v>42962</v>
      </c>
      <c r="F48">
        <v>58.56</v>
      </c>
      <c r="G48">
        <v>8913041</v>
      </c>
      <c r="I48" s="2">
        <v>37894</v>
      </c>
      <c r="J48">
        <v>7.8373999999999997</v>
      </c>
      <c r="K48">
        <v>7.8373999999999997</v>
      </c>
      <c r="M48" s="2">
        <v>42976</v>
      </c>
      <c r="N48">
        <v>55.932699999999997</v>
      </c>
      <c r="O48">
        <v>55.932699999999997</v>
      </c>
    </row>
    <row r="49" spans="1:15">
      <c r="A49" s="2">
        <v>41912</v>
      </c>
      <c r="B49">
        <v>44.6</v>
      </c>
      <c r="C49">
        <v>217293062</v>
      </c>
      <c r="E49" s="2">
        <v>42961</v>
      </c>
      <c r="F49">
        <v>59.78</v>
      </c>
      <c r="G49">
        <v>5899971</v>
      </c>
      <c r="I49" s="2">
        <v>37925</v>
      </c>
      <c r="J49">
        <v>8.2342999999999993</v>
      </c>
      <c r="K49">
        <v>8.2342999999999993</v>
      </c>
      <c r="M49" s="2">
        <v>42975</v>
      </c>
      <c r="N49">
        <v>56.993400000000001</v>
      </c>
      <c r="O49">
        <v>56.993400000000001</v>
      </c>
    </row>
    <row r="50" spans="1:15">
      <c r="A50" s="2">
        <v>41880</v>
      </c>
      <c r="B50">
        <v>39.274999999999999</v>
      </c>
      <c r="C50">
        <v>115394840</v>
      </c>
      <c r="E50" s="2">
        <v>42958</v>
      </c>
      <c r="F50">
        <v>58.97</v>
      </c>
      <c r="G50">
        <v>4979994</v>
      </c>
      <c r="I50" s="2">
        <v>37953</v>
      </c>
      <c r="J50">
        <v>8.6660000000000004</v>
      </c>
      <c r="K50">
        <v>8.6660000000000004</v>
      </c>
      <c r="M50" s="2">
        <v>42972</v>
      </c>
      <c r="N50">
        <v>57.1738</v>
      </c>
      <c r="O50">
        <v>57.1738</v>
      </c>
    </row>
    <row r="51" spans="1:15">
      <c r="A51" s="2">
        <v>41851</v>
      </c>
      <c r="B51">
        <v>38.564999999999998</v>
      </c>
      <c r="C51">
        <v>134547794</v>
      </c>
      <c r="E51" s="2">
        <v>42957</v>
      </c>
      <c r="F51">
        <v>59.07</v>
      </c>
      <c r="G51">
        <v>5585115</v>
      </c>
      <c r="I51" s="2">
        <v>37986</v>
      </c>
      <c r="J51">
        <v>8.8476999999999997</v>
      </c>
      <c r="K51">
        <v>8.8476999999999997</v>
      </c>
      <c r="M51" s="2">
        <v>42971</v>
      </c>
      <c r="N51">
        <v>57.110100000000003</v>
      </c>
      <c r="O51">
        <v>57.110100000000003</v>
      </c>
    </row>
    <row r="52" spans="1:15">
      <c r="A52" s="2">
        <v>41820</v>
      </c>
      <c r="B52">
        <v>38.774999999999999</v>
      </c>
      <c r="C52">
        <v>165365616</v>
      </c>
      <c r="E52" s="2">
        <v>42956</v>
      </c>
      <c r="F52">
        <v>59.9</v>
      </c>
      <c r="G52">
        <v>5310944</v>
      </c>
      <c r="I52" s="2">
        <v>38016</v>
      </c>
      <c r="J52">
        <v>9.0028000000000006</v>
      </c>
      <c r="K52">
        <v>9.0028000000000006</v>
      </c>
      <c r="M52" s="2">
        <v>42970</v>
      </c>
      <c r="N52">
        <v>56.866100000000003</v>
      </c>
      <c r="O52">
        <v>56.866100000000003</v>
      </c>
    </row>
    <row r="53" spans="1:15">
      <c r="A53" s="2">
        <v>41789</v>
      </c>
      <c r="B53">
        <v>38.454999999999998</v>
      </c>
      <c r="C53">
        <v>113466430</v>
      </c>
      <c r="E53" s="2">
        <v>42955</v>
      </c>
      <c r="F53">
        <v>59.46</v>
      </c>
      <c r="G53">
        <v>5586439</v>
      </c>
      <c r="I53" s="2">
        <v>38044</v>
      </c>
      <c r="J53">
        <v>9.4666999999999994</v>
      </c>
      <c r="K53">
        <v>9.4666999999999994</v>
      </c>
      <c r="M53" s="2">
        <v>42969</v>
      </c>
      <c r="N53">
        <v>57.417700000000004</v>
      </c>
      <c r="O53">
        <v>57.417700000000004</v>
      </c>
    </row>
    <row r="54" spans="1:15">
      <c r="A54" s="2">
        <v>41759</v>
      </c>
      <c r="B54">
        <v>36.475000000000001</v>
      </c>
      <c r="C54">
        <v>166182204</v>
      </c>
      <c r="E54" s="2">
        <v>42954</v>
      </c>
      <c r="F54">
        <v>59.79</v>
      </c>
      <c r="G54">
        <v>4066712</v>
      </c>
      <c r="I54" s="2">
        <v>38077</v>
      </c>
      <c r="J54">
        <v>10.089700000000001</v>
      </c>
      <c r="K54">
        <v>10.089700000000001</v>
      </c>
      <c r="M54" s="2">
        <v>42968</v>
      </c>
      <c r="N54">
        <v>56.866100000000003</v>
      </c>
      <c r="O54">
        <v>56.866100000000003</v>
      </c>
    </row>
    <row r="55" spans="1:15">
      <c r="A55" s="2">
        <v>41729</v>
      </c>
      <c r="B55">
        <v>36.93</v>
      </c>
      <c r="C55">
        <v>178570846</v>
      </c>
      <c r="E55" s="2">
        <v>42951</v>
      </c>
      <c r="F55">
        <v>59.76</v>
      </c>
      <c r="G55">
        <v>4105953</v>
      </c>
      <c r="I55" s="2">
        <v>38107</v>
      </c>
      <c r="J55">
        <v>9.3225999999999996</v>
      </c>
      <c r="K55">
        <v>9.3225999999999996</v>
      </c>
      <c r="M55" s="2">
        <v>42965</v>
      </c>
      <c r="N55">
        <v>58.287500000000001</v>
      </c>
      <c r="O55">
        <v>58.287500000000001</v>
      </c>
    </row>
    <row r="56" spans="1:15">
      <c r="A56" s="2">
        <v>41698</v>
      </c>
      <c r="B56">
        <v>39.15</v>
      </c>
      <c r="C56">
        <v>137175532</v>
      </c>
      <c r="E56" s="2">
        <v>42950</v>
      </c>
      <c r="F56">
        <v>60.14</v>
      </c>
      <c r="G56">
        <v>5677172</v>
      </c>
      <c r="I56" s="2">
        <v>38135</v>
      </c>
      <c r="J56">
        <v>9.2189999999999994</v>
      </c>
      <c r="K56">
        <v>9.2189999999999994</v>
      </c>
      <c r="M56" s="2">
        <v>42964</v>
      </c>
      <c r="N56">
        <v>60.95</v>
      </c>
      <c r="O56">
        <v>60.95</v>
      </c>
    </row>
    <row r="57" spans="1:15">
      <c r="A57" s="2">
        <v>41670</v>
      </c>
      <c r="B57">
        <v>36.424999999999997</v>
      </c>
      <c r="C57">
        <v>168007342</v>
      </c>
      <c r="E57" s="2">
        <v>42949</v>
      </c>
      <c r="F57">
        <v>59.79</v>
      </c>
      <c r="G57">
        <v>4468121</v>
      </c>
      <c r="I57" s="2">
        <v>38168</v>
      </c>
      <c r="J57">
        <v>9.8408999999999995</v>
      </c>
      <c r="K57">
        <v>9.8408999999999995</v>
      </c>
      <c r="M57" s="2">
        <v>42963</v>
      </c>
      <c r="N57">
        <v>62.095599999999997</v>
      </c>
      <c r="O57">
        <v>62.095599999999997</v>
      </c>
    </row>
    <row r="58" spans="1:15">
      <c r="A58" s="2">
        <v>41639</v>
      </c>
      <c r="B58">
        <v>39.32</v>
      </c>
      <c r="C58">
        <v>162567886</v>
      </c>
      <c r="E58" s="2">
        <v>42948</v>
      </c>
      <c r="F58">
        <v>59.84</v>
      </c>
      <c r="G58">
        <v>9051700</v>
      </c>
      <c r="I58" s="2">
        <v>38198</v>
      </c>
      <c r="J58">
        <v>9.4459999999999997</v>
      </c>
      <c r="K58">
        <v>9.4459999999999997</v>
      </c>
      <c r="M58" s="2">
        <v>42962</v>
      </c>
      <c r="N58">
        <v>62.116799999999998</v>
      </c>
      <c r="O58">
        <v>62.116799999999998</v>
      </c>
    </row>
    <row r="59" spans="1:15">
      <c r="A59" s="2">
        <v>41607</v>
      </c>
      <c r="B59">
        <v>39.57</v>
      </c>
      <c r="C59">
        <v>102263936</v>
      </c>
      <c r="E59" s="2">
        <v>42947</v>
      </c>
      <c r="F59">
        <v>59.05</v>
      </c>
      <c r="G59">
        <v>6225907</v>
      </c>
      <c r="I59" s="2">
        <v>38230</v>
      </c>
      <c r="J59">
        <v>9.7836999999999996</v>
      </c>
      <c r="K59">
        <v>9.7836999999999996</v>
      </c>
      <c r="M59" s="2">
        <v>42961</v>
      </c>
      <c r="N59">
        <v>63.410899999999998</v>
      </c>
      <c r="O59">
        <v>63.410899999999998</v>
      </c>
    </row>
    <row r="60" spans="1:15">
      <c r="A60" s="2">
        <v>41578</v>
      </c>
      <c r="B60">
        <v>37.880000000000003</v>
      </c>
      <c r="C60">
        <v>178460392</v>
      </c>
      <c r="E60" s="2">
        <v>42944</v>
      </c>
      <c r="F60">
        <v>58.67</v>
      </c>
      <c r="G60">
        <v>5112825</v>
      </c>
      <c r="I60" s="2">
        <v>38260</v>
      </c>
      <c r="J60">
        <v>10.2631</v>
      </c>
      <c r="K60">
        <v>10.2631</v>
      </c>
      <c r="M60" s="2">
        <v>42958</v>
      </c>
      <c r="N60">
        <v>62.551699999999997</v>
      </c>
      <c r="O60">
        <v>62.551699999999997</v>
      </c>
    </row>
    <row r="61" spans="1:15">
      <c r="A61" s="2">
        <v>41547</v>
      </c>
      <c r="B61">
        <v>36.32</v>
      </c>
      <c r="C61">
        <v>226250852</v>
      </c>
      <c r="E61" s="2">
        <v>42943</v>
      </c>
      <c r="F61">
        <v>58.15</v>
      </c>
      <c r="G61">
        <v>8259947</v>
      </c>
      <c r="I61" s="2">
        <v>38289</v>
      </c>
      <c r="J61">
        <v>10.59</v>
      </c>
      <c r="K61">
        <v>10.59</v>
      </c>
      <c r="M61" s="2">
        <v>42957</v>
      </c>
      <c r="N61">
        <v>62.657800000000002</v>
      </c>
      <c r="O61">
        <v>62.657800000000002</v>
      </c>
    </row>
    <row r="62" spans="1:15">
      <c r="A62" s="2">
        <v>41516</v>
      </c>
      <c r="B62">
        <v>31.41</v>
      </c>
      <c r="C62">
        <v>136691838</v>
      </c>
      <c r="E62" s="2">
        <v>42942</v>
      </c>
      <c r="F62">
        <v>58.36</v>
      </c>
      <c r="G62">
        <v>5529498</v>
      </c>
      <c r="I62" s="2">
        <v>38321</v>
      </c>
      <c r="J62">
        <v>11.026300000000001</v>
      </c>
      <c r="K62">
        <v>11.026300000000001</v>
      </c>
      <c r="M62" s="2">
        <v>42956</v>
      </c>
      <c r="N62">
        <v>63.538200000000003</v>
      </c>
      <c r="O62">
        <v>63.538200000000003</v>
      </c>
    </row>
    <row r="63" spans="1:15">
      <c r="A63" s="2">
        <v>41486</v>
      </c>
      <c r="B63">
        <v>31.46</v>
      </c>
      <c r="C63">
        <v>139198324</v>
      </c>
      <c r="E63" s="2">
        <v>42941</v>
      </c>
      <c r="F63">
        <v>59.39</v>
      </c>
      <c r="G63">
        <v>5157123</v>
      </c>
      <c r="I63" s="2">
        <v>38352</v>
      </c>
      <c r="J63">
        <v>11.8443</v>
      </c>
      <c r="K63">
        <v>11.8443</v>
      </c>
      <c r="M63" s="2">
        <v>42955</v>
      </c>
      <c r="N63">
        <v>63.0715</v>
      </c>
      <c r="O63">
        <v>63.0715</v>
      </c>
    </row>
    <row r="64" spans="1:15">
      <c r="A64" s="2">
        <v>41453</v>
      </c>
      <c r="B64">
        <v>31.84</v>
      </c>
      <c r="C64">
        <v>179352626</v>
      </c>
      <c r="E64" s="2">
        <v>42940</v>
      </c>
      <c r="F64">
        <v>58.95</v>
      </c>
      <c r="G64">
        <v>7498860</v>
      </c>
      <c r="I64" s="2">
        <v>38383</v>
      </c>
      <c r="J64">
        <v>11.314</v>
      </c>
      <c r="K64">
        <v>11.314</v>
      </c>
      <c r="M64" s="2">
        <v>42954</v>
      </c>
      <c r="N64">
        <v>63.421500000000002</v>
      </c>
      <c r="O64">
        <v>63.421500000000002</v>
      </c>
    </row>
    <row r="65" spans="1:15">
      <c r="A65" s="2">
        <v>41425</v>
      </c>
      <c r="B65">
        <v>30.83</v>
      </c>
      <c r="C65">
        <v>143232454</v>
      </c>
      <c r="E65" s="2">
        <v>42937</v>
      </c>
      <c r="F65">
        <v>59.95</v>
      </c>
      <c r="G65">
        <v>11048297</v>
      </c>
      <c r="I65" s="2">
        <v>38411</v>
      </c>
      <c r="J65">
        <v>11.3558</v>
      </c>
      <c r="K65">
        <v>11.3558</v>
      </c>
      <c r="M65" s="2">
        <v>42951</v>
      </c>
      <c r="N65">
        <v>63.389699999999998</v>
      </c>
      <c r="O65">
        <v>63.389699999999998</v>
      </c>
    </row>
    <row r="66" spans="1:15">
      <c r="A66" s="2">
        <v>41394</v>
      </c>
      <c r="B66">
        <v>31.8</v>
      </c>
      <c r="C66">
        <v>147367752</v>
      </c>
      <c r="E66" s="2">
        <v>42936</v>
      </c>
      <c r="F66">
        <v>59.1</v>
      </c>
      <c r="G66">
        <v>11915546</v>
      </c>
      <c r="I66" s="2">
        <v>38442</v>
      </c>
      <c r="J66">
        <v>10.9131</v>
      </c>
      <c r="K66">
        <v>10.9131</v>
      </c>
      <c r="M66" s="2">
        <v>42950</v>
      </c>
      <c r="N66">
        <v>63.7928</v>
      </c>
      <c r="O66">
        <v>63.7928</v>
      </c>
    </row>
    <row r="67" spans="1:15">
      <c r="A67" s="2">
        <v>41361</v>
      </c>
      <c r="B67">
        <v>29.504999999999999</v>
      </c>
      <c r="C67">
        <v>197849230</v>
      </c>
      <c r="E67" s="2">
        <v>42935</v>
      </c>
      <c r="F67">
        <v>57.77</v>
      </c>
      <c r="G67">
        <v>4451101</v>
      </c>
      <c r="I67" s="2">
        <v>38471</v>
      </c>
      <c r="J67">
        <v>10.0616</v>
      </c>
      <c r="K67">
        <v>10.0616</v>
      </c>
      <c r="M67" s="2">
        <v>42949</v>
      </c>
      <c r="N67">
        <v>63.421500000000002</v>
      </c>
      <c r="O67">
        <v>63.421500000000002</v>
      </c>
    </row>
    <row r="68" spans="1:15">
      <c r="A68" s="2">
        <v>41333</v>
      </c>
      <c r="B68">
        <v>27.23</v>
      </c>
      <c r="C68">
        <v>123360030</v>
      </c>
      <c r="E68" s="2">
        <v>42934</v>
      </c>
      <c r="F68">
        <v>57.65</v>
      </c>
      <c r="G68">
        <v>4922455</v>
      </c>
      <c r="I68" s="2">
        <v>38503</v>
      </c>
      <c r="J68">
        <v>10.7677</v>
      </c>
      <c r="K68">
        <v>10.7677</v>
      </c>
      <c r="M68" s="2">
        <v>42948</v>
      </c>
      <c r="N68">
        <v>63.474499999999999</v>
      </c>
      <c r="O68">
        <v>63.474499999999999</v>
      </c>
    </row>
    <row r="69" spans="1:15">
      <c r="A69" s="2">
        <v>41305</v>
      </c>
      <c r="B69">
        <v>27.024999999999999</v>
      </c>
      <c r="C69">
        <v>149287790</v>
      </c>
      <c r="E69" s="2">
        <v>42933</v>
      </c>
      <c r="F69">
        <v>57.79</v>
      </c>
      <c r="G69">
        <v>6885045</v>
      </c>
      <c r="I69" s="2">
        <v>38533</v>
      </c>
      <c r="J69">
        <v>11.376799999999999</v>
      </c>
      <c r="K69">
        <v>11.376799999999999</v>
      </c>
      <c r="M69" s="2">
        <v>42947</v>
      </c>
      <c r="N69">
        <v>62.636600000000001</v>
      </c>
      <c r="O69">
        <v>62.636600000000001</v>
      </c>
    </row>
    <row r="70" spans="1:15">
      <c r="A70" s="2">
        <v>41274</v>
      </c>
      <c r="B70">
        <v>25.8</v>
      </c>
      <c r="C70">
        <v>181545094</v>
      </c>
      <c r="E70" s="2">
        <v>42930</v>
      </c>
      <c r="F70">
        <v>58</v>
      </c>
      <c r="G70">
        <v>6345279</v>
      </c>
      <c r="I70" s="2">
        <v>38562</v>
      </c>
      <c r="J70">
        <v>11.008900000000001</v>
      </c>
      <c r="K70">
        <v>11.008900000000001</v>
      </c>
      <c r="M70" s="2">
        <v>42944</v>
      </c>
      <c r="N70">
        <v>62.233499999999999</v>
      </c>
      <c r="O70">
        <v>62.233499999999999</v>
      </c>
    </row>
    <row r="71" spans="1:15">
      <c r="A71" s="2">
        <v>41243</v>
      </c>
      <c r="B71">
        <v>24.37</v>
      </c>
      <c r="C71">
        <v>188988756</v>
      </c>
      <c r="E71" s="2">
        <v>42929</v>
      </c>
      <c r="F71">
        <v>57.94</v>
      </c>
      <c r="G71">
        <v>8108634</v>
      </c>
      <c r="I71" s="2">
        <v>38595</v>
      </c>
      <c r="J71">
        <v>10.3665</v>
      </c>
      <c r="K71">
        <v>10.3665</v>
      </c>
      <c r="M71" s="2">
        <v>42943</v>
      </c>
      <c r="N71">
        <v>61.681899999999999</v>
      </c>
      <c r="O71">
        <v>61.681899999999999</v>
      </c>
    </row>
    <row r="72" spans="1:15">
      <c r="A72" s="2">
        <v>41213</v>
      </c>
      <c r="B72">
        <v>22.844999999999999</v>
      </c>
      <c r="C72">
        <v>198278980</v>
      </c>
      <c r="E72" s="2">
        <v>42928</v>
      </c>
      <c r="F72">
        <v>58.22</v>
      </c>
      <c r="G72">
        <v>7243119</v>
      </c>
      <c r="I72" s="2">
        <v>38625</v>
      </c>
      <c r="J72">
        <v>10.763299999999999</v>
      </c>
      <c r="K72">
        <v>10.763299999999999</v>
      </c>
      <c r="M72" s="2">
        <v>42942</v>
      </c>
      <c r="N72">
        <v>61.904699999999998</v>
      </c>
      <c r="O72">
        <v>61.904699999999998</v>
      </c>
    </row>
    <row r="73" spans="1:15">
      <c r="A73" s="2">
        <v>41180</v>
      </c>
      <c r="B73">
        <v>23.727499999999999</v>
      </c>
      <c r="C73">
        <v>252501896</v>
      </c>
      <c r="E73" s="2">
        <v>42927</v>
      </c>
      <c r="F73">
        <v>58.18</v>
      </c>
      <c r="G73">
        <v>7222995</v>
      </c>
      <c r="I73" s="2">
        <v>38656</v>
      </c>
      <c r="J73">
        <v>11.0756</v>
      </c>
      <c r="K73">
        <v>11.0756</v>
      </c>
      <c r="M73" s="2">
        <v>42941</v>
      </c>
      <c r="N73">
        <v>62.997199999999999</v>
      </c>
      <c r="O73">
        <v>62.997199999999999</v>
      </c>
    </row>
    <row r="74" spans="1:15">
      <c r="A74" s="2">
        <v>41152</v>
      </c>
      <c r="B74">
        <v>24.34</v>
      </c>
      <c r="C74">
        <v>212742360</v>
      </c>
      <c r="E74" s="2">
        <v>42926</v>
      </c>
      <c r="F74">
        <v>58.73</v>
      </c>
      <c r="G74">
        <v>8942398</v>
      </c>
      <c r="I74" s="2">
        <v>38686</v>
      </c>
      <c r="J74">
        <v>11.2403</v>
      </c>
      <c r="K74">
        <v>11.2403</v>
      </c>
      <c r="M74" s="2">
        <v>42940</v>
      </c>
      <c r="N74">
        <v>62.530500000000004</v>
      </c>
      <c r="O74">
        <v>62.530500000000004</v>
      </c>
    </row>
    <row r="75" spans="1:15">
      <c r="A75" s="2">
        <v>41121</v>
      </c>
      <c r="B75">
        <v>23.337499999999999</v>
      </c>
      <c r="C75">
        <v>277909812</v>
      </c>
      <c r="E75" s="2">
        <v>42923</v>
      </c>
      <c r="F75">
        <v>57.98</v>
      </c>
      <c r="G75">
        <v>8145436</v>
      </c>
      <c r="I75" s="2">
        <v>38716</v>
      </c>
      <c r="J75">
        <v>11.477499999999999</v>
      </c>
      <c r="K75">
        <v>11.477499999999999</v>
      </c>
      <c r="M75" s="2">
        <v>42937</v>
      </c>
      <c r="N75">
        <v>63.591200000000001</v>
      </c>
      <c r="O75">
        <v>63.591200000000001</v>
      </c>
    </row>
    <row r="76" spans="1:15">
      <c r="A76" s="2">
        <v>41089</v>
      </c>
      <c r="B76">
        <v>21.945</v>
      </c>
      <c r="C76">
        <v>339524744</v>
      </c>
      <c r="E76" s="2">
        <v>42922</v>
      </c>
      <c r="F76">
        <v>57.16</v>
      </c>
      <c r="G76">
        <v>9035661</v>
      </c>
      <c r="I76" s="2">
        <v>38748</v>
      </c>
      <c r="J76">
        <v>10.7052</v>
      </c>
      <c r="K76">
        <v>10.7052</v>
      </c>
      <c r="M76" s="2">
        <v>42936</v>
      </c>
      <c r="N76">
        <v>62.689599999999999</v>
      </c>
      <c r="O76">
        <v>62.689599999999999</v>
      </c>
    </row>
    <row r="77" spans="1:15">
      <c r="A77" s="2">
        <v>41060</v>
      </c>
      <c r="B77">
        <v>27.045000000000002</v>
      </c>
      <c r="C77">
        <v>205042296</v>
      </c>
      <c r="E77" s="2">
        <v>42921</v>
      </c>
      <c r="F77">
        <v>57.56</v>
      </c>
      <c r="G77">
        <v>16166954</v>
      </c>
      <c r="I77" s="2">
        <v>38776</v>
      </c>
      <c r="J77">
        <v>11.4762</v>
      </c>
      <c r="K77">
        <v>11.4762</v>
      </c>
      <c r="M77" s="2">
        <v>42935</v>
      </c>
      <c r="N77">
        <v>61.278799999999997</v>
      </c>
      <c r="O77">
        <v>61.278799999999997</v>
      </c>
    </row>
    <row r="78" spans="1:15">
      <c r="A78" s="2">
        <v>41029</v>
      </c>
      <c r="B78">
        <v>27.967500000000001</v>
      </c>
      <c r="C78">
        <v>184895560</v>
      </c>
      <c r="E78" s="2">
        <v>42919</v>
      </c>
      <c r="F78">
        <v>58.65</v>
      </c>
      <c r="G78">
        <v>9910021</v>
      </c>
      <c r="I78" s="2">
        <v>38807</v>
      </c>
      <c r="J78">
        <v>11.295</v>
      </c>
      <c r="K78">
        <v>11.295</v>
      </c>
      <c r="M78" s="2">
        <v>42934</v>
      </c>
      <c r="N78">
        <v>61.151499999999999</v>
      </c>
      <c r="O78">
        <v>61.151499999999999</v>
      </c>
    </row>
    <row r="79" spans="1:15">
      <c r="A79" s="2">
        <v>40998</v>
      </c>
      <c r="B79">
        <v>27.11</v>
      </c>
      <c r="C79">
        <v>230845280</v>
      </c>
      <c r="E79" s="2">
        <v>42916</v>
      </c>
      <c r="F79">
        <v>59</v>
      </c>
      <c r="G79">
        <v>46552954</v>
      </c>
      <c r="I79" s="2">
        <v>38835</v>
      </c>
      <c r="J79">
        <v>10.862299999999999</v>
      </c>
      <c r="K79">
        <v>10.862299999999999</v>
      </c>
      <c r="M79" s="2">
        <v>42933</v>
      </c>
      <c r="N79">
        <v>61.3</v>
      </c>
      <c r="O79">
        <v>61.3</v>
      </c>
    </row>
    <row r="80" spans="1:15">
      <c r="A80" s="2">
        <v>40968</v>
      </c>
      <c r="B80">
        <v>26.98</v>
      </c>
      <c r="C80">
        <v>148476776</v>
      </c>
      <c r="E80" s="2">
        <v>42915</v>
      </c>
      <c r="F80">
        <v>53.17</v>
      </c>
      <c r="G80">
        <v>14801866</v>
      </c>
      <c r="I80" s="2">
        <v>38868</v>
      </c>
      <c r="J80">
        <v>10.6592</v>
      </c>
      <c r="K80">
        <v>10.6592</v>
      </c>
      <c r="M80" s="2">
        <v>42930</v>
      </c>
      <c r="N80">
        <v>61.522799999999997</v>
      </c>
      <c r="O80">
        <v>61.522799999999997</v>
      </c>
    </row>
    <row r="81" spans="1:15">
      <c r="A81" s="2">
        <v>40939</v>
      </c>
      <c r="B81">
        <v>25.997499999999999</v>
      </c>
      <c r="C81">
        <v>193466116</v>
      </c>
      <c r="E81" s="2">
        <v>42914</v>
      </c>
      <c r="F81">
        <v>53.36</v>
      </c>
      <c r="G81">
        <v>7527220</v>
      </c>
      <c r="I81" s="2">
        <v>38898</v>
      </c>
      <c r="J81">
        <v>10.792</v>
      </c>
      <c r="K81">
        <v>10.792</v>
      </c>
      <c r="M81" s="2">
        <v>42929</v>
      </c>
      <c r="N81">
        <v>61.459099999999999</v>
      </c>
      <c r="O81">
        <v>61.459099999999999</v>
      </c>
    </row>
    <row r="82" spans="1:15">
      <c r="A82" s="2">
        <v>40907</v>
      </c>
      <c r="B82">
        <v>24.092500000000001</v>
      </c>
      <c r="C82">
        <v>221893212</v>
      </c>
      <c r="E82" s="2">
        <v>42913</v>
      </c>
      <c r="F82">
        <v>52.95</v>
      </c>
      <c r="G82">
        <v>7873136</v>
      </c>
      <c r="I82" s="2">
        <v>38929</v>
      </c>
      <c r="J82">
        <v>10.525499999999999</v>
      </c>
      <c r="K82">
        <v>10.525499999999999</v>
      </c>
      <c r="M82" s="2">
        <v>42928</v>
      </c>
      <c r="N82">
        <v>61.7562</v>
      </c>
      <c r="O82">
        <v>61.7562</v>
      </c>
    </row>
    <row r="83" spans="1:15">
      <c r="A83" s="2">
        <v>40877</v>
      </c>
      <c r="B83">
        <v>24.045000000000002</v>
      </c>
      <c r="C83">
        <v>195937352</v>
      </c>
      <c r="E83" s="2">
        <v>42912</v>
      </c>
      <c r="F83">
        <v>53.28</v>
      </c>
      <c r="G83">
        <v>7966219</v>
      </c>
      <c r="I83" s="2">
        <v>38960</v>
      </c>
      <c r="J83">
        <v>10.76</v>
      </c>
      <c r="K83">
        <v>10.76</v>
      </c>
      <c r="M83" s="2">
        <v>42927</v>
      </c>
      <c r="N83">
        <v>61.713700000000003</v>
      </c>
      <c r="O83">
        <v>61.713700000000003</v>
      </c>
    </row>
    <row r="84" spans="1:15">
      <c r="A84" s="2">
        <v>40847</v>
      </c>
      <c r="B84">
        <v>24.087499999999999</v>
      </c>
      <c r="C84">
        <v>232707124</v>
      </c>
      <c r="E84" s="2">
        <v>42909</v>
      </c>
      <c r="F84">
        <v>52.85</v>
      </c>
      <c r="G84">
        <v>8522404</v>
      </c>
      <c r="I84" s="2">
        <v>38989</v>
      </c>
      <c r="J84">
        <v>11.715299999999999</v>
      </c>
      <c r="K84">
        <v>11.715299999999999</v>
      </c>
      <c r="M84" s="2">
        <v>42926</v>
      </c>
      <c r="N84">
        <v>62.2971</v>
      </c>
      <c r="O84">
        <v>62.2971</v>
      </c>
    </row>
    <row r="85" spans="1:15">
      <c r="A85" s="2">
        <v>40816</v>
      </c>
      <c r="B85">
        <v>21.377500000000001</v>
      </c>
      <c r="C85">
        <v>327134068</v>
      </c>
      <c r="E85" s="2">
        <v>42908</v>
      </c>
      <c r="F85">
        <v>52.4</v>
      </c>
      <c r="G85">
        <v>10660744</v>
      </c>
      <c r="I85" s="2">
        <v>39021</v>
      </c>
      <c r="J85">
        <v>12.2849</v>
      </c>
      <c r="K85">
        <v>12.2849</v>
      </c>
      <c r="M85" s="2">
        <v>42923</v>
      </c>
      <c r="N85">
        <v>61.501600000000003</v>
      </c>
      <c r="O85">
        <v>61.501600000000003</v>
      </c>
    </row>
    <row r="86" spans="1:15">
      <c r="A86" s="2">
        <v>40786</v>
      </c>
      <c r="B86">
        <v>21.662500000000001</v>
      </c>
      <c r="C86">
        <v>346145164</v>
      </c>
      <c r="E86" s="2">
        <v>42907</v>
      </c>
      <c r="F86">
        <v>52.59</v>
      </c>
      <c r="G86">
        <v>13021697</v>
      </c>
      <c r="I86" s="2">
        <v>39051</v>
      </c>
      <c r="J86">
        <v>13.2302</v>
      </c>
      <c r="K86">
        <v>13.2302</v>
      </c>
      <c r="M86" s="2">
        <v>42922</v>
      </c>
      <c r="N86">
        <v>60.631799999999998</v>
      </c>
      <c r="O86">
        <v>60.631799999999998</v>
      </c>
    </row>
    <row r="87" spans="1:15">
      <c r="A87" s="2">
        <v>40753</v>
      </c>
      <c r="B87">
        <v>22.537500000000001</v>
      </c>
      <c r="C87">
        <v>241529824</v>
      </c>
      <c r="E87" s="2">
        <v>42906</v>
      </c>
      <c r="F87">
        <v>51.56</v>
      </c>
      <c r="G87">
        <v>10676464</v>
      </c>
      <c r="I87" s="2">
        <v>39080</v>
      </c>
      <c r="J87">
        <v>13.2903</v>
      </c>
      <c r="K87">
        <v>13.2903</v>
      </c>
      <c r="M87" s="2">
        <v>42921</v>
      </c>
      <c r="N87">
        <v>61.056100000000001</v>
      </c>
      <c r="O87">
        <v>61.056100000000001</v>
      </c>
    </row>
    <row r="88" spans="1:15">
      <c r="A88" s="2">
        <v>40724</v>
      </c>
      <c r="B88">
        <v>22.495000000000001</v>
      </c>
      <c r="C88">
        <v>337343708</v>
      </c>
      <c r="E88" s="2">
        <v>42905</v>
      </c>
      <c r="F88">
        <v>52.02</v>
      </c>
      <c r="G88">
        <v>11265315</v>
      </c>
      <c r="I88" s="2">
        <v>39113</v>
      </c>
      <c r="J88">
        <v>13.2608</v>
      </c>
      <c r="K88">
        <v>13.2608</v>
      </c>
      <c r="M88" s="2">
        <v>42919</v>
      </c>
      <c r="N88">
        <v>62.212299999999999</v>
      </c>
      <c r="O88">
        <v>62.212299999999999</v>
      </c>
    </row>
    <row r="89" spans="1:15">
      <c r="A89" s="2">
        <v>40694</v>
      </c>
      <c r="B89">
        <v>21.112500000000001</v>
      </c>
      <c r="C89">
        <v>197240456</v>
      </c>
      <c r="E89" s="2">
        <v>42902</v>
      </c>
      <c r="F89">
        <v>51.1</v>
      </c>
      <c r="G89">
        <v>25725453</v>
      </c>
      <c r="I89" s="2">
        <v>39141</v>
      </c>
      <c r="J89">
        <v>14.0204</v>
      </c>
      <c r="K89">
        <v>14.0204</v>
      </c>
      <c r="M89" s="2">
        <v>42916</v>
      </c>
      <c r="N89">
        <v>62.583500000000001</v>
      </c>
      <c r="O89">
        <v>62.583500000000001</v>
      </c>
    </row>
    <row r="90" spans="1:15">
      <c r="A90" s="2">
        <v>40662</v>
      </c>
      <c r="B90">
        <v>20.58</v>
      </c>
      <c r="C90">
        <v>223105352</v>
      </c>
      <c r="E90" s="2">
        <v>42901</v>
      </c>
      <c r="F90">
        <v>52.9</v>
      </c>
      <c r="G90">
        <v>16041068</v>
      </c>
      <c r="I90" s="2">
        <v>39171</v>
      </c>
      <c r="J90">
        <v>14.3103</v>
      </c>
      <c r="K90">
        <v>14.3103</v>
      </c>
      <c r="M90" s="2">
        <v>42915</v>
      </c>
      <c r="N90">
        <v>56.3994</v>
      </c>
      <c r="O90">
        <v>56.3994</v>
      </c>
    </row>
    <row r="91" spans="1:15">
      <c r="A91" s="2">
        <v>40633</v>
      </c>
      <c r="B91">
        <v>18.925000000000001</v>
      </c>
      <c r="C91">
        <v>425145692</v>
      </c>
      <c r="E91" s="2">
        <v>42900</v>
      </c>
      <c r="F91">
        <v>54.66</v>
      </c>
      <c r="G91">
        <v>6783933</v>
      </c>
      <c r="I91" s="2">
        <v>39202</v>
      </c>
      <c r="J91">
        <v>14.5069</v>
      </c>
      <c r="K91">
        <v>14.5069</v>
      </c>
      <c r="M91" s="2">
        <v>42914</v>
      </c>
      <c r="N91">
        <v>56.600999999999999</v>
      </c>
      <c r="O91">
        <v>56.600999999999999</v>
      </c>
    </row>
    <row r="92" spans="1:15">
      <c r="A92" s="2">
        <v>40602</v>
      </c>
      <c r="B92">
        <v>22.2575</v>
      </c>
      <c r="C92">
        <v>177184464</v>
      </c>
      <c r="E92" s="2">
        <v>42899</v>
      </c>
      <c r="F92">
        <v>54.31</v>
      </c>
      <c r="G92">
        <v>8720065</v>
      </c>
      <c r="I92" s="2">
        <v>39233</v>
      </c>
      <c r="J92">
        <v>15.285299999999999</v>
      </c>
      <c r="K92">
        <v>15.285299999999999</v>
      </c>
      <c r="M92" s="2">
        <v>42913</v>
      </c>
      <c r="N92">
        <v>56.1661</v>
      </c>
      <c r="O92">
        <v>56.1661</v>
      </c>
    </row>
    <row r="93" spans="1:15">
      <c r="A93" s="2">
        <v>40574</v>
      </c>
      <c r="B93">
        <v>20.62</v>
      </c>
      <c r="C93">
        <v>181607008</v>
      </c>
      <c r="E93" s="2">
        <v>42898</v>
      </c>
      <c r="F93">
        <v>54.03</v>
      </c>
      <c r="G93">
        <v>9180135</v>
      </c>
      <c r="I93" s="2">
        <v>39262</v>
      </c>
      <c r="J93">
        <v>15.7499</v>
      </c>
      <c r="K93">
        <v>15.7499</v>
      </c>
      <c r="M93" s="2">
        <v>42912</v>
      </c>
      <c r="N93">
        <v>56.516100000000002</v>
      </c>
      <c r="O93">
        <v>56.516100000000002</v>
      </c>
    </row>
    <row r="94" spans="1:15">
      <c r="A94" s="2">
        <v>40543</v>
      </c>
      <c r="B94">
        <v>21.355</v>
      </c>
      <c r="C94">
        <v>212487212</v>
      </c>
      <c r="E94" s="2">
        <v>42895</v>
      </c>
      <c r="F94">
        <v>53.46</v>
      </c>
      <c r="G94">
        <v>8347402</v>
      </c>
      <c r="I94" s="2">
        <v>39294</v>
      </c>
      <c r="J94">
        <v>15.252800000000001</v>
      </c>
      <c r="K94">
        <v>15.252800000000001</v>
      </c>
      <c r="M94" s="2">
        <v>42909</v>
      </c>
      <c r="N94">
        <v>56.06</v>
      </c>
      <c r="O94">
        <v>56.06</v>
      </c>
    </row>
    <row r="95" spans="1:15">
      <c r="A95" s="2">
        <v>40512</v>
      </c>
      <c r="B95">
        <v>21.532499999999999</v>
      </c>
      <c r="C95">
        <v>189893100</v>
      </c>
      <c r="E95" s="2">
        <v>42894</v>
      </c>
      <c r="F95">
        <v>53.2</v>
      </c>
      <c r="G95">
        <v>7785615</v>
      </c>
      <c r="I95" s="2">
        <v>39325</v>
      </c>
      <c r="J95">
        <v>15.223000000000001</v>
      </c>
      <c r="K95">
        <v>15.223000000000001</v>
      </c>
      <c r="M95" s="2">
        <v>42908</v>
      </c>
      <c r="N95">
        <v>55.582700000000003</v>
      </c>
      <c r="O95">
        <v>55.582700000000003</v>
      </c>
    </row>
    <row r="96" spans="1:15">
      <c r="A96" s="2">
        <v>40480</v>
      </c>
      <c r="B96">
        <v>20.36</v>
      </c>
      <c r="C96">
        <v>222616484</v>
      </c>
      <c r="E96" s="2">
        <v>42893</v>
      </c>
      <c r="F96">
        <v>53.23</v>
      </c>
      <c r="G96">
        <v>7438258</v>
      </c>
      <c r="I96" s="2">
        <v>39353</v>
      </c>
      <c r="J96">
        <v>15.899900000000001</v>
      </c>
      <c r="K96">
        <v>15.899900000000001</v>
      </c>
      <c r="M96" s="2">
        <v>42907</v>
      </c>
      <c r="N96">
        <v>55.784199999999998</v>
      </c>
      <c r="O96">
        <v>55.784199999999998</v>
      </c>
    </row>
    <row r="97" spans="1:15">
      <c r="A97" s="2">
        <v>40451</v>
      </c>
      <c r="B97">
        <v>20.035</v>
      </c>
      <c r="C97">
        <v>283143028</v>
      </c>
      <c r="E97" s="2">
        <v>42892</v>
      </c>
      <c r="F97">
        <v>52.48</v>
      </c>
      <c r="G97">
        <v>8923047</v>
      </c>
      <c r="I97" s="2">
        <v>39386</v>
      </c>
      <c r="J97">
        <v>17.959900000000001</v>
      </c>
      <c r="K97">
        <v>17.959900000000001</v>
      </c>
      <c r="M97" s="2">
        <v>42906</v>
      </c>
      <c r="N97">
        <v>54.691600000000001</v>
      </c>
      <c r="O97">
        <v>54.691600000000001</v>
      </c>
    </row>
    <row r="98" spans="1:15">
      <c r="A98" s="2">
        <v>40421</v>
      </c>
      <c r="B98">
        <v>17.5</v>
      </c>
      <c r="C98">
        <v>221697100</v>
      </c>
      <c r="E98" s="2">
        <v>42891</v>
      </c>
      <c r="F98">
        <v>53.01</v>
      </c>
      <c r="G98">
        <v>5748870</v>
      </c>
      <c r="I98" s="2">
        <v>39416</v>
      </c>
      <c r="J98">
        <v>17.794499999999999</v>
      </c>
      <c r="K98">
        <v>17.794499999999999</v>
      </c>
      <c r="M98" s="2">
        <v>42905</v>
      </c>
      <c r="N98">
        <v>55.179600000000001</v>
      </c>
      <c r="O98">
        <v>55.179600000000001</v>
      </c>
    </row>
    <row r="99" spans="1:15">
      <c r="A99" s="2">
        <v>40389</v>
      </c>
      <c r="B99">
        <v>18.41</v>
      </c>
      <c r="C99">
        <v>268353600</v>
      </c>
      <c r="E99" s="2">
        <v>42888</v>
      </c>
      <c r="F99">
        <v>52.98</v>
      </c>
      <c r="G99">
        <v>18511169</v>
      </c>
      <c r="I99" s="2">
        <v>39447</v>
      </c>
      <c r="J99">
        <v>17.474699999999999</v>
      </c>
      <c r="K99">
        <v>17.474699999999999</v>
      </c>
      <c r="M99" s="2">
        <v>42902</v>
      </c>
      <c r="N99">
        <v>54.203699999999998</v>
      </c>
      <c r="O99">
        <v>54.203699999999998</v>
      </c>
    </row>
    <row r="100" spans="1:15">
      <c r="A100" s="2">
        <v>40359</v>
      </c>
      <c r="B100">
        <v>16.887499999999999</v>
      </c>
      <c r="C100">
        <v>306151260</v>
      </c>
      <c r="E100" s="2">
        <v>42887</v>
      </c>
      <c r="F100">
        <v>52.3</v>
      </c>
      <c r="G100">
        <v>13352101</v>
      </c>
      <c r="I100" s="2">
        <v>39478</v>
      </c>
      <c r="J100">
        <v>16.6831</v>
      </c>
      <c r="K100">
        <v>16.6831</v>
      </c>
      <c r="M100" s="2">
        <v>42901</v>
      </c>
      <c r="N100">
        <v>56.113</v>
      </c>
      <c r="O100">
        <v>56.113</v>
      </c>
    </row>
    <row r="101" spans="1:15">
      <c r="A101" s="2">
        <v>40326</v>
      </c>
      <c r="B101">
        <v>18.094999999999999</v>
      </c>
      <c r="C101">
        <v>370559932</v>
      </c>
      <c r="E101" s="2">
        <v>42886</v>
      </c>
      <c r="F101">
        <v>52.99</v>
      </c>
      <c r="G101">
        <v>8938801</v>
      </c>
      <c r="I101" s="2">
        <v>39507</v>
      </c>
      <c r="J101">
        <v>16.375699999999998</v>
      </c>
      <c r="K101">
        <v>16.375699999999998</v>
      </c>
      <c r="M101" s="2">
        <v>42900</v>
      </c>
      <c r="N101">
        <v>57.979900000000001</v>
      </c>
      <c r="O101">
        <v>57.979900000000001</v>
      </c>
    </row>
    <row r="102" spans="1:15">
      <c r="A102" s="2">
        <v>40298</v>
      </c>
      <c r="B102">
        <v>18.977499999999999</v>
      </c>
      <c r="C102">
        <v>199112432</v>
      </c>
      <c r="E102" s="2">
        <v>42885</v>
      </c>
      <c r="F102">
        <v>52.92</v>
      </c>
      <c r="G102">
        <v>8039561</v>
      </c>
      <c r="I102" s="2">
        <v>39538</v>
      </c>
      <c r="J102">
        <v>18.560099999999998</v>
      </c>
      <c r="K102">
        <v>18.560099999999998</v>
      </c>
      <c r="M102" s="2">
        <v>42899</v>
      </c>
      <c r="N102">
        <v>57.608699999999999</v>
      </c>
      <c r="O102">
        <v>57.608699999999999</v>
      </c>
    </row>
    <row r="103" spans="1:15">
      <c r="A103" s="2">
        <v>40268</v>
      </c>
      <c r="B103">
        <v>18.375</v>
      </c>
      <c r="C103">
        <v>245340280</v>
      </c>
      <c r="E103" s="2">
        <v>42881</v>
      </c>
      <c r="F103">
        <v>52.59</v>
      </c>
      <c r="G103">
        <v>5921314</v>
      </c>
      <c r="I103" s="2">
        <v>39568</v>
      </c>
      <c r="J103">
        <v>18.232500000000002</v>
      </c>
      <c r="K103">
        <v>18.232500000000002</v>
      </c>
      <c r="M103" s="2">
        <v>42898</v>
      </c>
      <c r="N103">
        <v>57.311700000000002</v>
      </c>
      <c r="O103">
        <v>57.311700000000002</v>
      </c>
    </row>
    <row r="104" spans="1:15">
      <c r="A104" s="2">
        <v>40235</v>
      </c>
      <c r="B104">
        <v>16.899999999999999</v>
      </c>
      <c r="C104">
        <v>196407132</v>
      </c>
      <c r="E104" s="2">
        <v>42880</v>
      </c>
      <c r="F104">
        <v>52.35</v>
      </c>
      <c r="G104">
        <v>7627454</v>
      </c>
      <c r="I104" s="2">
        <v>39598</v>
      </c>
      <c r="J104">
        <v>18.661100000000001</v>
      </c>
      <c r="K104">
        <v>18.661100000000001</v>
      </c>
      <c r="M104" s="2">
        <v>42895</v>
      </c>
      <c r="N104">
        <v>56.707000000000001</v>
      </c>
      <c r="O104">
        <v>56.707000000000001</v>
      </c>
    </row>
    <row r="105" spans="1:15">
      <c r="A105" s="2">
        <v>40207</v>
      </c>
      <c r="B105">
        <v>15.9375</v>
      </c>
      <c r="C105">
        <v>183850736</v>
      </c>
      <c r="E105" s="2">
        <v>42879</v>
      </c>
      <c r="F105">
        <v>52.01</v>
      </c>
      <c r="G105">
        <v>9404281</v>
      </c>
      <c r="I105" s="2">
        <v>39629</v>
      </c>
      <c r="J105">
        <v>16.332899999999999</v>
      </c>
      <c r="K105">
        <v>16.332899999999999</v>
      </c>
      <c r="M105" s="2">
        <v>42894</v>
      </c>
      <c r="N105">
        <v>56.431199999999997</v>
      </c>
      <c r="O105">
        <v>56.431199999999997</v>
      </c>
    </row>
    <row r="106" spans="1:15">
      <c r="A106" s="2">
        <v>40178</v>
      </c>
      <c r="B106">
        <v>16.517499999999998</v>
      </c>
      <c r="C106">
        <v>214439984</v>
      </c>
      <c r="E106" s="2">
        <v>42878</v>
      </c>
      <c r="F106">
        <v>52.2</v>
      </c>
      <c r="G106">
        <v>11087298</v>
      </c>
      <c r="I106" s="2">
        <v>39660</v>
      </c>
      <c r="J106">
        <v>16.077999999999999</v>
      </c>
      <c r="K106">
        <v>16.077999999999999</v>
      </c>
      <c r="M106" s="2">
        <v>42893</v>
      </c>
      <c r="N106">
        <v>56.463099999999997</v>
      </c>
      <c r="O106">
        <v>56.463099999999997</v>
      </c>
    </row>
    <row r="107" spans="1:15">
      <c r="A107" s="2">
        <v>40147</v>
      </c>
      <c r="B107">
        <v>16.2225</v>
      </c>
      <c r="C107">
        <v>175686268</v>
      </c>
      <c r="E107" s="2">
        <v>42877</v>
      </c>
      <c r="F107">
        <v>51.57</v>
      </c>
      <c r="G107">
        <v>13671543</v>
      </c>
      <c r="I107" s="2">
        <v>39689</v>
      </c>
      <c r="J107">
        <v>16.6069</v>
      </c>
      <c r="K107">
        <v>16.6069</v>
      </c>
      <c r="M107" s="2">
        <v>42892</v>
      </c>
      <c r="N107">
        <v>55.667499999999997</v>
      </c>
      <c r="O107">
        <v>55.667499999999997</v>
      </c>
    </row>
    <row r="108" spans="1:15">
      <c r="A108" s="2">
        <v>40116</v>
      </c>
      <c r="B108">
        <v>15.545</v>
      </c>
      <c r="C108">
        <v>302183252</v>
      </c>
      <c r="E108" s="2">
        <v>42874</v>
      </c>
      <c r="F108">
        <v>51.77</v>
      </c>
      <c r="G108">
        <v>20047766</v>
      </c>
      <c r="I108" s="2">
        <v>39721</v>
      </c>
      <c r="J108">
        <v>18.3933</v>
      </c>
      <c r="K108">
        <v>18.3933</v>
      </c>
      <c r="M108" s="2">
        <v>42891</v>
      </c>
      <c r="N108">
        <v>56.229700000000001</v>
      </c>
      <c r="O108">
        <v>56.229700000000001</v>
      </c>
    </row>
    <row r="109" spans="1:15">
      <c r="A109" s="2">
        <v>40086</v>
      </c>
      <c r="B109">
        <v>16.175000000000001</v>
      </c>
      <c r="C109">
        <v>426033872</v>
      </c>
      <c r="E109" s="2">
        <v>42873</v>
      </c>
      <c r="F109">
        <v>51.68</v>
      </c>
      <c r="G109">
        <v>22576489</v>
      </c>
      <c r="I109" s="2">
        <v>39752</v>
      </c>
      <c r="J109">
        <v>15.8446</v>
      </c>
      <c r="K109">
        <v>15.8446</v>
      </c>
      <c r="M109" s="2">
        <v>42888</v>
      </c>
      <c r="N109">
        <v>56.197899999999997</v>
      </c>
      <c r="O109">
        <v>56.197899999999997</v>
      </c>
    </row>
    <row r="110" spans="1:15">
      <c r="A110" s="2">
        <v>40056</v>
      </c>
      <c r="B110">
        <v>13.8475</v>
      </c>
      <c r="C110">
        <v>269592140</v>
      </c>
      <c r="E110" s="2">
        <v>42872</v>
      </c>
      <c r="F110">
        <v>51.8</v>
      </c>
      <c r="G110">
        <v>18341473</v>
      </c>
      <c r="I110" s="2">
        <v>39780</v>
      </c>
      <c r="J110">
        <v>14.6404</v>
      </c>
      <c r="K110">
        <v>14.6404</v>
      </c>
      <c r="M110" s="2">
        <v>42887</v>
      </c>
      <c r="N110">
        <v>55.476599999999998</v>
      </c>
      <c r="O110">
        <v>55.476599999999998</v>
      </c>
    </row>
    <row r="111" spans="1:15">
      <c r="A111" s="2">
        <v>40025</v>
      </c>
      <c r="B111">
        <v>14.16</v>
      </c>
      <c r="C111">
        <v>297753368</v>
      </c>
      <c r="E111" s="2">
        <v>42871</v>
      </c>
      <c r="F111">
        <v>52.78</v>
      </c>
      <c r="G111">
        <v>14562678</v>
      </c>
      <c r="I111" s="2">
        <v>39813</v>
      </c>
      <c r="J111">
        <v>14.0905</v>
      </c>
      <c r="K111">
        <v>14.0905</v>
      </c>
      <c r="M111" s="2">
        <v>42886</v>
      </c>
      <c r="N111">
        <v>56.015700000000002</v>
      </c>
      <c r="O111">
        <v>56.015700000000002</v>
      </c>
    </row>
    <row r="112" spans="1:15">
      <c r="A112" s="2">
        <v>39994</v>
      </c>
      <c r="B112">
        <v>12.945</v>
      </c>
      <c r="C112">
        <v>379707928</v>
      </c>
      <c r="E112" s="2">
        <v>42870</v>
      </c>
      <c r="F112">
        <v>53.77</v>
      </c>
      <c r="G112">
        <v>8201722</v>
      </c>
      <c r="I112" s="2">
        <v>39843</v>
      </c>
      <c r="J112">
        <v>12.501899999999999</v>
      </c>
      <c r="K112">
        <v>12.501899999999999</v>
      </c>
      <c r="M112" s="2">
        <v>42885</v>
      </c>
      <c r="N112">
        <v>55.941699999999997</v>
      </c>
      <c r="O112">
        <v>55.941699999999997</v>
      </c>
    </row>
    <row r="113" spans="1:15">
      <c r="A113" s="2">
        <v>39962</v>
      </c>
      <c r="B113">
        <v>14.262499999999999</v>
      </c>
      <c r="C113">
        <v>309507792</v>
      </c>
      <c r="E113" s="2">
        <v>42867</v>
      </c>
      <c r="F113">
        <v>54.2</v>
      </c>
      <c r="G113">
        <v>5606253</v>
      </c>
      <c r="I113" s="2">
        <v>39871</v>
      </c>
      <c r="J113">
        <v>11.4741</v>
      </c>
      <c r="K113">
        <v>11.4741</v>
      </c>
      <c r="M113" s="2">
        <v>42881</v>
      </c>
      <c r="N113">
        <v>55.5929</v>
      </c>
      <c r="O113">
        <v>55.5929</v>
      </c>
    </row>
    <row r="114" spans="1:15">
      <c r="A114" s="2">
        <v>39933</v>
      </c>
      <c r="B114">
        <v>13.1175</v>
      </c>
      <c r="C114">
        <v>287050568</v>
      </c>
      <c r="E114" s="2">
        <v>42866</v>
      </c>
      <c r="F114">
        <v>54.24</v>
      </c>
      <c r="G114">
        <v>6499597</v>
      </c>
      <c r="I114" s="2">
        <v>39903</v>
      </c>
      <c r="J114">
        <v>13.024100000000001</v>
      </c>
      <c r="K114">
        <v>13.024100000000001</v>
      </c>
      <c r="M114" s="2">
        <v>42880</v>
      </c>
      <c r="N114">
        <v>55.339199999999998</v>
      </c>
      <c r="O114">
        <v>55.339199999999998</v>
      </c>
    </row>
    <row r="115" spans="1:15">
      <c r="A115" s="2">
        <v>39903</v>
      </c>
      <c r="B115">
        <v>11.7225</v>
      </c>
      <c r="C115">
        <v>412896000</v>
      </c>
      <c r="E115" s="2">
        <v>42865</v>
      </c>
      <c r="F115">
        <v>54.56</v>
      </c>
      <c r="G115">
        <v>5823023</v>
      </c>
      <c r="I115" s="2">
        <v>39933</v>
      </c>
      <c r="J115">
        <v>14.574</v>
      </c>
      <c r="K115">
        <v>14.574</v>
      </c>
      <c r="M115" s="2">
        <v>42879</v>
      </c>
      <c r="N115">
        <v>54.979700000000001</v>
      </c>
      <c r="O115">
        <v>54.979700000000001</v>
      </c>
    </row>
    <row r="116" spans="1:15">
      <c r="A116" s="2">
        <v>39871</v>
      </c>
      <c r="B116">
        <v>10.3825</v>
      </c>
      <c r="C116">
        <v>289730892</v>
      </c>
      <c r="E116" s="2">
        <v>42864</v>
      </c>
      <c r="F116">
        <v>54.89</v>
      </c>
      <c r="G116">
        <v>6441208</v>
      </c>
      <c r="I116" s="2">
        <v>39962</v>
      </c>
      <c r="J116">
        <v>15.8461</v>
      </c>
      <c r="K116">
        <v>15.8461</v>
      </c>
      <c r="M116" s="2">
        <v>42878</v>
      </c>
      <c r="N116">
        <v>55.180599999999998</v>
      </c>
      <c r="O116">
        <v>55.180599999999998</v>
      </c>
    </row>
    <row r="117" spans="1:15">
      <c r="A117" s="2">
        <v>39843</v>
      </c>
      <c r="B117">
        <v>11.3125</v>
      </c>
      <c r="C117">
        <v>280091380</v>
      </c>
      <c r="E117" s="2">
        <v>42863</v>
      </c>
      <c r="F117">
        <v>54.3</v>
      </c>
      <c r="G117">
        <v>8728121</v>
      </c>
      <c r="I117" s="2">
        <v>39994</v>
      </c>
      <c r="J117">
        <v>14.4518</v>
      </c>
      <c r="K117">
        <v>14.4518</v>
      </c>
      <c r="M117" s="2">
        <v>42877</v>
      </c>
      <c r="N117">
        <v>54.514600000000002</v>
      </c>
      <c r="O117">
        <v>54.514600000000002</v>
      </c>
    </row>
    <row r="118" spans="1:15">
      <c r="A118" s="2">
        <v>39813</v>
      </c>
      <c r="B118">
        <v>12.75</v>
      </c>
      <c r="C118">
        <v>364406532</v>
      </c>
      <c r="E118" s="2">
        <v>42860</v>
      </c>
      <c r="F118">
        <v>53.95</v>
      </c>
      <c r="G118">
        <v>13379949</v>
      </c>
      <c r="I118" s="2">
        <v>40025</v>
      </c>
      <c r="J118">
        <v>15.808199999999999</v>
      </c>
      <c r="K118">
        <v>15.808199999999999</v>
      </c>
      <c r="M118" s="2">
        <v>42874</v>
      </c>
      <c r="N118">
        <v>54.725999999999999</v>
      </c>
      <c r="O118">
        <v>54.725999999999999</v>
      </c>
    </row>
    <row r="119" spans="1:15">
      <c r="A119" s="2">
        <v>39780</v>
      </c>
      <c r="B119">
        <v>13.3125</v>
      </c>
      <c r="C119">
        <v>379523076</v>
      </c>
      <c r="E119" s="2">
        <v>42859</v>
      </c>
      <c r="F119">
        <v>54.47</v>
      </c>
      <c r="G119">
        <v>6830628</v>
      </c>
      <c r="I119" s="2">
        <v>40056</v>
      </c>
      <c r="J119">
        <v>15.459300000000001</v>
      </c>
      <c r="K119">
        <v>15.459300000000001</v>
      </c>
      <c r="M119" s="2">
        <v>42873</v>
      </c>
      <c r="N119">
        <v>54.630899999999997</v>
      </c>
      <c r="O119">
        <v>54.630899999999997</v>
      </c>
    </row>
    <row r="120" spans="1:15">
      <c r="A120" s="2">
        <v>39752</v>
      </c>
      <c r="B120">
        <v>14.407500000000001</v>
      </c>
      <c r="C120">
        <v>580016080</v>
      </c>
      <c r="E120" s="2">
        <v>42858</v>
      </c>
      <c r="F120">
        <v>54.53</v>
      </c>
      <c r="G120">
        <v>9474727</v>
      </c>
      <c r="I120" s="2">
        <v>40086</v>
      </c>
      <c r="J120">
        <v>18.127500000000001</v>
      </c>
      <c r="K120">
        <v>18.127500000000001</v>
      </c>
      <c r="M120" s="2">
        <v>42872</v>
      </c>
      <c r="N120">
        <v>54.757800000000003</v>
      </c>
      <c r="O120">
        <v>54.757800000000003</v>
      </c>
    </row>
    <row r="121" spans="1:15">
      <c r="A121" s="2">
        <v>39721</v>
      </c>
      <c r="B121">
        <v>16.725000000000001</v>
      </c>
      <c r="C121">
        <v>429140716</v>
      </c>
      <c r="E121" s="2">
        <v>42857</v>
      </c>
      <c r="F121">
        <v>55.07</v>
      </c>
      <c r="G121">
        <v>7363616</v>
      </c>
      <c r="I121" s="2">
        <v>40116</v>
      </c>
      <c r="J121">
        <v>17.421399999999998</v>
      </c>
      <c r="K121">
        <v>17.421399999999998</v>
      </c>
      <c r="M121" s="2">
        <v>42871</v>
      </c>
      <c r="N121">
        <v>55.793700000000001</v>
      </c>
      <c r="O121">
        <v>55.793700000000001</v>
      </c>
    </row>
    <row r="122" spans="1:15">
      <c r="A122" s="2">
        <v>39689</v>
      </c>
      <c r="B122">
        <v>15.1525</v>
      </c>
      <c r="C122">
        <v>239299180</v>
      </c>
      <c r="E122" s="2">
        <v>42856</v>
      </c>
      <c r="F122">
        <v>54.99</v>
      </c>
      <c r="G122">
        <v>4881442</v>
      </c>
      <c r="I122" s="2">
        <v>40147</v>
      </c>
      <c r="J122">
        <v>18.180700000000002</v>
      </c>
      <c r="K122">
        <v>18.180700000000002</v>
      </c>
      <c r="M122" s="2">
        <v>42870</v>
      </c>
      <c r="N122">
        <v>56.840200000000003</v>
      </c>
      <c r="O122">
        <v>56.840200000000003</v>
      </c>
    </row>
    <row r="123" spans="1:15">
      <c r="A123" s="2">
        <v>39660</v>
      </c>
      <c r="B123">
        <v>14.67</v>
      </c>
      <c r="C123">
        <v>398802800</v>
      </c>
      <c r="E123" s="2">
        <v>42853</v>
      </c>
      <c r="F123">
        <v>55.41</v>
      </c>
      <c r="G123">
        <v>6437731</v>
      </c>
      <c r="I123" s="2">
        <v>40178</v>
      </c>
      <c r="J123">
        <v>18.587</v>
      </c>
      <c r="K123">
        <v>18.587</v>
      </c>
      <c r="M123" s="2">
        <v>42867</v>
      </c>
      <c r="N123">
        <v>57.294800000000002</v>
      </c>
      <c r="O123">
        <v>57.294800000000002</v>
      </c>
    </row>
    <row r="124" spans="1:15">
      <c r="A124" s="2">
        <v>39629</v>
      </c>
      <c r="B124">
        <v>14.9025</v>
      </c>
      <c r="C124">
        <v>380945140</v>
      </c>
      <c r="E124" s="2">
        <v>42852</v>
      </c>
      <c r="F124">
        <v>55.47</v>
      </c>
      <c r="G124">
        <v>8557987</v>
      </c>
      <c r="I124" s="2">
        <v>40207</v>
      </c>
      <c r="J124">
        <v>17.9343</v>
      </c>
      <c r="K124">
        <v>17.9343</v>
      </c>
      <c r="M124" s="2">
        <v>42866</v>
      </c>
      <c r="N124">
        <v>57.3371</v>
      </c>
      <c r="O124">
        <v>57.3371</v>
      </c>
    </row>
    <row r="125" spans="1:15">
      <c r="A125" s="2">
        <v>39598</v>
      </c>
      <c r="B125">
        <v>17.092500000000001</v>
      </c>
      <c r="C125">
        <v>262828432</v>
      </c>
      <c r="E125" s="2">
        <v>42851</v>
      </c>
      <c r="F125">
        <v>55.16</v>
      </c>
      <c r="G125">
        <v>10936009</v>
      </c>
      <c r="I125" s="2">
        <v>40235</v>
      </c>
      <c r="J125">
        <v>19.017399999999999</v>
      </c>
      <c r="K125">
        <v>19.017399999999999</v>
      </c>
      <c r="M125" s="2">
        <v>42865</v>
      </c>
      <c r="N125">
        <v>57.675400000000003</v>
      </c>
      <c r="O125">
        <v>57.675400000000003</v>
      </c>
    </row>
    <row r="126" spans="1:15">
      <c r="A126" s="2">
        <v>39568</v>
      </c>
      <c r="B126">
        <v>16.7</v>
      </c>
      <c r="C126">
        <v>292852860</v>
      </c>
      <c r="E126" s="2">
        <v>42850</v>
      </c>
      <c r="F126">
        <v>55.45</v>
      </c>
      <c r="G126">
        <v>8970970</v>
      </c>
      <c r="I126" s="2">
        <v>40268</v>
      </c>
      <c r="J126">
        <v>20.7532</v>
      </c>
      <c r="K126">
        <v>20.7532</v>
      </c>
      <c r="M126" s="2">
        <v>42864</v>
      </c>
      <c r="N126">
        <v>58.0242</v>
      </c>
      <c r="O126">
        <v>58.0242</v>
      </c>
    </row>
    <row r="127" spans="1:15">
      <c r="A127" s="2">
        <v>39538</v>
      </c>
      <c r="B127">
        <v>17</v>
      </c>
      <c r="C127">
        <v>388730872</v>
      </c>
      <c r="E127" s="2">
        <v>42849</v>
      </c>
      <c r="F127">
        <v>55.47</v>
      </c>
      <c r="G127">
        <v>10777733</v>
      </c>
      <c r="I127" s="2">
        <v>40298</v>
      </c>
      <c r="J127">
        <v>21.433599999999998</v>
      </c>
      <c r="K127">
        <v>21.433599999999998</v>
      </c>
      <c r="M127" s="2">
        <v>42863</v>
      </c>
      <c r="N127">
        <v>57.400500000000001</v>
      </c>
      <c r="O127">
        <v>57.400500000000001</v>
      </c>
    </row>
    <row r="128" spans="1:15">
      <c r="A128" s="2">
        <v>39507</v>
      </c>
      <c r="B128">
        <v>15.05</v>
      </c>
      <c r="C128">
        <v>240377084</v>
      </c>
      <c r="E128" s="2">
        <v>42846</v>
      </c>
      <c r="F128">
        <v>55.85</v>
      </c>
      <c r="G128">
        <v>6055624</v>
      </c>
      <c r="I128" s="2">
        <v>40326</v>
      </c>
      <c r="J128">
        <v>20.436900000000001</v>
      </c>
      <c r="K128">
        <v>20.436900000000001</v>
      </c>
      <c r="M128" s="2">
        <v>42860</v>
      </c>
      <c r="N128">
        <v>57.030500000000004</v>
      </c>
      <c r="O128">
        <v>57.030500000000004</v>
      </c>
    </row>
    <row r="129" spans="1:15">
      <c r="A129" s="2">
        <v>39478</v>
      </c>
      <c r="B129">
        <v>15.3325</v>
      </c>
      <c r="C129">
        <v>419700724</v>
      </c>
      <c r="E129" s="2">
        <v>42845</v>
      </c>
      <c r="F129">
        <v>56.4</v>
      </c>
      <c r="G129">
        <v>6867130</v>
      </c>
      <c r="I129" s="2">
        <v>40359</v>
      </c>
      <c r="J129">
        <v>19.1494</v>
      </c>
      <c r="K129">
        <v>19.1494</v>
      </c>
      <c r="M129" s="2">
        <v>42859</v>
      </c>
      <c r="N129">
        <v>57.580199999999998</v>
      </c>
      <c r="O129">
        <v>57.580199999999998</v>
      </c>
    </row>
    <row r="130" spans="1:15">
      <c r="A130" s="2">
        <v>39447</v>
      </c>
      <c r="B130">
        <v>16.059999999999999</v>
      </c>
      <c r="C130">
        <v>233628900</v>
      </c>
      <c r="E130" s="2">
        <v>42844</v>
      </c>
      <c r="F130">
        <v>55.86</v>
      </c>
      <c r="G130">
        <v>5947674</v>
      </c>
      <c r="I130" s="2">
        <v>40389</v>
      </c>
      <c r="J130">
        <v>20.875800000000002</v>
      </c>
      <c r="K130">
        <v>20.875800000000002</v>
      </c>
      <c r="M130" s="2">
        <v>42858</v>
      </c>
      <c r="N130">
        <v>57.643599999999999</v>
      </c>
      <c r="O130">
        <v>57.643599999999999</v>
      </c>
    </row>
    <row r="131" spans="1:15">
      <c r="A131" s="2">
        <v>39416</v>
      </c>
      <c r="B131">
        <v>16.412500000000001</v>
      </c>
      <c r="C131">
        <v>233029768</v>
      </c>
      <c r="E131" s="2">
        <v>42843</v>
      </c>
      <c r="F131">
        <v>56.11</v>
      </c>
      <c r="G131">
        <v>5651118</v>
      </c>
      <c r="I131" s="2">
        <v>40421</v>
      </c>
      <c r="J131">
        <v>19.843900000000001</v>
      </c>
      <c r="K131">
        <v>19.843900000000001</v>
      </c>
      <c r="M131" s="2">
        <v>42857</v>
      </c>
      <c r="N131">
        <v>58.214500000000001</v>
      </c>
      <c r="O131">
        <v>58.214500000000001</v>
      </c>
    </row>
    <row r="132" spans="1:15">
      <c r="A132" s="2">
        <v>39386</v>
      </c>
      <c r="B132">
        <v>16.565000000000001</v>
      </c>
      <c r="C132">
        <v>353234840</v>
      </c>
      <c r="E132" s="2">
        <v>42842</v>
      </c>
      <c r="F132">
        <v>56.24</v>
      </c>
      <c r="G132">
        <v>7688742</v>
      </c>
      <c r="I132" s="2">
        <v>40451</v>
      </c>
      <c r="J132">
        <v>22.795000000000002</v>
      </c>
      <c r="K132">
        <v>22.795000000000002</v>
      </c>
      <c r="M132" s="2">
        <v>42856</v>
      </c>
      <c r="N132">
        <v>58.129899999999999</v>
      </c>
      <c r="O132">
        <v>58.129899999999999</v>
      </c>
    </row>
    <row r="133" spans="1:15">
      <c r="A133" s="2">
        <v>39353</v>
      </c>
      <c r="B133">
        <v>14.664999999999999</v>
      </c>
      <c r="C133">
        <v>291099800</v>
      </c>
      <c r="E133" s="2">
        <v>42838</v>
      </c>
      <c r="F133">
        <v>55.34</v>
      </c>
      <c r="G133">
        <v>5282110</v>
      </c>
      <c r="I133" s="2">
        <v>40480</v>
      </c>
      <c r="J133">
        <v>23.1648</v>
      </c>
      <c r="K133">
        <v>23.1648</v>
      </c>
      <c r="M133" s="2">
        <v>42853</v>
      </c>
      <c r="N133">
        <v>58.573900000000002</v>
      </c>
      <c r="O133">
        <v>58.573900000000002</v>
      </c>
    </row>
    <row r="134" spans="1:15">
      <c r="A134" s="2">
        <v>39325</v>
      </c>
      <c r="B134">
        <v>14.085000000000001</v>
      </c>
      <c r="C134">
        <v>346504760</v>
      </c>
      <c r="E134" s="2">
        <v>42837</v>
      </c>
      <c r="F134">
        <v>55.57</v>
      </c>
      <c r="G134">
        <v>8504108</v>
      </c>
      <c r="I134" s="2">
        <v>40512</v>
      </c>
      <c r="J134">
        <v>24.498799999999999</v>
      </c>
      <c r="K134">
        <v>24.498799999999999</v>
      </c>
      <c r="M134" s="2">
        <v>42852</v>
      </c>
      <c r="N134">
        <v>58.637300000000003</v>
      </c>
      <c r="O134">
        <v>58.637300000000003</v>
      </c>
    </row>
    <row r="135" spans="1:15">
      <c r="A135" s="2">
        <v>39294</v>
      </c>
      <c r="B135">
        <v>14.112500000000001</v>
      </c>
      <c r="C135">
        <v>319977100</v>
      </c>
      <c r="E135" s="2">
        <v>42836</v>
      </c>
      <c r="F135">
        <v>54.92</v>
      </c>
      <c r="G135">
        <v>4348643</v>
      </c>
      <c r="I135" s="2">
        <v>40543</v>
      </c>
      <c r="J135">
        <v>24.385000000000002</v>
      </c>
      <c r="K135">
        <v>24.385000000000002</v>
      </c>
      <c r="M135" s="2">
        <v>42851</v>
      </c>
      <c r="N135">
        <v>58.309600000000003</v>
      </c>
      <c r="O135">
        <v>58.309600000000003</v>
      </c>
    </row>
    <row r="136" spans="1:15">
      <c r="A136" s="2">
        <v>39262</v>
      </c>
      <c r="B136">
        <v>14.5725</v>
      </c>
      <c r="C136">
        <v>389086388</v>
      </c>
      <c r="E136" s="2">
        <v>42835</v>
      </c>
      <c r="F136">
        <v>54.9</v>
      </c>
      <c r="G136">
        <v>5472680</v>
      </c>
      <c r="I136" s="2">
        <v>40574</v>
      </c>
      <c r="J136">
        <v>23.5457</v>
      </c>
      <c r="K136">
        <v>23.5457</v>
      </c>
      <c r="M136" s="2">
        <v>42850</v>
      </c>
      <c r="N136">
        <v>58.616199999999999</v>
      </c>
      <c r="O136">
        <v>58.616199999999999</v>
      </c>
    </row>
    <row r="137" spans="1:15">
      <c r="A137" s="2">
        <v>39233</v>
      </c>
      <c r="B137">
        <v>14.1875</v>
      </c>
      <c r="C137">
        <v>259560644</v>
      </c>
      <c r="E137" s="2">
        <v>42832</v>
      </c>
      <c r="F137">
        <v>55.11</v>
      </c>
      <c r="G137">
        <v>6078250</v>
      </c>
      <c r="I137" s="2">
        <v>40602</v>
      </c>
      <c r="J137">
        <v>25.415600000000001</v>
      </c>
      <c r="K137">
        <v>25.415600000000001</v>
      </c>
      <c r="M137" s="2">
        <v>42849</v>
      </c>
      <c r="N137">
        <v>58.637300000000003</v>
      </c>
      <c r="O137">
        <v>58.637300000000003</v>
      </c>
    </row>
    <row r="138" spans="1:15">
      <c r="A138" s="2">
        <v>39202</v>
      </c>
      <c r="B138">
        <v>13.465</v>
      </c>
      <c r="C138">
        <v>203465740</v>
      </c>
      <c r="E138" s="2">
        <v>42831</v>
      </c>
      <c r="F138">
        <v>55.14</v>
      </c>
      <c r="G138">
        <v>6692225</v>
      </c>
      <c r="I138" s="2">
        <v>40633</v>
      </c>
      <c r="J138">
        <v>21.698699999999999</v>
      </c>
      <c r="K138">
        <v>21.698699999999999</v>
      </c>
      <c r="M138" s="2">
        <v>42846</v>
      </c>
      <c r="N138">
        <v>59.039000000000001</v>
      </c>
      <c r="O138">
        <v>59.039000000000001</v>
      </c>
    </row>
    <row r="139" spans="1:15">
      <c r="A139" s="2">
        <v>39171</v>
      </c>
      <c r="B139">
        <v>13.282500000000001</v>
      </c>
      <c r="C139">
        <v>329334944</v>
      </c>
      <c r="E139" s="2">
        <v>42830</v>
      </c>
      <c r="F139">
        <v>54.98</v>
      </c>
      <c r="G139">
        <v>7722093</v>
      </c>
      <c r="I139" s="2">
        <v>40662</v>
      </c>
      <c r="J139">
        <v>23.596299999999999</v>
      </c>
      <c r="K139">
        <v>23.596299999999999</v>
      </c>
      <c r="M139" s="2">
        <v>42845</v>
      </c>
      <c r="N139">
        <v>59.620399999999997</v>
      </c>
      <c r="O139">
        <v>59.620399999999997</v>
      </c>
    </row>
    <row r="140" spans="1:15">
      <c r="A140" s="2">
        <v>39141</v>
      </c>
      <c r="B140">
        <v>13.0588</v>
      </c>
      <c r="C140">
        <v>283614712</v>
      </c>
      <c r="E140" s="2">
        <v>42829</v>
      </c>
      <c r="F140">
        <v>55.04</v>
      </c>
      <c r="G140">
        <v>8843296</v>
      </c>
      <c r="I140" s="2">
        <v>40694</v>
      </c>
      <c r="J140">
        <v>24.206800000000001</v>
      </c>
      <c r="K140">
        <v>24.206800000000001</v>
      </c>
      <c r="M140" s="2">
        <v>42844</v>
      </c>
      <c r="N140">
        <v>59.049599999999998</v>
      </c>
      <c r="O140">
        <v>59.049599999999998</v>
      </c>
    </row>
    <row r="141" spans="1:15">
      <c r="A141" s="2">
        <v>39113</v>
      </c>
      <c r="B141">
        <v>12.3513</v>
      </c>
      <c r="C141">
        <v>273166400</v>
      </c>
      <c r="E141" s="2">
        <v>42828</v>
      </c>
      <c r="F141">
        <v>55.56</v>
      </c>
      <c r="G141">
        <v>7088838</v>
      </c>
      <c r="I141" s="2">
        <v>40724</v>
      </c>
      <c r="J141">
        <v>25.880800000000001</v>
      </c>
      <c r="K141">
        <v>25.880800000000001</v>
      </c>
      <c r="M141" s="2">
        <v>42843</v>
      </c>
      <c r="N141">
        <v>59.313899999999997</v>
      </c>
      <c r="O141">
        <v>59.313899999999997</v>
      </c>
    </row>
    <row r="142" spans="1:15">
      <c r="A142" s="2">
        <v>39080</v>
      </c>
      <c r="B142">
        <v>12.3788</v>
      </c>
      <c r="C142">
        <v>258766400</v>
      </c>
      <c r="E142" s="2">
        <v>42825</v>
      </c>
      <c r="F142">
        <v>55.73</v>
      </c>
      <c r="G142">
        <v>5905639</v>
      </c>
      <c r="I142" s="2">
        <v>40753</v>
      </c>
      <c r="J142">
        <v>25.9297</v>
      </c>
      <c r="K142">
        <v>25.9297</v>
      </c>
      <c r="M142" s="2">
        <v>42842</v>
      </c>
      <c r="N142">
        <v>59.451300000000003</v>
      </c>
      <c r="O142">
        <v>59.451300000000003</v>
      </c>
    </row>
    <row r="143" spans="1:15">
      <c r="A143" s="2">
        <v>39051</v>
      </c>
      <c r="B143">
        <v>12.3688</v>
      </c>
      <c r="C143">
        <v>213671200</v>
      </c>
      <c r="E143" s="2">
        <v>42824</v>
      </c>
      <c r="F143">
        <v>56.04</v>
      </c>
      <c r="G143">
        <v>7210468</v>
      </c>
      <c r="I143" s="2">
        <v>40786</v>
      </c>
      <c r="J143">
        <v>24.923000000000002</v>
      </c>
      <c r="K143">
        <v>24.923000000000002</v>
      </c>
      <c r="M143" s="2">
        <v>42838</v>
      </c>
      <c r="N143">
        <v>58.499899999999997</v>
      </c>
      <c r="O143">
        <v>58.499899999999997</v>
      </c>
    </row>
    <row r="144" spans="1:15">
      <c r="A144" s="2">
        <v>39021</v>
      </c>
      <c r="B144">
        <v>11.484999999999999</v>
      </c>
      <c r="C144">
        <v>260692800</v>
      </c>
      <c r="E144" s="2">
        <v>42823</v>
      </c>
      <c r="F144">
        <v>56.68</v>
      </c>
      <c r="G144">
        <v>7456208</v>
      </c>
      <c r="I144" s="2">
        <v>40816</v>
      </c>
      <c r="J144">
        <v>24.6843</v>
      </c>
      <c r="K144">
        <v>24.6843</v>
      </c>
      <c r="M144" s="2">
        <v>42837</v>
      </c>
      <c r="N144">
        <v>58.743000000000002</v>
      </c>
      <c r="O144">
        <v>58.743000000000002</v>
      </c>
    </row>
    <row r="145" spans="1:15">
      <c r="A145" s="2">
        <v>38989</v>
      </c>
      <c r="B145">
        <v>10.952500000000001</v>
      </c>
      <c r="C145">
        <v>450955200</v>
      </c>
      <c r="E145" s="2">
        <v>42822</v>
      </c>
      <c r="F145">
        <v>56.62</v>
      </c>
      <c r="G145">
        <v>7823943</v>
      </c>
      <c r="I145" s="2">
        <v>40847</v>
      </c>
      <c r="J145">
        <v>27.813500000000001</v>
      </c>
      <c r="K145">
        <v>27.813500000000001</v>
      </c>
      <c r="M145" s="2">
        <v>42836</v>
      </c>
      <c r="N145">
        <v>58.055900000000001</v>
      </c>
      <c r="O145">
        <v>58.055900000000001</v>
      </c>
    </row>
    <row r="146" spans="1:15">
      <c r="A146" s="2">
        <v>38960</v>
      </c>
      <c r="B146">
        <v>10.095000000000001</v>
      </c>
      <c r="C146">
        <v>421105600</v>
      </c>
      <c r="E146" s="2">
        <v>42821</v>
      </c>
      <c r="F146">
        <v>55.93</v>
      </c>
      <c r="G146">
        <v>8663611</v>
      </c>
      <c r="I146" s="2">
        <v>40877</v>
      </c>
      <c r="J146">
        <v>27.764399999999998</v>
      </c>
      <c r="K146">
        <v>27.764399999999998</v>
      </c>
      <c r="M146" s="2">
        <v>42835</v>
      </c>
      <c r="N146">
        <v>58.034799999999997</v>
      </c>
      <c r="O146">
        <v>58.034799999999997</v>
      </c>
    </row>
    <row r="147" spans="1:15">
      <c r="A147" s="2">
        <v>38929</v>
      </c>
      <c r="B147">
        <v>9.875</v>
      </c>
      <c r="C147">
        <v>315201600</v>
      </c>
      <c r="E147" s="2">
        <v>42818</v>
      </c>
      <c r="F147">
        <v>56.36</v>
      </c>
      <c r="G147">
        <v>14438573</v>
      </c>
      <c r="I147" s="2">
        <v>40907</v>
      </c>
      <c r="J147">
        <v>27.923200000000001</v>
      </c>
      <c r="K147">
        <v>27.923200000000001</v>
      </c>
      <c r="M147" s="2">
        <v>42832</v>
      </c>
      <c r="N147">
        <v>58.256799999999998</v>
      </c>
      <c r="O147">
        <v>58.256799999999998</v>
      </c>
    </row>
    <row r="148" spans="1:15">
      <c r="A148" s="2">
        <v>38898</v>
      </c>
      <c r="B148">
        <v>10.125</v>
      </c>
      <c r="C148">
        <v>326384800</v>
      </c>
      <c r="E148" s="2">
        <v>42817</v>
      </c>
      <c r="F148">
        <v>55.37</v>
      </c>
      <c r="G148">
        <v>23848344</v>
      </c>
      <c r="I148" s="2">
        <v>40939</v>
      </c>
      <c r="J148">
        <v>30.1311</v>
      </c>
      <c r="K148">
        <v>30.1311</v>
      </c>
      <c r="M148" s="2">
        <v>42831</v>
      </c>
      <c r="N148">
        <v>58.288499999999999</v>
      </c>
      <c r="O148">
        <v>58.288499999999999</v>
      </c>
    </row>
    <row r="149" spans="1:15">
      <c r="A149" s="2">
        <v>38868</v>
      </c>
      <c r="B149">
        <v>10.0388</v>
      </c>
      <c r="C149">
        <v>267028000</v>
      </c>
      <c r="E149" s="2">
        <v>42816</v>
      </c>
      <c r="F149">
        <v>53.92</v>
      </c>
      <c r="G149">
        <v>37413372</v>
      </c>
      <c r="I149" s="2">
        <v>40968</v>
      </c>
      <c r="J149">
        <v>31.2698</v>
      </c>
      <c r="K149">
        <v>31.2698</v>
      </c>
      <c r="M149" s="2">
        <v>42830</v>
      </c>
      <c r="N149">
        <v>58.119300000000003</v>
      </c>
      <c r="O149">
        <v>58.119300000000003</v>
      </c>
    </row>
    <row r="150" spans="1:15">
      <c r="A150" s="2">
        <v>38835</v>
      </c>
      <c r="B150">
        <v>10.23</v>
      </c>
      <c r="C150">
        <v>206518400</v>
      </c>
      <c r="E150" s="2">
        <v>42815</v>
      </c>
      <c r="F150">
        <v>58.01</v>
      </c>
      <c r="G150">
        <v>15269827</v>
      </c>
      <c r="I150" s="2">
        <v>40998</v>
      </c>
      <c r="J150">
        <v>31.524799999999999</v>
      </c>
      <c r="K150">
        <v>31.524799999999999</v>
      </c>
      <c r="M150" s="2">
        <v>42829</v>
      </c>
      <c r="N150">
        <v>58.1828</v>
      </c>
      <c r="O150">
        <v>58.1828</v>
      </c>
    </row>
    <row r="151" spans="1:15">
      <c r="A151" s="2">
        <v>38807</v>
      </c>
      <c r="B151">
        <v>10.637499999999999</v>
      </c>
      <c r="C151">
        <v>318510400</v>
      </c>
      <c r="E151" s="2">
        <v>42814</v>
      </c>
      <c r="F151">
        <v>58.68</v>
      </c>
      <c r="G151">
        <v>13352530</v>
      </c>
      <c r="I151" s="2">
        <v>41029</v>
      </c>
      <c r="J151">
        <v>32.521900000000002</v>
      </c>
      <c r="K151">
        <v>32.521900000000002</v>
      </c>
      <c r="M151" s="2">
        <v>42828</v>
      </c>
      <c r="N151">
        <v>58.732399999999998</v>
      </c>
      <c r="O151">
        <v>58.732399999999998</v>
      </c>
    </row>
    <row r="152" spans="1:15">
      <c r="A152" s="2">
        <v>38776</v>
      </c>
      <c r="B152">
        <v>10.8475</v>
      </c>
      <c r="C152">
        <v>252378400</v>
      </c>
      <c r="E152" s="2">
        <v>42811</v>
      </c>
      <c r="F152">
        <v>57.8</v>
      </c>
      <c r="G152">
        <v>10791471</v>
      </c>
      <c r="I152" s="2">
        <v>41060</v>
      </c>
      <c r="J152">
        <v>31.553799999999999</v>
      </c>
      <c r="K152">
        <v>31.553799999999999</v>
      </c>
      <c r="M152" s="2">
        <v>42825</v>
      </c>
      <c r="N152">
        <v>58.912199999999999</v>
      </c>
      <c r="O152">
        <v>58.912199999999999</v>
      </c>
    </row>
    <row r="153" spans="1:15">
      <c r="A153" s="2">
        <v>38748</v>
      </c>
      <c r="B153">
        <v>10.1188</v>
      </c>
      <c r="C153">
        <v>347506400</v>
      </c>
      <c r="E153" s="2">
        <v>42810</v>
      </c>
      <c r="F153">
        <v>57.6</v>
      </c>
      <c r="G153">
        <v>9894955</v>
      </c>
      <c r="I153" s="2">
        <v>41089</v>
      </c>
      <c r="J153">
        <v>25.6036</v>
      </c>
      <c r="K153">
        <v>25.6036</v>
      </c>
      <c r="M153" s="2">
        <v>42824</v>
      </c>
      <c r="N153">
        <v>59.239899999999999</v>
      </c>
      <c r="O153">
        <v>59.239899999999999</v>
      </c>
    </row>
    <row r="154" spans="1:15">
      <c r="A154" s="2">
        <v>38716</v>
      </c>
      <c r="B154">
        <v>10.848800000000001</v>
      </c>
      <c r="C154">
        <v>354748000</v>
      </c>
      <c r="E154" s="2">
        <v>42809</v>
      </c>
      <c r="F154">
        <v>57.66</v>
      </c>
      <c r="G154">
        <v>10067524</v>
      </c>
      <c r="I154" s="2">
        <v>41121</v>
      </c>
      <c r="J154">
        <v>27.228200000000001</v>
      </c>
      <c r="K154">
        <v>27.228200000000001</v>
      </c>
      <c r="M154" s="2">
        <v>42823</v>
      </c>
      <c r="N154">
        <v>59.916400000000003</v>
      </c>
      <c r="O154">
        <v>59.916400000000003</v>
      </c>
    </row>
    <row r="155" spans="1:15">
      <c r="A155" s="2">
        <v>38686</v>
      </c>
      <c r="B155">
        <v>10.6625</v>
      </c>
      <c r="C155">
        <v>213472000</v>
      </c>
      <c r="E155" s="2">
        <v>42808</v>
      </c>
      <c r="F155">
        <v>57.28</v>
      </c>
      <c r="G155">
        <v>9286917</v>
      </c>
      <c r="I155" s="2">
        <v>41152</v>
      </c>
      <c r="J155">
        <v>28.5029</v>
      </c>
      <c r="K155">
        <v>28.5029</v>
      </c>
      <c r="M155" s="2">
        <v>42822</v>
      </c>
      <c r="N155">
        <v>59.853000000000002</v>
      </c>
      <c r="O155">
        <v>59.853000000000002</v>
      </c>
    </row>
    <row r="156" spans="1:15">
      <c r="A156" s="2">
        <v>38656</v>
      </c>
      <c r="B156">
        <v>10.5063</v>
      </c>
      <c r="C156">
        <v>261752000</v>
      </c>
      <c r="E156" s="2">
        <v>42807</v>
      </c>
      <c r="F156">
        <v>56.67</v>
      </c>
      <c r="G156">
        <v>7235882</v>
      </c>
      <c r="I156" s="2">
        <v>41180</v>
      </c>
      <c r="J156">
        <v>27.785599999999999</v>
      </c>
      <c r="K156">
        <v>27.785599999999999</v>
      </c>
      <c r="M156" s="2">
        <v>42821</v>
      </c>
      <c r="N156">
        <v>59.123600000000003</v>
      </c>
      <c r="O156">
        <v>59.123600000000003</v>
      </c>
    </row>
    <row r="157" spans="1:15">
      <c r="A157" s="2">
        <v>38625</v>
      </c>
      <c r="B157">
        <v>10.210000000000001</v>
      </c>
      <c r="C157">
        <v>496377600</v>
      </c>
      <c r="E157" s="2">
        <v>42804</v>
      </c>
      <c r="F157">
        <v>56.43</v>
      </c>
      <c r="G157">
        <v>8882395</v>
      </c>
      <c r="I157" s="2">
        <v>41213</v>
      </c>
      <c r="J157">
        <v>26.752199999999998</v>
      </c>
      <c r="K157">
        <v>26.752199999999998</v>
      </c>
      <c r="M157" s="2">
        <v>42818</v>
      </c>
      <c r="N157">
        <v>59.578099999999999</v>
      </c>
      <c r="O157">
        <v>59.578099999999999</v>
      </c>
    </row>
    <row r="158" spans="1:15">
      <c r="A158" s="2">
        <v>38595</v>
      </c>
      <c r="B158">
        <v>9.8637999999999995</v>
      </c>
      <c r="C158">
        <v>356393600</v>
      </c>
      <c r="E158" s="2">
        <v>42803</v>
      </c>
      <c r="F158">
        <v>56.36</v>
      </c>
      <c r="G158">
        <v>6165660</v>
      </c>
      <c r="I158" s="2">
        <v>41243</v>
      </c>
      <c r="J158">
        <v>28.538</v>
      </c>
      <c r="K158">
        <v>28.538</v>
      </c>
      <c r="M158" s="2">
        <v>42817</v>
      </c>
      <c r="N158">
        <v>58.531599999999997</v>
      </c>
      <c r="O158">
        <v>58.531599999999997</v>
      </c>
    </row>
    <row r="159" spans="1:15">
      <c r="A159" s="2">
        <v>38562</v>
      </c>
      <c r="B159">
        <v>10.475</v>
      </c>
      <c r="C159">
        <v>238440000</v>
      </c>
      <c r="E159" s="2">
        <v>42802</v>
      </c>
      <c r="F159">
        <v>56.51</v>
      </c>
      <c r="G159">
        <v>7604792</v>
      </c>
      <c r="I159" s="2">
        <v>41274</v>
      </c>
      <c r="J159">
        <v>30.3355</v>
      </c>
      <c r="K159">
        <v>30.3355</v>
      </c>
      <c r="M159" s="2">
        <v>42816</v>
      </c>
      <c r="N159">
        <v>56.998800000000003</v>
      </c>
      <c r="O159">
        <v>56.998800000000003</v>
      </c>
    </row>
    <row r="160" spans="1:15">
      <c r="A160" s="2">
        <v>38533</v>
      </c>
      <c r="B160">
        <v>10.824999999999999</v>
      </c>
      <c r="C160">
        <v>326440000</v>
      </c>
      <c r="E160" s="2">
        <v>42801</v>
      </c>
      <c r="F160">
        <v>56.55</v>
      </c>
      <c r="G160">
        <v>7124445</v>
      </c>
      <c r="I160" s="2">
        <v>41305</v>
      </c>
      <c r="J160">
        <v>31.7759</v>
      </c>
      <c r="K160">
        <v>31.7759</v>
      </c>
      <c r="M160" s="2">
        <v>42815</v>
      </c>
      <c r="N160">
        <v>61.322299999999998</v>
      </c>
      <c r="O160">
        <v>61.322299999999998</v>
      </c>
    </row>
    <row r="161" spans="1:15">
      <c r="A161" s="2">
        <v>38503</v>
      </c>
      <c r="B161">
        <v>10.275</v>
      </c>
      <c r="C161">
        <v>236075200</v>
      </c>
      <c r="E161" s="2">
        <v>42800</v>
      </c>
      <c r="F161">
        <v>56.77</v>
      </c>
      <c r="G161">
        <v>6896754</v>
      </c>
      <c r="I161" s="2">
        <v>41333</v>
      </c>
      <c r="J161">
        <v>32.1404</v>
      </c>
      <c r="K161">
        <v>32.1404</v>
      </c>
      <c r="M161" s="2">
        <v>42814</v>
      </c>
      <c r="N161">
        <v>62.0306</v>
      </c>
      <c r="O161">
        <v>62.0306</v>
      </c>
    </row>
    <row r="162" spans="1:15">
      <c r="A162" s="2">
        <v>38471</v>
      </c>
      <c r="B162">
        <v>9.6013000000000002</v>
      </c>
      <c r="C162">
        <v>249906400</v>
      </c>
      <c r="E162" s="2">
        <v>42797</v>
      </c>
      <c r="F162">
        <v>56.7</v>
      </c>
      <c r="G162">
        <v>9192475</v>
      </c>
      <c r="I162" s="2">
        <v>41361</v>
      </c>
      <c r="J162">
        <v>34.825600000000001</v>
      </c>
      <c r="K162">
        <v>34.825600000000001</v>
      </c>
      <c r="M162" s="2">
        <v>42811</v>
      </c>
      <c r="N162">
        <v>61.1004</v>
      </c>
      <c r="O162">
        <v>61.1004</v>
      </c>
    </row>
    <row r="163" spans="1:15">
      <c r="A163" s="2">
        <v>38442</v>
      </c>
      <c r="B163">
        <v>10.4138</v>
      </c>
      <c r="C163">
        <v>312577600</v>
      </c>
      <c r="E163" s="2">
        <v>42796</v>
      </c>
      <c r="F163">
        <v>57.8</v>
      </c>
      <c r="G163">
        <v>6438361</v>
      </c>
      <c r="I163" s="2">
        <v>41394</v>
      </c>
      <c r="J163">
        <v>37.534500000000001</v>
      </c>
      <c r="K163">
        <v>37.534500000000001</v>
      </c>
      <c r="M163" s="2">
        <v>42810</v>
      </c>
      <c r="N163">
        <v>60.8889</v>
      </c>
      <c r="O163">
        <v>60.8889</v>
      </c>
    </row>
    <row r="164" spans="1:15">
      <c r="A164" s="2">
        <v>38411</v>
      </c>
      <c r="B164">
        <v>10.8688</v>
      </c>
      <c r="C164">
        <v>209338400</v>
      </c>
      <c r="E164" s="2">
        <v>42795</v>
      </c>
      <c r="F164">
        <v>57.95</v>
      </c>
      <c r="G164">
        <v>8558904</v>
      </c>
      <c r="I164" s="2">
        <v>41425</v>
      </c>
      <c r="J164">
        <v>36.513500000000001</v>
      </c>
      <c r="K164">
        <v>36.513500000000001</v>
      </c>
      <c r="M164" s="2">
        <v>42809</v>
      </c>
      <c r="N164">
        <v>60.952399999999997</v>
      </c>
      <c r="O164">
        <v>60.952399999999997</v>
      </c>
    </row>
    <row r="165" spans="1:15">
      <c r="A165" s="2">
        <v>38383</v>
      </c>
      <c r="B165">
        <v>10.828799999999999</v>
      </c>
      <c r="C165">
        <v>154792000</v>
      </c>
      <c r="E165" s="2">
        <v>42794</v>
      </c>
      <c r="F165">
        <v>57.16</v>
      </c>
      <c r="G165">
        <v>7951315</v>
      </c>
      <c r="I165" s="2">
        <v>41453</v>
      </c>
      <c r="J165">
        <v>37.709699999999998</v>
      </c>
      <c r="K165">
        <v>37.709699999999998</v>
      </c>
      <c r="M165" s="2">
        <v>42808</v>
      </c>
      <c r="N165">
        <v>60.550699999999999</v>
      </c>
      <c r="O165">
        <v>60.550699999999999</v>
      </c>
    </row>
    <row r="166" spans="1:15">
      <c r="A166" s="2">
        <v>38352</v>
      </c>
      <c r="B166">
        <v>11.3363</v>
      </c>
      <c r="C166">
        <v>199087200</v>
      </c>
      <c r="E166" s="2">
        <v>42793</v>
      </c>
      <c r="F166">
        <v>57.69</v>
      </c>
      <c r="G166">
        <v>4375653</v>
      </c>
      <c r="I166" s="2">
        <v>41486</v>
      </c>
      <c r="J166">
        <v>37.259599999999999</v>
      </c>
      <c r="K166">
        <v>37.259599999999999</v>
      </c>
      <c r="M166" s="2">
        <v>42807</v>
      </c>
      <c r="N166">
        <v>59.905799999999999</v>
      </c>
      <c r="O166">
        <v>59.905799999999999</v>
      </c>
    </row>
    <row r="167" spans="1:15">
      <c r="A167" s="2">
        <v>38321</v>
      </c>
      <c r="B167">
        <v>10.5825</v>
      </c>
      <c r="C167">
        <v>223926400</v>
      </c>
      <c r="E167" s="2">
        <v>42790</v>
      </c>
      <c r="F167">
        <v>57.86</v>
      </c>
      <c r="G167">
        <v>9684469</v>
      </c>
      <c r="I167" s="2">
        <v>41516</v>
      </c>
      <c r="J167">
        <v>37.324800000000003</v>
      </c>
      <c r="K167">
        <v>37.324800000000003</v>
      </c>
      <c r="M167" s="2">
        <v>42804</v>
      </c>
      <c r="N167">
        <v>59.652099999999997</v>
      </c>
      <c r="O167">
        <v>59.652099999999997</v>
      </c>
    </row>
    <row r="168" spans="1:15">
      <c r="A168" s="2">
        <v>38289</v>
      </c>
      <c r="B168">
        <v>10.1638</v>
      </c>
      <c r="C168">
        <v>202959200</v>
      </c>
      <c r="E168" s="2">
        <v>42789</v>
      </c>
      <c r="F168">
        <v>57.39</v>
      </c>
      <c r="G168">
        <v>12316307</v>
      </c>
      <c r="I168" s="2">
        <v>41547</v>
      </c>
      <c r="J168">
        <v>43.159399999999998</v>
      </c>
      <c r="K168">
        <v>43.159399999999998</v>
      </c>
      <c r="M168" s="2">
        <v>42803</v>
      </c>
      <c r="N168">
        <v>59.578099999999999</v>
      </c>
      <c r="O168">
        <v>59.578099999999999</v>
      </c>
    </row>
    <row r="169" spans="1:15">
      <c r="A169" s="2">
        <v>38260</v>
      </c>
      <c r="B169">
        <v>9.85</v>
      </c>
      <c r="C169">
        <v>223154400</v>
      </c>
      <c r="E169" s="2">
        <v>42788</v>
      </c>
      <c r="F169">
        <v>58.24</v>
      </c>
      <c r="G169">
        <v>10914088</v>
      </c>
      <c r="I169" s="2">
        <v>41578</v>
      </c>
      <c r="J169">
        <v>45.013100000000001</v>
      </c>
      <c r="K169">
        <v>45.013100000000001</v>
      </c>
      <c r="M169" s="2">
        <v>42802</v>
      </c>
      <c r="N169">
        <v>59.736699999999999</v>
      </c>
      <c r="O169">
        <v>59.736699999999999</v>
      </c>
    </row>
    <row r="170" spans="1:15">
      <c r="A170" s="2">
        <v>38230</v>
      </c>
      <c r="B170">
        <v>9.4138000000000002</v>
      </c>
      <c r="C170">
        <v>163166400</v>
      </c>
      <c r="E170" s="2">
        <v>42787</v>
      </c>
      <c r="F170">
        <v>57.36</v>
      </c>
      <c r="G170">
        <v>10955030</v>
      </c>
      <c r="I170" s="2">
        <v>41607</v>
      </c>
      <c r="J170">
        <v>47.0214</v>
      </c>
      <c r="K170">
        <v>47.0214</v>
      </c>
      <c r="M170" s="2">
        <v>42801</v>
      </c>
      <c r="N170">
        <v>59.779000000000003</v>
      </c>
      <c r="O170">
        <v>59.779000000000003</v>
      </c>
    </row>
    <row r="171" spans="1:15">
      <c r="A171" s="2">
        <v>38198</v>
      </c>
      <c r="B171">
        <v>9.0888000000000009</v>
      </c>
      <c r="C171">
        <v>199154400</v>
      </c>
      <c r="E171" s="2">
        <v>42783</v>
      </c>
      <c r="F171">
        <v>56.75</v>
      </c>
      <c r="G171">
        <v>12637964</v>
      </c>
      <c r="I171" s="2">
        <v>41639</v>
      </c>
      <c r="J171">
        <v>46.866900000000001</v>
      </c>
      <c r="K171">
        <v>46.866900000000001</v>
      </c>
      <c r="M171" s="2">
        <v>42800</v>
      </c>
      <c r="N171">
        <v>60.011499999999998</v>
      </c>
      <c r="O171">
        <v>60.011499999999998</v>
      </c>
    </row>
    <row r="172" spans="1:15">
      <c r="A172" s="2">
        <v>38168</v>
      </c>
      <c r="B172">
        <v>9.4687999999999999</v>
      </c>
      <c r="C172">
        <v>200645600</v>
      </c>
      <c r="E172" s="2">
        <v>42782</v>
      </c>
      <c r="F172">
        <v>56.29</v>
      </c>
      <c r="G172">
        <v>8374192</v>
      </c>
      <c r="I172" s="2">
        <v>41670</v>
      </c>
      <c r="J172">
        <v>43.416200000000003</v>
      </c>
      <c r="K172">
        <v>43.416200000000003</v>
      </c>
      <c r="M172" s="2">
        <v>42797</v>
      </c>
      <c r="N172">
        <v>59.9375</v>
      </c>
      <c r="O172">
        <v>59.9375</v>
      </c>
    </row>
    <row r="173" spans="1:15">
      <c r="A173" s="2">
        <v>38135</v>
      </c>
      <c r="B173">
        <v>8.8938000000000006</v>
      </c>
      <c r="C173">
        <v>256347200</v>
      </c>
      <c r="E173" s="2">
        <v>42781</v>
      </c>
      <c r="F173">
        <v>56.64</v>
      </c>
      <c r="G173">
        <v>6651971</v>
      </c>
      <c r="I173" s="2">
        <v>41698</v>
      </c>
      <c r="J173">
        <v>46.807299999999998</v>
      </c>
      <c r="K173">
        <v>46.807299999999998</v>
      </c>
      <c r="M173" s="2">
        <v>42796</v>
      </c>
      <c r="N173">
        <v>61.1004</v>
      </c>
      <c r="O173">
        <v>61.1004</v>
      </c>
    </row>
    <row r="174" spans="1:15">
      <c r="A174" s="2">
        <v>38107</v>
      </c>
      <c r="B174">
        <v>8.9938000000000002</v>
      </c>
      <c r="C174">
        <v>200372800</v>
      </c>
      <c r="E174" s="2">
        <v>42780</v>
      </c>
      <c r="F174">
        <v>56.45</v>
      </c>
      <c r="G174">
        <v>8891430</v>
      </c>
      <c r="I174" s="2">
        <v>41729</v>
      </c>
      <c r="J174">
        <v>44.153100000000002</v>
      </c>
      <c r="K174">
        <v>44.153100000000002</v>
      </c>
      <c r="M174" s="2">
        <v>42795</v>
      </c>
      <c r="N174">
        <v>61.0687</v>
      </c>
      <c r="O174">
        <v>61.0687</v>
      </c>
    </row>
    <row r="175" spans="1:15">
      <c r="A175" s="2">
        <v>38077</v>
      </c>
      <c r="B175">
        <v>9.7338000000000005</v>
      </c>
      <c r="C175">
        <v>291142400</v>
      </c>
      <c r="E175" s="2">
        <v>42779</v>
      </c>
      <c r="F175">
        <v>56.09</v>
      </c>
      <c r="G175">
        <v>7679800</v>
      </c>
      <c r="I175" s="2">
        <v>41759</v>
      </c>
      <c r="J175">
        <v>43.609099999999998</v>
      </c>
      <c r="K175">
        <v>43.609099999999998</v>
      </c>
      <c r="M175" s="2">
        <v>42794</v>
      </c>
      <c r="N175">
        <v>60.236199999999997</v>
      </c>
      <c r="O175">
        <v>60.236199999999997</v>
      </c>
    </row>
    <row r="176" spans="1:15">
      <c r="A176" s="2">
        <v>38044</v>
      </c>
      <c r="B176">
        <v>9.1562999999999999</v>
      </c>
      <c r="C176">
        <v>171486400</v>
      </c>
      <c r="E176" s="2">
        <v>42776</v>
      </c>
      <c r="F176">
        <v>56.22</v>
      </c>
      <c r="G176">
        <v>14973383</v>
      </c>
      <c r="I176" s="2">
        <v>41789</v>
      </c>
      <c r="J176">
        <v>46.119799999999998</v>
      </c>
      <c r="K176">
        <v>46.119799999999998</v>
      </c>
      <c r="M176" s="2">
        <v>42793</v>
      </c>
      <c r="N176">
        <v>60.794699999999999</v>
      </c>
      <c r="O176">
        <v>60.794699999999999</v>
      </c>
    </row>
    <row r="177" spans="1:15">
      <c r="A177" s="2">
        <v>38016</v>
      </c>
      <c r="B177">
        <v>8.7074999999999996</v>
      </c>
      <c r="C177">
        <v>184354400</v>
      </c>
      <c r="E177" s="2">
        <v>42775</v>
      </c>
      <c r="F177">
        <v>55.31</v>
      </c>
      <c r="G177">
        <v>14345385</v>
      </c>
      <c r="I177" s="2">
        <v>41820</v>
      </c>
      <c r="J177">
        <v>46.503599999999999</v>
      </c>
      <c r="K177">
        <v>46.503599999999999</v>
      </c>
      <c r="M177" s="2">
        <v>42790</v>
      </c>
      <c r="N177">
        <v>60.9739</v>
      </c>
      <c r="O177">
        <v>60.9739</v>
      </c>
    </row>
    <row r="178" spans="1:15">
      <c r="A178" s="2">
        <v>37986</v>
      </c>
      <c r="B178">
        <v>8.5574999999999992</v>
      </c>
      <c r="C178">
        <v>265883200</v>
      </c>
      <c r="E178" s="2">
        <v>42774</v>
      </c>
      <c r="F178">
        <v>53.88</v>
      </c>
      <c r="G178">
        <v>9281071</v>
      </c>
      <c r="I178" s="2">
        <v>41851</v>
      </c>
      <c r="J178">
        <v>46.251800000000003</v>
      </c>
      <c r="K178">
        <v>46.251800000000003</v>
      </c>
      <c r="M178" s="2">
        <v>42789</v>
      </c>
      <c r="N178">
        <v>60.4786</v>
      </c>
      <c r="O178">
        <v>60.4786</v>
      </c>
    </row>
    <row r="179" spans="1:15">
      <c r="A179" s="2">
        <v>37953</v>
      </c>
      <c r="B179">
        <v>8.4062999999999999</v>
      </c>
      <c r="C179">
        <v>239918808</v>
      </c>
      <c r="E179" s="2">
        <v>42773</v>
      </c>
      <c r="F179">
        <v>52.81</v>
      </c>
      <c r="G179">
        <v>6446876</v>
      </c>
      <c r="I179" s="2">
        <v>41880</v>
      </c>
      <c r="J179">
        <v>47.247199999999999</v>
      </c>
      <c r="K179">
        <v>47.247199999999999</v>
      </c>
      <c r="M179" s="2">
        <v>42788</v>
      </c>
      <c r="N179">
        <v>61.374299999999998</v>
      </c>
      <c r="O179">
        <v>61.374299999999998</v>
      </c>
    </row>
    <row r="180" spans="1:15">
      <c r="A180" s="2">
        <v>37925</v>
      </c>
      <c r="B180">
        <v>7.9874999999999998</v>
      </c>
      <c r="C180">
        <v>238666400</v>
      </c>
      <c r="E180" s="2">
        <v>42772</v>
      </c>
      <c r="F180">
        <v>52.8</v>
      </c>
      <c r="G180">
        <v>7355182</v>
      </c>
      <c r="I180" s="2">
        <v>41912</v>
      </c>
      <c r="J180">
        <v>53.653100000000002</v>
      </c>
      <c r="K180">
        <v>53.653100000000002</v>
      </c>
      <c r="M180" s="2">
        <v>42787</v>
      </c>
      <c r="N180">
        <v>60.447000000000003</v>
      </c>
      <c r="O180">
        <v>60.447000000000003</v>
      </c>
    </row>
    <row r="181" spans="1:15">
      <c r="A181" s="2">
        <v>37894</v>
      </c>
      <c r="B181">
        <v>7.6025</v>
      </c>
      <c r="C181">
        <v>261538400</v>
      </c>
      <c r="E181" s="2">
        <v>42769</v>
      </c>
      <c r="F181">
        <v>52.36</v>
      </c>
      <c r="G181">
        <v>8850416</v>
      </c>
      <c r="I181" s="2">
        <v>41943</v>
      </c>
      <c r="J181">
        <v>55.920699999999997</v>
      </c>
      <c r="K181">
        <v>55.920699999999997</v>
      </c>
      <c r="M181" s="2">
        <v>42783</v>
      </c>
      <c r="N181">
        <v>59.804200000000002</v>
      </c>
      <c r="O181">
        <v>59.804200000000002</v>
      </c>
    </row>
    <row r="182" spans="1:15">
      <c r="A182" s="2">
        <v>37862</v>
      </c>
      <c r="B182">
        <v>7.1224999999999996</v>
      </c>
      <c r="C182">
        <v>184159200</v>
      </c>
      <c r="E182" s="2">
        <v>42768</v>
      </c>
      <c r="F182">
        <v>52.8</v>
      </c>
      <c r="G182">
        <v>7874179</v>
      </c>
      <c r="I182" s="2">
        <v>41971</v>
      </c>
      <c r="J182">
        <v>59.722099999999998</v>
      </c>
      <c r="K182">
        <v>59.722099999999998</v>
      </c>
      <c r="M182" s="2">
        <v>42782</v>
      </c>
      <c r="N182">
        <v>59.319400000000002</v>
      </c>
      <c r="O182">
        <v>59.319400000000002</v>
      </c>
    </row>
    <row r="183" spans="1:15">
      <c r="A183" s="2">
        <v>37833</v>
      </c>
      <c r="B183">
        <v>6.4675000000000002</v>
      </c>
      <c r="C183">
        <v>225903200</v>
      </c>
      <c r="E183" s="2">
        <v>42767</v>
      </c>
      <c r="F183">
        <v>53.02</v>
      </c>
      <c r="G183">
        <v>8810937</v>
      </c>
      <c r="I183" s="2">
        <v>42004</v>
      </c>
      <c r="J183">
        <v>58.001899999999999</v>
      </c>
      <c r="K183">
        <v>58.001899999999999</v>
      </c>
      <c r="M183" s="2">
        <v>42781</v>
      </c>
      <c r="N183">
        <v>59.688200000000002</v>
      </c>
      <c r="O183">
        <v>59.688200000000002</v>
      </c>
    </row>
    <row r="184" spans="1:15">
      <c r="A184" s="2">
        <v>37802</v>
      </c>
      <c r="B184">
        <v>6.6863000000000001</v>
      </c>
      <c r="C184">
        <v>327828800</v>
      </c>
      <c r="E184" s="2">
        <v>42766</v>
      </c>
      <c r="F184">
        <v>52.9</v>
      </c>
      <c r="G184">
        <v>12342873</v>
      </c>
      <c r="I184" s="2">
        <v>42034</v>
      </c>
      <c r="J184">
        <v>55.6492</v>
      </c>
      <c r="K184">
        <v>55.6492</v>
      </c>
      <c r="M184" s="2">
        <v>42780</v>
      </c>
      <c r="N184">
        <v>59.488</v>
      </c>
      <c r="O184">
        <v>59.488</v>
      </c>
    </row>
    <row r="185" spans="1:15">
      <c r="A185" s="2">
        <v>37771</v>
      </c>
      <c r="B185">
        <v>6.9988000000000001</v>
      </c>
      <c r="C185">
        <v>230232000</v>
      </c>
      <c r="E185" s="2">
        <v>42765</v>
      </c>
      <c r="F185">
        <v>53.08</v>
      </c>
      <c r="G185">
        <v>9770763</v>
      </c>
      <c r="I185" s="2">
        <v>42062</v>
      </c>
      <c r="J185">
        <v>58.755899999999997</v>
      </c>
      <c r="K185">
        <v>58.755899999999997</v>
      </c>
      <c r="M185" s="2">
        <v>42779</v>
      </c>
      <c r="N185">
        <v>59.108600000000003</v>
      </c>
      <c r="O185">
        <v>59.108600000000003</v>
      </c>
    </row>
    <row r="186" spans="1:15">
      <c r="A186" s="2">
        <v>37741</v>
      </c>
      <c r="B186">
        <v>6.6913</v>
      </c>
      <c r="C186">
        <v>218646400</v>
      </c>
      <c r="E186" s="2">
        <v>42762</v>
      </c>
      <c r="F186">
        <v>53.19</v>
      </c>
      <c r="G186">
        <v>7362028</v>
      </c>
      <c r="I186" s="2">
        <v>42094</v>
      </c>
      <c r="J186">
        <v>60.697899999999997</v>
      </c>
      <c r="K186">
        <v>60.697899999999997</v>
      </c>
      <c r="M186" s="2">
        <v>42776</v>
      </c>
      <c r="N186">
        <v>59.245600000000003</v>
      </c>
      <c r="O186">
        <v>59.245600000000003</v>
      </c>
    </row>
    <row r="187" spans="1:15">
      <c r="A187" s="2">
        <v>37711</v>
      </c>
      <c r="B187">
        <v>6.4275000000000002</v>
      </c>
      <c r="C187">
        <v>328340800</v>
      </c>
      <c r="E187" s="2">
        <v>42761</v>
      </c>
      <c r="F187">
        <v>53.65</v>
      </c>
      <c r="G187">
        <v>6202005</v>
      </c>
      <c r="I187" s="2">
        <v>42124</v>
      </c>
      <c r="J187">
        <v>59.796500000000002</v>
      </c>
      <c r="K187">
        <v>59.796500000000002</v>
      </c>
      <c r="M187" s="2">
        <v>42775</v>
      </c>
      <c r="N187">
        <v>58.286700000000003</v>
      </c>
      <c r="O187">
        <v>58.286700000000003</v>
      </c>
    </row>
    <row r="188" spans="1:15">
      <c r="A188" s="2">
        <v>37680</v>
      </c>
      <c r="B188">
        <v>5.7963000000000005</v>
      </c>
      <c r="C188">
        <v>197583200</v>
      </c>
      <c r="E188" s="2">
        <v>42760</v>
      </c>
      <c r="F188">
        <v>53.86</v>
      </c>
      <c r="G188">
        <v>6675011</v>
      </c>
      <c r="I188" s="2">
        <v>42153</v>
      </c>
      <c r="J188">
        <v>61.677999999999997</v>
      </c>
      <c r="K188">
        <v>61.677999999999997</v>
      </c>
      <c r="M188" s="2">
        <v>42774</v>
      </c>
      <c r="N188">
        <v>56.779699999999998</v>
      </c>
      <c r="O188">
        <v>56.779699999999998</v>
      </c>
    </row>
    <row r="189" spans="1:15">
      <c r="A189" s="2">
        <v>37652</v>
      </c>
      <c r="B189">
        <v>5.5674999999999999</v>
      </c>
      <c r="C189">
        <v>209041600</v>
      </c>
      <c r="E189" s="2">
        <v>42759</v>
      </c>
      <c r="F189">
        <v>53.45</v>
      </c>
      <c r="G189">
        <v>6321310</v>
      </c>
      <c r="I189" s="2">
        <v>42185</v>
      </c>
      <c r="J189">
        <v>65.530199999999994</v>
      </c>
      <c r="K189">
        <v>65.530199999999994</v>
      </c>
      <c r="M189" s="2">
        <v>42773</v>
      </c>
      <c r="N189">
        <v>55.652099999999997</v>
      </c>
      <c r="O189">
        <v>55.652099999999997</v>
      </c>
    </row>
    <row r="190" spans="1:15">
      <c r="A190" s="2">
        <v>37621</v>
      </c>
      <c r="B190">
        <v>5.5587999999999997</v>
      </c>
      <c r="C190">
        <v>267160800</v>
      </c>
      <c r="E190" s="2">
        <v>42758</v>
      </c>
      <c r="F190">
        <v>53.24</v>
      </c>
      <c r="G190">
        <v>7025715</v>
      </c>
      <c r="I190" s="2">
        <v>42216</v>
      </c>
      <c r="J190">
        <v>69.898099999999999</v>
      </c>
      <c r="K190">
        <v>69.898099999999999</v>
      </c>
      <c r="M190" s="2">
        <v>42772</v>
      </c>
      <c r="N190">
        <v>55.641599999999997</v>
      </c>
      <c r="O190">
        <v>55.641599999999997</v>
      </c>
    </row>
    <row r="191" spans="1:15">
      <c r="A191" s="2">
        <v>37589</v>
      </c>
      <c r="B191">
        <v>5.5975000000000001</v>
      </c>
      <c r="C191">
        <v>245716800</v>
      </c>
      <c r="E191" s="2">
        <v>42755</v>
      </c>
      <c r="F191">
        <v>53.2</v>
      </c>
      <c r="G191">
        <v>7861047</v>
      </c>
      <c r="I191" s="2">
        <v>42247</v>
      </c>
      <c r="J191">
        <v>67.793000000000006</v>
      </c>
      <c r="K191">
        <v>67.793000000000006</v>
      </c>
      <c r="M191" s="2">
        <v>42769</v>
      </c>
      <c r="N191">
        <v>55.177900000000001</v>
      </c>
      <c r="O191">
        <v>55.177900000000001</v>
      </c>
    </row>
    <row r="192" spans="1:15">
      <c r="A192" s="2">
        <v>37560</v>
      </c>
      <c r="B192">
        <v>5.8987999999999996</v>
      </c>
      <c r="C192">
        <v>302560000</v>
      </c>
      <c r="E192" s="2">
        <v>42754</v>
      </c>
      <c r="F192">
        <v>52.93</v>
      </c>
      <c r="G192">
        <v>8320612</v>
      </c>
      <c r="I192" s="2">
        <v>42277</v>
      </c>
      <c r="J192">
        <v>74.769499999999994</v>
      </c>
      <c r="K192">
        <v>74.769499999999994</v>
      </c>
      <c r="M192" s="2">
        <v>42768</v>
      </c>
      <c r="N192">
        <v>55.641599999999997</v>
      </c>
      <c r="O192">
        <v>55.641599999999997</v>
      </c>
    </row>
    <row r="193" spans="1:15">
      <c r="A193" s="2">
        <v>37529</v>
      </c>
      <c r="B193">
        <v>5.3975</v>
      </c>
      <c r="C193">
        <v>274517600</v>
      </c>
      <c r="E193" s="2">
        <v>42753</v>
      </c>
      <c r="F193">
        <v>53.27</v>
      </c>
      <c r="G193">
        <v>6743094</v>
      </c>
      <c r="I193" s="2">
        <v>42307</v>
      </c>
      <c r="J193">
        <v>79.670199999999994</v>
      </c>
      <c r="K193">
        <v>79.670199999999994</v>
      </c>
      <c r="M193" s="2">
        <v>42767</v>
      </c>
      <c r="N193">
        <v>55.873399999999997</v>
      </c>
      <c r="O193">
        <v>55.873399999999997</v>
      </c>
    </row>
    <row r="194" spans="1:15">
      <c r="A194" s="2">
        <v>37498</v>
      </c>
      <c r="B194">
        <v>5.3975</v>
      </c>
      <c r="C194">
        <v>407546400</v>
      </c>
      <c r="E194" s="2">
        <v>42752</v>
      </c>
      <c r="F194">
        <v>53.65</v>
      </c>
      <c r="G194">
        <v>9888451</v>
      </c>
      <c r="I194" s="2">
        <v>42338</v>
      </c>
      <c r="J194">
        <v>80.430199999999999</v>
      </c>
      <c r="K194">
        <v>80.430199999999999</v>
      </c>
      <c r="M194" s="2">
        <v>42766</v>
      </c>
      <c r="N194">
        <v>55.747</v>
      </c>
      <c r="O194">
        <v>55.747</v>
      </c>
    </row>
    <row r="195" spans="1:15">
      <c r="A195" s="2">
        <v>37468</v>
      </c>
      <c r="B195">
        <v>6.1612999999999998</v>
      </c>
      <c r="C195">
        <v>339646400</v>
      </c>
      <c r="E195" s="2">
        <v>42748</v>
      </c>
      <c r="F195">
        <v>52.92</v>
      </c>
      <c r="G195">
        <v>6694367</v>
      </c>
      <c r="I195" s="2">
        <v>42369</v>
      </c>
      <c r="J195">
        <v>76.198300000000003</v>
      </c>
      <c r="K195">
        <v>76.198300000000003</v>
      </c>
      <c r="M195" s="2">
        <v>42765</v>
      </c>
      <c r="N195">
        <v>55.936599999999999</v>
      </c>
      <c r="O195">
        <v>55.936599999999999</v>
      </c>
    </row>
    <row r="196" spans="1:15">
      <c r="A196" s="2">
        <v>37435</v>
      </c>
      <c r="B196">
        <v>6.7062999999999997</v>
      </c>
      <c r="C196">
        <v>284765600</v>
      </c>
      <c r="E196" s="2">
        <v>42747</v>
      </c>
      <c r="F196">
        <v>52.4</v>
      </c>
      <c r="G196">
        <v>7368654</v>
      </c>
      <c r="I196" s="2">
        <v>42398</v>
      </c>
      <c r="J196">
        <v>75.600899999999996</v>
      </c>
      <c r="K196">
        <v>75.600899999999996</v>
      </c>
      <c r="M196" s="2">
        <v>42762</v>
      </c>
      <c r="N196">
        <v>56.052599999999998</v>
      </c>
      <c r="O196">
        <v>56.052599999999998</v>
      </c>
    </row>
    <row r="197" spans="1:15">
      <c r="A197" s="2">
        <v>37407</v>
      </c>
      <c r="B197">
        <v>6.7187999999999999</v>
      </c>
      <c r="C197">
        <v>227011200</v>
      </c>
      <c r="E197" s="2">
        <v>42746</v>
      </c>
      <c r="F197">
        <v>52.69</v>
      </c>
      <c r="G197">
        <v>8208307</v>
      </c>
      <c r="I197" s="2">
        <v>42429</v>
      </c>
      <c r="J197">
        <v>75.088899999999995</v>
      </c>
      <c r="K197">
        <v>75.088899999999995</v>
      </c>
      <c r="M197" s="2">
        <v>42761</v>
      </c>
      <c r="N197">
        <v>56.537300000000002</v>
      </c>
      <c r="O197">
        <v>56.537300000000002</v>
      </c>
    </row>
    <row r="198" spans="1:15">
      <c r="A198" s="2">
        <v>37376</v>
      </c>
      <c r="B198">
        <v>6.6662999999999997</v>
      </c>
      <c r="C198">
        <v>276537600</v>
      </c>
      <c r="E198" s="2">
        <v>42745</v>
      </c>
      <c r="F198">
        <v>53.11</v>
      </c>
      <c r="G198">
        <v>8041852</v>
      </c>
      <c r="I198" s="2">
        <v>42460</v>
      </c>
      <c r="J198">
        <v>75.137699999999995</v>
      </c>
      <c r="K198">
        <v>75.137699999999995</v>
      </c>
      <c r="M198" s="2">
        <v>42760</v>
      </c>
      <c r="N198">
        <v>56.758600000000001</v>
      </c>
      <c r="O198">
        <v>56.758600000000001</v>
      </c>
    </row>
    <row r="199" spans="1:15">
      <c r="A199" s="2">
        <v>37343</v>
      </c>
      <c r="B199">
        <v>7.5012999999999996</v>
      </c>
      <c r="C199">
        <v>258675200</v>
      </c>
      <c r="E199" s="2">
        <v>42744</v>
      </c>
      <c r="F199">
        <v>53.38</v>
      </c>
      <c r="G199">
        <v>8835265</v>
      </c>
      <c r="I199" s="2">
        <v>42489</v>
      </c>
      <c r="J199">
        <v>72.045100000000005</v>
      </c>
      <c r="K199">
        <v>72.045100000000005</v>
      </c>
      <c r="M199" s="2">
        <v>42759</v>
      </c>
      <c r="N199">
        <v>56.326599999999999</v>
      </c>
      <c r="O199">
        <v>56.326599999999999</v>
      </c>
    </row>
    <row r="200" spans="1:15">
      <c r="A200" s="2">
        <v>37315</v>
      </c>
      <c r="B200">
        <v>7.3574999999999999</v>
      </c>
      <c r="C200">
        <v>171968000</v>
      </c>
      <c r="E200" s="2">
        <v>42741</v>
      </c>
      <c r="F200">
        <v>53.91</v>
      </c>
      <c r="G200">
        <v>12532449</v>
      </c>
      <c r="I200" s="2">
        <v>42521</v>
      </c>
      <c r="J200">
        <v>67.498000000000005</v>
      </c>
      <c r="K200">
        <v>67.498000000000005</v>
      </c>
      <c r="M200" s="2">
        <v>42758</v>
      </c>
      <c r="N200">
        <v>56.1053</v>
      </c>
      <c r="O200">
        <v>56.1053</v>
      </c>
    </row>
    <row r="201" spans="1:15">
      <c r="A201" s="2">
        <v>37287</v>
      </c>
      <c r="B201">
        <v>7.4888000000000003</v>
      </c>
      <c r="C201">
        <v>256148800</v>
      </c>
      <c r="E201" s="2">
        <v>42740</v>
      </c>
      <c r="F201">
        <v>53.06</v>
      </c>
      <c r="G201">
        <v>8682193</v>
      </c>
      <c r="I201" s="2">
        <v>42551</v>
      </c>
      <c r="J201">
        <v>67.6691</v>
      </c>
      <c r="K201">
        <v>67.6691</v>
      </c>
      <c r="M201" s="2">
        <v>42755</v>
      </c>
      <c r="N201">
        <v>56.063099999999999</v>
      </c>
      <c r="O201">
        <v>56.063099999999999</v>
      </c>
    </row>
    <row r="202" spans="1:15">
      <c r="A202" s="2">
        <v>37256</v>
      </c>
      <c r="B202">
        <v>7.03</v>
      </c>
      <c r="C202">
        <v>308527200</v>
      </c>
      <c r="E202" s="2">
        <v>42739</v>
      </c>
      <c r="F202">
        <v>53.07</v>
      </c>
      <c r="G202">
        <v>13759473</v>
      </c>
      <c r="I202" s="2">
        <v>42580</v>
      </c>
      <c r="J202">
        <v>68.036900000000003</v>
      </c>
      <c r="K202">
        <v>68.036900000000003</v>
      </c>
      <c r="M202" s="2">
        <v>42754</v>
      </c>
      <c r="N202">
        <v>55.778599999999997</v>
      </c>
      <c r="O202">
        <v>55.778599999999997</v>
      </c>
    </row>
    <row r="203" spans="1:15">
      <c r="A203" s="2">
        <v>37225</v>
      </c>
      <c r="B203">
        <v>6.6238000000000001</v>
      </c>
      <c r="C203">
        <v>179064000</v>
      </c>
      <c r="E203" s="2">
        <v>42738</v>
      </c>
      <c r="F203">
        <v>51.98</v>
      </c>
      <c r="G203">
        <v>13295607</v>
      </c>
      <c r="I203" s="2">
        <v>42613</v>
      </c>
      <c r="J203">
        <v>70.660300000000007</v>
      </c>
      <c r="K203">
        <v>70.660300000000007</v>
      </c>
      <c r="M203" s="2">
        <v>42753</v>
      </c>
      <c r="N203">
        <v>56.136899999999997</v>
      </c>
      <c r="O203">
        <v>56.136899999999997</v>
      </c>
    </row>
    <row r="204" spans="1:15">
      <c r="A204" s="2">
        <v>37195</v>
      </c>
      <c r="B204">
        <v>6.17</v>
      </c>
      <c r="C204">
        <v>247352800</v>
      </c>
      <c r="E204" s="2">
        <v>42734</v>
      </c>
      <c r="F204">
        <v>50.83</v>
      </c>
      <c r="G204">
        <v>7384258</v>
      </c>
      <c r="I204" s="2">
        <v>42643</v>
      </c>
      <c r="J204">
        <v>64.739199999999997</v>
      </c>
      <c r="K204">
        <v>64.739199999999997</v>
      </c>
      <c r="M204" s="2">
        <v>42752</v>
      </c>
      <c r="N204">
        <v>56.537300000000002</v>
      </c>
      <c r="O204">
        <v>56.537300000000002</v>
      </c>
    </row>
    <row r="205" spans="1:15">
      <c r="A205" s="2">
        <v>37162</v>
      </c>
      <c r="B205">
        <v>5.8513000000000002</v>
      </c>
      <c r="C205">
        <v>242140800</v>
      </c>
      <c r="E205" s="2">
        <v>42733</v>
      </c>
      <c r="F205">
        <v>51.06</v>
      </c>
      <c r="G205">
        <v>4680840</v>
      </c>
      <c r="I205" s="2">
        <v>42674</v>
      </c>
      <c r="J205">
        <v>61.702100000000002</v>
      </c>
      <c r="K205">
        <v>61.702100000000002</v>
      </c>
      <c r="M205" s="2">
        <v>42748</v>
      </c>
      <c r="N205">
        <v>55.768000000000001</v>
      </c>
      <c r="O205">
        <v>55.768000000000001</v>
      </c>
    </row>
    <row r="206" spans="1:15">
      <c r="A206" s="2">
        <v>37134</v>
      </c>
      <c r="B206">
        <v>6.25</v>
      </c>
      <c r="C206">
        <v>186447200</v>
      </c>
      <c r="E206" s="2">
        <v>42732</v>
      </c>
      <c r="F206">
        <v>51.02</v>
      </c>
      <c r="G206">
        <v>6318040</v>
      </c>
      <c r="I206" s="2">
        <v>42704</v>
      </c>
      <c r="J206">
        <v>61.566800000000001</v>
      </c>
      <c r="K206">
        <v>61.566800000000001</v>
      </c>
      <c r="M206" s="2">
        <v>42747</v>
      </c>
      <c r="N206">
        <v>55.22</v>
      </c>
      <c r="O206">
        <v>55.22</v>
      </c>
    </row>
    <row r="207" spans="1:15">
      <c r="A207" s="2">
        <v>37103</v>
      </c>
      <c r="B207">
        <v>5.9437999999999995</v>
      </c>
      <c r="C207">
        <v>198777600</v>
      </c>
      <c r="E207" s="2">
        <v>42731</v>
      </c>
      <c r="F207">
        <v>51.29</v>
      </c>
      <c r="G207">
        <v>8175000</v>
      </c>
      <c r="I207" s="2">
        <v>42734</v>
      </c>
      <c r="J207">
        <v>62.722700000000003</v>
      </c>
      <c r="K207">
        <v>62.722700000000003</v>
      </c>
      <c r="M207" s="2">
        <v>42746</v>
      </c>
      <c r="N207">
        <v>55.525700000000001</v>
      </c>
      <c r="O207">
        <v>55.525700000000001</v>
      </c>
    </row>
    <row r="208" spans="1:15">
      <c r="A208" s="2">
        <v>37071</v>
      </c>
      <c r="B208">
        <v>5.2488000000000001</v>
      </c>
      <c r="C208">
        <v>221994400</v>
      </c>
      <c r="E208" s="2">
        <v>42727</v>
      </c>
      <c r="F208">
        <v>51.91</v>
      </c>
      <c r="G208">
        <v>9360816</v>
      </c>
      <c r="I208" s="2">
        <v>42766</v>
      </c>
      <c r="J208">
        <v>65.277000000000001</v>
      </c>
      <c r="K208">
        <v>65.277000000000001</v>
      </c>
      <c r="M208" s="2">
        <v>42745</v>
      </c>
      <c r="N208">
        <v>55.968299999999999</v>
      </c>
      <c r="O208">
        <v>55.968299999999999</v>
      </c>
    </row>
    <row r="209" spans="1:15">
      <c r="A209" s="2">
        <v>37042</v>
      </c>
      <c r="B209">
        <v>5.1375000000000002</v>
      </c>
      <c r="C209">
        <v>202687200</v>
      </c>
      <c r="E209" s="2">
        <v>42726</v>
      </c>
      <c r="F209">
        <v>52.14</v>
      </c>
      <c r="G209">
        <v>11798871</v>
      </c>
      <c r="I209" s="2">
        <v>42794</v>
      </c>
      <c r="J209">
        <v>70.533699999999996</v>
      </c>
      <c r="K209">
        <v>70.533699999999996</v>
      </c>
      <c r="M209" s="2">
        <v>42744</v>
      </c>
      <c r="N209">
        <v>56.252800000000001</v>
      </c>
      <c r="O209">
        <v>56.252800000000001</v>
      </c>
    </row>
    <row r="210" spans="1:15">
      <c r="A210" s="2">
        <v>37011</v>
      </c>
      <c r="B210">
        <v>5.2263000000000002</v>
      </c>
      <c r="C210">
        <v>198206400</v>
      </c>
      <c r="E210" s="2">
        <v>42725</v>
      </c>
      <c r="F210">
        <v>52.3</v>
      </c>
      <c r="G210">
        <v>23236380</v>
      </c>
      <c r="I210" s="2">
        <v>42825</v>
      </c>
      <c r="J210">
        <v>68.991200000000006</v>
      </c>
      <c r="K210">
        <v>68.991200000000006</v>
      </c>
      <c r="M210" s="2">
        <v>42741</v>
      </c>
      <c r="N210">
        <v>56.811300000000003</v>
      </c>
      <c r="O210">
        <v>56.811300000000003</v>
      </c>
    </row>
    <row r="211" spans="1:15">
      <c r="A211" s="2">
        <v>36980</v>
      </c>
      <c r="B211">
        <v>5.0688000000000004</v>
      </c>
      <c r="C211">
        <v>227849600</v>
      </c>
      <c r="E211" s="2">
        <v>42724</v>
      </c>
      <c r="F211">
        <v>51.79</v>
      </c>
      <c r="G211">
        <v>15984083</v>
      </c>
      <c r="I211" s="2">
        <v>42853</v>
      </c>
      <c r="J211">
        <v>68.595100000000002</v>
      </c>
      <c r="K211">
        <v>68.595100000000002</v>
      </c>
      <c r="M211" s="2">
        <v>42740</v>
      </c>
      <c r="N211">
        <v>55.915599999999998</v>
      </c>
      <c r="O211">
        <v>55.915599999999998</v>
      </c>
    </row>
    <row r="212" spans="1:15">
      <c r="A212" s="2">
        <v>36950</v>
      </c>
      <c r="B212">
        <v>4.8812999999999995</v>
      </c>
      <c r="C212">
        <v>310156800</v>
      </c>
      <c r="E212" s="2">
        <v>42723</v>
      </c>
      <c r="F212">
        <v>50.85</v>
      </c>
      <c r="G212">
        <v>9451738</v>
      </c>
      <c r="I212" s="2">
        <v>42886</v>
      </c>
      <c r="J212">
        <v>65.599199999999996</v>
      </c>
      <c r="K212">
        <v>65.599199999999996</v>
      </c>
      <c r="M212" s="2">
        <v>42739</v>
      </c>
      <c r="N212">
        <v>55.926099999999998</v>
      </c>
      <c r="O212">
        <v>55.926099999999998</v>
      </c>
    </row>
    <row r="213" spans="1:15">
      <c r="A213" s="2">
        <v>36922</v>
      </c>
      <c r="B213">
        <v>6.8774999999999995</v>
      </c>
      <c r="C213">
        <v>307727200</v>
      </c>
      <c r="E213" s="2">
        <v>42720</v>
      </c>
      <c r="F213">
        <v>50.92</v>
      </c>
      <c r="G213">
        <v>13984850</v>
      </c>
      <c r="I213" s="2">
        <v>42916</v>
      </c>
      <c r="J213">
        <v>73.262200000000007</v>
      </c>
      <c r="K213">
        <v>73.262200000000007</v>
      </c>
      <c r="M213" s="2">
        <v>42738</v>
      </c>
      <c r="N213">
        <v>54.7774</v>
      </c>
      <c r="O213">
        <v>54.7774</v>
      </c>
    </row>
    <row r="214" spans="1:15">
      <c r="A214" s="2">
        <v>36889</v>
      </c>
      <c r="B214">
        <v>6.9766000000000004</v>
      </c>
      <c r="C214">
        <v>242557600</v>
      </c>
      <c r="E214" s="2">
        <v>42719</v>
      </c>
      <c r="F214">
        <v>51.29</v>
      </c>
      <c r="G214">
        <v>9567532</v>
      </c>
      <c r="I214" s="2">
        <v>42947</v>
      </c>
      <c r="J214">
        <v>73.324299999999994</v>
      </c>
      <c r="K214">
        <v>73.324299999999994</v>
      </c>
      <c r="M214" s="2">
        <v>42734</v>
      </c>
      <c r="N214">
        <v>53.565600000000003</v>
      </c>
      <c r="O214">
        <v>53.565600000000003</v>
      </c>
    </row>
    <row r="215" spans="1:15">
      <c r="A215" s="2">
        <v>36860</v>
      </c>
      <c r="B215">
        <v>5.3281000000000001</v>
      </c>
      <c r="C215">
        <v>135044000</v>
      </c>
      <c r="E215" s="2">
        <v>42718</v>
      </c>
      <c r="F215">
        <v>51.79</v>
      </c>
      <c r="G215">
        <v>8012783</v>
      </c>
      <c r="I215" s="2">
        <v>42978</v>
      </c>
      <c r="J215">
        <v>65.799400000000006</v>
      </c>
      <c r="K215">
        <v>65.799400000000006</v>
      </c>
      <c r="M215" s="2">
        <v>42733</v>
      </c>
      <c r="N215">
        <v>53.807899999999997</v>
      </c>
      <c r="O215">
        <v>53.807899999999997</v>
      </c>
    </row>
    <row r="216" spans="1:15">
      <c r="A216" s="2">
        <v>36830</v>
      </c>
      <c r="B216">
        <v>4.9922000000000004</v>
      </c>
      <c r="C216">
        <v>181374400</v>
      </c>
      <c r="E216" s="2">
        <v>42717</v>
      </c>
      <c r="F216">
        <v>52.3</v>
      </c>
      <c r="G216">
        <v>11442327</v>
      </c>
      <c r="I216" s="3">
        <v>43007</v>
      </c>
      <c r="J216">
        <v>64.603200000000001</v>
      </c>
      <c r="K216">
        <v>64.603200000000001</v>
      </c>
      <c r="M216" s="2">
        <v>42732</v>
      </c>
      <c r="N216">
        <v>53.765799999999999</v>
      </c>
      <c r="O216">
        <v>53.765799999999999</v>
      </c>
    </row>
    <row r="217" spans="1:15">
      <c r="E217" s="2">
        <v>42716</v>
      </c>
      <c r="F217">
        <v>51.54</v>
      </c>
      <c r="G217">
        <v>11459541</v>
      </c>
      <c r="M217" s="2">
        <v>42731</v>
      </c>
      <c r="N217">
        <v>54.0503</v>
      </c>
      <c r="O217">
        <v>54.0503</v>
      </c>
    </row>
    <row r="218" spans="1:15">
      <c r="E218" s="2">
        <v>42713</v>
      </c>
      <c r="F218">
        <v>51.72</v>
      </c>
      <c r="G218">
        <v>5869828</v>
      </c>
      <c r="M218" s="2">
        <v>42727</v>
      </c>
      <c r="N218">
        <v>54.703699999999998</v>
      </c>
      <c r="O218">
        <v>54.703699999999998</v>
      </c>
    </row>
    <row r="219" spans="1:15">
      <c r="E219" s="2">
        <v>42712</v>
      </c>
      <c r="F219">
        <v>51.55</v>
      </c>
      <c r="G219">
        <v>9260850</v>
      </c>
      <c r="M219" s="2">
        <v>42726</v>
      </c>
      <c r="N219">
        <v>54.946100000000001</v>
      </c>
      <c r="O219">
        <v>54.946100000000001</v>
      </c>
    </row>
    <row r="220" spans="1:15">
      <c r="E220" s="2">
        <v>42711</v>
      </c>
      <c r="F220">
        <v>52.1</v>
      </c>
      <c r="G220">
        <v>10412638</v>
      </c>
      <c r="M220" s="2">
        <v>42725</v>
      </c>
      <c r="N220">
        <v>55.114699999999999</v>
      </c>
      <c r="O220">
        <v>55.114699999999999</v>
      </c>
    </row>
    <row r="221" spans="1:15">
      <c r="E221" s="2">
        <v>42710</v>
      </c>
      <c r="F221">
        <v>50.57</v>
      </c>
      <c r="G221">
        <v>12496332</v>
      </c>
      <c r="M221" s="2">
        <v>42724</v>
      </c>
      <c r="N221">
        <v>54.577199999999998</v>
      </c>
      <c r="O221">
        <v>54.577199999999998</v>
      </c>
    </row>
    <row r="222" spans="1:15">
      <c r="E222" s="2">
        <v>42709</v>
      </c>
      <c r="F222">
        <v>51.85</v>
      </c>
      <c r="G222">
        <v>12031170</v>
      </c>
      <c r="M222" s="2">
        <v>42723</v>
      </c>
      <c r="N222">
        <v>53.586599999999997</v>
      </c>
      <c r="O222">
        <v>53.586599999999997</v>
      </c>
    </row>
    <row r="223" spans="1:15">
      <c r="E223" s="2">
        <v>42706</v>
      </c>
      <c r="F223">
        <v>50.46</v>
      </c>
      <c r="G223">
        <v>6933279</v>
      </c>
      <c r="M223" s="2">
        <v>42720</v>
      </c>
      <c r="N223">
        <v>53.660400000000003</v>
      </c>
      <c r="O223">
        <v>53.660400000000003</v>
      </c>
    </row>
    <row r="224" spans="1:15">
      <c r="E224" s="2">
        <v>42705</v>
      </c>
      <c r="F224">
        <v>50.65</v>
      </c>
      <c r="G224">
        <v>7610063</v>
      </c>
      <c r="M224" s="2">
        <v>42719</v>
      </c>
      <c r="N224">
        <v>54.0503</v>
      </c>
      <c r="O224">
        <v>54.0503</v>
      </c>
    </row>
    <row r="225" spans="5:15">
      <c r="E225" s="2">
        <v>42704</v>
      </c>
      <c r="F225">
        <v>50.07</v>
      </c>
      <c r="G225">
        <v>8198418</v>
      </c>
      <c r="M225" s="2">
        <v>42718</v>
      </c>
      <c r="N225">
        <v>54.577199999999998</v>
      </c>
      <c r="O225">
        <v>54.577199999999998</v>
      </c>
    </row>
    <row r="226" spans="5:15">
      <c r="E226" s="2">
        <v>42703</v>
      </c>
      <c r="F226">
        <v>50.63</v>
      </c>
      <c r="G226">
        <v>6065682</v>
      </c>
      <c r="M226" s="2">
        <v>42717</v>
      </c>
      <c r="N226">
        <v>55.114699999999999</v>
      </c>
      <c r="O226">
        <v>55.114699999999999</v>
      </c>
    </row>
    <row r="227" spans="5:15">
      <c r="E227" s="2">
        <v>42702</v>
      </c>
      <c r="F227">
        <v>51.01</v>
      </c>
      <c r="G227">
        <v>8602118</v>
      </c>
      <c r="M227" s="2">
        <v>42716</v>
      </c>
      <c r="N227">
        <v>54.313800000000001</v>
      </c>
      <c r="O227">
        <v>54.313800000000001</v>
      </c>
    </row>
    <row r="228" spans="5:15">
      <c r="E228" s="2">
        <v>42699</v>
      </c>
      <c r="F228">
        <v>51.52</v>
      </c>
      <c r="G228">
        <v>2736767</v>
      </c>
      <c r="M228" s="2">
        <v>42713</v>
      </c>
      <c r="N228">
        <v>54.503500000000003</v>
      </c>
      <c r="O228">
        <v>54.503500000000003</v>
      </c>
    </row>
    <row r="229" spans="5:15">
      <c r="E229" s="2">
        <v>42697</v>
      </c>
      <c r="F229">
        <v>51.34</v>
      </c>
      <c r="G229">
        <v>4148968</v>
      </c>
      <c r="M229" s="2">
        <v>42712</v>
      </c>
      <c r="N229">
        <v>54.324300000000001</v>
      </c>
      <c r="O229">
        <v>54.324300000000001</v>
      </c>
    </row>
    <row r="230" spans="5:15">
      <c r="E230" s="2">
        <v>42696</v>
      </c>
      <c r="F230">
        <v>51.71</v>
      </c>
      <c r="G230">
        <v>5228142</v>
      </c>
      <c r="M230" s="2">
        <v>42711</v>
      </c>
      <c r="N230">
        <v>54.9039</v>
      </c>
      <c r="O230">
        <v>54.9039</v>
      </c>
    </row>
    <row r="231" spans="5:15">
      <c r="E231" s="2">
        <v>42695</v>
      </c>
      <c r="F231">
        <v>51.28</v>
      </c>
      <c r="G231">
        <v>5357204</v>
      </c>
      <c r="M231" s="2">
        <v>42710</v>
      </c>
      <c r="N231">
        <v>53.291600000000003</v>
      </c>
      <c r="O231">
        <v>53.291600000000003</v>
      </c>
    </row>
    <row r="232" spans="5:15">
      <c r="E232" s="2">
        <v>42692</v>
      </c>
      <c r="F232">
        <v>51.1</v>
      </c>
      <c r="G232">
        <v>7461602</v>
      </c>
      <c r="M232" s="2">
        <v>42709</v>
      </c>
      <c r="N232">
        <v>54.640500000000003</v>
      </c>
      <c r="O232">
        <v>54.640500000000003</v>
      </c>
    </row>
    <row r="233" spans="5:15">
      <c r="E233" s="2">
        <v>42691</v>
      </c>
      <c r="F233">
        <v>51.59</v>
      </c>
      <c r="G233">
        <v>7671568</v>
      </c>
      <c r="M233" s="2">
        <v>42706</v>
      </c>
      <c r="N233">
        <v>53.175600000000003</v>
      </c>
      <c r="O233">
        <v>53.175600000000003</v>
      </c>
    </row>
    <row r="234" spans="5:15">
      <c r="E234" s="2">
        <v>42690</v>
      </c>
      <c r="F234">
        <v>50.68</v>
      </c>
      <c r="G234">
        <v>6760291</v>
      </c>
      <c r="M234" s="2">
        <v>42705</v>
      </c>
      <c r="N234">
        <v>53.375900000000001</v>
      </c>
      <c r="O234">
        <v>53.375900000000001</v>
      </c>
    </row>
    <row r="235" spans="5:15">
      <c r="E235" s="2">
        <v>42689</v>
      </c>
      <c r="F235">
        <v>50.13</v>
      </c>
      <c r="G235">
        <v>9299754</v>
      </c>
      <c r="M235" s="2">
        <v>42704</v>
      </c>
      <c r="N235">
        <v>52.577800000000003</v>
      </c>
      <c r="O235">
        <v>52.577800000000003</v>
      </c>
    </row>
    <row r="236" spans="5:15">
      <c r="E236" s="2">
        <v>42688</v>
      </c>
      <c r="F236">
        <v>50.21</v>
      </c>
      <c r="G236">
        <v>8063943</v>
      </c>
      <c r="M236" s="2">
        <v>42703</v>
      </c>
      <c r="N236">
        <v>53.165900000000001</v>
      </c>
      <c r="O236">
        <v>53.165900000000001</v>
      </c>
    </row>
    <row r="237" spans="5:15">
      <c r="E237" s="2">
        <v>42685</v>
      </c>
      <c r="F237">
        <v>50.77</v>
      </c>
      <c r="G237">
        <v>6300607</v>
      </c>
      <c r="M237" s="2">
        <v>42702</v>
      </c>
      <c r="N237">
        <v>53.564900000000002</v>
      </c>
      <c r="O237">
        <v>53.564900000000002</v>
      </c>
    </row>
    <row r="238" spans="5:15">
      <c r="E238" s="2">
        <v>42684</v>
      </c>
      <c r="F238">
        <v>50.39</v>
      </c>
      <c r="G238">
        <v>12316075</v>
      </c>
      <c r="M238" s="2">
        <v>42699</v>
      </c>
      <c r="N238">
        <v>54.1004</v>
      </c>
      <c r="O238">
        <v>54.1004</v>
      </c>
    </row>
    <row r="239" spans="5:15">
      <c r="E239" s="2">
        <v>42683</v>
      </c>
      <c r="F239">
        <v>51.12</v>
      </c>
      <c r="G239">
        <v>9058575</v>
      </c>
      <c r="M239" s="2">
        <v>42697</v>
      </c>
      <c r="N239">
        <v>53.9114</v>
      </c>
      <c r="O239">
        <v>53.9114</v>
      </c>
    </row>
    <row r="240" spans="5:15">
      <c r="E240" s="2">
        <v>42682</v>
      </c>
      <c r="F240">
        <v>51.08</v>
      </c>
      <c r="G240">
        <v>8111362</v>
      </c>
      <c r="M240" s="2">
        <v>42696</v>
      </c>
      <c r="N240">
        <v>54.299900000000001</v>
      </c>
      <c r="O240">
        <v>54.299900000000001</v>
      </c>
    </row>
    <row r="241" spans="5:15">
      <c r="E241" s="2">
        <v>42681</v>
      </c>
      <c r="F241">
        <v>50.91</v>
      </c>
      <c r="G241">
        <v>8358692</v>
      </c>
      <c r="M241" s="2">
        <v>42695</v>
      </c>
      <c r="N241">
        <v>53.848399999999998</v>
      </c>
      <c r="O241">
        <v>53.848399999999998</v>
      </c>
    </row>
    <row r="242" spans="5:15">
      <c r="E242" s="2">
        <v>42678</v>
      </c>
      <c r="F242">
        <v>49.96</v>
      </c>
      <c r="G242">
        <v>9925196</v>
      </c>
      <c r="M242" s="2">
        <v>42692</v>
      </c>
      <c r="N242">
        <v>53.659399999999998</v>
      </c>
      <c r="O242">
        <v>53.659399999999998</v>
      </c>
    </row>
    <row r="243" spans="5:15">
      <c r="E243" s="2">
        <v>42677</v>
      </c>
      <c r="F243">
        <v>49.73</v>
      </c>
      <c r="G243">
        <v>7678690</v>
      </c>
      <c r="M243" s="2">
        <v>42691</v>
      </c>
      <c r="N243">
        <v>54.173900000000003</v>
      </c>
      <c r="O243">
        <v>54.173900000000003</v>
      </c>
    </row>
    <row r="244" spans="5:15">
      <c r="E244" s="2">
        <v>42676</v>
      </c>
      <c r="F244">
        <v>49.72</v>
      </c>
      <c r="G244">
        <v>10775938</v>
      </c>
      <c r="M244" s="2">
        <v>42690</v>
      </c>
      <c r="N244">
        <v>53.218400000000003</v>
      </c>
      <c r="O244">
        <v>53.218400000000003</v>
      </c>
    </row>
    <row r="245" spans="5:15">
      <c r="E245" s="2">
        <v>42675</v>
      </c>
      <c r="F245">
        <v>49.62</v>
      </c>
      <c r="G245">
        <v>14100431</v>
      </c>
      <c r="M245" s="2">
        <v>42689</v>
      </c>
      <c r="N245">
        <v>52.640799999999999</v>
      </c>
      <c r="O245">
        <v>52.640799999999999</v>
      </c>
    </row>
    <row r="246" spans="5:15">
      <c r="E246" s="2">
        <v>42674</v>
      </c>
      <c r="F246">
        <v>50.18</v>
      </c>
      <c r="G246">
        <v>17931262</v>
      </c>
      <c r="M246" s="2">
        <v>42688</v>
      </c>
      <c r="N246">
        <v>52.724800000000002</v>
      </c>
      <c r="O246">
        <v>52.724800000000002</v>
      </c>
    </row>
    <row r="247" spans="5:15">
      <c r="E247" s="2">
        <v>42671</v>
      </c>
      <c r="F247">
        <v>52.02</v>
      </c>
      <c r="G247">
        <v>9096719</v>
      </c>
      <c r="M247" s="2">
        <v>42685</v>
      </c>
      <c r="N247">
        <v>53.312899999999999</v>
      </c>
      <c r="O247">
        <v>53.312899999999999</v>
      </c>
    </row>
    <row r="248" spans="5:15">
      <c r="E248" s="2">
        <v>42670</v>
      </c>
      <c r="F248">
        <v>51.89</v>
      </c>
      <c r="G248">
        <v>7939188</v>
      </c>
      <c r="M248" s="2">
        <v>42684</v>
      </c>
      <c r="N248">
        <v>52.913800000000002</v>
      </c>
      <c r="O248">
        <v>52.913800000000002</v>
      </c>
    </row>
    <row r="249" spans="5:15">
      <c r="E249" s="2">
        <v>42669</v>
      </c>
      <c r="F249">
        <v>51.97</v>
      </c>
      <c r="G249">
        <v>12401117</v>
      </c>
      <c r="M249" s="2">
        <v>42683</v>
      </c>
      <c r="N249">
        <v>53.680399999999999</v>
      </c>
      <c r="O249">
        <v>53.680399999999999</v>
      </c>
    </row>
    <row r="250" spans="5:15">
      <c r="E250" s="2">
        <v>42668</v>
      </c>
      <c r="F250">
        <v>51.05</v>
      </c>
      <c r="G250">
        <v>14975302</v>
      </c>
      <c r="M250" s="2">
        <v>42682</v>
      </c>
      <c r="N250">
        <v>53.638399999999997</v>
      </c>
      <c r="O250">
        <v>53.638399999999997</v>
      </c>
    </row>
    <row r="251" spans="5:15">
      <c r="E251" s="2">
        <v>42667</v>
      </c>
      <c r="F251">
        <v>51.87</v>
      </c>
      <c r="G251">
        <v>7578184</v>
      </c>
      <c r="M251" s="2">
        <v>42681</v>
      </c>
      <c r="N251">
        <v>53.459899999999998</v>
      </c>
      <c r="O251">
        <v>53.459899999999998</v>
      </c>
    </row>
    <row r="252" spans="5:15">
      <c r="E252" s="2">
        <v>42664</v>
      </c>
      <c r="F252">
        <v>51.77</v>
      </c>
      <c r="G252">
        <v>9161003</v>
      </c>
      <c r="M252" s="2">
        <v>42678</v>
      </c>
      <c r="N252">
        <v>52.462299999999999</v>
      </c>
      <c r="O252">
        <v>52.462299999999999</v>
      </c>
    </row>
    <row r="253" spans="5:15">
      <c r="E253" s="2">
        <v>42663</v>
      </c>
      <c r="F253">
        <v>51.89</v>
      </c>
      <c r="G253">
        <v>6590489</v>
      </c>
      <c r="M253" s="2">
        <v>42677</v>
      </c>
      <c r="N253">
        <v>52.220799999999997</v>
      </c>
      <c r="O253">
        <v>52.220799999999997</v>
      </c>
    </row>
    <row r="254" spans="5:15">
      <c r="E254" s="2">
        <v>42662</v>
      </c>
      <c r="F254">
        <v>51.8</v>
      </c>
      <c r="G254">
        <v>6998963</v>
      </c>
      <c r="M254" s="2">
        <v>42676</v>
      </c>
      <c r="N254">
        <v>52.210299999999997</v>
      </c>
      <c r="O254">
        <v>52.210299999999997</v>
      </c>
    </row>
    <row r="255" spans="5:15">
      <c r="E255" s="2">
        <v>42661</v>
      </c>
      <c r="F255">
        <v>51.22</v>
      </c>
      <c r="G255">
        <v>6805166</v>
      </c>
      <c r="M255" s="2">
        <v>42675</v>
      </c>
      <c r="N255">
        <v>52.1053</v>
      </c>
      <c r="O255">
        <v>52.1053</v>
      </c>
    </row>
    <row r="256" spans="5:15">
      <c r="E256" s="2">
        <v>42660</v>
      </c>
      <c r="F256">
        <v>51.03</v>
      </c>
      <c r="G256">
        <v>7904002</v>
      </c>
      <c r="M256" s="2">
        <v>42674</v>
      </c>
      <c r="N256">
        <v>52.693300000000001</v>
      </c>
      <c r="O256">
        <v>52.693300000000001</v>
      </c>
    </row>
    <row r="257" spans="5:15">
      <c r="E257" s="2">
        <v>42657</v>
      </c>
      <c r="F257">
        <v>51.62</v>
      </c>
      <c r="G257">
        <v>7133784</v>
      </c>
      <c r="M257" s="2">
        <v>42671</v>
      </c>
      <c r="N257">
        <v>54.625500000000002</v>
      </c>
      <c r="O257">
        <v>54.625500000000002</v>
      </c>
    </row>
    <row r="258" spans="5:15">
      <c r="E258" s="2">
        <v>42656</v>
      </c>
      <c r="F258">
        <v>52.03</v>
      </c>
      <c r="G258">
        <v>8425755</v>
      </c>
      <c r="M258" s="2">
        <v>42670</v>
      </c>
      <c r="N258">
        <v>54.488999999999997</v>
      </c>
      <c r="O258">
        <v>54.488999999999997</v>
      </c>
    </row>
    <row r="259" spans="5:15">
      <c r="E259" s="2">
        <v>42655</v>
      </c>
      <c r="F259">
        <v>52.44</v>
      </c>
      <c r="G259">
        <v>9301264</v>
      </c>
      <c r="M259" s="2">
        <v>42669</v>
      </c>
      <c r="N259">
        <v>54.573</v>
      </c>
      <c r="O259">
        <v>54.573</v>
      </c>
    </row>
    <row r="260" spans="5:15">
      <c r="E260" s="2">
        <v>42654</v>
      </c>
      <c r="F260">
        <v>51.82</v>
      </c>
      <c r="G260">
        <v>9203523</v>
      </c>
      <c r="M260" s="2">
        <v>42668</v>
      </c>
      <c r="N260">
        <v>53.606900000000003</v>
      </c>
      <c r="O260">
        <v>53.606900000000003</v>
      </c>
    </row>
    <row r="261" spans="5:15">
      <c r="E261" s="2">
        <v>42653</v>
      </c>
      <c r="F261">
        <v>51.79</v>
      </c>
      <c r="G261">
        <v>5469323</v>
      </c>
      <c r="M261" s="2">
        <v>42667</v>
      </c>
      <c r="N261">
        <v>54.468000000000004</v>
      </c>
      <c r="O261">
        <v>54.468000000000004</v>
      </c>
    </row>
    <row r="262" spans="5:15">
      <c r="E262" s="2">
        <v>42650</v>
      </c>
      <c r="F262">
        <v>51.79</v>
      </c>
      <c r="G262">
        <v>8407084</v>
      </c>
      <c r="M262" s="2">
        <v>42664</v>
      </c>
      <c r="N262">
        <v>54.362900000000003</v>
      </c>
      <c r="O262">
        <v>54.362900000000003</v>
      </c>
    </row>
    <row r="263" spans="5:15">
      <c r="E263" s="2">
        <v>42649</v>
      </c>
      <c r="F263">
        <v>52.03</v>
      </c>
      <c r="G263">
        <v>9391723</v>
      </c>
      <c r="M263" s="2">
        <v>42663</v>
      </c>
      <c r="N263">
        <v>54.488999999999997</v>
      </c>
      <c r="O263">
        <v>54.488999999999997</v>
      </c>
    </row>
    <row r="264" spans="5:15">
      <c r="E264" s="2">
        <v>42648</v>
      </c>
      <c r="F264">
        <v>52.12</v>
      </c>
      <c r="G264">
        <v>7244125</v>
      </c>
      <c r="M264" s="2">
        <v>42662</v>
      </c>
      <c r="N264">
        <v>54.394500000000001</v>
      </c>
      <c r="O264">
        <v>54.394500000000001</v>
      </c>
    </row>
    <row r="265" spans="5:15">
      <c r="E265" s="2">
        <v>42647</v>
      </c>
      <c r="F265">
        <v>52.14</v>
      </c>
      <c r="G265">
        <v>10737412</v>
      </c>
      <c r="M265" s="2">
        <v>42661</v>
      </c>
      <c r="N265">
        <v>53.785400000000003</v>
      </c>
      <c r="O265">
        <v>53.785400000000003</v>
      </c>
    </row>
    <row r="266" spans="5:15">
      <c r="E266" s="2">
        <v>42646</v>
      </c>
      <c r="F266">
        <v>52.67</v>
      </c>
      <c r="G266">
        <v>7632543</v>
      </c>
      <c r="M266" s="2">
        <v>42660</v>
      </c>
      <c r="N266">
        <v>53.585900000000002</v>
      </c>
      <c r="O266">
        <v>53.585900000000002</v>
      </c>
    </row>
    <row r="267" spans="5:15">
      <c r="E267" s="2">
        <v>42643</v>
      </c>
      <c r="F267">
        <v>52.65</v>
      </c>
      <c r="G267">
        <v>12940220</v>
      </c>
      <c r="M267" s="2">
        <v>42657</v>
      </c>
      <c r="N267">
        <v>54.205399999999997</v>
      </c>
      <c r="O267">
        <v>54.205399999999997</v>
      </c>
    </row>
    <row r="268" spans="5:15">
      <c r="E268" s="2">
        <v>42642</v>
      </c>
      <c r="F268">
        <v>52.16</v>
      </c>
      <c r="G268">
        <v>16993949</v>
      </c>
      <c r="M268" s="2">
        <v>42656</v>
      </c>
      <c r="N268">
        <v>54.636000000000003</v>
      </c>
      <c r="O268">
        <v>54.636000000000003</v>
      </c>
    </row>
    <row r="269" spans="5:15">
      <c r="E269" s="2">
        <v>42641</v>
      </c>
      <c r="F269">
        <v>53.25</v>
      </c>
      <c r="G269">
        <v>33213008</v>
      </c>
      <c r="M269" s="2">
        <v>42655</v>
      </c>
      <c r="N269">
        <v>55.066499999999998</v>
      </c>
      <c r="O269">
        <v>55.066499999999998</v>
      </c>
    </row>
    <row r="270" spans="5:15">
      <c r="E270" s="2">
        <v>42640</v>
      </c>
      <c r="F270">
        <v>55.34</v>
      </c>
      <c r="G270">
        <v>17945212</v>
      </c>
      <c r="M270" s="2">
        <v>42654</v>
      </c>
      <c r="N270">
        <v>54.415500000000002</v>
      </c>
      <c r="O270">
        <v>54.415500000000002</v>
      </c>
    </row>
    <row r="271" spans="5:15">
      <c r="E271" s="2">
        <v>42639</v>
      </c>
      <c r="F271">
        <v>54.4</v>
      </c>
      <c r="G271">
        <v>11629568</v>
      </c>
      <c r="M271" s="2">
        <v>42653</v>
      </c>
      <c r="N271">
        <v>54.384</v>
      </c>
      <c r="O271">
        <v>54.384</v>
      </c>
    </row>
    <row r="272" spans="5:15">
      <c r="E272" s="2">
        <v>42636</v>
      </c>
      <c r="F272">
        <v>55.15</v>
      </c>
      <c r="G272">
        <v>8921732</v>
      </c>
      <c r="M272" s="2">
        <v>42650</v>
      </c>
      <c r="N272">
        <v>54.384</v>
      </c>
      <c r="O272">
        <v>54.384</v>
      </c>
    </row>
    <row r="273" spans="5:15">
      <c r="E273" s="2">
        <v>42635</v>
      </c>
      <c r="F273">
        <v>55.41</v>
      </c>
      <c r="G273">
        <v>8052393</v>
      </c>
      <c r="M273" s="2">
        <v>42649</v>
      </c>
      <c r="N273">
        <v>54.636000000000003</v>
      </c>
      <c r="O273">
        <v>54.636000000000003</v>
      </c>
    </row>
    <row r="274" spans="5:15">
      <c r="E274" s="2">
        <v>42634</v>
      </c>
      <c r="F274">
        <v>55.34</v>
      </c>
      <c r="G274">
        <v>8041695</v>
      </c>
      <c r="M274" s="2">
        <v>42648</v>
      </c>
      <c r="N274">
        <v>54.730499999999999</v>
      </c>
      <c r="O274">
        <v>54.730499999999999</v>
      </c>
    </row>
    <row r="275" spans="5:15">
      <c r="E275" s="2">
        <v>42633</v>
      </c>
      <c r="F275">
        <v>54.87</v>
      </c>
      <c r="G275">
        <v>8562999</v>
      </c>
      <c r="M275" s="2">
        <v>42647</v>
      </c>
      <c r="N275">
        <v>54.7515</v>
      </c>
      <c r="O275">
        <v>54.7515</v>
      </c>
    </row>
    <row r="276" spans="5:15">
      <c r="E276" s="2">
        <v>42632</v>
      </c>
      <c r="F276">
        <v>54.95</v>
      </c>
      <c r="G276">
        <v>7671328</v>
      </c>
      <c r="M276" s="2">
        <v>42646</v>
      </c>
      <c r="N276">
        <v>55.308</v>
      </c>
      <c r="O276">
        <v>55.308</v>
      </c>
    </row>
    <row r="277" spans="5:15">
      <c r="E277" s="2">
        <v>42629</v>
      </c>
      <c r="F277">
        <v>55.18</v>
      </c>
      <c r="G277">
        <v>11715439</v>
      </c>
      <c r="M277" s="2">
        <v>42643</v>
      </c>
      <c r="N277">
        <v>55.286999999999999</v>
      </c>
      <c r="O277">
        <v>55.286999999999999</v>
      </c>
    </row>
    <row r="278" spans="5:15">
      <c r="E278" s="2">
        <v>42628</v>
      </c>
      <c r="F278">
        <v>55.47</v>
      </c>
      <c r="G278">
        <v>6316251</v>
      </c>
      <c r="M278" s="2">
        <v>42642</v>
      </c>
      <c r="N278">
        <v>54.772500000000001</v>
      </c>
      <c r="O278">
        <v>54.772500000000001</v>
      </c>
    </row>
    <row r="279" spans="5:15">
      <c r="E279" s="2">
        <v>42627</v>
      </c>
      <c r="F279">
        <v>55.13</v>
      </c>
      <c r="G279">
        <v>7621197</v>
      </c>
      <c r="M279" s="2">
        <v>42641</v>
      </c>
      <c r="N279">
        <v>55.917099999999998</v>
      </c>
      <c r="O279">
        <v>55.917099999999998</v>
      </c>
    </row>
    <row r="280" spans="5:15">
      <c r="E280" s="2">
        <v>42626</v>
      </c>
      <c r="F280">
        <v>55.37</v>
      </c>
      <c r="G280">
        <v>7359422</v>
      </c>
      <c r="M280" s="2">
        <v>42640</v>
      </c>
      <c r="N280">
        <v>58.111800000000002</v>
      </c>
      <c r="O280">
        <v>58.111800000000002</v>
      </c>
    </row>
    <row r="281" spans="5:15">
      <c r="E281" s="2">
        <v>42625</v>
      </c>
      <c r="F281">
        <v>56.01</v>
      </c>
      <c r="G281">
        <v>7470941</v>
      </c>
      <c r="M281" s="2">
        <v>42639</v>
      </c>
      <c r="N281">
        <v>57.124699999999997</v>
      </c>
      <c r="O281">
        <v>57.124699999999997</v>
      </c>
    </row>
    <row r="282" spans="5:15">
      <c r="E282" s="2">
        <v>42622</v>
      </c>
      <c r="F282">
        <v>55.33</v>
      </c>
      <c r="G282">
        <v>11310403</v>
      </c>
      <c r="M282" s="2">
        <v>42636</v>
      </c>
      <c r="N282">
        <v>57.912199999999999</v>
      </c>
      <c r="O282">
        <v>57.912199999999999</v>
      </c>
    </row>
    <row r="283" spans="5:15">
      <c r="E283" s="2">
        <v>42621</v>
      </c>
      <c r="F283">
        <v>56.17</v>
      </c>
      <c r="G283">
        <v>12741924</v>
      </c>
      <c r="M283" s="2">
        <v>42635</v>
      </c>
      <c r="N283">
        <v>58.185299999999998</v>
      </c>
      <c r="O283">
        <v>58.185299999999998</v>
      </c>
    </row>
    <row r="284" spans="5:15">
      <c r="E284" s="2">
        <v>42620</v>
      </c>
      <c r="F284">
        <v>57.72</v>
      </c>
      <c r="G284">
        <v>7536144</v>
      </c>
      <c r="M284" s="2">
        <v>42634</v>
      </c>
      <c r="N284">
        <v>58.111800000000002</v>
      </c>
      <c r="O284">
        <v>58.111800000000002</v>
      </c>
    </row>
    <row r="285" spans="5:15">
      <c r="E285" s="2">
        <v>42619</v>
      </c>
      <c r="F285">
        <v>57.41</v>
      </c>
      <c r="G285">
        <v>9771751</v>
      </c>
      <c r="M285" s="2">
        <v>42633</v>
      </c>
      <c r="N285">
        <v>57.618200000000002</v>
      </c>
      <c r="O285">
        <v>57.618200000000002</v>
      </c>
    </row>
    <row r="286" spans="5:15">
      <c r="E286" s="2">
        <v>42615</v>
      </c>
      <c r="F286">
        <v>58.02</v>
      </c>
      <c r="G286">
        <v>6933123</v>
      </c>
      <c r="M286" s="2">
        <v>42632</v>
      </c>
      <c r="N286">
        <v>57.702199999999998</v>
      </c>
      <c r="O286">
        <v>57.702199999999998</v>
      </c>
    </row>
    <row r="287" spans="5:15">
      <c r="E287" s="2">
        <v>42614</v>
      </c>
      <c r="F287">
        <v>58.54</v>
      </c>
      <c r="G287">
        <v>8224952</v>
      </c>
      <c r="M287" s="2">
        <v>42629</v>
      </c>
      <c r="N287">
        <v>57.9437</v>
      </c>
      <c r="O287">
        <v>57.9437</v>
      </c>
    </row>
    <row r="288" spans="5:15">
      <c r="E288" s="2">
        <v>42613</v>
      </c>
      <c r="F288">
        <v>57.64</v>
      </c>
      <c r="G288">
        <v>7723638</v>
      </c>
      <c r="M288" s="2">
        <v>42628</v>
      </c>
      <c r="N288">
        <v>58.2483</v>
      </c>
      <c r="O288">
        <v>58.2483</v>
      </c>
    </row>
    <row r="289" spans="5:15">
      <c r="E289" s="2">
        <v>42612</v>
      </c>
      <c r="F289">
        <v>58</v>
      </c>
      <c r="G289">
        <v>6344565</v>
      </c>
      <c r="M289" s="2">
        <v>42627</v>
      </c>
      <c r="N289">
        <v>57.891199999999998</v>
      </c>
      <c r="O289">
        <v>57.891199999999998</v>
      </c>
    </row>
    <row r="290" spans="5:15">
      <c r="E290" s="2">
        <v>42611</v>
      </c>
      <c r="F290">
        <v>58.63</v>
      </c>
      <c r="G290">
        <v>5831027</v>
      </c>
      <c r="M290" s="2">
        <v>42626</v>
      </c>
      <c r="N290">
        <v>58.143300000000004</v>
      </c>
      <c r="O290">
        <v>58.143300000000004</v>
      </c>
    </row>
    <row r="291" spans="5:15">
      <c r="E291" s="2">
        <v>42608</v>
      </c>
      <c r="F291">
        <v>59</v>
      </c>
      <c r="G291">
        <v>9994300</v>
      </c>
      <c r="M291" s="2">
        <v>42625</v>
      </c>
      <c r="N291">
        <v>58.815300000000001</v>
      </c>
      <c r="O291">
        <v>58.815300000000001</v>
      </c>
    </row>
    <row r="292" spans="5:15">
      <c r="E292" s="2">
        <v>42607</v>
      </c>
      <c r="F292">
        <v>59.24</v>
      </c>
      <c r="G292">
        <v>8713898</v>
      </c>
      <c r="M292" s="2">
        <v>42622</v>
      </c>
      <c r="N292">
        <v>58.101300000000002</v>
      </c>
      <c r="O292">
        <v>58.101300000000002</v>
      </c>
    </row>
    <row r="293" spans="5:15">
      <c r="E293" s="2">
        <v>42606</v>
      </c>
      <c r="F293">
        <v>60.22</v>
      </c>
      <c r="G293">
        <v>11379038</v>
      </c>
      <c r="M293" s="2">
        <v>42621</v>
      </c>
      <c r="N293">
        <v>58.9833</v>
      </c>
      <c r="O293">
        <v>58.9833</v>
      </c>
    </row>
    <row r="294" spans="5:15">
      <c r="E294" s="2">
        <v>42605</v>
      </c>
      <c r="F294">
        <v>59.62</v>
      </c>
      <c r="G294">
        <v>8222759</v>
      </c>
      <c r="M294" s="2">
        <v>42620</v>
      </c>
      <c r="N294">
        <v>60.610999999999997</v>
      </c>
      <c r="O294">
        <v>60.610999999999997</v>
      </c>
    </row>
    <row r="295" spans="5:15">
      <c r="E295" s="2">
        <v>42604</v>
      </c>
      <c r="F295">
        <v>58.66</v>
      </c>
      <c r="G295">
        <v>8265962</v>
      </c>
      <c r="M295" s="2">
        <v>42619</v>
      </c>
      <c r="N295">
        <v>60.285400000000003</v>
      </c>
      <c r="O295">
        <v>60.285400000000003</v>
      </c>
    </row>
    <row r="296" spans="5:15">
      <c r="E296" s="2">
        <v>42601</v>
      </c>
      <c r="F296">
        <v>58.9</v>
      </c>
      <c r="G296">
        <v>15987096</v>
      </c>
      <c r="M296" s="2">
        <v>42615</v>
      </c>
      <c r="N296">
        <v>60.926000000000002</v>
      </c>
      <c r="O296">
        <v>60.926000000000002</v>
      </c>
    </row>
    <row r="297" spans="5:15">
      <c r="E297" s="2">
        <v>42600</v>
      </c>
      <c r="F297">
        <v>57.21</v>
      </c>
      <c r="G297">
        <v>6043620</v>
      </c>
      <c r="M297" s="2">
        <v>42614</v>
      </c>
      <c r="N297">
        <v>61.472000000000001</v>
      </c>
      <c r="O297">
        <v>61.472000000000001</v>
      </c>
    </row>
    <row r="298" spans="5:15">
      <c r="E298" s="2">
        <v>42599</v>
      </c>
      <c r="F298">
        <v>56.86</v>
      </c>
      <c r="G298">
        <v>7340541</v>
      </c>
      <c r="M298" s="2">
        <v>42613</v>
      </c>
      <c r="N298">
        <v>60.362000000000002</v>
      </c>
      <c r="O298">
        <v>60.362000000000002</v>
      </c>
    </row>
    <row r="299" spans="5:15">
      <c r="E299" s="2">
        <v>42598</v>
      </c>
      <c r="F299">
        <v>56.88</v>
      </c>
      <c r="G299">
        <v>4901794</v>
      </c>
      <c r="M299" s="2">
        <v>42612</v>
      </c>
      <c r="N299">
        <v>60.738999999999997</v>
      </c>
      <c r="O299">
        <v>60.738999999999997</v>
      </c>
    </row>
    <row r="300" spans="5:15">
      <c r="E300" s="2">
        <v>42597</v>
      </c>
      <c r="F300">
        <v>56.77</v>
      </c>
      <c r="G300">
        <v>4836335</v>
      </c>
      <c r="M300" s="2">
        <v>42611</v>
      </c>
      <c r="N300">
        <v>61.398699999999998</v>
      </c>
      <c r="O300">
        <v>61.398699999999998</v>
      </c>
    </row>
    <row r="301" spans="5:15">
      <c r="E301" s="2">
        <v>42594</v>
      </c>
      <c r="F301">
        <v>56.45</v>
      </c>
      <c r="G301">
        <v>5393354</v>
      </c>
      <c r="M301" s="2">
        <v>42608</v>
      </c>
      <c r="N301">
        <v>61.786200000000001</v>
      </c>
      <c r="O301">
        <v>61.786200000000001</v>
      </c>
    </row>
    <row r="302" spans="5:15">
      <c r="E302" s="2">
        <v>42593</v>
      </c>
      <c r="F302">
        <v>56.73</v>
      </c>
      <c r="G302">
        <v>9539467</v>
      </c>
      <c r="M302" s="2">
        <v>42607</v>
      </c>
      <c r="N302">
        <v>62.037500000000001</v>
      </c>
      <c r="O302">
        <v>62.037500000000001</v>
      </c>
    </row>
    <row r="303" spans="5:15">
      <c r="E303" s="2">
        <v>42592</v>
      </c>
      <c r="F303">
        <v>55.13</v>
      </c>
      <c r="G303">
        <v>6881449</v>
      </c>
      <c r="M303" s="2">
        <v>42606</v>
      </c>
      <c r="N303">
        <v>63.063800000000001</v>
      </c>
      <c r="O303">
        <v>63.063800000000001</v>
      </c>
    </row>
    <row r="304" spans="5:15">
      <c r="E304" s="2">
        <v>42591</v>
      </c>
      <c r="F304">
        <v>55.77</v>
      </c>
      <c r="G304">
        <v>8044357</v>
      </c>
      <c r="M304" s="2">
        <v>42605</v>
      </c>
      <c r="N304">
        <v>62.435499999999998</v>
      </c>
      <c r="O304">
        <v>62.435499999999998</v>
      </c>
    </row>
    <row r="305" spans="5:15">
      <c r="E305" s="2">
        <v>42590</v>
      </c>
      <c r="F305">
        <v>55.98</v>
      </c>
      <c r="G305">
        <v>6306977</v>
      </c>
      <c r="M305" s="2">
        <v>42604</v>
      </c>
      <c r="N305">
        <v>61.430100000000003</v>
      </c>
      <c r="O305">
        <v>61.430100000000003</v>
      </c>
    </row>
    <row r="306" spans="5:15">
      <c r="E306" s="2">
        <v>42587</v>
      </c>
      <c r="F306">
        <v>55.85</v>
      </c>
      <c r="G306">
        <v>7512502</v>
      </c>
      <c r="M306" s="2">
        <v>42601</v>
      </c>
      <c r="N306">
        <v>61.6815</v>
      </c>
      <c r="O306">
        <v>61.6815</v>
      </c>
    </row>
    <row r="307" spans="5:15">
      <c r="E307" s="2">
        <v>42586</v>
      </c>
      <c r="F307">
        <v>54.79</v>
      </c>
      <c r="G307">
        <v>8678103</v>
      </c>
      <c r="M307" s="2">
        <v>42600</v>
      </c>
      <c r="N307">
        <v>59.911700000000003</v>
      </c>
      <c r="O307">
        <v>59.911700000000003</v>
      </c>
    </row>
    <row r="308" spans="5:15">
      <c r="E308" s="2">
        <v>42585</v>
      </c>
      <c r="F308">
        <v>54.75</v>
      </c>
      <c r="G308">
        <v>9687312</v>
      </c>
      <c r="M308" s="2">
        <v>42599</v>
      </c>
      <c r="N308">
        <v>59.545099999999998</v>
      </c>
      <c r="O308">
        <v>59.545099999999998</v>
      </c>
    </row>
    <row r="309" spans="5:15">
      <c r="E309" s="2">
        <v>42584</v>
      </c>
      <c r="F309">
        <v>54.92</v>
      </c>
      <c r="G309">
        <v>7145600</v>
      </c>
      <c r="M309" s="2">
        <v>42598</v>
      </c>
      <c r="N309">
        <v>59.566099999999999</v>
      </c>
      <c r="O309">
        <v>59.566099999999999</v>
      </c>
    </row>
    <row r="310" spans="5:15">
      <c r="E310" s="2">
        <v>42583</v>
      </c>
      <c r="F310">
        <v>55.41</v>
      </c>
      <c r="G310">
        <v>6268392</v>
      </c>
      <c r="M310" s="2">
        <v>42597</v>
      </c>
      <c r="N310">
        <v>59.450899999999997</v>
      </c>
      <c r="O310">
        <v>59.450899999999997</v>
      </c>
    </row>
    <row r="311" spans="5:15">
      <c r="E311" s="2">
        <v>42580</v>
      </c>
      <c r="F311">
        <v>55.5</v>
      </c>
      <c r="G311">
        <v>6353444</v>
      </c>
      <c r="M311" s="2">
        <v>42594</v>
      </c>
      <c r="N311">
        <v>59.1158</v>
      </c>
      <c r="O311">
        <v>59.1158</v>
      </c>
    </row>
    <row r="312" spans="5:15">
      <c r="E312" s="2">
        <v>42579</v>
      </c>
      <c r="F312">
        <v>55.45</v>
      </c>
      <c r="G312">
        <v>9574064</v>
      </c>
      <c r="M312" s="2">
        <v>42593</v>
      </c>
      <c r="N312">
        <v>59.408999999999999</v>
      </c>
      <c r="O312">
        <v>59.408999999999999</v>
      </c>
    </row>
    <row r="313" spans="5:15">
      <c r="E313" s="2">
        <v>42578</v>
      </c>
      <c r="F313">
        <v>55.79</v>
      </c>
      <c r="G313">
        <v>10295407</v>
      </c>
      <c r="M313" s="2">
        <v>42592</v>
      </c>
      <c r="N313">
        <v>57.733400000000003</v>
      </c>
      <c r="O313">
        <v>57.733400000000003</v>
      </c>
    </row>
    <row r="314" spans="5:15">
      <c r="E314" s="2">
        <v>42577</v>
      </c>
      <c r="F314">
        <v>56.37</v>
      </c>
      <c r="G314">
        <v>8546691</v>
      </c>
      <c r="M314" s="2">
        <v>42591</v>
      </c>
      <c r="N314">
        <v>58.403700000000001</v>
      </c>
      <c r="O314">
        <v>58.403700000000001</v>
      </c>
    </row>
    <row r="315" spans="5:15">
      <c r="E315" s="2">
        <v>42576</v>
      </c>
      <c r="F315">
        <v>57.14</v>
      </c>
      <c r="G315">
        <v>7256291</v>
      </c>
      <c r="M315" s="2">
        <v>42590</v>
      </c>
      <c r="N315">
        <v>58.623600000000003</v>
      </c>
      <c r="O315">
        <v>58.623600000000003</v>
      </c>
    </row>
    <row r="316" spans="5:15">
      <c r="E316" s="2">
        <v>42573</v>
      </c>
      <c r="F316">
        <v>56.73</v>
      </c>
      <c r="G316">
        <v>8614746</v>
      </c>
      <c r="M316" s="2">
        <v>42587</v>
      </c>
      <c r="N316">
        <v>58.487400000000001</v>
      </c>
      <c r="O316">
        <v>58.487400000000001</v>
      </c>
    </row>
    <row r="317" spans="5:15">
      <c r="E317" s="2">
        <v>42572</v>
      </c>
      <c r="F317">
        <v>56.99</v>
      </c>
      <c r="G317">
        <v>8317259</v>
      </c>
      <c r="M317" s="2">
        <v>42586</v>
      </c>
      <c r="N317">
        <v>57.377400000000002</v>
      </c>
      <c r="O317">
        <v>57.377400000000002</v>
      </c>
    </row>
    <row r="318" spans="5:15">
      <c r="E318" s="2">
        <v>42571</v>
      </c>
      <c r="F318">
        <v>57.76</v>
      </c>
      <c r="G318">
        <v>5872418</v>
      </c>
      <c r="M318" s="2">
        <v>42585</v>
      </c>
      <c r="N318">
        <v>57.335500000000003</v>
      </c>
      <c r="O318">
        <v>57.335500000000003</v>
      </c>
    </row>
    <row r="319" spans="5:15">
      <c r="E319" s="2">
        <v>42570</v>
      </c>
      <c r="F319">
        <v>57.76</v>
      </c>
      <c r="G319">
        <v>7442696</v>
      </c>
      <c r="M319" s="2">
        <v>42584</v>
      </c>
      <c r="N319">
        <v>57.513500000000001</v>
      </c>
      <c r="O319">
        <v>57.513500000000001</v>
      </c>
    </row>
    <row r="320" spans="5:15">
      <c r="E320" s="2">
        <v>42569</v>
      </c>
      <c r="F320">
        <v>57.74</v>
      </c>
      <c r="G320">
        <v>6478896</v>
      </c>
      <c r="M320" s="2">
        <v>42583</v>
      </c>
      <c r="N320">
        <v>58.026699999999998</v>
      </c>
      <c r="O320">
        <v>58.026699999999998</v>
      </c>
    </row>
    <row r="321" spans="5:15">
      <c r="E321" s="2">
        <v>42566</v>
      </c>
      <c r="F321">
        <v>57.87</v>
      </c>
      <c r="G321">
        <v>9225206</v>
      </c>
      <c r="M321" s="2">
        <v>42580</v>
      </c>
      <c r="N321">
        <v>58.120899999999999</v>
      </c>
      <c r="O321">
        <v>58.120899999999999</v>
      </c>
    </row>
    <row r="322" spans="5:15">
      <c r="E322" s="2">
        <v>42565</v>
      </c>
      <c r="F322">
        <v>58.49</v>
      </c>
      <c r="G322">
        <v>7488355</v>
      </c>
      <c r="M322" s="2">
        <v>42579</v>
      </c>
      <c r="N322">
        <v>58.068600000000004</v>
      </c>
      <c r="O322">
        <v>58.068600000000004</v>
      </c>
    </row>
    <row r="323" spans="5:15">
      <c r="E323" s="2">
        <v>42564</v>
      </c>
      <c r="F323">
        <v>57.99</v>
      </c>
      <c r="G323">
        <v>9126459</v>
      </c>
      <c r="M323" s="2">
        <v>42578</v>
      </c>
      <c r="N323">
        <v>58.424599999999998</v>
      </c>
      <c r="O323">
        <v>58.424599999999998</v>
      </c>
    </row>
    <row r="324" spans="5:15">
      <c r="E324" s="2">
        <v>42563</v>
      </c>
      <c r="F324">
        <v>58.06</v>
      </c>
      <c r="G324">
        <v>11164368</v>
      </c>
      <c r="M324" s="2">
        <v>42577</v>
      </c>
      <c r="N324">
        <v>59.031999999999996</v>
      </c>
      <c r="O324">
        <v>59.031999999999996</v>
      </c>
    </row>
    <row r="325" spans="5:15">
      <c r="E325" s="2">
        <v>42562</v>
      </c>
      <c r="F325">
        <v>56.83</v>
      </c>
      <c r="G325">
        <v>8122521</v>
      </c>
      <c r="M325" s="2">
        <v>42576</v>
      </c>
      <c r="N325">
        <v>59.8384</v>
      </c>
      <c r="O325">
        <v>59.8384</v>
      </c>
    </row>
    <row r="326" spans="5:15">
      <c r="E326" s="2">
        <v>42559</v>
      </c>
      <c r="F326">
        <v>56.72</v>
      </c>
      <c r="G326">
        <v>8645942</v>
      </c>
      <c r="M326" s="2">
        <v>42573</v>
      </c>
      <c r="N326">
        <v>59.408999999999999</v>
      </c>
      <c r="O326">
        <v>59.408999999999999</v>
      </c>
    </row>
    <row r="327" spans="5:15">
      <c r="E327" s="2">
        <v>42558</v>
      </c>
      <c r="F327">
        <v>55.92</v>
      </c>
      <c r="G327">
        <v>6947979</v>
      </c>
      <c r="M327" s="2">
        <v>42572</v>
      </c>
      <c r="N327">
        <v>59.6813</v>
      </c>
      <c r="O327">
        <v>59.6813</v>
      </c>
    </row>
    <row r="328" spans="5:15">
      <c r="E328" s="2">
        <v>42557</v>
      </c>
      <c r="F328">
        <v>55.8</v>
      </c>
      <c r="G328">
        <v>7863399</v>
      </c>
      <c r="M328" s="2">
        <v>42571</v>
      </c>
      <c r="N328">
        <v>60.4876</v>
      </c>
      <c r="O328">
        <v>60.4876</v>
      </c>
    </row>
    <row r="329" spans="5:15">
      <c r="E329" s="2">
        <v>42556</v>
      </c>
      <c r="F329">
        <v>55.2</v>
      </c>
      <c r="G329">
        <v>10256124</v>
      </c>
      <c r="M329" s="2">
        <v>42570</v>
      </c>
      <c r="N329">
        <v>60.4876</v>
      </c>
      <c r="O329">
        <v>60.4876</v>
      </c>
    </row>
    <row r="330" spans="5:15">
      <c r="E330" s="2">
        <v>42552</v>
      </c>
      <c r="F330">
        <v>55.61</v>
      </c>
      <c r="G330">
        <v>9285096</v>
      </c>
      <c r="M330" s="2">
        <v>42569</v>
      </c>
      <c r="N330">
        <v>60.466700000000003</v>
      </c>
      <c r="O330">
        <v>60.466700000000003</v>
      </c>
    </row>
    <row r="331" spans="5:15">
      <c r="E331" s="2">
        <v>42551</v>
      </c>
      <c r="F331">
        <v>55.2</v>
      </c>
      <c r="G331">
        <v>17350521</v>
      </c>
      <c r="M331" s="2">
        <v>42566</v>
      </c>
      <c r="N331">
        <v>60.602800000000002</v>
      </c>
      <c r="O331">
        <v>60.602800000000002</v>
      </c>
    </row>
    <row r="332" spans="5:15">
      <c r="E332" s="2">
        <v>42550</v>
      </c>
      <c r="F332">
        <v>55.13</v>
      </c>
      <c r="G332">
        <v>36084771</v>
      </c>
      <c r="M332" s="2">
        <v>42565</v>
      </c>
      <c r="N332">
        <v>61.252099999999999</v>
      </c>
      <c r="O332">
        <v>61.252099999999999</v>
      </c>
    </row>
    <row r="333" spans="5:15">
      <c r="E333" s="2">
        <v>42549</v>
      </c>
      <c r="F333">
        <v>53.09</v>
      </c>
      <c r="G333">
        <v>20837781</v>
      </c>
      <c r="M333" s="2">
        <v>42564</v>
      </c>
      <c r="N333">
        <v>60.728499999999997</v>
      </c>
      <c r="O333">
        <v>60.728499999999997</v>
      </c>
    </row>
    <row r="334" spans="5:15">
      <c r="E334" s="2">
        <v>42548</v>
      </c>
      <c r="F334">
        <v>51.89</v>
      </c>
      <c r="G334">
        <v>15374062</v>
      </c>
      <c r="M334" s="2">
        <v>42563</v>
      </c>
      <c r="N334">
        <v>60.8018</v>
      </c>
      <c r="O334">
        <v>60.8018</v>
      </c>
    </row>
    <row r="335" spans="5:15">
      <c r="E335" s="2">
        <v>42545</v>
      </c>
      <c r="F335">
        <v>52.59</v>
      </c>
      <c r="G335">
        <v>18481189</v>
      </c>
      <c r="M335" s="2">
        <v>42562</v>
      </c>
      <c r="N335">
        <v>59.5137</v>
      </c>
      <c r="O335">
        <v>59.5137</v>
      </c>
    </row>
    <row r="336" spans="5:15">
      <c r="E336" s="2">
        <v>42544</v>
      </c>
      <c r="F336">
        <v>54.12</v>
      </c>
      <c r="G336">
        <v>11219782</v>
      </c>
      <c r="M336" s="2">
        <v>42559</v>
      </c>
      <c r="N336">
        <v>59.398499999999999</v>
      </c>
      <c r="O336">
        <v>59.398499999999999</v>
      </c>
    </row>
    <row r="337" spans="5:15">
      <c r="E337" s="2">
        <v>42543</v>
      </c>
      <c r="F337">
        <v>54.57</v>
      </c>
      <c r="G337">
        <v>7019646</v>
      </c>
      <c r="M337" s="2">
        <v>42558</v>
      </c>
      <c r="N337">
        <v>58.560699999999997</v>
      </c>
      <c r="O337">
        <v>58.560699999999997</v>
      </c>
    </row>
    <row r="338" spans="5:15">
      <c r="E338" s="2">
        <v>42542</v>
      </c>
      <c r="F338">
        <v>54.77</v>
      </c>
      <c r="G338">
        <v>8278214</v>
      </c>
      <c r="M338" s="2">
        <v>42557</v>
      </c>
      <c r="N338">
        <v>58.435099999999998</v>
      </c>
      <c r="O338">
        <v>58.435099999999998</v>
      </c>
    </row>
    <row r="339" spans="5:15">
      <c r="E339" s="2">
        <v>42541</v>
      </c>
      <c r="F339">
        <v>54.36</v>
      </c>
      <c r="G339">
        <v>8429371</v>
      </c>
      <c r="M339" s="2">
        <v>42556</v>
      </c>
      <c r="N339">
        <v>57.806699999999999</v>
      </c>
      <c r="O339">
        <v>57.806699999999999</v>
      </c>
    </row>
    <row r="340" spans="5:15">
      <c r="E340" s="2">
        <v>42538</v>
      </c>
      <c r="F340">
        <v>53.71</v>
      </c>
      <c r="G340">
        <v>11007105</v>
      </c>
      <c r="M340" s="2">
        <v>42552</v>
      </c>
      <c r="N340">
        <v>58.2361</v>
      </c>
      <c r="O340">
        <v>58.2361</v>
      </c>
    </row>
    <row r="341" spans="5:15">
      <c r="E341" s="2">
        <v>42537</v>
      </c>
      <c r="F341">
        <v>53.47</v>
      </c>
      <c r="G341">
        <v>14456484</v>
      </c>
      <c r="M341" s="2">
        <v>42551</v>
      </c>
      <c r="N341">
        <v>57.806699999999999</v>
      </c>
      <c r="O341">
        <v>57.806699999999999</v>
      </c>
    </row>
    <row r="342" spans="5:15">
      <c r="E342" s="2">
        <v>42536</v>
      </c>
      <c r="F342">
        <v>54.31</v>
      </c>
      <c r="G342">
        <v>7498386</v>
      </c>
      <c r="M342" s="2">
        <v>42550</v>
      </c>
      <c r="N342">
        <v>57.733400000000003</v>
      </c>
      <c r="O342">
        <v>57.733400000000003</v>
      </c>
    </row>
    <row r="343" spans="5:15">
      <c r="E343" s="2">
        <v>42535</v>
      </c>
      <c r="F343">
        <v>54.12</v>
      </c>
      <c r="G343">
        <v>9585598</v>
      </c>
      <c r="M343" s="2">
        <v>42549</v>
      </c>
      <c r="N343">
        <v>55.597099999999998</v>
      </c>
      <c r="O343">
        <v>55.597099999999998</v>
      </c>
    </row>
    <row r="344" spans="5:15">
      <c r="E344" s="2">
        <v>42534</v>
      </c>
      <c r="F344">
        <v>54.91</v>
      </c>
      <c r="G344">
        <v>8582181</v>
      </c>
      <c r="M344" s="2">
        <v>42548</v>
      </c>
      <c r="N344">
        <v>54.340400000000002</v>
      </c>
      <c r="O344">
        <v>54.340400000000002</v>
      </c>
    </row>
    <row r="345" spans="5:15">
      <c r="E345" s="2">
        <v>42531</v>
      </c>
      <c r="F345">
        <v>55.11</v>
      </c>
      <c r="G345">
        <v>12183598</v>
      </c>
      <c r="M345" s="2">
        <v>42545</v>
      </c>
      <c r="N345">
        <v>55.073500000000003</v>
      </c>
      <c r="O345">
        <v>55.073500000000003</v>
      </c>
    </row>
    <row r="346" spans="5:15">
      <c r="E346" s="2">
        <v>42530</v>
      </c>
      <c r="F346">
        <v>54.94</v>
      </c>
      <c r="G346">
        <v>11609794</v>
      </c>
      <c r="M346" s="2">
        <v>42544</v>
      </c>
      <c r="N346">
        <v>56.675699999999999</v>
      </c>
      <c r="O346">
        <v>56.675699999999999</v>
      </c>
    </row>
    <row r="347" spans="5:15">
      <c r="E347" s="2">
        <v>42529</v>
      </c>
      <c r="F347">
        <v>54.12</v>
      </c>
      <c r="G347">
        <v>12068525</v>
      </c>
      <c r="M347" s="2">
        <v>42543</v>
      </c>
      <c r="N347">
        <v>57.146999999999998</v>
      </c>
      <c r="O347">
        <v>57.146999999999998</v>
      </c>
    </row>
    <row r="348" spans="5:15">
      <c r="E348" s="2">
        <v>42528</v>
      </c>
      <c r="F348">
        <v>53.55</v>
      </c>
      <c r="G348">
        <v>13333980</v>
      </c>
      <c r="M348" s="2">
        <v>42542</v>
      </c>
      <c r="N348">
        <v>57.356400000000001</v>
      </c>
      <c r="O348">
        <v>57.356400000000001</v>
      </c>
    </row>
    <row r="349" spans="5:15">
      <c r="E349" s="2">
        <v>42527</v>
      </c>
      <c r="F349">
        <v>54.3</v>
      </c>
      <c r="G349">
        <v>13808332</v>
      </c>
      <c r="M349" s="2">
        <v>42541</v>
      </c>
      <c r="N349">
        <v>56.927100000000003</v>
      </c>
      <c r="O349">
        <v>56.927100000000003</v>
      </c>
    </row>
    <row r="350" spans="5:15">
      <c r="E350" s="2">
        <v>42524</v>
      </c>
      <c r="F350">
        <v>53.45</v>
      </c>
      <c r="G350">
        <v>17265816</v>
      </c>
      <c r="M350" s="2">
        <v>42538</v>
      </c>
      <c r="N350">
        <v>56.246400000000001</v>
      </c>
      <c r="O350">
        <v>56.246400000000001</v>
      </c>
    </row>
    <row r="351" spans="5:15">
      <c r="E351" s="2">
        <v>42523</v>
      </c>
      <c r="F351">
        <v>54.53</v>
      </c>
      <c r="G351">
        <v>13901685</v>
      </c>
      <c r="M351" s="2">
        <v>42537</v>
      </c>
      <c r="N351">
        <v>55.995100000000001</v>
      </c>
      <c r="O351">
        <v>55.995100000000001</v>
      </c>
    </row>
    <row r="352" spans="5:15">
      <c r="E352" s="2">
        <v>42522</v>
      </c>
      <c r="F352">
        <v>54.93</v>
      </c>
      <c r="G352">
        <v>28409319</v>
      </c>
      <c r="M352" s="2">
        <v>42536</v>
      </c>
      <c r="N352">
        <v>56.874699999999997</v>
      </c>
      <c r="O352">
        <v>56.874699999999997</v>
      </c>
    </row>
    <row r="353" spans="5:15">
      <c r="E353" s="2">
        <v>42521</v>
      </c>
      <c r="F353">
        <v>55.22</v>
      </c>
      <c r="G353">
        <v>14233551</v>
      </c>
      <c r="M353" s="2">
        <v>42535</v>
      </c>
      <c r="N353">
        <v>56.675699999999999</v>
      </c>
      <c r="O353">
        <v>56.675699999999999</v>
      </c>
    </row>
    <row r="354" spans="5:15">
      <c r="E354" s="2">
        <v>42517</v>
      </c>
      <c r="F354">
        <v>56.19</v>
      </c>
      <c r="G354">
        <v>8525892</v>
      </c>
      <c r="M354" s="2">
        <v>42534</v>
      </c>
      <c r="N354">
        <v>57.503100000000003</v>
      </c>
      <c r="O354">
        <v>57.503100000000003</v>
      </c>
    </row>
    <row r="355" spans="5:15">
      <c r="E355" s="2">
        <v>42516</v>
      </c>
      <c r="F355">
        <v>55.84</v>
      </c>
      <c r="G355">
        <v>9063054</v>
      </c>
      <c r="M355" s="2">
        <v>42531</v>
      </c>
      <c r="N355">
        <v>57.712499999999999</v>
      </c>
      <c r="O355">
        <v>57.712499999999999</v>
      </c>
    </row>
    <row r="356" spans="5:15">
      <c r="E356" s="2">
        <v>42515</v>
      </c>
      <c r="F356">
        <v>55.99</v>
      </c>
      <c r="G356">
        <v>9921707</v>
      </c>
      <c r="M356" s="2">
        <v>42530</v>
      </c>
      <c r="N356">
        <v>57.534500000000001</v>
      </c>
      <c r="O356">
        <v>57.534500000000001</v>
      </c>
    </row>
    <row r="357" spans="5:15">
      <c r="E357" s="2">
        <v>42514</v>
      </c>
      <c r="F357">
        <v>56.59</v>
      </c>
      <c r="G357">
        <v>11098667</v>
      </c>
      <c r="M357" s="2">
        <v>42529</v>
      </c>
      <c r="N357">
        <v>56.675699999999999</v>
      </c>
      <c r="O357">
        <v>56.675699999999999</v>
      </c>
    </row>
    <row r="358" spans="5:15">
      <c r="E358" s="2">
        <v>42513</v>
      </c>
      <c r="F358">
        <v>55.99</v>
      </c>
      <c r="G358">
        <v>7780729</v>
      </c>
      <c r="M358" s="2">
        <v>42528</v>
      </c>
      <c r="N358">
        <v>56.078800000000001</v>
      </c>
      <c r="O358">
        <v>56.078800000000001</v>
      </c>
    </row>
    <row r="359" spans="5:15">
      <c r="E359" s="2">
        <v>42510</v>
      </c>
      <c r="F359">
        <v>56.48</v>
      </c>
      <c r="G359">
        <v>13745298</v>
      </c>
      <c r="M359" s="2">
        <v>42527</v>
      </c>
      <c r="N359">
        <v>56.864199999999997</v>
      </c>
      <c r="O359">
        <v>56.864199999999997</v>
      </c>
    </row>
    <row r="360" spans="5:15">
      <c r="E360" s="2">
        <v>42509</v>
      </c>
      <c r="F360">
        <v>57.04</v>
      </c>
      <c r="G360">
        <v>9376468</v>
      </c>
      <c r="M360" s="2">
        <v>42524</v>
      </c>
      <c r="N360">
        <v>55.9741</v>
      </c>
      <c r="O360">
        <v>55.9741</v>
      </c>
    </row>
    <row r="361" spans="5:15">
      <c r="E361" s="2">
        <v>42508</v>
      </c>
      <c r="F361">
        <v>56.12</v>
      </c>
      <c r="G361">
        <v>11532822</v>
      </c>
      <c r="M361" s="2">
        <v>42523</v>
      </c>
      <c r="N361">
        <v>57.1051</v>
      </c>
      <c r="O361">
        <v>57.1051</v>
      </c>
    </row>
    <row r="362" spans="5:15">
      <c r="E362" s="2">
        <v>42507</v>
      </c>
      <c r="F362">
        <v>57.1</v>
      </c>
      <c r="G362">
        <v>7620685</v>
      </c>
      <c r="M362" s="2">
        <v>42522</v>
      </c>
      <c r="N362">
        <v>57.355699999999999</v>
      </c>
      <c r="O362">
        <v>57.355699999999999</v>
      </c>
    </row>
    <row r="363" spans="5:15">
      <c r="E363" s="2">
        <v>42506</v>
      </c>
      <c r="F363">
        <v>57.14</v>
      </c>
      <c r="G363">
        <v>8045888</v>
      </c>
      <c r="M363" s="2">
        <v>42521</v>
      </c>
      <c r="N363">
        <v>57.658499999999997</v>
      </c>
      <c r="O363">
        <v>57.658499999999997</v>
      </c>
    </row>
    <row r="364" spans="5:15">
      <c r="E364" s="2">
        <v>42503</v>
      </c>
      <c r="F364">
        <v>57.31</v>
      </c>
      <c r="G364">
        <v>7392620</v>
      </c>
      <c r="M364" s="2">
        <v>42517</v>
      </c>
      <c r="N364">
        <v>58.671300000000002</v>
      </c>
      <c r="O364">
        <v>58.671300000000002</v>
      </c>
    </row>
    <row r="365" spans="5:15">
      <c r="E365" s="2">
        <v>42502</v>
      </c>
      <c r="F365">
        <v>57.99</v>
      </c>
      <c r="G365">
        <v>8083739</v>
      </c>
      <c r="M365" s="2">
        <v>42516</v>
      </c>
      <c r="N365">
        <v>58.305900000000001</v>
      </c>
      <c r="O365">
        <v>58.305900000000001</v>
      </c>
    </row>
    <row r="366" spans="5:15">
      <c r="E366" s="2">
        <v>42501</v>
      </c>
      <c r="F366">
        <v>57.01</v>
      </c>
      <c r="G366">
        <v>12822988</v>
      </c>
      <c r="M366" s="2">
        <v>42515</v>
      </c>
      <c r="N366">
        <v>58.462499999999999</v>
      </c>
      <c r="O366">
        <v>58.462499999999999</v>
      </c>
    </row>
    <row r="367" spans="5:15">
      <c r="E367" s="2">
        <v>42500</v>
      </c>
      <c r="F367">
        <v>59.2</v>
      </c>
      <c r="G367">
        <v>7600153</v>
      </c>
      <c r="M367" s="2">
        <v>42514</v>
      </c>
      <c r="N367">
        <v>59.088999999999999</v>
      </c>
      <c r="O367">
        <v>59.088999999999999</v>
      </c>
    </row>
    <row r="368" spans="5:15">
      <c r="E368" s="2">
        <v>42499</v>
      </c>
      <c r="F368">
        <v>58.72</v>
      </c>
      <c r="G368">
        <v>5604923</v>
      </c>
      <c r="M368" s="2">
        <v>42513</v>
      </c>
      <c r="N368">
        <v>58.462499999999999</v>
      </c>
      <c r="O368">
        <v>58.462499999999999</v>
      </c>
    </row>
    <row r="369" spans="5:15">
      <c r="E369" s="2">
        <v>42496</v>
      </c>
      <c r="F369">
        <v>58.43</v>
      </c>
      <c r="G369">
        <v>7307963</v>
      </c>
      <c r="M369" s="2">
        <v>42510</v>
      </c>
      <c r="N369">
        <v>58.974200000000003</v>
      </c>
      <c r="O369">
        <v>58.974200000000003</v>
      </c>
    </row>
    <row r="370" spans="5:15">
      <c r="E370" s="2">
        <v>42495</v>
      </c>
      <c r="F370">
        <v>58.19</v>
      </c>
      <c r="G370">
        <v>7845960</v>
      </c>
      <c r="M370" s="2">
        <v>42509</v>
      </c>
      <c r="N370">
        <v>59.558900000000001</v>
      </c>
      <c r="O370">
        <v>59.558900000000001</v>
      </c>
    </row>
    <row r="371" spans="5:15">
      <c r="E371" s="2">
        <v>42494</v>
      </c>
      <c r="F371">
        <v>59.11</v>
      </c>
      <c r="G371">
        <v>8062777</v>
      </c>
      <c r="M371" s="2">
        <v>42508</v>
      </c>
      <c r="N371">
        <v>58.598300000000002</v>
      </c>
      <c r="O371">
        <v>58.598300000000002</v>
      </c>
    </row>
    <row r="372" spans="5:15">
      <c r="E372" s="2">
        <v>42493</v>
      </c>
      <c r="F372">
        <v>59.52</v>
      </c>
      <c r="G372">
        <v>8061257</v>
      </c>
      <c r="M372" s="2">
        <v>42507</v>
      </c>
      <c r="N372">
        <v>59.621499999999997</v>
      </c>
      <c r="O372">
        <v>59.621499999999997</v>
      </c>
    </row>
    <row r="373" spans="5:15">
      <c r="E373" s="2">
        <v>42492</v>
      </c>
      <c r="F373">
        <v>59.59</v>
      </c>
      <c r="G373">
        <v>8647783</v>
      </c>
      <c r="M373" s="2">
        <v>42506</v>
      </c>
      <c r="N373">
        <v>59.6633</v>
      </c>
      <c r="O373">
        <v>59.6633</v>
      </c>
    </row>
    <row r="374" spans="5:15">
      <c r="E374" s="2">
        <v>42489</v>
      </c>
      <c r="F374">
        <v>58.94</v>
      </c>
      <c r="G374">
        <v>8178658</v>
      </c>
      <c r="M374" s="2">
        <v>42503</v>
      </c>
      <c r="N374">
        <v>59.840800000000002</v>
      </c>
      <c r="O374">
        <v>59.840800000000002</v>
      </c>
    </row>
    <row r="375" spans="5:15">
      <c r="E375" s="2">
        <v>42488</v>
      </c>
      <c r="F375">
        <v>58.54</v>
      </c>
      <c r="G375">
        <v>6028575</v>
      </c>
      <c r="M375" s="2">
        <v>42502</v>
      </c>
      <c r="N375">
        <v>60.550800000000002</v>
      </c>
      <c r="O375">
        <v>60.550800000000002</v>
      </c>
    </row>
    <row r="376" spans="5:15">
      <c r="E376" s="2">
        <v>42487</v>
      </c>
      <c r="F376">
        <v>59.27</v>
      </c>
      <c r="G376">
        <v>8094578</v>
      </c>
      <c r="M376" s="2">
        <v>42501</v>
      </c>
      <c r="N376">
        <v>59.5276</v>
      </c>
      <c r="O376">
        <v>59.5276</v>
      </c>
    </row>
    <row r="377" spans="5:15">
      <c r="E377" s="2">
        <v>42486</v>
      </c>
      <c r="F377">
        <v>59.54</v>
      </c>
      <c r="G377">
        <v>5582155</v>
      </c>
      <c r="M377" s="2">
        <v>42500</v>
      </c>
      <c r="N377">
        <v>61.814300000000003</v>
      </c>
      <c r="O377">
        <v>61.814300000000003</v>
      </c>
    </row>
    <row r="378" spans="5:15">
      <c r="E378" s="2">
        <v>42485</v>
      </c>
      <c r="F378">
        <v>59.21</v>
      </c>
      <c r="G378">
        <v>6117737</v>
      </c>
      <c r="M378" s="2">
        <v>42499</v>
      </c>
      <c r="N378">
        <v>61.313099999999999</v>
      </c>
      <c r="O378">
        <v>61.313099999999999</v>
      </c>
    </row>
    <row r="379" spans="5:15">
      <c r="E379" s="2">
        <v>42482</v>
      </c>
      <c r="F379">
        <v>59.43</v>
      </c>
      <c r="G379">
        <v>8294326</v>
      </c>
      <c r="M379" s="2">
        <v>42496</v>
      </c>
      <c r="N379">
        <v>61.010300000000001</v>
      </c>
      <c r="O379">
        <v>61.010300000000001</v>
      </c>
    </row>
    <row r="380" spans="5:15">
      <c r="E380" s="2">
        <v>42481</v>
      </c>
      <c r="F380">
        <v>60.08</v>
      </c>
      <c r="G380">
        <v>7156668</v>
      </c>
      <c r="M380" s="2">
        <v>42495</v>
      </c>
      <c r="N380">
        <v>60.759700000000002</v>
      </c>
      <c r="O380">
        <v>60.759700000000002</v>
      </c>
    </row>
    <row r="381" spans="5:15">
      <c r="E381" s="2">
        <v>42480</v>
      </c>
      <c r="F381">
        <v>59.62</v>
      </c>
      <c r="G381">
        <v>7177508</v>
      </c>
      <c r="M381" s="2">
        <v>42494</v>
      </c>
      <c r="N381">
        <v>61.720300000000002</v>
      </c>
      <c r="O381">
        <v>61.720300000000002</v>
      </c>
    </row>
    <row r="382" spans="5:15">
      <c r="E382" s="2">
        <v>42479</v>
      </c>
      <c r="F382">
        <v>59.56</v>
      </c>
      <c r="G382">
        <v>6594446</v>
      </c>
      <c r="M382" s="2">
        <v>42493</v>
      </c>
      <c r="N382">
        <v>62.148400000000002</v>
      </c>
      <c r="O382">
        <v>62.148400000000002</v>
      </c>
    </row>
    <row r="383" spans="5:15">
      <c r="E383" s="2">
        <v>42478</v>
      </c>
      <c r="F383">
        <v>59.57</v>
      </c>
      <c r="G383">
        <v>6075932</v>
      </c>
      <c r="M383" s="2">
        <v>42492</v>
      </c>
      <c r="N383">
        <v>62.221499999999999</v>
      </c>
      <c r="O383">
        <v>62.221499999999999</v>
      </c>
    </row>
    <row r="384" spans="5:15">
      <c r="E384" s="2">
        <v>42475</v>
      </c>
      <c r="F384">
        <v>59.5</v>
      </c>
      <c r="G384">
        <v>7653565</v>
      </c>
      <c r="M384" s="2">
        <v>42489</v>
      </c>
      <c r="N384">
        <v>61.5428</v>
      </c>
      <c r="O384">
        <v>61.5428</v>
      </c>
    </row>
    <row r="385" spans="5:15">
      <c r="E385" s="2">
        <v>42474</v>
      </c>
      <c r="F385">
        <v>59.49</v>
      </c>
      <c r="G385">
        <v>7785161</v>
      </c>
      <c r="M385" s="2">
        <v>42488</v>
      </c>
      <c r="N385">
        <v>61.125100000000003</v>
      </c>
      <c r="O385">
        <v>61.125100000000003</v>
      </c>
    </row>
    <row r="386" spans="5:15">
      <c r="E386" s="2">
        <v>42473</v>
      </c>
      <c r="F386">
        <v>59.58</v>
      </c>
      <c r="G386">
        <v>10629071</v>
      </c>
      <c r="M386" s="2">
        <v>42487</v>
      </c>
      <c r="N386">
        <v>61.8874</v>
      </c>
      <c r="O386">
        <v>61.8874</v>
      </c>
    </row>
    <row r="387" spans="5:15">
      <c r="E387" s="2">
        <v>42472</v>
      </c>
      <c r="F387">
        <v>58.55</v>
      </c>
      <c r="G387">
        <v>12471148</v>
      </c>
      <c r="M387" s="2">
        <v>42486</v>
      </c>
      <c r="N387">
        <v>62.1693</v>
      </c>
      <c r="O387">
        <v>62.1693</v>
      </c>
    </row>
    <row r="388" spans="5:15">
      <c r="E388" s="2">
        <v>42471</v>
      </c>
      <c r="F388">
        <v>57.92</v>
      </c>
      <c r="G388">
        <v>12593383</v>
      </c>
      <c r="M388" s="2">
        <v>42485</v>
      </c>
      <c r="N388">
        <v>61.8247</v>
      </c>
      <c r="O388">
        <v>61.8247</v>
      </c>
    </row>
    <row r="389" spans="5:15">
      <c r="E389" s="2">
        <v>42468</v>
      </c>
      <c r="F389">
        <v>59.42</v>
      </c>
      <c r="G389">
        <v>8761653</v>
      </c>
      <c r="M389" s="2">
        <v>42482</v>
      </c>
      <c r="N389">
        <v>62.054400000000001</v>
      </c>
      <c r="O389">
        <v>62.054400000000001</v>
      </c>
    </row>
    <row r="390" spans="5:15">
      <c r="E390" s="2">
        <v>42467</v>
      </c>
      <c r="F390">
        <v>60.3</v>
      </c>
      <c r="G390">
        <v>7092947</v>
      </c>
      <c r="M390" s="2">
        <v>42481</v>
      </c>
      <c r="N390">
        <v>62.7331</v>
      </c>
      <c r="O390">
        <v>62.7331</v>
      </c>
    </row>
    <row r="391" spans="5:15">
      <c r="E391" s="2">
        <v>42466</v>
      </c>
      <c r="F391">
        <v>60.31</v>
      </c>
      <c r="G391">
        <v>10201539</v>
      </c>
      <c r="M391" s="2">
        <v>42480</v>
      </c>
      <c r="N391">
        <v>62.252800000000001</v>
      </c>
      <c r="O391">
        <v>62.252800000000001</v>
      </c>
    </row>
    <row r="392" spans="5:15">
      <c r="E392" s="2">
        <v>42465</v>
      </c>
      <c r="F392">
        <v>59.67</v>
      </c>
      <c r="G392">
        <v>7554009</v>
      </c>
      <c r="M392" s="2">
        <v>42479</v>
      </c>
      <c r="N392">
        <v>62.190199999999997</v>
      </c>
      <c r="O392">
        <v>62.190199999999997</v>
      </c>
    </row>
    <row r="393" spans="5:15">
      <c r="E393" s="2">
        <v>42464</v>
      </c>
      <c r="F393">
        <v>59.97</v>
      </c>
      <c r="G393">
        <v>16523442</v>
      </c>
      <c r="M393" s="2">
        <v>42478</v>
      </c>
      <c r="N393">
        <v>62.200600000000001</v>
      </c>
      <c r="O393">
        <v>62.200600000000001</v>
      </c>
    </row>
    <row r="394" spans="5:15">
      <c r="E394" s="2">
        <v>42461</v>
      </c>
      <c r="F394">
        <v>61.59</v>
      </c>
      <c r="G394">
        <v>7555272</v>
      </c>
      <c r="M394" s="2">
        <v>42475</v>
      </c>
      <c r="N394">
        <v>62.127499999999998</v>
      </c>
      <c r="O394">
        <v>62.127499999999998</v>
      </c>
    </row>
    <row r="395" spans="5:15">
      <c r="E395" s="2">
        <v>42460</v>
      </c>
      <c r="F395">
        <v>61.47</v>
      </c>
      <c r="G395">
        <v>8257807</v>
      </c>
      <c r="M395" s="2">
        <v>42474</v>
      </c>
      <c r="N395">
        <v>62.117100000000001</v>
      </c>
      <c r="O395">
        <v>62.117100000000001</v>
      </c>
    </row>
    <row r="396" spans="5:15">
      <c r="E396" s="2">
        <v>42459</v>
      </c>
      <c r="F396">
        <v>62.04</v>
      </c>
      <c r="G396">
        <v>7859341</v>
      </c>
      <c r="M396" s="2">
        <v>42473</v>
      </c>
      <c r="N396">
        <v>62.211100000000002</v>
      </c>
      <c r="O396">
        <v>62.211100000000002</v>
      </c>
    </row>
    <row r="397" spans="5:15">
      <c r="E397" s="2">
        <v>42458</v>
      </c>
      <c r="F397">
        <v>61.49</v>
      </c>
      <c r="G397">
        <v>7837765</v>
      </c>
      <c r="M397" s="2">
        <v>42472</v>
      </c>
      <c r="N397">
        <v>61.135599999999997</v>
      </c>
      <c r="O397">
        <v>61.135599999999997</v>
      </c>
    </row>
    <row r="398" spans="5:15">
      <c r="E398" s="2">
        <v>42457</v>
      </c>
      <c r="F398">
        <v>61.34</v>
      </c>
      <c r="G398">
        <v>7898992</v>
      </c>
      <c r="M398" s="2">
        <v>42471</v>
      </c>
      <c r="N398">
        <v>60.477699999999999</v>
      </c>
      <c r="O398">
        <v>60.477699999999999</v>
      </c>
    </row>
    <row r="399" spans="5:15">
      <c r="E399" s="2">
        <v>42453</v>
      </c>
      <c r="F399">
        <v>61.65</v>
      </c>
      <c r="G399">
        <v>12231325</v>
      </c>
      <c r="M399" s="2">
        <v>42468</v>
      </c>
      <c r="N399">
        <v>62.043999999999997</v>
      </c>
      <c r="O399">
        <v>62.043999999999997</v>
      </c>
    </row>
    <row r="400" spans="5:15">
      <c r="E400" s="2">
        <v>42452</v>
      </c>
      <c r="F400">
        <v>62.44</v>
      </c>
      <c r="G400">
        <v>26987016</v>
      </c>
      <c r="M400" s="2">
        <v>42467</v>
      </c>
      <c r="N400">
        <v>62.962800000000001</v>
      </c>
      <c r="O400">
        <v>62.962800000000001</v>
      </c>
    </row>
    <row r="401" spans="5:15">
      <c r="E401" s="2">
        <v>42451</v>
      </c>
      <c r="F401">
        <v>64.900000000000006</v>
      </c>
      <c r="G401">
        <v>18212861</v>
      </c>
      <c r="M401" s="2">
        <v>42466</v>
      </c>
      <c r="N401">
        <v>62.973300000000002</v>
      </c>
      <c r="O401">
        <v>62.973300000000002</v>
      </c>
    </row>
    <row r="402" spans="5:15">
      <c r="E402" s="2">
        <v>42450</v>
      </c>
      <c r="F402">
        <v>64.72</v>
      </c>
      <c r="G402">
        <v>13635416</v>
      </c>
      <c r="M402" s="2">
        <v>42465</v>
      </c>
      <c r="N402">
        <v>62.305</v>
      </c>
      <c r="O402">
        <v>62.305</v>
      </c>
    </row>
    <row r="403" spans="5:15">
      <c r="E403" s="2">
        <v>42447</v>
      </c>
      <c r="F403">
        <v>62.99</v>
      </c>
      <c r="G403">
        <v>13192883</v>
      </c>
      <c r="M403" s="2">
        <v>42464</v>
      </c>
      <c r="N403">
        <v>62.618299999999998</v>
      </c>
      <c r="O403">
        <v>62.618299999999998</v>
      </c>
    </row>
    <row r="404" spans="5:15">
      <c r="E404" s="2">
        <v>42446</v>
      </c>
      <c r="F404">
        <v>63.18</v>
      </c>
      <c r="G404">
        <v>9926830</v>
      </c>
      <c r="M404" s="2">
        <v>42461</v>
      </c>
      <c r="N404">
        <v>64.309799999999996</v>
      </c>
      <c r="O404">
        <v>64.309799999999996</v>
      </c>
    </row>
    <row r="405" spans="5:15">
      <c r="E405" s="2">
        <v>42445</v>
      </c>
      <c r="F405">
        <v>61.86</v>
      </c>
      <c r="G405">
        <v>7018279</v>
      </c>
      <c r="M405" s="2">
        <v>42460</v>
      </c>
      <c r="N405">
        <v>64.1845</v>
      </c>
      <c r="O405">
        <v>64.1845</v>
      </c>
    </row>
    <row r="406" spans="5:15">
      <c r="E406" s="2">
        <v>42444</v>
      </c>
      <c r="F406">
        <v>61.4</v>
      </c>
      <c r="G406">
        <v>6188824</v>
      </c>
      <c r="M406" s="2">
        <v>42459</v>
      </c>
      <c r="N406">
        <v>64.779700000000005</v>
      </c>
      <c r="O406">
        <v>64.779700000000005</v>
      </c>
    </row>
    <row r="407" spans="5:15">
      <c r="E407" s="2">
        <v>42443</v>
      </c>
      <c r="F407">
        <v>60.81</v>
      </c>
      <c r="G407">
        <v>7090509</v>
      </c>
      <c r="M407" s="2">
        <v>42458</v>
      </c>
      <c r="N407">
        <v>64.205399999999997</v>
      </c>
      <c r="O407">
        <v>64.205399999999997</v>
      </c>
    </row>
    <row r="408" spans="5:15">
      <c r="E408" s="2">
        <v>42440</v>
      </c>
      <c r="F408">
        <v>60.08</v>
      </c>
      <c r="G408">
        <v>8834380</v>
      </c>
      <c r="M408" s="2">
        <v>42457</v>
      </c>
      <c r="N408">
        <v>64.0488</v>
      </c>
      <c r="O408">
        <v>64.0488</v>
      </c>
    </row>
    <row r="409" spans="5:15">
      <c r="E409" s="2">
        <v>42439</v>
      </c>
      <c r="F409">
        <v>58.88</v>
      </c>
      <c r="G409">
        <v>9402576</v>
      </c>
      <c r="M409" s="2">
        <v>42453</v>
      </c>
      <c r="N409">
        <v>64.372500000000002</v>
      </c>
      <c r="O409">
        <v>64.372500000000002</v>
      </c>
    </row>
    <row r="410" spans="5:15">
      <c r="E410" s="2">
        <v>42438</v>
      </c>
      <c r="F410">
        <v>58.33</v>
      </c>
      <c r="G410">
        <v>12766907</v>
      </c>
      <c r="M410" s="2">
        <v>42452</v>
      </c>
      <c r="N410">
        <v>65.197299999999998</v>
      </c>
      <c r="O410">
        <v>65.197299999999998</v>
      </c>
    </row>
    <row r="411" spans="5:15">
      <c r="E411" s="2">
        <v>42437</v>
      </c>
      <c r="F411">
        <v>59.81</v>
      </c>
      <c r="G411">
        <v>9307915</v>
      </c>
      <c r="M411" s="2">
        <v>42451</v>
      </c>
      <c r="N411">
        <v>67.766000000000005</v>
      </c>
      <c r="O411">
        <v>67.766000000000005</v>
      </c>
    </row>
    <row r="412" spans="5:15">
      <c r="E412" s="2">
        <v>42436</v>
      </c>
      <c r="F412">
        <v>59.25</v>
      </c>
      <c r="G412">
        <v>12829552</v>
      </c>
      <c r="M412" s="2">
        <v>42450</v>
      </c>
      <c r="N412">
        <v>67.578000000000003</v>
      </c>
      <c r="O412">
        <v>67.578000000000003</v>
      </c>
    </row>
    <row r="413" spans="5:15">
      <c r="E413" s="2">
        <v>42433</v>
      </c>
      <c r="F413">
        <v>61.26</v>
      </c>
      <c r="G413">
        <v>7279438</v>
      </c>
      <c r="M413" s="2">
        <v>42447</v>
      </c>
      <c r="N413">
        <v>65.771600000000007</v>
      </c>
      <c r="O413">
        <v>65.771600000000007</v>
      </c>
    </row>
    <row r="414" spans="5:15">
      <c r="E414" s="2">
        <v>42432</v>
      </c>
      <c r="F414">
        <v>61.47</v>
      </c>
      <c r="G414">
        <v>7924362</v>
      </c>
      <c r="M414" s="2">
        <v>42446</v>
      </c>
      <c r="N414">
        <v>65.97</v>
      </c>
      <c r="O414">
        <v>65.97</v>
      </c>
    </row>
    <row r="415" spans="5:15">
      <c r="E415" s="2">
        <v>42431</v>
      </c>
      <c r="F415">
        <v>62.22</v>
      </c>
      <c r="G415">
        <v>8465840</v>
      </c>
      <c r="M415" s="2">
        <v>42445</v>
      </c>
      <c r="N415">
        <v>64.591700000000003</v>
      </c>
      <c r="O415">
        <v>64.591700000000003</v>
      </c>
    </row>
    <row r="416" spans="5:15">
      <c r="E416" s="2">
        <v>42430</v>
      </c>
      <c r="F416">
        <v>62.92</v>
      </c>
      <c r="G416">
        <v>7438258</v>
      </c>
      <c r="M416" s="2">
        <v>42444</v>
      </c>
      <c r="N416">
        <v>64.111400000000003</v>
      </c>
      <c r="O416">
        <v>64.111400000000003</v>
      </c>
    </row>
    <row r="417" spans="5:15">
      <c r="E417" s="2">
        <v>42429</v>
      </c>
      <c r="F417">
        <v>61.59</v>
      </c>
      <c r="G417">
        <v>7720619</v>
      </c>
      <c r="M417" s="2">
        <v>42443</v>
      </c>
      <c r="N417">
        <v>63.495399999999997</v>
      </c>
      <c r="O417">
        <v>63.495399999999997</v>
      </c>
    </row>
    <row r="418" spans="5:15">
      <c r="E418" s="2">
        <v>42426</v>
      </c>
      <c r="F418">
        <v>62.6</v>
      </c>
      <c r="G418">
        <v>8896102</v>
      </c>
      <c r="M418" s="2">
        <v>42440</v>
      </c>
      <c r="N418">
        <v>62.7331</v>
      </c>
      <c r="O418">
        <v>62.7331</v>
      </c>
    </row>
    <row r="419" spans="5:15">
      <c r="E419" s="2">
        <v>42425</v>
      </c>
      <c r="F419">
        <v>62.38</v>
      </c>
      <c r="G419">
        <v>8524250</v>
      </c>
      <c r="M419" s="2">
        <v>42439</v>
      </c>
      <c r="N419">
        <v>61.4801</v>
      </c>
      <c r="O419">
        <v>61.4801</v>
      </c>
    </row>
    <row r="420" spans="5:15">
      <c r="E420" s="2">
        <v>42424</v>
      </c>
      <c r="F420">
        <v>60.4</v>
      </c>
      <c r="G420">
        <v>10390838</v>
      </c>
      <c r="M420" s="2">
        <v>42438</v>
      </c>
      <c r="N420">
        <v>60.905900000000003</v>
      </c>
      <c r="O420">
        <v>60.905900000000003</v>
      </c>
    </row>
    <row r="421" spans="5:15">
      <c r="E421" s="2">
        <v>42423</v>
      </c>
      <c r="F421">
        <v>60.21</v>
      </c>
      <c r="G421">
        <v>7504589</v>
      </c>
      <c r="M421" s="2">
        <v>42437</v>
      </c>
      <c r="N421">
        <v>62.4512</v>
      </c>
      <c r="O421">
        <v>62.4512</v>
      </c>
    </row>
    <row r="422" spans="5:15">
      <c r="E422" s="2">
        <v>42422</v>
      </c>
      <c r="F422">
        <v>60.17</v>
      </c>
      <c r="G422">
        <v>11523446</v>
      </c>
      <c r="M422" s="2">
        <v>42436</v>
      </c>
      <c r="N422">
        <v>61.866500000000002</v>
      </c>
      <c r="O422">
        <v>61.866500000000002</v>
      </c>
    </row>
    <row r="423" spans="5:15">
      <c r="E423" s="2">
        <v>42419</v>
      </c>
      <c r="F423">
        <v>59.31</v>
      </c>
      <c r="G423">
        <v>10080086</v>
      </c>
      <c r="M423" s="2">
        <v>42433</v>
      </c>
      <c r="N423">
        <v>63.965200000000003</v>
      </c>
      <c r="O423">
        <v>63.965200000000003</v>
      </c>
    </row>
    <row r="424" spans="5:15">
      <c r="E424" s="2">
        <v>42418</v>
      </c>
      <c r="F424">
        <v>58.6</v>
      </c>
      <c r="G424">
        <v>9658703</v>
      </c>
      <c r="M424" s="2">
        <v>42432</v>
      </c>
      <c r="N424">
        <v>64.1845</v>
      </c>
      <c r="O424">
        <v>64.1845</v>
      </c>
    </row>
    <row r="425" spans="5:15">
      <c r="E425" s="2">
        <v>42417</v>
      </c>
      <c r="F425">
        <v>58.17</v>
      </c>
      <c r="G425">
        <v>10332698</v>
      </c>
      <c r="M425" s="2">
        <v>42431</v>
      </c>
      <c r="N425">
        <v>64.799000000000007</v>
      </c>
      <c r="O425">
        <v>64.799000000000007</v>
      </c>
    </row>
    <row r="426" spans="5:15">
      <c r="E426" s="2">
        <v>42416</v>
      </c>
      <c r="F426">
        <v>57.79</v>
      </c>
      <c r="G426">
        <v>8057969</v>
      </c>
      <c r="M426" s="2">
        <v>42430</v>
      </c>
      <c r="N426">
        <v>65.528000000000006</v>
      </c>
      <c r="O426">
        <v>65.528000000000006</v>
      </c>
    </row>
    <row r="427" spans="5:15">
      <c r="E427" s="2">
        <v>42412</v>
      </c>
      <c r="F427">
        <v>56.42</v>
      </c>
      <c r="G427">
        <v>10229492</v>
      </c>
      <c r="M427" s="2">
        <v>42429</v>
      </c>
      <c r="N427">
        <v>64.142899999999997</v>
      </c>
      <c r="O427">
        <v>64.142899999999997</v>
      </c>
    </row>
    <row r="428" spans="5:15">
      <c r="E428" s="2">
        <v>42411</v>
      </c>
      <c r="F428">
        <v>56</v>
      </c>
      <c r="G428">
        <v>13090937</v>
      </c>
      <c r="M428" s="2">
        <v>42426</v>
      </c>
      <c r="N428">
        <v>65.194699999999997</v>
      </c>
      <c r="O428">
        <v>65.194699999999997</v>
      </c>
    </row>
    <row r="429" spans="5:15">
      <c r="E429" s="2">
        <v>42410</v>
      </c>
      <c r="F429">
        <v>57.41</v>
      </c>
      <c r="G429">
        <v>13376815</v>
      </c>
      <c r="M429" s="2">
        <v>42425</v>
      </c>
      <c r="N429">
        <v>64.965599999999995</v>
      </c>
      <c r="O429">
        <v>64.965599999999995</v>
      </c>
    </row>
    <row r="430" spans="5:15">
      <c r="E430" s="2">
        <v>42409</v>
      </c>
      <c r="F430">
        <v>55.68</v>
      </c>
      <c r="G430">
        <v>10915657</v>
      </c>
      <c r="M430" s="2">
        <v>42424</v>
      </c>
      <c r="N430">
        <v>62.903500000000001</v>
      </c>
      <c r="O430">
        <v>62.903500000000001</v>
      </c>
    </row>
    <row r="431" spans="5:15">
      <c r="E431" s="2">
        <v>42408</v>
      </c>
      <c r="F431">
        <v>55.04</v>
      </c>
      <c r="G431">
        <v>21214515</v>
      </c>
      <c r="M431" s="2">
        <v>42423</v>
      </c>
      <c r="N431">
        <v>62.7057</v>
      </c>
      <c r="O431">
        <v>62.7057</v>
      </c>
    </row>
    <row r="432" spans="5:15">
      <c r="E432" s="2">
        <v>42405</v>
      </c>
      <c r="F432">
        <v>57.17</v>
      </c>
      <c r="G432">
        <v>14415858</v>
      </c>
      <c r="M432" s="2">
        <v>42422</v>
      </c>
      <c r="N432">
        <v>62.664000000000001</v>
      </c>
      <c r="O432">
        <v>62.664000000000001</v>
      </c>
    </row>
    <row r="433" spans="5:15">
      <c r="E433" s="2">
        <v>42404</v>
      </c>
      <c r="F433">
        <v>60.17</v>
      </c>
      <c r="G433">
        <v>10455716</v>
      </c>
      <c r="M433" s="2">
        <v>42419</v>
      </c>
      <c r="N433">
        <v>61.7684</v>
      </c>
      <c r="O433">
        <v>61.7684</v>
      </c>
    </row>
    <row r="434" spans="5:15">
      <c r="E434" s="2">
        <v>42403</v>
      </c>
      <c r="F434">
        <v>62.49</v>
      </c>
      <c r="G434">
        <v>7213516</v>
      </c>
      <c r="M434" s="2">
        <v>42418</v>
      </c>
      <c r="N434">
        <v>61.0289</v>
      </c>
      <c r="O434">
        <v>61.0289</v>
      </c>
    </row>
    <row r="435" spans="5:15">
      <c r="E435" s="2">
        <v>42402</v>
      </c>
      <c r="F435">
        <v>62.55</v>
      </c>
      <c r="G435">
        <v>9458486</v>
      </c>
      <c r="M435" s="2">
        <v>42417</v>
      </c>
      <c r="N435">
        <v>60.581099999999999</v>
      </c>
      <c r="O435">
        <v>60.581099999999999</v>
      </c>
    </row>
    <row r="436" spans="5:15">
      <c r="E436" s="2">
        <v>42401</v>
      </c>
      <c r="F436">
        <v>63.16</v>
      </c>
      <c r="G436">
        <v>8247810</v>
      </c>
      <c r="M436" s="2">
        <v>42416</v>
      </c>
      <c r="N436">
        <v>60.185299999999998</v>
      </c>
      <c r="O436">
        <v>60.185299999999998</v>
      </c>
    </row>
    <row r="437" spans="5:15">
      <c r="E437" s="2">
        <v>42398</v>
      </c>
      <c r="F437">
        <v>62.01</v>
      </c>
      <c r="G437">
        <v>10475161</v>
      </c>
      <c r="M437" s="2">
        <v>42412</v>
      </c>
      <c r="N437">
        <v>58.758600000000001</v>
      </c>
      <c r="O437">
        <v>58.758600000000001</v>
      </c>
    </row>
    <row r="438" spans="5:15">
      <c r="E438" s="2">
        <v>42397</v>
      </c>
      <c r="F438">
        <v>61.2</v>
      </c>
      <c r="G438">
        <v>10207035</v>
      </c>
      <c r="M438" s="2">
        <v>42411</v>
      </c>
      <c r="N438">
        <v>58.321199999999997</v>
      </c>
      <c r="O438">
        <v>58.321199999999997</v>
      </c>
    </row>
    <row r="439" spans="5:15">
      <c r="E439" s="2">
        <v>42396</v>
      </c>
      <c r="F439">
        <v>59.58</v>
      </c>
      <c r="G439">
        <v>8593736</v>
      </c>
      <c r="M439" s="2">
        <v>42410</v>
      </c>
      <c r="N439">
        <v>59.7896</v>
      </c>
      <c r="O439">
        <v>59.7896</v>
      </c>
    </row>
    <row r="440" spans="5:15">
      <c r="E440" s="2">
        <v>42395</v>
      </c>
      <c r="F440">
        <v>61.11</v>
      </c>
      <c r="G440">
        <v>8005226</v>
      </c>
      <c r="M440" s="2">
        <v>42409</v>
      </c>
      <c r="N440">
        <v>57.987900000000003</v>
      </c>
      <c r="O440">
        <v>57.987900000000003</v>
      </c>
    </row>
    <row r="441" spans="5:15">
      <c r="E441" s="2">
        <v>42394</v>
      </c>
      <c r="F441">
        <v>60.7</v>
      </c>
      <c r="G441">
        <v>10383418</v>
      </c>
      <c r="M441" s="2">
        <v>42408</v>
      </c>
      <c r="N441">
        <v>57.321399999999997</v>
      </c>
      <c r="O441">
        <v>57.321399999999997</v>
      </c>
    </row>
    <row r="442" spans="5:15">
      <c r="E442" s="2">
        <v>42391</v>
      </c>
      <c r="F442">
        <v>60.88</v>
      </c>
      <c r="G442">
        <v>8430089</v>
      </c>
      <c r="M442" s="2">
        <v>42405</v>
      </c>
      <c r="N442">
        <v>59.5396</v>
      </c>
      <c r="O442">
        <v>59.5396</v>
      </c>
    </row>
    <row r="443" spans="5:15">
      <c r="E443" s="2">
        <v>42390</v>
      </c>
      <c r="F443">
        <v>60.56</v>
      </c>
      <c r="G443">
        <v>16121599</v>
      </c>
      <c r="M443" s="2">
        <v>42404</v>
      </c>
      <c r="N443">
        <v>62.664000000000001</v>
      </c>
      <c r="O443">
        <v>62.664000000000001</v>
      </c>
    </row>
    <row r="444" spans="5:15">
      <c r="E444" s="2">
        <v>42389</v>
      </c>
      <c r="F444">
        <v>59.04</v>
      </c>
      <c r="G444">
        <v>16234233</v>
      </c>
      <c r="M444" s="2">
        <v>42403</v>
      </c>
      <c r="N444">
        <v>65.080200000000005</v>
      </c>
      <c r="O444">
        <v>65.080200000000005</v>
      </c>
    </row>
    <row r="445" spans="5:15">
      <c r="E445" s="2">
        <v>42388</v>
      </c>
      <c r="F445">
        <v>58.32</v>
      </c>
      <c r="G445">
        <v>9924279</v>
      </c>
      <c r="M445" s="2">
        <v>42402</v>
      </c>
      <c r="N445">
        <v>65.142600000000002</v>
      </c>
      <c r="O445">
        <v>65.142600000000002</v>
      </c>
    </row>
    <row r="446" spans="5:15">
      <c r="E446" s="2">
        <v>42384</v>
      </c>
      <c r="F446">
        <v>57.56</v>
      </c>
      <c r="G446">
        <v>12208250</v>
      </c>
      <c r="M446" s="2">
        <v>42401</v>
      </c>
      <c r="N446">
        <v>65.777900000000002</v>
      </c>
      <c r="O446">
        <v>65.777900000000002</v>
      </c>
    </row>
    <row r="447" spans="5:15">
      <c r="E447" s="2">
        <v>42383</v>
      </c>
      <c r="F447">
        <v>58.51</v>
      </c>
      <c r="G447">
        <v>9989036</v>
      </c>
      <c r="M447" s="2">
        <v>42398</v>
      </c>
      <c r="N447">
        <v>64.580299999999994</v>
      </c>
      <c r="O447">
        <v>64.580299999999994</v>
      </c>
    </row>
    <row r="448" spans="5:15">
      <c r="E448" s="2">
        <v>42382</v>
      </c>
      <c r="F448">
        <v>58.78</v>
      </c>
      <c r="G448">
        <v>9944268</v>
      </c>
      <c r="M448" s="2">
        <v>42397</v>
      </c>
      <c r="N448">
        <v>63.736699999999999</v>
      </c>
      <c r="O448">
        <v>63.736699999999999</v>
      </c>
    </row>
    <row r="449" spans="5:15">
      <c r="E449" s="2">
        <v>42381</v>
      </c>
      <c r="F449">
        <v>59.94</v>
      </c>
      <c r="G449">
        <v>8292167</v>
      </c>
      <c r="M449" s="2">
        <v>42396</v>
      </c>
      <c r="N449">
        <v>62.049500000000002</v>
      </c>
      <c r="O449">
        <v>62.049500000000002</v>
      </c>
    </row>
    <row r="450" spans="5:15">
      <c r="E450" s="2">
        <v>42380</v>
      </c>
      <c r="F450">
        <v>59.55</v>
      </c>
      <c r="G450">
        <v>12824968</v>
      </c>
      <c r="M450" s="2">
        <v>42395</v>
      </c>
      <c r="N450">
        <v>63.643000000000001</v>
      </c>
      <c r="O450">
        <v>63.643000000000001</v>
      </c>
    </row>
    <row r="451" spans="5:15">
      <c r="E451" s="2">
        <v>42377</v>
      </c>
      <c r="F451">
        <v>58.87</v>
      </c>
      <c r="G451">
        <v>11191253</v>
      </c>
      <c r="M451" s="2">
        <v>42394</v>
      </c>
      <c r="N451">
        <v>63.216000000000001</v>
      </c>
      <c r="O451">
        <v>63.216000000000001</v>
      </c>
    </row>
    <row r="452" spans="5:15">
      <c r="E452" s="2">
        <v>42376</v>
      </c>
      <c r="F452">
        <v>59.85</v>
      </c>
      <c r="G452">
        <v>10881313</v>
      </c>
      <c r="M452" s="2">
        <v>42391</v>
      </c>
      <c r="N452">
        <v>63.403399999999998</v>
      </c>
      <c r="O452">
        <v>63.403399999999998</v>
      </c>
    </row>
    <row r="453" spans="5:15">
      <c r="E453" s="2">
        <v>42375</v>
      </c>
      <c r="F453">
        <v>61.49</v>
      </c>
      <c r="G453">
        <v>6551556</v>
      </c>
      <c r="M453" s="2">
        <v>42390</v>
      </c>
      <c r="N453">
        <v>63.0702</v>
      </c>
      <c r="O453">
        <v>63.0702</v>
      </c>
    </row>
    <row r="454" spans="5:15">
      <c r="E454" s="2">
        <v>42374</v>
      </c>
      <c r="F454">
        <v>62.38</v>
      </c>
      <c r="G454">
        <v>9220645</v>
      </c>
      <c r="M454" s="2">
        <v>42389</v>
      </c>
      <c r="N454">
        <v>61.487200000000001</v>
      </c>
      <c r="O454">
        <v>61.487200000000001</v>
      </c>
    </row>
    <row r="455" spans="5:15">
      <c r="E455" s="2">
        <v>42373</v>
      </c>
      <c r="F455">
        <v>61.52</v>
      </c>
      <c r="G455">
        <v>11626813</v>
      </c>
      <c r="M455" s="2">
        <v>42388</v>
      </c>
      <c r="N455">
        <v>60.737299999999998</v>
      </c>
      <c r="O455">
        <v>60.737299999999998</v>
      </c>
    </row>
    <row r="456" spans="5:15">
      <c r="E456" s="2">
        <v>42369</v>
      </c>
      <c r="F456">
        <v>62.5</v>
      </c>
      <c r="G456">
        <v>6454656</v>
      </c>
      <c r="M456" s="2">
        <v>42384</v>
      </c>
      <c r="N456">
        <v>59.945799999999998</v>
      </c>
      <c r="O456">
        <v>59.945799999999998</v>
      </c>
    </row>
    <row r="457" spans="5:15">
      <c r="E457" s="2">
        <v>42368</v>
      </c>
      <c r="F457">
        <v>63.25</v>
      </c>
      <c r="G457">
        <v>5817947</v>
      </c>
      <c r="M457" s="2">
        <v>42383</v>
      </c>
      <c r="N457">
        <v>60.935200000000002</v>
      </c>
      <c r="O457">
        <v>60.935200000000002</v>
      </c>
    </row>
    <row r="458" spans="5:15">
      <c r="E458" s="2">
        <v>42367</v>
      </c>
      <c r="F458">
        <v>64.260000000000005</v>
      </c>
      <c r="G458">
        <v>6708638</v>
      </c>
      <c r="M458" s="2">
        <v>42382</v>
      </c>
      <c r="N458">
        <v>61.2164</v>
      </c>
      <c r="O458">
        <v>61.2164</v>
      </c>
    </row>
    <row r="459" spans="5:15">
      <c r="E459" s="2">
        <v>42366</v>
      </c>
      <c r="F459">
        <v>63.81</v>
      </c>
      <c r="G459">
        <v>8786830</v>
      </c>
      <c r="M459" s="2">
        <v>42381</v>
      </c>
      <c r="N459">
        <v>62.424500000000002</v>
      </c>
      <c r="O459">
        <v>62.424500000000002</v>
      </c>
    </row>
    <row r="460" spans="5:15">
      <c r="E460" s="2">
        <v>42362</v>
      </c>
      <c r="F460">
        <v>63.18</v>
      </c>
      <c r="G460">
        <v>13890843</v>
      </c>
      <c r="M460" s="2">
        <v>42380</v>
      </c>
      <c r="N460">
        <v>62.018300000000004</v>
      </c>
      <c r="O460">
        <v>62.018300000000004</v>
      </c>
    </row>
    <row r="461" spans="5:15">
      <c r="E461" s="2">
        <v>42361</v>
      </c>
      <c r="F461">
        <v>64.355000000000004</v>
      </c>
      <c r="G461">
        <v>57319300</v>
      </c>
      <c r="M461" s="2">
        <v>42377</v>
      </c>
      <c r="N461">
        <v>61.310099999999998</v>
      </c>
      <c r="O461">
        <v>61.310099999999998</v>
      </c>
    </row>
    <row r="462" spans="5:15">
      <c r="E462" s="2">
        <v>42360</v>
      </c>
      <c r="F462">
        <v>65.924999999999997</v>
      </c>
      <c r="G462">
        <v>17218398</v>
      </c>
      <c r="M462" s="2">
        <v>42376</v>
      </c>
      <c r="N462">
        <v>62.3307</v>
      </c>
      <c r="O462">
        <v>62.3307</v>
      </c>
    </row>
    <row r="463" spans="5:15">
      <c r="E463" s="2">
        <v>42359</v>
      </c>
      <c r="F463">
        <v>64.900000000000006</v>
      </c>
      <c r="G463">
        <v>8972684</v>
      </c>
      <c r="M463" s="2">
        <v>42375</v>
      </c>
      <c r="N463">
        <v>64.038700000000006</v>
      </c>
      <c r="O463">
        <v>64.038700000000006</v>
      </c>
    </row>
    <row r="464" spans="5:15">
      <c r="E464" s="2">
        <v>42356</v>
      </c>
      <c r="F464">
        <v>64.260000000000005</v>
      </c>
      <c r="G464">
        <v>13804660</v>
      </c>
      <c r="M464" s="2">
        <v>42374</v>
      </c>
      <c r="N464">
        <v>64.965599999999995</v>
      </c>
      <c r="O464">
        <v>64.965599999999995</v>
      </c>
    </row>
    <row r="465" spans="5:15">
      <c r="E465" s="2">
        <v>42355</v>
      </c>
      <c r="F465">
        <v>65.11</v>
      </c>
      <c r="G465">
        <v>7400800</v>
      </c>
      <c r="M465" s="2">
        <v>42373</v>
      </c>
      <c r="N465">
        <v>64.069999999999993</v>
      </c>
      <c r="O465">
        <v>64.069999999999993</v>
      </c>
    </row>
    <row r="466" spans="5:15">
      <c r="E466" s="2">
        <v>42354</v>
      </c>
      <c r="F466">
        <v>65.465000000000003</v>
      </c>
      <c r="G466">
        <v>7542148</v>
      </c>
      <c r="M466" s="2">
        <v>42369</v>
      </c>
      <c r="N466">
        <v>65.090599999999995</v>
      </c>
      <c r="O466">
        <v>65.090599999999995</v>
      </c>
    </row>
    <row r="467" spans="5:15">
      <c r="E467" s="2">
        <v>42353</v>
      </c>
      <c r="F467">
        <v>64.305000000000007</v>
      </c>
      <c r="G467">
        <v>6869524</v>
      </c>
      <c r="M467" s="2">
        <v>42368</v>
      </c>
      <c r="N467">
        <v>65.871700000000004</v>
      </c>
      <c r="O467">
        <v>65.871700000000004</v>
      </c>
    </row>
    <row r="468" spans="5:15">
      <c r="E468" s="2">
        <v>42352</v>
      </c>
      <c r="F468">
        <v>63.93</v>
      </c>
      <c r="G468">
        <v>7991328</v>
      </c>
      <c r="M468" s="2">
        <v>42367</v>
      </c>
      <c r="N468">
        <v>66.923500000000004</v>
      </c>
      <c r="O468">
        <v>66.923500000000004</v>
      </c>
    </row>
    <row r="469" spans="5:15">
      <c r="E469" s="2">
        <v>42349</v>
      </c>
      <c r="F469">
        <v>63.145000000000003</v>
      </c>
      <c r="G469">
        <v>8276024</v>
      </c>
      <c r="M469" s="2">
        <v>42366</v>
      </c>
      <c r="N469">
        <v>66.454899999999995</v>
      </c>
      <c r="O469">
        <v>66.454899999999995</v>
      </c>
    </row>
    <row r="470" spans="5:15">
      <c r="E470" s="2">
        <v>42348</v>
      </c>
      <c r="F470">
        <v>64.319999999999993</v>
      </c>
      <c r="G470">
        <v>5682544</v>
      </c>
      <c r="M470" s="2">
        <v>42362</v>
      </c>
      <c r="N470">
        <v>65.7988</v>
      </c>
      <c r="O470">
        <v>65.7988</v>
      </c>
    </row>
    <row r="471" spans="5:15">
      <c r="E471" s="2">
        <v>42347</v>
      </c>
      <c r="F471">
        <v>64.42</v>
      </c>
      <c r="G471">
        <v>7442890</v>
      </c>
      <c r="M471" s="2">
        <v>42361</v>
      </c>
      <c r="N471">
        <v>67.022499999999994</v>
      </c>
      <c r="O471">
        <v>67.022499999999994</v>
      </c>
    </row>
    <row r="472" spans="5:15">
      <c r="E472" s="2">
        <v>42346</v>
      </c>
      <c r="F472">
        <v>65.849999999999994</v>
      </c>
      <c r="G472">
        <v>5605710</v>
      </c>
      <c r="M472" s="2">
        <v>42360</v>
      </c>
      <c r="N472">
        <v>68.657499999999999</v>
      </c>
      <c r="O472">
        <v>68.657499999999999</v>
      </c>
    </row>
    <row r="473" spans="5:15">
      <c r="E473" s="2">
        <v>42345</v>
      </c>
      <c r="F473">
        <v>65.8</v>
      </c>
      <c r="G473">
        <v>6189962</v>
      </c>
      <c r="M473" s="2">
        <v>42359</v>
      </c>
      <c r="N473">
        <v>67.590100000000007</v>
      </c>
      <c r="O473">
        <v>67.590100000000007</v>
      </c>
    </row>
    <row r="474" spans="5:15">
      <c r="E474" s="2">
        <v>42342</v>
      </c>
      <c r="F474">
        <v>66.165000000000006</v>
      </c>
      <c r="G474">
        <v>7410410</v>
      </c>
      <c r="M474" s="2">
        <v>42356</v>
      </c>
      <c r="N474">
        <v>66.923500000000004</v>
      </c>
      <c r="O474">
        <v>66.923500000000004</v>
      </c>
    </row>
    <row r="475" spans="5:15">
      <c r="E475" s="2">
        <v>42341</v>
      </c>
      <c r="F475">
        <v>64.56</v>
      </c>
      <c r="G475">
        <v>10649740</v>
      </c>
      <c r="M475" s="2">
        <v>42355</v>
      </c>
      <c r="N475">
        <v>67.808800000000005</v>
      </c>
      <c r="O475">
        <v>67.808800000000005</v>
      </c>
    </row>
    <row r="476" spans="5:15">
      <c r="E476" s="2">
        <v>42340</v>
      </c>
      <c r="F476">
        <v>66.325000000000003</v>
      </c>
      <c r="G476">
        <v>7965540</v>
      </c>
      <c r="M476" s="2">
        <v>42354</v>
      </c>
      <c r="N476">
        <v>68.1785</v>
      </c>
      <c r="O476">
        <v>68.1785</v>
      </c>
    </row>
    <row r="477" spans="5:15">
      <c r="E477" s="2">
        <v>42339</v>
      </c>
      <c r="F477">
        <v>66.655000000000001</v>
      </c>
      <c r="G477">
        <v>6857084</v>
      </c>
      <c r="M477" s="2">
        <v>42353</v>
      </c>
      <c r="N477">
        <v>66.970399999999998</v>
      </c>
      <c r="O477">
        <v>66.970399999999998</v>
      </c>
    </row>
    <row r="478" spans="5:15">
      <c r="E478" s="2">
        <v>42338</v>
      </c>
      <c r="F478">
        <v>66.14</v>
      </c>
      <c r="G478">
        <v>8738868</v>
      </c>
      <c r="M478" s="2">
        <v>42352</v>
      </c>
      <c r="N478">
        <v>66.579800000000006</v>
      </c>
      <c r="O478">
        <v>66.579800000000006</v>
      </c>
    </row>
    <row r="479" spans="5:15">
      <c r="E479" s="2">
        <v>42335</v>
      </c>
      <c r="F479">
        <v>67.165000000000006</v>
      </c>
      <c r="G479">
        <v>4528234</v>
      </c>
      <c r="M479" s="2">
        <v>42349</v>
      </c>
      <c r="N479">
        <v>65.762299999999996</v>
      </c>
      <c r="O479">
        <v>65.762299999999996</v>
      </c>
    </row>
    <row r="480" spans="5:15">
      <c r="E480" s="2">
        <v>42333</v>
      </c>
      <c r="F480">
        <v>67.064999999999998</v>
      </c>
      <c r="G480">
        <v>6989012</v>
      </c>
      <c r="M480" s="2">
        <v>42348</v>
      </c>
      <c r="N480">
        <v>66.986000000000004</v>
      </c>
      <c r="O480">
        <v>66.986000000000004</v>
      </c>
    </row>
    <row r="481" spans="5:15">
      <c r="E481" s="2">
        <v>42332</v>
      </c>
      <c r="F481">
        <v>66.254999999999995</v>
      </c>
      <c r="G481">
        <v>5311542</v>
      </c>
      <c r="M481" s="2">
        <v>42347</v>
      </c>
      <c r="N481">
        <v>67.090199999999996</v>
      </c>
      <c r="O481">
        <v>67.090199999999996</v>
      </c>
    </row>
    <row r="482" spans="5:15">
      <c r="E482" s="2">
        <v>42331</v>
      </c>
      <c r="F482">
        <v>66.23</v>
      </c>
      <c r="G482">
        <v>7135562</v>
      </c>
      <c r="M482" s="2">
        <v>42346</v>
      </c>
      <c r="N482">
        <v>68.579400000000007</v>
      </c>
      <c r="O482">
        <v>68.579400000000007</v>
      </c>
    </row>
    <row r="483" spans="5:15">
      <c r="E483" s="2">
        <v>42328</v>
      </c>
      <c r="F483">
        <v>66.325000000000003</v>
      </c>
      <c r="G483">
        <v>19064750</v>
      </c>
      <c r="M483" s="2">
        <v>42345</v>
      </c>
      <c r="N483">
        <v>68.5274</v>
      </c>
      <c r="O483">
        <v>68.5274</v>
      </c>
    </row>
    <row r="484" spans="5:15">
      <c r="E484" s="2">
        <v>42327</v>
      </c>
      <c r="F484">
        <v>62.89</v>
      </c>
      <c r="G484">
        <v>8557562</v>
      </c>
      <c r="M484" s="2">
        <v>42342</v>
      </c>
      <c r="N484">
        <v>68.740300000000005</v>
      </c>
      <c r="O484">
        <v>68.740300000000005</v>
      </c>
    </row>
    <row r="485" spans="5:15">
      <c r="E485" s="2">
        <v>42326</v>
      </c>
      <c r="F485">
        <v>62.89</v>
      </c>
      <c r="G485">
        <v>10597700</v>
      </c>
      <c r="M485" s="2">
        <v>42341</v>
      </c>
      <c r="N485">
        <v>67.072900000000004</v>
      </c>
      <c r="O485">
        <v>67.072900000000004</v>
      </c>
    </row>
    <row r="486" spans="5:15">
      <c r="E486" s="2">
        <v>42325</v>
      </c>
      <c r="F486">
        <v>61.29</v>
      </c>
      <c r="G486">
        <v>10581526</v>
      </c>
      <c r="M486" s="2">
        <v>42340</v>
      </c>
      <c r="N486">
        <v>68.906599999999997</v>
      </c>
      <c r="O486">
        <v>68.906599999999997</v>
      </c>
    </row>
    <row r="487" spans="5:15">
      <c r="E487" s="2">
        <v>42324</v>
      </c>
      <c r="F487">
        <v>61.73</v>
      </c>
      <c r="G487">
        <v>9146492</v>
      </c>
      <c r="M487" s="2">
        <v>42339</v>
      </c>
      <c r="N487">
        <v>69.249399999999994</v>
      </c>
      <c r="O487">
        <v>69.249399999999994</v>
      </c>
    </row>
    <row r="488" spans="5:15">
      <c r="E488" s="2">
        <v>42321</v>
      </c>
      <c r="F488">
        <v>60.93</v>
      </c>
      <c r="G488">
        <v>16370976</v>
      </c>
      <c r="M488" s="2">
        <v>42338</v>
      </c>
      <c r="N488">
        <v>68.714399999999998</v>
      </c>
      <c r="O488">
        <v>68.714399999999998</v>
      </c>
    </row>
    <row r="489" spans="5:15">
      <c r="E489" s="2">
        <v>42320</v>
      </c>
      <c r="F489">
        <v>62.99</v>
      </c>
      <c r="G489">
        <v>9387950</v>
      </c>
      <c r="M489" s="2">
        <v>42335</v>
      </c>
      <c r="N489">
        <v>69.779300000000006</v>
      </c>
      <c r="O489">
        <v>69.779300000000006</v>
      </c>
    </row>
    <row r="490" spans="5:15">
      <c r="E490" s="2">
        <v>42319</v>
      </c>
      <c r="F490">
        <v>63.71</v>
      </c>
      <c r="G490">
        <v>8578050</v>
      </c>
      <c r="M490" s="2">
        <v>42333</v>
      </c>
      <c r="N490">
        <v>69.675399999999996</v>
      </c>
      <c r="O490">
        <v>69.675399999999996</v>
      </c>
    </row>
    <row r="491" spans="5:15">
      <c r="E491" s="2">
        <v>42318</v>
      </c>
      <c r="F491">
        <v>65</v>
      </c>
      <c r="G491">
        <v>5287416</v>
      </c>
      <c r="M491" s="2">
        <v>42332</v>
      </c>
      <c r="N491">
        <v>68.833799999999997</v>
      </c>
      <c r="O491">
        <v>68.833799999999997</v>
      </c>
    </row>
    <row r="492" spans="5:15">
      <c r="E492" s="2">
        <v>42317</v>
      </c>
      <c r="F492">
        <v>65.239999999999995</v>
      </c>
      <c r="G492">
        <v>6181194</v>
      </c>
      <c r="M492" s="2">
        <v>42331</v>
      </c>
      <c r="N492">
        <v>68.807900000000004</v>
      </c>
      <c r="O492">
        <v>68.807900000000004</v>
      </c>
    </row>
    <row r="493" spans="5:15">
      <c r="E493" s="2">
        <v>42314</v>
      </c>
      <c r="F493">
        <v>65.89</v>
      </c>
      <c r="G493">
        <v>4837624</v>
      </c>
      <c r="M493" s="2">
        <v>42328</v>
      </c>
      <c r="N493">
        <v>68.906599999999997</v>
      </c>
      <c r="O493">
        <v>68.906599999999997</v>
      </c>
    </row>
    <row r="494" spans="5:15">
      <c r="E494" s="2">
        <v>42313</v>
      </c>
      <c r="F494">
        <v>65.930000000000007</v>
      </c>
      <c r="G494">
        <v>5068298</v>
      </c>
      <c r="M494" s="2">
        <v>42327</v>
      </c>
      <c r="N494">
        <v>65.337900000000005</v>
      </c>
      <c r="O494">
        <v>65.337900000000005</v>
      </c>
    </row>
    <row r="495" spans="5:15">
      <c r="E495" s="2">
        <v>42312</v>
      </c>
      <c r="F495">
        <v>65.180000000000007</v>
      </c>
      <c r="G495">
        <v>5190268</v>
      </c>
      <c r="M495" s="2">
        <v>42326</v>
      </c>
      <c r="N495">
        <v>65.337900000000005</v>
      </c>
      <c r="O495">
        <v>65.337900000000005</v>
      </c>
    </row>
    <row r="496" spans="5:15">
      <c r="E496" s="2">
        <v>42311</v>
      </c>
      <c r="F496">
        <v>65.7</v>
      </c>
      <c r="G496">
        <v>5491944</v>
      </c>
      <c r="M496" s="2">
        <v>42325</v>
      </c>
      <c r="N496">
        <v>63.675600000000003</v>
      </c>
      <c r="O496">
        <v>63.675600000000003</v>
      </c>
    </row>
    <row r="497" spans="5:15">
      <c r="E497" s="2">
        <v>42310</v>
      </c>
      <c r="F497">
        <v>65.594999999999999</v>
      </c>
      <c r="G497">
        <v>6123180</v>
      </c>
      <c r="M497" s="2">
        <v>42324</v>
      </c>
      <c r="N497">
        <v>64.1327</v>
      </c>
      <c r="O497">
        <v>64.1327</v>
      </c>
    </row>
    <row r="498" spans="5:15">
      <c r="E498" s="2">
        <v>42307</v>
      </c>
      <c r="F498">
        <v>65.515000000000001</v>
      </c>
      <c r="G498">
        <v>7230828</v>
      </c>
      <c r="M498" s="2">
        <v>42321</v>
      </c>
      <c r="N498">
        <v>63.301600000000001</v>
      </c>
      <c r="O498">
        <v>63.301600000000001</v>
      </c>
    </row>
    <row r="499" spans="5:15">
      <c r="E499" s="2">
        <v>42306</v>
      </c>
      <c r="F499">
        <v>65.56</v>
      </c>
      <c r="G499">
        <v>4958976</v>
      </c>
      <c r="M499" s="2">
        <v>42320</v>
      </c>
      <c r="N499">
        <v>65.441800000000001</v>
      </c>
      <c r="O499">
        <v>65.441800000000001</v>
      </c>
    </row>
    <row r="500" spans="5:15">
      <c r="E500" s="2">
        <v>42305</v>
      </c>
      <c r="F500">
        <v>65.644999999999996</v>
      </c>
      <c r="G500">
        <v>7091306</v>
      </c>
      <c r="M500" s="2">
        <v>42319</v>
      </c>
      <c r="N500">
        <v>66.189800000000005</v>
      </c>
      <c r="O500">
        <v>66.189800000000005</v>
      </c>
    </row>
    <row r="501" spans="5:15">
      <c r="E501" s="2">
        <v>42304</v>
      </c>
      <c r="F501">
        <v>65.41</v>
      </c>
      <c r="G501">
        <v>6150040</v>
      </c>
      <c r="M501" s="2">
        <v>42318</v>
      </c>
      <c r="N501">
        <v>67.53</v>
      </c>
      <c r="O501">
        <v>67.53</v>
      </c>
    </row>
    <row r="502" spans="5:15">
      <c r="E502" s="2">
        <v>42303</v>
      </c>
      <c r="F502">
        <v>65.69</v>
      </c>
      <c r="G502">
        <v>6882718</v>
      </c>
      <c r="M502" s="2">
        <v>42317</v>
      </c>
      <c r="N502">
        <v>67.779300000000006</v>
      </c>
      <c r="O502">
        <v>67.779300000000006</v>
      </c>
    </row>
    <row r="503" spans="5:15">
      <c r="E503" s="2">
        <v>42300</v>
      </c>
      <c r="F503">
        <v>65.265000000000001</v>
      </c>
      <c r="G503">
        <v>10517736</v>
      </c>
      <c r="M503" s="2">
        <v>42314</v>
      </c>
      <c r="N503">
        <v>68.454599999999999</v>
      </c>
      <c r="O503">
        <v>68.454599999999999</v>
      </c>
    </row>
    <row r="504" spans="5:15">
      <c r="E504" s="2">
        <v>42299</v>
      </c>
      <c r="F504">
        <v>66.204999999999998</v>
      </c>
      <c r="G504">
        <v>9294752</v>
      </c>
      <c r="M504" s="2">
        <v>42313</v>
      </c>
      <c r="N504">
        <v>68.496200000000002</v>
      </c>
      <c r="O504">
        <v>68.496200000000002</v>
      </c>
    </row>
    <row r="505" spans="5:15">
      <c r="E505" s="2">
        <v>42298</v>
      </c>
      <c r="F505">
        <v>66.234999999999999</v>
      </c>
      <c r="G505">
        <v>5505722</v>
      </c>
      <c r="M505" s="2">
        <v>42312</v>
      </c>
      <c r="N505">
        <v>67.716999999999999</v>
      </c>
      <c r="O505">
        <v>67.716999999999999</v>
      </c>
    </row>
    <row r="506" spans="5:15">
      <c r="E506" s="2">
        <v>42297</v>
      </c>
      <c r="F506">
        <v>66.185000000000002</v>
      </c>
      <c r="G506">
        <v>9104196</v>
      </c>
      <c r="M506" s="2">
        <v>42311</v>
      </c>
      <c r="N506">
        <v>68.257199999999997</v>
      </c>
      <c r="O506">
        <v>68.257199999999997</v>
      </c>
    </row>
    <row r="507" spans="5:15">
      <c r="E507" s="2">
        <v>42296</v>
      </c>
      <c r="F507">
        <v>66.605000000000004</v>
      </c>
      <c r="G507">
        <v>12587856</v>
      </c>
      <c r="M507" s="2">
        <v>42310</v>
      </c>
      <c r="N507">
        <v>68.148099999999999</v>
      </c>
      <c r="O507">
        <v>68.148099999999999</v>
      </c>
    </row>
    <row r="508" spans="5:15">
      <c r="E508" s="2">
        <v>42293</v>
      </c>
      <c r="F508">
        <v>65.234999999999999</v>
      </c>
      <c r="G508">
        <v>9321616</v>
      </c>
      <c r="M508" s="2">
        <v>42307</v>
      </c>
      <c r="N508">
        <v>68.064999999999998</v>
      </c>
      <c r="O508">
        <v>68.064999999999998</v>
      </c>
    </row>
    <row r="509" spans="5:15">
      <c r="E509" s="2">
        <v>42292</v>
      </c>
      <c r="F509">
        <v>64.394999999999996</v>
      </c>
      <c r="G509">
        <v>10764798</v>
      </c>
      <c r="M509" s="2">
        <v>42306</v>
      </c>
      <c r="N509">
        <v>68.111800000000002</v>
      </c>
      <c r="O509">
        <v>68.111800000000002</v>
      </c>
    </row>
    <row r="510" spans="5:15">
      <c r="E510" s="2">
        <v>42291</v>
      </c>
      <c r="F510">
        <v>62.92</v>
      </c>
      <c r="G510">
        <v>6509064</v>
      </c>
      <c r="M510" s="2">
        <v>42305</v>
      </c>
      <c r="N510">
        <v>68.200100000000006</v>
      </c>
      <c r="O510">
        <v>68.200100000000006</v>
      </c>
    </row>
    <row r="511" spans="5:15">
      <c r="E511" s="2">
        <v>42290</v>
      </c>
      <c r="F511">
        <v>62.905000000000001</v>
      </c>
      <c r="G511">
        <v>6355354</v>
      </c>
      <c r="M511" s="2">
        <v>42304</v>
      </c>
      <c r="N511">
        <v>67.9559</v>
      </c>
      <c r="O511">
        <v>67.9559</v>
      </c>
    </row>
    <row r="512" spans="5:15">
      <c r="E512" s="2">
        <v>42289</v>
      </c>
      <c r="F512">
        <v>63.215000000000003</v>
      </c>
      <c r="G512">
        <v>5448910</v>
      </c>
      <c r="M512" s="2">
        <v>42303</v>
      </c>
      <c r="N512">
        <v>68.246799999999993</v>
      </c>
      <c r="O512">
        <v>68.246799999999993</v>
      </c>
    </row>
    <row r="513" spans="5:15">
      <c r="E513" s="2">
        <v>42286</v>
      </c>
      <c r="F513">
        <v>62.47</v>
      </c>
      <c r="G513">
        <v>6940522</v>
      </c>
      <c r="M513" s="2">
        <v>42300</v>
      </c>
      <c r="N513">
        <v>67.805300000000003</v>
      </c>
      <c r="O513">
        <v>67.805300000000003</v>
      </c>
    </row>
    <row r="514" spans="5:15">
      <c r="E514" s="2">
        <v>42285</v>
      </c>
      <c r="F514">
        <v>62.454999999999998</v>
      </c>
      <c r="G514">
        <v>7622644</v>
      </c>
      <c r="M514" s="2">
        <v>42299</v>
      </c>
      <c r="N514">
        <v>68.781899999999993</v>
      </c>
      <c r="O514">
        <v>68.781899999999993</v>
      </c>
    </row>
    <row r="515" spans="5:15">
      <c r="E515" s="2">
        <v>42284</v>
      </c>
      <c r="F515">
        <v>61.05</v>
      </c>
      <c r="G515">
        <v>10223060</v>
      </c>
      <c r="M515" s="2">
        <v>42298</v>
      </c>
      <c r="N515">
        <v>68.813100000000006</v>
      </c>
      <c r="O515">
        <v>68.813100000000006</v>
      </c>
    </row>
    <row r="516" spans="5:15">
      <c r="E516" s="2">
        <v>42283</v>
      </c>
      <c r="F516">
        <v>61.594999999999999</v>
      </c>
      <c r="G516">
        <v>7665362</v>
      </c>
      <c r="M516" s="2">
        <v>42297</v>
      </c>
      <c r="N516">
        <v>68.761099999999999</v>
      </c>
      <c r="O516">
        <v>68.761099999999999</v>
      </c>
    </row>
    <row r="517" spans="5:15">
      <c r="E517" s="2">
        <v>42282</v>
      </c>
      <c r="F517">
        <v>62.134999999999998</v>
      </c>
      <c r="G517">
        <v>9647392</v>
      </c>
      <c r="M517" s="2">
        <v>42296</v>
      </c>
      <c r="N517">
        <v>69.197500000000005</v>
      </c>
      <c r="O517">
        <v>69.197500000000005</v>
      </c>
    </row>
    <row r="518" spans="5:15">
      <c r="E518" s="2">
        <v>42279</v>
      </c>
      <c r="F518">
        <v>62.604999999999997</v>
      </c>
      <c r="G518">
        <v>9114408</v>
      </c>
      <c r="M518" s="2">
        <v>42293</v>
      </c>
      <c r="N518">
        <v>67.774100000000004</v>
      </c>
      <c r="O518">
        <v>67.774100000000004</v>
      </c>
    </row>
    <row r="519" spans="5:15">
      <c r="E519" s="2">
        <v>42278</v>
      </c>
      <c r="F519">
        <v>61.914999999999999</v>
      </c>
      <c r="G519">
        <v>8994220</v>
      </c>
      <c r="M519" s="2">
        <v>42292</v>
      </c>
      <c r="N519">
        <v>66.901399999999995</v>
      </c>
      <c r="O519">
        <v>66.901399999999995</v>
      </c>
    </row>
    <row r="520" spans="5:15">
      <c r="E520" s="2">
        <v>42277</v>
      </c>
      <c r="F520">
        <v>61.484999999999999</v>
      </c>
      <c r="G520">
        <v>9437808</v>
      </c>
      <c r="M520" s="2">
        <v>42291</v>
      </c>
      <c r="N520">
        <v>65.369</v>
      </c>
      <c r="O520">
        <v>65.369</v>
      </c>
    </row>
    <row r="521" spans="5:15">
      <c r="E521" s="2">
        <v>42276</v>
      </c>
      <c r="F521">
        <v>59.835000000000001</v>
      </c>
      <c r="G521">
        <v>14414414</v>
      </c>
      <c r="M521" s="2">
        <v>42290</v>
      </c>
      <c r="N521">
        <v>65.353399999999993</v>
      </c>
      <c r="O521">
        <v>65.353399999999993</v>
      </c>
    </row>
    <row r="522" spans="5:15">
      <c r="E522" s="2">
        <v>42275</v>
      </c>
      <c r="F522">
        <v>61.07</v>
      </c>
      <c r="G522">
        <v>16450704</v>
      </c>
      <c r="M522" s="2">
        <v>42289</v>
      </c>
      <c r="N522">
        <v>65.6755</v>
      </c>
      <c r="O522">
        <v>65.6755</v>
      </c>
    </row>
    <row r="523" spans="5:15">
      <c r="E523" s="2">
        <v>42272</v>
      </c>
      <c r="F523">
        <v>62.5</v>
      </c>
      <c r="G523">
        <v>36968186</v>
      </c>
      <c r="M523" s="2">
        <v>42286</v>
      </c>
      <c r="N523">
        <v>64.901499999999999</v>
      </c>
      <c r="O523">
        <v>64.901499999999999</v>
      </c>
    </row>
    <row r="524" spans="5:15">
      <c r="E524" s="2">
        <v>42271</v>
      </c>
      <c r="F524">
        <v>57.395000000000003</v>
      </c>
      <c r="G524">
        <v>14352696</v>
      </c>
      <c r="M524" s="2">
        <v>42285</v>
      </c>
      <c r="N524">
        <v>64.885900000000007</v>
      </c>
      <c r="O524">
        <v>64.885900000000007</v>
      </c>
    </row>
    <row r="525" spans="5:15">
      <c r="E525" s="2">
        <v>42270</v>
      </c>
      <c r="F525">
        <v>57.715000000000003</v>
      </c>
      <c r="G525">
        <v>9055706</v>
      </c>
      <c r="M525" s="2">
        <v>42284</v>
      </c>
      <c r="N525">
        <v>63.426200000000001</v>
      </c>
      <c r="O525">
        <v>63.426200000000001</v>
      </c>
    </row>
    <row r="526" spans="5:15">
      <c r="E526" s="2">
        <v>42269</v>
      </c>
      <c r="F526">
        <v>57.984999999999999</v>
      </c>
      <c r="G526">
        <v>7555490</v>
      </c>
      <c r="M526" s="2">
        <v>42283</v>
      </c>
      <c r="N526">
        <v>63.9925</v>
      </c>
      <c r="O526">
        <v>63.9925</v>
      </c>
    </row>
    <row r="527" spans="5:15">
      <c r="E527" s="2">
        <v>42268</v>
      </c>
      <c r="F527">
        <v>58.28</v>
      </c>
      <c r="G527">
        <v>8746568</v>
      </c>
      <c r="M527" s="2">
        <v>42282</v>
      </c>
      <c r="N527">
        <v>64.5535</v>
      </c>
      <c r="O527">
        <v>64.5535</v>
      </c>
    </row>
    <row r="528" spans="5:15">
      <c r="E528" s="2">
        <v>42265</v>
      </c>
      <c r="F528">
        <v>57.524999999999999</v>
      </c>
      <c r="G528">
        <v>18614998</v>
      </c>
      <c r="M528" s="2">
        <v>42279</v>
      </c>
      <c r="N528">
        <v>65.041799999999995</v>
      </c>
      <c r="O528">
        <v>65.041799999999995</v>
      </c>
    </row>
    <row r="529" spans="5:15">
      <c r="E529" s="2">
        <v>42264</v>
      </c>
      <c r="F529">
        <v>57.634999999999998</v>
      </c>
      <c r="G529">
        <v>8062642</v>
      </c>
      <c r="M529" s="2">
        <v>42278</v>
      </c>
      <c r="N529">
        <v>64.3249</v>
      </c>
      <c r="O529">
        <v>64.3249</v>
      </c>
    </row>
    <row r="530" spans="5:15">
      <c r="E530" s="2">
        <v>42263</v>
      </c>
      <c r="F530">
        <v>57.79</v>
      </c>
      <c r="G530">
        <v>8104442</v>
      </c>
      <c r="M530" s="2">
        <v>42277</v>
      </c>
      <c r="N530">
        <v>63.8782</v>
      </c>
      <c r="O530">
        <v>63.8782</v>
      </c>
    </row>
    <row r="531" spans="5:15">
      <c r="E531" s="2">
        <v>42262</v>
      </c>
      <c r="F531">
        <v>56.92</v>
      </c>
      <c r="G531">
        <v>7699312</v>
      </c>
      <c r="M531" s="2">
        <v>42276</v>
      </c>
      <c r="N531">
        <v>62.164000000000001</v>
      </c>
      <c r="O531">
        <v>62.164000000000001</v>
      </c>
    </row>
    <row r="532" spans="5:15">
      <c r="E532" s="2">
        <v>42261</v>
      </c>
      <c r="F532">
        <v>55.945</v>
      </c>
      <c r="G532">
        <v>6833274</v>
      </c>
      <c r="M532" s="2">
        <v>42275</v>
      </c>
      <c r="N532">
        <v>63.447000000000003</v>
      </c>
      <c r="O532">
        <v>63.447000000000003</v>
      </c>
    </row>
    <row r="533" spans="5:15">
      <c r="E533" s="2">
        <v>42258</v>
      </c>
      <c r="F533">
        <v>55.91</v>
      </c>
      <c r="G533">
        <v>5589552</v>
      </c>
      <c r="M533" s="2">
        <v>42272</v>
      </c>
      <c r="N533">
        <v>64.932699999999997</v>
      </c>
      <c r="O533">
        <v>64.932699999999997</v>
      </c>
    </row>
    <row r="534" spans="5:15">
      <c r="E534" s="2">
        <v>42257</v>
      </c>
      <c r="F534">
        <v>55.19</v>
      </c>
      <c r="G534">
        <v>7362902</v>
      </c>
      <c r="M534" s="2">
        <v>42271</v>
      </c>
      <c r="N534">
        <v>59.628999999999998</v>
      </c>
      <c r="O534">
        <v>59.628999999999998</v>
      </c>
    </row>
    <row r="535" spans="5:15">
      <c r="E535" s="2">
        <v>42256</v>
      </c>
      <c r="F535">
        <v>54.93</v>
      </c>
      <c r="G535">
        <v>6349722</v>
      </c>
      <c r="M535" s="2">
        <v>42270</v>
      </c>
      <c r="N535">
        <v>59.961399999999998</v>
      </c>
      <c r="O535">
        <v>59.961399999999998</v>
      </c>
    </row>
    <row r="536" spans="5:15">
      <c r="E536" s="2">
        <v>42255</v>
      </c>
      <c r="F536">
        <v>55.875</v>
      </c>
      <c r="G536">
        <v>5511324</v>
      </c>
      <c r="M536" s="2">
        <v>42269</v>
      </c>
      <c r="N536">
        <v>60.241900000000001</v>
      </c>
      <c r="O536">
        <v>60.241900000000001</v>
      </c>
    </row>
    <row r="537" spans="5:15">
      <c r="E537" s="2">
        <v>42251</v>
      </c>
      <c r="F537">
        <v>54.844999999999999</v>
      </c>
      <c r="G537">
        <v>7127068</v>
      </c>
      <c r="M537" s="2">
        <v>42268</v>
      </c>
      <c r="N537">
        <v>60.548400000000001</v>
      </c>
      <c r="O537">
        <v>60.548400000000001</v>
      </c>
    </row>
    <row r="538" spans="5:15">
      <c r="E538" s="2">
        <v>42250</v>
      </c>
      <c r="F538">
        <v>55.424999999999997</v>
      </c>
      <c r="G538">
        <v>6065052</v>
      </c>
      <c r="M538" s="2">
        <v>42265</v>
      </c>
      <c r="N538">
        <v>59.764000000000003</v>
      </c>
      <c r="O538">
        <v>59.764000000000003</v>
      </c>
    </row>
    <row r="539" spans="5:15">
      <c r="E539" s="2">
        <v>42249</v>
      </c>
      <c r="F539">
        <v>55.35</v>
      </c>
      <c r="G539">
        <v>8536314</v>
      </c>
      <c r="M539" s="2">
        <v>42264</v>
      </c>
      <c r="N539">
        <v>59.878300000000003</v>
      </c>
      <c r="O539">
        <v>59.878300000000003</v>
      </c>
    </row>
    <row r="540" spans="5:15">
      <c r="E540" s="2">
        <v>42248</v>
      </c>
      <c r="F540">
        <v>54.314999999999998</v>
      </c>
      <c r="G540">
        <v>9385236</v>
      </c>
      <c r="M540" s="2">
        <v>42263</v>
      </c>
      <c r="N540">
        <v>60.039400000000001</v>
      </c>
      <c r="O540">
        <v>60.039400000000001</v>
      </c>
    </row>
    <row r="541" spans="5:15">
      <c r="E541" s="2">
        <v>42247</v>
      </c>
      <c r="F541">
        <v>55.875</v>
      </c>
      <c r="G541">
        <v>7073574</v>
      </c>
      <c r="M541" s="2">
        <v>42262</v>
      </c>
      <c r="N541">
        <v>59.1355</v>
      </c>
      <c r="O541">
        <v>59.1355</v>
      </c>
    </row>
    <row r="542" spans="5:15">
      <c r="E542" s="2">
        <v>42244</v>
      </c>
      <c r="F542">
        <v>56.25</v>
      </c>
      <c r="G542">
        <v>7526116</v>
      </c>
      <c r="M542" s="2">
        <v>42261</v>
      </c>
      <c r="N542">
        <v>58.122500000000002</v>
      </c>
      <c r="O542">
        <v>58.122500000000002</v>
      </c>
    </row>
    <row r="543" spans="5:15">
      <c r="E543" s="2">
        <v>42243</v>
      </c>
      <c r="F543">
        <v>56.31</v>
      </c>
      <c r="G543">
        <v>13617324</v>
      </c>
      <c r="M543" s="2">
        <v>42258</v>
      </c>
      <c r="N543">
        <v>58.086199999999998</v>
      </c>
      <c r="O543">
        <v>58.086199999999998</v>
      </c>
    </row>
    <row r="544" spans="5:15">
      <c r="E544" s="2">
        <v>42242</v>
      </c>
      <c r="F544">
        <v>54.38</v>
      </c>
      <c r="G544">
        <v>15156048</v>
      </c>
      <c r="M544" s="2">
        <v>42257</v>
      </c>
      <c r="N544">
        <v>57.338200000000001</v>
      </c>
      <c r="O544">
        <v>57.338200000000001</v>
      </c>
    </row>
    <row r="545" spans="5:15">
      <c r="E545" s="2">
        <v>42241</v>
      </c>
      <c r="F545">
        <v>51.765000000000001</v>
      </c>
      <c r="G545">
        <v>13616108</v>
      </c>
      <c r="M545" s="2">
        <v>42256</v>
      </c>
      <c r="N545">
        <v>57.067999999999998</v>
      </c>
      <c r="O545">
        <v>57.067999999999998</v>
      </c>
    </row>
    <row r="546" spans="5:15">
      <c r="E546" s="2">
        <v>42240</v>
      </c>
      <c r="F546">
        <v>51.935000000000002</v>
      </c>
      <c r="G546">
        <v>19882610</v>
      </c>
      <c r="M546" s="2">
        <v>42255</v>
      </c>
      <c r="N546">
        <v>58.049799999999998</v>
      </c>
      <c r="O546">
        <v>58.049799999999998</v>
      </c>
    </row>
    <row r="547" spans="5:15">
      <c r="E547" s="2">
        <v>42237</v>
      </c>
      <c r="F547">
        <v>53.435000000000002</v>
      </c>
      <c r="G547">
        <v>15912850</v>
      </c>
      <c r="M547" s="2">
        <v>42251</v>
      </c>
      <c r="N547">
        <v>56.979700000000001</v>
      </c>
      <c r="O547">
        <v>56.979700000000001</v>
      </c>
    </row>
    <row r="548" spans="5:15">
      <c r="E548" s="2">
        <v>42236</v>
      </c>
      <c r="F548">
        <v>56.15</v>
      </c>
      <c r="G548">
        <v>6536846</v>
      </c>
      <c r="M548" s="2">
        <v>42250</v>
      </c>
      <c r="N548">
        <v>57.582300000000004</v>
      </c>
      <c r="O548">
        <v>57.582300000000004</v>
      </c>
    </row>
    <row r="549" spans="5:15">
      <c r="E549" s="2">
        <v>42235</v>
      </c>
      <c r="F549">
        <v>57.48</v>
      </c>
      <c r="G549">
        <v>6216434</v>
      </c>
      <c r="M549" s="2">
        <v>42249</v>
      </c>
      <c r="N549">
        <v>57.359499999999997</v>
      </c>
      <c r="O549">
        <v>57.359499999999997</v>
      </c>
    </row>
    <row r="550" spans="5:15">
      <c r="E550" s="2">
        <v>42234</v>
      </c>
      <c r="F550">
        <v>57.41</v>
      </c>
      <c r="G550">
        <v>3671450</v>
      </c>
      <c r="M550" s="2">
        <v>42248</v>
      </c>
      <c r="N550">
        <v>56.286900000000003</v>
      </c>
      <c r="O550">
        <v>56.286900000000003</v>
      </c>
    </row>
    <row r="551" spans="5:15">
      <c r="E551" s="2">
        <v>42233</v>
      </c>
      <c r="F551">
        <v>57.49</v>
      </c>
      <c r="G551">
        <v>3917460</v>
      </c>
      <c r="M551" s="2">
        <v>42247</v>
      </c>
      <c r="N551">
        <v>57.903599999999997</v>
      </c>
      <c r="O551">
        <v>57.903599999999997</v>
      </c>
    </row>
    <row r="552" spans="5:15">
      <c r="E552" s="2">
        <v>42230</v>
      </c>
      <c r="F552">
        <v>57.18</v>
      </c>
      <c r="G552">
        <v>4686134</v>
      </c>
      <c r="M552" s="2">
        <v>42244</v>
      </c>
      <c r="N552">
        <v>58.292200000000001</v>
      </c>
      <c r="O552">
        <v>58.292200000000001</v>
      </c>
    </row>
    <row r="553" spans="5:15">
      <c r="E553" s="2">
        <v>42229</v>
      </c>
      <c r="F553">
        <v>56.8</v>
      </c>
      <c r="G553">
        <v>5907732</v>
      </c>
      <c r="M553" s="2">
        <v>42243</v>
      </c>
      <c r="N553">
        <v>58.354399999999998</v>
      </c>
      <c r="O553">
        <v>58.354399999999998</v>
      </c>
    </row>
    <row r="554" spans="5:15">
      <c r="E554" s="2">
        <v>42228</v>
      </c>
      <c r="F554">
        <v>56.53</v>
      </c>
      <c r="G554">
        <v>7174684</v>
      </c>
      <c r="M554" s="2">
        <v>42242</v>
      </c>
      <c r="N554">
        <v>56.354300000000002</v>
      </c>
      <c r="O554">
        <v>56.354300000000002</v>
      </c>
    </row>
    <row r="555" spans="5:15">
      <c r="E555" s="2">
        <v>42227</v>
      </c>
      <c r="F555">
        <v>57.23</v>
      </c>
      <c r="G555">
        <v>5107412</v>
      </c>
      <c r="M555" s="2">
        <v>42241</v>
      </c>
      <c r="N555">
        <v>53.644300000000001</v>
      </c>
      <c r="O555">
        <v>53.644300000000001</v>
      </c>
    </row>
    <row r="556" spans="5:15">
      <c r="E556" s="2">
        <v>42226</v>
      </c>
      <c r="F556">
        <v>57.68</v>
      </c>
      <c r="G556">
        <v>4613264</v>
      </c>
      <c r="M556" s="2">
        <v>42240</v>
      </c>
      <c r="N556">
        <v>53.820500000000003</v>
      </c>
      <c r="O556">
        <v>53.820500000000003</v>
      </c>
    </row>
    <row r="557" spans="5:15">
      <c r="E557" s="2">
        <v>42223</v>
      </c>
      <c r="F557">
        <v>57.255000000000003</v>
      </c>
      <c r="G557">
        <v>5907890</v>
      </c>
      <c r="M557" s="2">
        <v>42237</v>
      </c>
      <c r="N557">
        <v>55.375</v>
      </c>
      <c r="O557">
        <v>55.375</v>
      </c>
    </row>
    <row r="558" spans="5:15">
      <c r="E558" s="2">
        <v>42222</v>
      </c>
      <c r="F558">
        <v>57.56</v>
      </c>
      <c r="G558">
        <v>6211466</v>
      </c>
      <c r="M558" s="2">
        <v>42236</v>
      </c>
      <c r="N558">
        <v>58.188499999999998</v>
      </c>
      <c r="O558">
        <v>58.188499999999998</v>
      </c>
    </row>
    <row r="559" spans="5:15">
      <c r="E559" s="2">
        <v>42221</v>
      </c>
      <c r="F559">
        <v>58.375</v>
      </c>
      <c r="G559">
        <v>6853064</v>
      </c>
      <c r="M559" s="2">
        <v>42235</v>
      </c>
      <c r="N559">
        <v>59.566800000000001</v>
      </c>
      <c r="O559">
        <v>59.566800000000001</v>
      </c>
    </row>
    <row r="560" spans="5:15">
      <c r="E560" s="2">
        <v>42220</v>
      </c>
      <c r="F560">
        <v>57.884999999999998</v>
      </c>
      <c r="G560">
        <v>5228992</v>
      </c>
      <c r="M560" s="2">
        <v>42234</v>
      </c>
      <c r="N560">
        <v>59.494300000000003</v>
      </c>
      <c r="O560">
        <v>59.494300000000003</v>
      </c>
    </row>
    <row r="561" spans="5:15">
      <c r="E561" s="2">
        <v>42219</v>
      </c>
      <c r="F561">
        <v>57.414999999999999</v>
      </c>
      <c r="G561">
        <v>4991998</v>
      </c>
      <c r="M561" s="2">
        <v>42233</v>
      </c>
      <c r="N561">
        <v>59.577199999999998</v>
      </c>
      <c r="O561">
        <v>59.577199999999998</v>
      </c>
    </row>
    <row r="562" spans="5:15">
      <c r="E562" s="2">
        <v>42216</v>
      </c>
      <c r="F562">
        <v>57.61</v>
      </c>
      <c r="G562">
        <v>5078650</v>
      </c>
      <c r="M562" s="2">
        <v>42230</v>
      </c>
      <c r="N562">
        <v>59.255899999999997</v>
      </c>
      <c r="O562">
        <v>59.255899999999997</v>
      </c>
    </row>
    <row r="563" spans="5:15">
      <c r="E563" s="2">
        <v>42215</v>
      </c>
      <c r="F563">
        <v>57.505000000000003</v>
      </c>
      <c r="G563">
        <v>5594062</v>
      </c>
      <c r="M563" s="2">
        <v>42229</v>
      </c>
      <c r="N563">
        <v>58.862099999999998</v>
      </c>
      <c r="O563">
        <v>58.862099999999998</v>
      </c>
    </row>
    <row r="564" spans="5:15">
      <c r="E564" s="2">
        <v>42214</v>
      </c>
      <c r="F564">
        <v>57.46</v>
      </c>
      <c r="G564">
        <v>6839892</v>
      </c>
      <c r="M564" s="2">
        <v>42228</v>
      </c>
      <c r="N564">
        <v>58.582300000000004</v>
      </c>
      <c r="O564">
        <v>58.582300000000004</v>
      </c>
    </row>
    <row r="565" spans="5:15">
      <c r="E565" s="2">
        <v>42213</v>
      </c>
      <c r="F565">
        <v>56.734999999999999</v>
      </c>
      <c r="G565">
        <v>6948236</v>
      </c>
      <c r="M565" s="2">
        <v>42227</v>
      </c>
      <c r="N565">
        <v>59.3078</v>
      </c>
      <c r="O565">
        <v>59.3078</v>
      </c>
    </row>
    <row r="566" spans="5:15">
      <c r="E566" s="2">
        <v>42212</v>
      </c>
      <c r="F566">
        <v>55.865000000000002</v>
      </c>
      <c r="G566">
        <v>6648060</v>
      </c>
      <c r="M566" s="2">
        <v>42226</v>
      </c>
      <c r="N566">
        <v>59.774099999999997</v>
      </c>
      <c r="O566">
        <v>59.774099999999997</v>
      </c>
    </row>
    <row r="567" spans="5:15">
      <c r="E567" s="2">
        <v>42209</v>
      </c>
      <c r="F567">
        <v>56.494999999999997</v>
      </c>
      <c r="G567">
        <v>5967242</v>
      </c>
      <c r="M567" s="2">
        <v>42223</v>
      </c>
      <c r="N567">
        <v>59.3337</v>
      </c>
      <c r="O567">
        <v>59.3337</v>
      </c>
    </row>
    <row r="568" spans="5:15">
      <c r="E568" s="2">
        <v>42208</v>
      </c>
      <c r="F568">
        <v>57</v>
      </c>
      <c r="G568">
        <v>6714788</v>
      </c>
      <c r="M568" s="2">
        <v>42222</v>
      </c>
      <c r="N568">
        <v>59.649700000000003</v>
      </c>
      <c r="O568">
        <v>59.649700000000003</v>
      </c>
    </row>
    <row r="569" spans="5:15">
      <c r="E569" s="2">
        <v>42207</v>
      </c>
      <c r="F569">
        <v>57.045000000000002</v>
      </c>
      <c r="G569">
        <v>5954128</v>
      </c>
      <c r="M569" s="2">
        <v>42221</v>
      </c>
      <c r="N569">
        <v>60.494300000000003</v>
      </c>
      <c r="O569">
        <v>60.494300000000003</v>
      </c>
    </row>
    <row r="570" spans="5:15">
      <c r="E570" s="2">
        <v>42206</v>
      </c>
      <c r="F570">
        <v>56.494999999999997</v>
      </c>
      <c r="G570">
        <v>4626320</v>
      </c>
      <c r="M570" s="2">
        <v>42220</v>
      </c>
      <c r="N570">
        <v>59.986499999999999</v>
      </c>
      <c r="O570">
        <v>59.986499999999999</v>
      </c>
    </row>
    <row r="571" spans="5:15">
      <c r="E571" s="2">
        <v>42205</v>
      </c>
      <c r="F571">
        <v>56.564999999999998</v>
      </c>
      <c r="G571">
        <v>5978202</v>
      </c>
      <c r="M571" s="2">
        <v>42219</v>
      </c>
      <c r="N571">
        <v>59.499499999999998</v>
      </c>
      <c r="O571">
        <v>59.499499999999998</v>
      </c>
    </row>
    <row r="572" spans="5:15">
      <c r="E572" s="2">
        <v>42202</v>
      </c>
      <c r="F572">
        <v>56.4</v>
      </c>
      <c r="G572">
        <v>4545314</v>
      </c>
      <c r="M572" s="2">
        <v>42216</v>
      </c>
      <c r="N572">
        <v>59.701500000000003</v>
      </c>
      <c r="O572">
        <v>59.701500000000003</v>
      </c>
    </row>
    <row r="573" spans="5:15">
      <c r="E573" s="2">
        <v>42201</v>
      </c>
      <c r="F573">
        <v>56.17</v>
      </c>
      <c r="G573">
        <v>4335714</v>
      </c>
      <c r="M573" s="2">
        <v>42215</v>
      </c>
      <c r="N573">
        <v>59.592700000000001</v>
      </c>
      <c r="O573">
        <v>59.592700000000001</v>
      </c>
    </row>
    <row r="574" spans="5:15">
      <c r="E574" s="2">
        <v>42200</v>
      </c>
      <c r="F574">
        <v>55.95</v>
      </c>
      <c r="G574">
        <v>5017136</v>
      </c>
      <c r="M574" s="2">
        <v>42214</v>
      </c>
      <c r="N574">
        <v>59.546100000000003</v>
      </c>
      <c r="O574">
        <v>59.546100000000003</v>
      </c>
    </row>
    <row r="575" spans="5:15">
      <c r="E575" s="2">
        <v>42199</v>
      </c>
      <c r="F575">
        <v>56.17</v>
      </c>
      <c r="G575">
        <v>5561468</v>
      </c>
      <c r="M575" s="2">
        <v>42213</v>
      </c>
      <c r="N575">
        <v>58.794800000000002</v>
      </c>
      <c r="O575">
        <v>58.794800000000002</v>
      </c>
    </row>
    <row r="576" spans="5:15">
      <c r="E576" s="2">
        <v>42198</v>
      </c>
      <c r="F576">
        <v>56.204999999999998</v>
      </c>
      <c r="G576">
        <v>5047642</v>
      </c>
      <c r="M576" s="2">
        <v>42212</v>
      </c>
      <c r="N576">
        <v>57.8932</v>
      </c>
      <c r="O576">
        <v>57.8932</v>
      </c>
    </row>
    <row r="577" spans="5:15">
      <c r="E577" s="2">
        <v>42195</v>
      </c>
      <c r="F577">
        <v>55.26</v>
      </c>
      <c r="G577">
        <v>5160156</v>
      </c>
      <c r="M577" s="2">
        <v>42209</v>
      </c>
      <c r="N577">
        <v>58.546100000000003</v>
      </c>
      <c r="O577">
        <v>58.546100000000003</v>
      </c>
    </row>
    <row r="578" spans="5:15">
      <c r="E578" s="2">
        <v>42194</v>
      </c>
      <c r="F578">
        <v>54.72</v>
      </c>
      <c r="G578">
        <v>6168402</v>
      </c>
      <c r="M578" s="2">
        <v>42208</v>
      </c>
      <c r="N578">
        <v>59.069400000000002</v>
      </c>
      <c r="O578">
        <v>59.069400000000002</v>
      </c>
    </row>
    <row r="579" spans="5:15">
      <c r="E579" s="2">
        <v>42193</v>
      </c>
      <c r="F579">
        <v>54.634999999999998</v>
      </c>
      <c r="G579">
        <v>6733634</v>
      </c>
      <c r="M579" s="2">
        <v>42207</v>
      </c>
      <c r="N579">
        <v>59.116</v>
      </c>
      <c r="O579">
        <v>59.116</v>
      </c>
    </row>
    <row r="580" spans="5:15">
      <c r="E580" s="2">
        <v>42192</v>
      </c>
      <c r="F580">
        <v>55.645000000000003</v>
      </c>
      <c r="G580">
        <v>7207070</v>
      </c>
      <c r="M580" s="2">
        <v>42206</v>
      </c>
      <c r="N580">
        <v>58.546100000000003</v>
      </c>
      <c r="O580">
        <v>58.546100000000003</v>
      </c>
    </row>
    <row r="581" spans="5:15">
      <c r="E581" s="2">
        <v>42191</v>
      </c>
      <c r="F581">
        <v>54.92</v>
      </c>
      <c r="G581">
        <v>4991324</v>
      </c>
      <c r="M581" s="2">
        <v>42205</v>
      </c>
      <c r="N581">
        <v>58.618600000000001</v>
      </c>
      <c r="O581">
        <v>58.618600000000001</v>
      </c>
    </row>
    <row r="582" spans="5:15">
      <c r="E582" s="2">
        <v>42187</v>
      </c>
      <c r="F582">
        <v>54.935000000000002</v>
      </c>
      <c r="G582">
        <v>5900022</v>
      </c>
      <c r="M582" s="2">
        <v>42202</v>
      </c>
      <c r="N582">
        <v>58.447600000000001</v>
      </c>
      <c r="O582">
        <v>58.447600000000001</v>
      </c>
    </row>
    <row r="583" spans="5:15">
      <c r="E583" s="2">
        <v>42186</v>
      </c>
      <c r="F583">
        <v>54.715000000000003</v>
      </c>
      <c r="G583">
        <v>5923952</v>
      </c>
      <c r="M583" s="2">
        <v>42201</v>
      </c>
      <c r="N583">
        <v>58.209299999999999</v>
      </c>
      <c r="O583">
        <v>58.209299999999999</v>
      </c>
    </row>
    <row r="584" spans="5:15">
      <c r="E584" s="2">
        <v>42185</v>
      </c>
      <c r="F584">
        <v>54.01</v>
      </c>
      <c r="G584">
        <v>7531108</v>
      </c>
      <c r="M584" s="2">
        <v>42200</v>
      </c>
      <c r="N584">
        <v>57.981299999999997</v>
      </c>
      <c r="O584">
        <v>57.981299999999997</v>
      </c>
    </row>
    <row r="585" spans="5:15">
      <c r="E585" s="2">
        <v>42184</v>
      </c>
      <c r="F585">
        <v>53.835000000000001</v>
      </c>
      <c r="G585">
        <v>9004902</v>
      </c>
      <c r="M585" s="2">
        <v>42199</v>
      </c>
      <c r="N585">
        <v>58.209299999999999</v>
      </c>
      <c r="O585">
        <v>58.209299999999999</v>
      </c>
    </row>
    <row r="586" spans="5:15">
      <c r="E586" s="2">
        <v>42181</v>
      </c>
      <c r="F586">
        <v>54.854999999999997</v>
      </c>
      <c r="G586">
        <v>20287620</v>
      </c>
      <c r="M586" s="2">
        <v>42198</v>
      </c>
      <c r="N586">
        <v>58.2455</v>
      </c>
      <c r="O586">
        <v>58.2455</v>
      </c>
    </row>
    <row r="587" spans="5:15">
      <c r="E587" s="2">
        <v>42180</v>
      </c>
      <c r="F587">
        <v>52.61</v>
      </c>
      <c r="G587">
        <v>10811370</v>
      </c>
      <c r="M587" s="2">
        <v>42195</v>
      </c>
      <c r="N587">
        <v>57.266199999999998</v>
      </c>
      <c r="O587">
        <v>57.266199999999998</v>
      </c>
    </row>
    <row r="588" spans="5:15">
      <c r="E588" s="2">
        <v>42179</v>
      </c>
      <c r="F588">
        <v>53.11</v>
      </c>
      <c r="G588">
        <v>5056198</v>
      </c>
      <c r="M588" s="2">
        <v>42194</v>
      </c>
      <c r="N588">
        <v>56.706600000000002</v>
      </c>
      <c r="O588">
        <v>56.706600000000002</v>
      </c>
    </row>
    <row r="589" spans="5:15">
      <c r="E589" s="2">
        <v>42178</v>
      </c>
      <c r="F589">
        <v>53.6</v>
      </c>
      <c r="G589">
        <v>5934286</v>
      </c>
      <c r="M589" s="2">
        <v>42193</v>
      </c>
      <c r="N589">
        <v>56.618499999999997</v>
      </c>
      <c r="O589">
        <v>56.618499999999997</v>
      </c>
    </row>
    <row r="590" spans="5:15">
      <c r="E590" s="2">
        <v>42177</v>
      </c>
      <c r="F590">
        <v>53.395000000000003</v>
      </c>
      <c r="G590">
        <v>4186666</v>
      </c>
      <c r="M590" s="2">
        <v>42192</v>
      </c>
      <c r="N590">
        <v>57.665199999999999</v>
      </c>
      <c r="O590">
        <v>57.665199999999999</v>
      </c>
    </row>
    <row r="591" spans="5:15">
      <c r="E591" s="2">
        <v>42174</v>
      </c>
      <c r="F591">
        <v>53.265000000000001</v>
      </c>
      <c r="G591">
        <v>7285558</v>
      </c>
      <c r="M591" s="2">
        <v>42191</v>
      </c>
      <c r="N591">
        <v>56.913899999999998</v>
      </c>
      <c r="O591">
        <v>56.913899999999998</v>
      </c>
    </row>
    <row r="592" spans="5:15">
      <c r="E592" s="2">
        <v>42173</v>
      </c>
      <c r="F592">
        <v>53</v>
      </c>
      <c r="G592">
        <v>5690530</v>
      </c>
      <c r="M592" s="2">
        <v>42187</v>
      </c>
      <c r="N592">
        <v>56.929400000000001</v>
      </c>
      <c r="O592">
        <v>56.929400000000001</v>
      </c>
    </row>
    <row r="593" spans="5:15">
      <c r="E593" s="2">
        <v>42172</v>
      </c>
      <c r="F593">
        <v>52.375</v>
      </c>
      <c r="G593">
        <v>4072494</v>
      </c>
      <c r="M593" s="2">
        <v>42186</v>
      </c>
      <c r="N593">
        <v>56.7014</v>
      </c>
      <c r="O593">
        <v>56.7014</v>
      </c>
    </row>
    <row r="594" spans="5:15">
      <c r="E594" s="2">
        <v>42171</v>
      </c>
      <c r="F594">
        <v>52.28</v>
      </c>
      <c r="G594">
        <v>5034098</v>
      </c>
      <c r="M594" s="2">
        <v>42185</v>
      </c>
      <c r="N594">
        <v>55.970799999999997</v>
      </c>
      <c r="O594">
        <v>55.970799999999997</v>
      </c>
    </row>
    <row r="595" spans="5:15">
      <c r="E595" s="2">
        <v>42170</v>
      </c>
      <c r="F595">
        <v>51.674999999999997</v>
      </c>
      <c r="G595">
        <v>4901994</v>
      </c>
      <c r="M595" s="2">
        <v>42184</v>
      </c>
      <c r="N595">
        <v>55.789499999999997</v>
      </c>
      <c r="O595">
        <v>55.789499999999997</v>
      </c>
    </row>
    <row r="596" spans="5:15">
      <c r="E596" s="2">
        <v>42167</v>
      </c>
      <c r="F596">
        <v>51.89</v>
      </c>
      <c r="G596">
        <v>4133038</v>
      </c>
      <c r="M596" s="2">
        <v>42181</v>
      </c>
      <c r="N596">
        <v>56.846499999999999</v>
      </c>
      <c r="O596">
        <v>56.846499999999999</v>
      </c>
    </row>
    <row r="597" spans="5:15">
      <c r="E597" s="2">
        <v>42166</v>
      </c>
      <c r="F597">
        <v>51.94</v>
      </c>
      <c r="G597">
        <v>6178028</v>
      </c>
      <c r="M597" s="2">
        <v>42180</v>
      </c>
      <c r="N597">
        <v>54.52</v>
      </c>
      <c r="O597">
        <v>54.52</v>
      </c>
    </row>
    <row r="598" spans="5:15">
      <c r="E598" s="2">
        <v>42165</v>
      </c>
      <c r="F598">
        <v>51.67</v>
      </c>
      <c r="G598">
        <v>6270398</v>
      </c>
      <c r="M598" s="2">
        <v>42179</v>
      </c>
      <c r="N598">
        <v>55.038200000000003</v>
      </c>
      <c r="O598">
        <v>55.038200000000003</v>
      </c>
    </row>
    <row r="599" spans="5:15">
      <c r="E599" s="2">
        <v>42164</v>
      </c>
      <c r="F599">
        <v>50.674999999999997</v>
      </c>
      <c r="G599">
        <v>3476844</v>
      </c>
      <c r="M599" s="2">
        <v>42178</v>
      </c>
      <c r="N599">
        <v>55.545999999999999</v>
      </c>
      <c r="O599">
        <v>55.545999999999999</v>
      </c>
    </row>
    <row r="600" spans="5:15">
      <c r="E600" s="2">
        <v>42163</v>
      </c>
      <c r="F600">
        <v>50.72</v>
      </c>
      <c r="G600">
        <v>4314090</v>
      </c>
      <c r="M600" s="2">
        <v>42177</v>
      </c>
      <c r="N600">
        <v>55.333500000000001</v>
      </c>
      <c r="O600">
        <v>55.333500000000001</v>
      </c>
    </row>
    <row r="601" spans="5:15">
      <c r="E601" s="2">
        <v>42160</v>
      </c>
      <c r="F601">
        <v>51.015000000000001</v>
      </c>
      <c r="G601">
        <v>3791746</v>
      </c>
      <c r="M601" s="2">
        <v>42174</v>
      </c>
      <c r="N601">
        <v>55.198799999999999</v>
      </c>
      <c r="O601">
        <v>55.198799999999999</v>
      </c>
    </row>
    <row r="602" spans="5:15">
      <c r="E602" s="2">
        <v>42159</v>
      </c>
      <c r="F602">
        <v>50.975000000000001</v>
      </c>
      <c r="G602">
        <v>4467168</v>
      </c>
      <c r="M602" s="2">
        <v>42173</v>
      </c>
      <c r="N602">
        <v>54.924199999999999</v>
      </c>
      <c r="O602">
        <v>54.924199999999999</v>
      </c>
    </row>
    <row r="603" spans="5:15">
      <c r="E603" s="2">
        <v>42158</v>
      </c>
      <c r="F603">
        <v>51.255000000000003</v>
      </c>
      <c r="G603">
        <v>4766704</v>
      </c>
      <c r="M603" s="2">
        <v>42172</v>
      </c>
      <c r="N603">
        <v>54.276499999999999</v>
      </c>
      <c r="O603">
        <v>54.276499999999999</v>
      </c>
    </row>
    <row r="604" spans="5:15">
      <c r="E604" s="2">
        <v>42157</v>
      </c>
      <c r="F604">
        <v>51.055</v>
      </c>
      <c r="G604">
        <v>4974676</v>
      </c>
      <c r="M604" s="2">
        <v>42171</v>
      </c>
      <c r="N604">
        <v>54.177999999999997</v>
      </c>
      <c r="O604">
        <v>54.177999999999997</v>
      </c>
    </row>
    <row r="605" spans="5:15">
      <c r="E605" s="2">
        <v>42156</v>
      </c>
      <c r="F605">
        <v>50.88</v>
      </c>
      <c r="G605">
        <v>4944150</v>
      </c>
      <c r="M605" s="2">
        <v>42170</v>
      </c>
      <c r="N605">
        <v>53.551099999999998</v>
      </c>
      <c r="O605">
        <v>53.551099999999998</v>
      </c>
    </row>
    <row r="606" spans="5:15">
      <c r="E606" s="2">
        <v>42153</v>
      </c>
      <c r="F606">
        <v>50.835000000000001</v>
      </c>
      <c r="G606">
        <v>5562280</v>
      </c>
      <c r="M606" s="2">
        <v>42167</v>
      </c>
      <c r="N606">
        <v>53.773899999999998</v>
      </c>
      <c r="O606">
        <v>53.773899999999998</v>
      </c>
    </row>
    <row r="607" spans="5:15">
      <c r="E607" s="2">
        <v>42152</v>
      </c>
      <c r="F607">
        <v>51.15</v>
      </c>
      <c r="G607">
        <v>5781666</v>
      </c>
      <c r="M607" s="2">
        <v>42166</v>
      </c>
      <c r="N607">
        <v>53.825699999999998</v>
      </c>
      <c r="O607">
        <v>53.825699999999998</v>
      </c>
    </row>
    <row r="608" spans="5:15">
      <c r="E608" s="2">
        <v>42151</v>
      </c>
      <c r="F608">
        <v>51.42</v>
      </c>
      <c r="G608">
        <v>8896744</v>
      </c>
      <c r="M608" s="2">
        <v>42165</v>
      </c>
      <c r="N608">
        <v>53.545900000000003</v>
      </c>
      <c r="O608">
        <v>53.545900000000003</v>
      </c>
    </row>
    <row r="609" spans="5:15">
      <c r="E609" s="2">
        <v>42150</v>
      </c>
      <c r="F609">
        <v>51.71</v>
      </c>
      <c r="G609">
        <v>5691368</v>
      </c>
      <c r="M609" s="2">
        <v>42164</v>
      </c>
      <c r="N609">
        <v>52.514800000000001</v>
      </c>
      <c r="O609">
        <v>52.514800000000001</v>
      </c>
    </row>
    <row r="610" spans="5:15">
      <c r="E610" s="2">
        <v>42146</v>
      </c>
      <c r="F610">
        <v>52.215000000000003</v>
      </c>
      <c r="G610">
        <v>5654776</v>
      </c>
      <c r="M610" s="2">
        <v>42163</v>
      </c>
      <c r="N610">
        <v>52.561399999999999</v>
      </c>
      <c r="O610">
        <v>52.561399999999999</v>
      </c>
    </row>
    <row r="611" spans="5:15">
      <c r="E611" s="2">
        <v>42145</v>
      </c>
      <c r="F611">
        <v>52.2</v>
      </c>
      <c r="G611">
        <v>5455100</v>
      </c>
      <c r="M611" s="2">
        <v>42160</v>
      </c>
      <c r="N611">
        <v>52.867100000000001</v>
      </c>
      <c r="O611">
        <v>52.867100000000001</v>
      </c>
    </row>
    <row r="612" spans="5:15">
      <c r="E612" s="2">
        <v>42144</v>
      </c>
      <c r="F612">
        <v>52.305</v>
      </c>
      <c r="G612">
        <v>5400302</v>
      </c>
      <c r="M612" s="2">
        <v>42159</v>
      </c>
      <c r="N612">
        <v>52.825699999999998</v>
      </c>
      <c r="O612">
        <v>52.825699999999998</v>
      </c>
    </row>
    <row r="613" spans="5:15">
      <c r="E613" s="2">
        <v>42143</v>
      </c>
      <c r="F613">
        <v>52.32</v>
      </c>
      <c r="G613">
        <v>5971288</v>
      </c>
      <c r="M613" s="2">
        <v>42158</v>
      </c>
      <c r="N613">
        <v>53.1158</v>
      </c>
      <c r="O613">
        <v>53.1158</v>
      </c>
    </row>
    <row r="614" spans="5:15">
      <c r="E614" s="2">
        <v>42142</v>
      </c>
      <c r="F614">
        <v>52.375</v>
      </c>
      <c r="G614">
        <v>5045232</v>
      </c>
      <c r="M614" s="2">
        <v>42157</v>
      </c>
      <c r="N614">
        <v>52.9086</v>
      </c>
      <c r="O614">
        <v>52.9086</v>
      </c>
    </row>
    <row r="615" spans="5:15">
      <c r="E615" s="2">
        <v>42139</v>
      </c>
      <c r="F615">
        <v>52.49</v>
      </c>
      <c r="G615">
        <v>7865296</v>
      </c>
      <c r="M615" s="2">
        <v>42156</v>
      </c>
      <c r="N615">
        <v>52.727200000000003</v>
      </c>
      <c r="O615">
        <v>52.727200000000003</v>
      </c>
    </row>
    <row r="616" spans="5:15">
      <c r="E616" s="2">
        <v>42138</v>
      </c>
      <c r="F616">
        <v>51.72</v>
      </c>
      <c r="G616">
        <v>5433374</v>
      </c>
      <c r="M616" s="2">
        <v>42153</v>
      </c>
      <c r="N616">
        <v>52.680599999999998</v>
      </c>
      <c r="O616">
        <v>52.680599999999998</v>
      </c>
    </row>
    <row r="617" spans="5:15">
      <c r="E617" s="2">
        <v>42137</v>
      </c>
      <c r="F617">
        <v>51.08</v>
      </c>
      <c r="G617">
        <v>4508286</v>
      </c>
      <c r="M617" s="2">
        <v>42152</v>
      </c>
      <c r="N617">
        <v>53.006999999999998</v>
      </c>
      <c r="O617">
        <v>53.006999999999998</v>
      </c>
    </row>
    <row r="618" spans="5:15">
      <c r="E618" s="2">
        <v>42136</v>
      </c>
      <c r="F618">
        <v>51.185000000000002</v>
      </c>
      <c r="G618">
        <v>4676460</v>
      </c>
      <c r="M618" s="2">
        <v>42151</v>
      </c>
      <c r="N618">
        <v>53.141399999999997</v>
      </c>
      <c r="O618">
        <v>53.141399999999997</v>
      </c>
    </row>
    <row r="619" spans="5:15">
      <c r="E619" s="2">
        <v>42135</v>
      </c>
      <c r="F619">
        <v>51.395000000000003</v>
      </c>
      <c r="G619">
        <v>5339820</v>
      </c>
      <c r="M619" s="2">
        <v>42150</v>
      </c>
      <c r="N619">
        <v>53.441099999999999</v>
      </c>
      <c r="O619">
        <v>53.441099999999999</v>
      </c>
    </row>
    <row r="620" spans="5:15">
      <c r="E620" s="2">
        <v>42132</v>
      </c>
      <c r="F620">
        <v>51.22</v>
      </c>
      <c r="G620">
        <v>5534780</v>
      </c>
      <c r="M620" s="2">
        <v>42146</v>
      </c>
      <c r="N620">
        <v>53.963000000000001</v>
      </c>
      <c r="O620">
        <v>53.963000000000001</v>
      </c>
    </row>
    <row r="621" spans="5:15">
      <c r="E621" s="2">
        <v>42131</v>
      </c>
      <c r="F621">
        <v>50.725000000000001</v>
      </c>
      <c r="G621">
        <v>5526328</v>
      </c>
      <c r="M621" s="2">
        <v>42145</v>
      </c>
      <c r="N621">
        <v>53.947499999999998</v>
      </c>
      <c r="O621">
        <v>53.947499999999998</v>
      </c>
    </row>
    <row r="622" spans="5:15">
      <c r="E622" s="2">
        <v>42130</v>
      </c>
      <c r="F622">
        <v>50.11</v>
      </c>
      <c r="G622">
        <v>5396500</v>
      </c>
      <c r="M622" s="2">
        <v>42144</v>
      </c>
      <c r="N622">
        <v>54.055999999999997</v>
      </c>
      <c r="O622">
        <v>54.055999999999997</v>
      </c>
    </row>
    <row r="623" spans="5:15">
      <c r="E623" s="2">
        <v>42129</v>
      </c>
      <c r="F623">
        <v>50.21</v>
      </c>
      <c r="G623">
        <v>5104504</v>
      </c>
      <c r="M623" s="2">
        <v>42143</v>
      </c>
      <c r="N623">
        <v>54.0715</v>
      </c>
      <c r="O623">
        <v>54.0715</v>
      </c>
    </row>
    <row r="624" spans="5:15">
      <c r="E624" s="2">
        <v>42128</v>
      </c>
      <c r="F624">
        <v>50.414999999999999</v>
      </c>
      <c r="G624">
        <v>4557780</v>
      </c>
      <c r="M624" s="2">
        <v>42142</v>
      </c>
      <c r="N624">
        <v>54.128300000000003</v>
      </c>
      <c r="O624">
        <v>54.128300000000003</v>
      </c>
    </row>
    <row r="625" spans="5:15">
      <c r="E625" s="2">
        <v>42125</v>
      </c>
      <c r="F625">
        <v>50.39</v>
      </c>
      <c r="G625">
        <v>6683498</v>
      </c>
      <c r="M625" s="2">
        <v>42139</v>
      </c>
      <c r="N625">
        <v>54.247199999999999</v>
      </c>
      <c r="O625">
        <v>54.247199999999999</v>
      </c>
    </row>
    <row r="626" spans="5:15">
      <c r="E626" s="2">
        <v>42124</v>
      </c>
      <c r="F626">
        <v>49.42</v>
      </c>
      <c r="G626">
        <v>6496960</v>
      </c>
      <c r="M626" s="2">
        <v>42138</v>
      </c>
      <c r="N626">
        <v>53.4514</v>
      </c>
      <c r="O626">
        <v>53.4514</v>
      </c>
    </row>
    <row r="627" spans="5:15">
      <c r="E627" s="2">
        <v>42123</v>
      </c>
      <c r="F627">
        <v>50.085000000000001</v>
      </c>
      <c r="G627">
        <v>5395124</v>
      </c>
      <c r="M627" s="2">
        <v>42137</v>
      </c>
      <c r="N627">
        <v>52.79</v>
      </c>
      <c r="O627">
        <v>52.79</v>
      </c>
    </row>
    <row r="628" spans="5:15">
      <c r="E628" s="2">
        <v>42122</v>
      </c>
      <c r="F628">
        <v>49.93</v>
      </c>
      <c r="G628">
        <v>6031624</v>
      </c>
      <c r="M628" s="2">
        <v>42136</v>
      </c>
      <c r="N628">
        <v>52.898499999999999</v>
      </c>
      <c r="O628">
        <v>52.898499999999999</v>
      </c>
    </row>
    <row r="629" spans="5:15">
      <c r="E629" s="2">
        <v>42121</v>
      </c>
      <c r="F629">
        <v>50.47</v>
      </c>
      <c r="G629">
        <v>5158348</v>
      </c>
      <c r="M629" s="2">
        <v>42135</v>
      </c>
      <c r="N629">
        <v>53.115499999999997</v>
      </c>
      <c r="O629">
        <v>53.115499999999997</v>
      </c>
    </row>
    <row r="630" spans="5:15">
      <c r="E630" s="2">
        <v>42118</v>
      </c>
      <c r="F630">
        <v>50.475000000000001</v>
      </c>
      <c r="G630">
        <v>4333902</v>
      </c>
      <c r="M630" s="2">
        <v>42132</v>
      </c>
      <c r="N630">
        <v>52.934699999999999</v>
      </c>
      <c r="O630">
        <v>52.934699999999999</v>
      </c>
    </row>
    <row r="631" spans="5:15">
      <c r="E631" s="2">
        <v>42117</v>
      </c>
      <c r="F631">
        <v>50.555</v>
      </c>
      <c r="G631">
        <v>4668126</v>
      </c>
      <c r="M631" s="2">
        <v>42131</v>
      </c>
      <c r="N631">
        <v>52.423099999999998</v>
      </c>
      <c r="O631">
        <v>52.423099999999998</v>
      </c>
    </row>
    <row r="632" spans="5:15">
      <c r="E632" s="2">
        <v>42116</v>
      </c>
      <c r="F632">
        <v>50.075000000000003</v>
      </c>
      <c r="G632">
        <v>3905790</v>
      </c>
      <c r="M632" s="2">
        <v>42130</v>
      </c>
      <c r="N632">
        <v>51.787500000000001</v>
      </c>
      <c r="O632">
        <v>51.787500000000001</v>
      </c>
    </row>
    <row r="633" spans="5:15">
      <c r="E633" s="2">
        <v>42115</v>
      </c>
      <c r="F633">
        <v>50.145000000000003</v>
      </c>
      <c r="G633">
        <v>5125302</v>
      </c>
      <c r="M633" s="2">
        <v>42129</v>
      </c>
      <c r="N633">
        <v>51.890900000000002</v>
      </c>
      <c r="O633">
        <v>51.890900000000002</v>
      </c>
    </row>
    <row r="634" spans="5:15">
      <c r="E634" s="2">
        <v>42114</v>
      </c>
      <c r="F634">
        <v>49.994999999999997</v>
      </c>
      <c r="G634">
        <v>6208572</v>
      </c>
      <c r="M634" s="2">
        <v>42128</v>
      </c>
      <c r="N634">
        <v>52.102699999999999</v>
      </c>
      <c r="O634">
        <v>52.102699999999999</v>
      </c>
    </row>
    <row r="635" spans="5:15">
      <c r="E635" s="2">
        <v>42111</v>
      </c>
      <c r="F635">
        <v>49.274999999999999</v>
      </c>
      <c r="G635">
        <v>6049532</v>
      </c>
      <c r="M635" s="2">
        <v>42125</v>
      </c>
      <c r="N635">
        <v>52.076900000000002</v>
      </c>
      <c r="O635">
        <v>52.076900000000002</v>
      </c>
    </row>
    <row r="636" spans="5:15">
      <c r="E636" s="2">
        <v>42110</v>
      </c>
      <c r="F636">
        <v>49.95</v>
      </c>
      <c r="G636">
        <v>4103938</v>
      </c>
      <c r="M636" s="2">
        <v>42124</v>
      </c>
      <c r="N636">
        <v>51.074399999999997</v>
      </c>
      <c r="O636">
        <v>51.074399999999997</v>
      </c>
    </row>
    <row r="637" spans="5:15">
      <c r="E637" s="2">
        <v>42109</v>
      </c>
      <c r="F637">
        <v>49.914999999999999</v>
      </c>
      <c r="G637">
        <v>5716284</v>
      </c>
      <c r="M637" s="2">
        <v>42123</v>
      </c>
      <c r="N637">
        <v>51.761699999999998</v>
      </c>
      <c r="O637">
        <v>51.761699999999998</v>
      </c>
    </row>
    <row r="638" spans="5:15">
      <c r="E638" s="2">
        <v>42108</v>
      </c>
      <c r="F638">
        <v>49.765000000000001</v>
      </c>
      <c r="G638">
        <v>4770844</v>
      </c>
      <c r="M638" s="2">
        <v>42122</v>
      </c>
      <c r="N638">
        <v>51.601500000000001</v>
      </c>
      <c r="O638">
        <v>51.601500000000001</v>
      </c>
    </row>
    <row r="639" spans="5:15">
      <c r="E639" s="2">
        <v>42107</v>
      </c>
      <c r="F639">
        <v>49.634999999999998</v>
      </c>
      <c r="G639">
        <v>7313732</v>
      </c>
      <c r="M639" s="2">
        <v>42121</v>
      </c>
      <c r="N639">
        <v>52.159599999999998</v>
      </c>
      <c r="O639">
        <v>52.159599999999998</v>
      </c>
    </row>
    <row r="640" spans="5:15">
      <c r="E640" s="2">
        <v>42104</v>
      </c>
      <c r="F640">
        <v>49.984999999999999</v>
      </c>
      <c r="G640">
        <v>5918122</v>
      </c>
      <c r="M640" s="2">
        <v>42118</v>
      </c>
      <c r="N640">
        <v>52.164700000000003</v>
      </c>
      <c r="O640">
        <v>52.164700000000003</v>
      </c>
    </row>
    <row r="641" spans="5:15">
      <c r="E641" s="2">
        <v>42103</v>
      </c>
      <c r="F641">
        <v>50.36</v>
      </c>
      <c r="G641">
        <v>5300988</v>
      </c>
      <c r="M641" s="2">
        <v>42117</v>
      </c>
      <c r="N641">
        <v>52.247399999999999</v>
      </c>
      <c r="O641">
        <v>52.247399999999999</v>
      </c>
    </row>
    <row r="642" spans="5:15">
      <c r="E642" s="2">
        <v>42102</v>
      </c>
      <c r="F642">
        <v>50.42</v>
      </c>
      <c r="G642">
        <v>6522368</v>
      </c>
      <c r="M642" s="2">
        <v>42116</v>
      </c>
      <c r="N642">
        <v>51.751300000000001</v>
      </c>
      <c r="O642">
        <v>51.751300000000001</v>
      </c>
    </row>
    <row r="643" spans="5:15">
      <c r="E643" s="2">
        <v>42101</v>
      </c>
      <c r="F643">
        <v>49.805</v>
      </c>
      <c r="G643">
        <v>3993638</v>
      </c>
      <c r="M643" s="2">
        <v>42115</v>
      </c>
      <c r="N643">
        <v>51.823700000000002</v>
      </c>
      <c r="O643">
        <v>51.823700000000002</v>
      </c>
    </row>
    <row r="644" spans="5:15">
      <c r="E644" s="2">
        <v>42100</v>
      </c>
      <c r="F644">
        <v>49.865000000000002</v>
      </c>
      <c r="G644">
        <v>5027514</v>
      </c>
      <c r="M644" s="2">
        <v>42114</v>
      </c>
      <c r="N644">
        <v>51.668700000000001</v>
      </c>
      <c r="O644">
        <v>51.668700000000001</v>
      </c>
    </row>
    <row r="645" spans="5:15">
      <c r="E645" s="2">
        <v>42096</v>
      </c>
      <c r="F645">
        <v>49.83</v>
      </c>
      <c r="G645">
        <v>3840442</v>
      </c>
      <c r="M645" s="2">
        <v>42111</v>
      </c>
      <c r="N645">
        <v>50.924599999999998</v>
      </c>
      <c r="O645">
        <v>50.924599999999998</v>
      </c>
    </row>
    <row r="646" spans="5:15">
      <c r="E646" s="2">
        <v>42095</v>
      </c>
      <c r="F646">
        <v>49.774999999999999</v>
      </c>
      <c r="G646">
        <v>6605356</v>
      </c>
      <c r="M646" s="2">
        <v>42110</v>
      </c>
      <c r="N646">
        <v>51.622199999999999</v>
      </c>
      <c r="O646">
        <v>51.622199999999999</v>
      </c>
    </row>
    <row r="647" spans="5:15">
      <c r="E647" s="2">
        <v>42094</v>
      </c>
      <c r="F647">
        <v>50.164999999999999</v>
      </c>
      <c r="G647">
        <v>6309234</v>
      </c>
      <c r="M647" s="2">
        <v>42109</v>
      </c>
      <c r="N647">
        <v>51.585999999999999</v>
      </c>
      <c r="O647">
        <v>51.585999999999999</v>
      </c>
    </row>
    <row r="648" spans="5:15">
      <c r="E648" s="2">
        <v>42093</v>
      </c>
      <c r="F648">
        <v>50.445</v>
      </c>
      <c r="G648">
        <v>5435458</v>
      </c>
      <c r="M648" s="2">
        <v>42108</v>
      </c>
      <c r="N648">
        <v>51.430999999999997</v>
      </c>
      <c r="O648">
        <v>51.430999999999997</v>
      </c>
    </row>
    <row r="649" spans="5:15">
      <c r="E649" s="2">
        <v>42090</v>
      </c>
      <c r="F649">
        <v>49.94</v>
      </c>
      <c r="G649">
        <v>4403500</v>
      </c>
      <c r="M649" s="2">
        <v>42107</v>
      </c>
      <c r="N649">
        <v>51.296599999999998</v>
      </c>
      <c r="O649">
        <v>51.296599999999998</v>
      </c>
    </row>
    <row r="650" spans="5:15">
      <c r="E650" s="2">
        <v>42089</v>
      </c>
      <c r="F650">
        <v>49.664999999999999</v>
      </c>
      <c r="G650">
        <v>9479732</v>
      </c>
      <c r="M650" s="2">
        <v>42104</v>
      </c>
      <c r="N650">
        <v>51.658299999999997</v>
      </c>
      <c r="O650">
        <v>51.658299999999997</v>
      </c>
    </row>
    <row r="651" spans="5:15">
      <c r="E651" s="2">
        <v>42088</v>
      </c>
      <c r="F651">
        <v>49.494999999999997</v>
      </c>
      <c r="G651">
        <v>8133494</v>
      </c>
      <c r="M651" s="2">
        <v>42103</v>
      </c>
      <c r="N651">
        <v>52.045900000000003</v>
      </c>
      <c r="O651">
        <v>52.045900000000003</v>
      </c>
    </row>
    <row r="652" spans="5:15">
      <c r="E652" s="2">
        <v>42087</v>
      </c>
      <c r="F652">
        <v>50.325000000000003</v>
      </c>
      <c r="G652">
        <v>7598814</v>
      </c>
      <c r="M652" s="2">
        <v>42102</v>
      </c>
      <c r="N652">
        <v>52.107900000000001</v>
      </c>
      <c r="O652">
        <v>52.107900000000001</v>
      </c>
    </row>
    <row r="653" spans="5:15">
      <c r="E653" s="2">
        <v>42086</v>
      </c>
      <c r="F653">
        <v>50.73</v>
      </c>
      <c r="G653">
        <v>10471888</v>
      </c>
      <c r="M653" s="2">
        <v>42101</v>
      </c>
      <c r="N653">
        <v>51.472299999999997</v>
      </c>
      <c r="O653">
        <v>51.472299999999997</v>
      </c>
    </row>
    <row r="654" spans="5:15">
      <c r="E654" s="2">
        <v>42083</v>
      </c>
      <c r="F654">
        <v>50.99</v>
      </c>
      <c r="G654">
        <v>29779820</v>
      </c>
      <c r="M654" s="2">
        <v>42100</v>
      </c>
      <c r="N654">
        <v>51.534300000000002</v>
      </c>
      <c r="O654">
        <v>51.534300000000002</v>
      </c>
    </row>
    <row r="655" spans="5:15">
      <c r="E655" s="2">
        <v>42082</v>
      </c>
      <c r="F655">
        <v>49.16</v>
      </c>
      <c r="G655">
        <v>13536086</v>
      </c>
      <c r="M655" s="2">
        <v>42096</v>
      </c>
      <c r="N655">
        <v>51.498100000000001</v>
      </c>
      <c r="O655">
        <v>51.498100000000001</v>
      </c>
    </row>
    <row r="656" spans="5:15">
      <c r="E656" s="2">
        <v>42081</v>
      </c>
      <c r="F656">
        <v>48.755000000000003</v>
      </c>
      <c r="G656">
        <v>8855660</v>
      </c>
      <c r="M656" s="2">
        <v>42095</v>
      </c>
      <c r="N656">
        <v>51.441299999999998</v>
      </c>
      <c r="O656">
        <v>51.441299999999998</v>
      </c>
    </row>
    <row r="657" spans="5:15">
      <c r="E657" s="2">
        <v>42080</v>
      </c>
      <c r="F657">
        <v>48.27</v>
      </c>
      <c r="G657">
        <v>6408236</v>
      </c>
      <c r="M657" s="2">
        <v>42094</v>
      </c>
      <c r="N657">
        <v>51.8444</v>
      </c>
      <c r="O657">
        <v>51.8444</v>
      </c>
    </row>
    <row r="658" spans="5:15">
      <c r="E658" s="2">
        <v>42079</v>
      </c>
      <c r="F658">
        <v>48.22</v>
      </c>
      <c r="G658">
        <v>8497008</v>
      </c>
      <c r="M658" s="2">
        <v>42093</v>
      </c>
      <c r="N658">
        <v>52.133699999999997</v>
      </c>
      <c r="O658">
        <v>52.133699999999997</v>
      </c>
    </row>
    <row r="659" spans="5:15">
      <c r="E659" s="2">
        <v>42076</v>
      </c>
      <c r="F659">
        <v>47.905000000000001</v>
      </c>
      <c r="G659">
        <v>7396106</v>
      </c>
      <c r="M659" s="2">
        <v>42090</v>
      </c>
      <c r="N659">
        <v>51.611800000000002</v>
      </c>
      <c r="O659">
        <v>51.611800000000002</v>
      </c>
    </row>
    <row r="660" spans="5:15">
      <c r="E660" s="2">
        <v>42075</v>
      </c>
      <c r="F660">
        <v>48.52</v>
      </c>
      <c r="G660">
        <v>5809796</v>
      </c>
      <c r="M660" s="2">
        <v>42089</v>
      </c>
      <c r="N660">
        <v>51.327599999999997</v>
      </c>
      <c r="O660">
        <v>51.327599999999997</v>
      </c>
    </row>
    <row r="661" spans="5:15">
      <c r="E661" s="2">
        <v>42074</v>
      </c>
      <c r="F661">
        <v>47.67</v>
      </c>
      <c r="G661">
        <v>7484130</v>
      </c>
      <c r="M661" s="2">
        <v>42088</v>
      </c>
      <c r="N661">
        <v>51.151899999999998</v>
      </c>
      <c r="O661">
        <v>51.151899999999998</v>
      </c>
    </row>
    <row r="662" spans="5:15">
      <c r="E662" s="2">
        <v>42073</v>
      </c>
      <c r="F662">
        <v>48.255000000000003</v>
      </c>
      <c r="G662">
        <v>7095986</v>
      </c>
      <c r="M662" s="2">
        <v>42087</v>
      </c>
      <c r="N662">
        <v>52.009700000000002</v>
      </c>
      <c r="O662">
        <v>52.009700000000002</v>
      </c>
    </row>
    <row r="663" spans="5:15">
      <c r="E663" s="2">
        <v>42072</v>
      </c>
      <c r="F663">
        <v>48.715000000000003</v>
      </c>
      <c r="G663">
        <v>5938868</v>
      </c>
      <c r="M663" s="2">
        <v>42086</v>
      </c>
      <c r="N663">
        <v>52.4283</v>
      </c>
      <c r="O663">
        <v>52.4283</v>
      </c>
    </row>
    <row r="664" spans="5:15">
      <c r="E664" s="2">
        <v>42069</v>
      </c>
      <c r="F664">
        <v>48.454999999999998</v>
      </c>
      <c r="G664">
        <v>7174696</v>
      </c>
      <c r="M664" s="2">
        <v>42083</v>
      </c>
      <c r="N664">
        <v>52.697000000000003</v>
      </c>
      <c r="O664">
        <v>52.697000000000003</v>
      </c>
    </row>
    <row r="665" spans="5:15">
      <c r="E665" s="2">
        <v>42068</v>
      </c>
      <c r="F665">
        <v>49.23</v>
      </c>
      <c r="G665">
        <v>6633694</v>
      </c>
      <c r="M665" s="2">
        <v>42082</v>
      </c>
      <c r="N665">
        <v>50.805700000000002</v>
      </c>
      <c r="O665">
        <v>50.805700000000002</v>
      </c>
    </row>
    <row r="666" spans="5:15">
      <c r="E666" s="2">
        <v>42067</v>
      </c>
      <c r="F666">
        <v>48.76</v>
      </c>
      <c r="G666">
        <v>4853074</v>
      </c>
      <c r="M666" s="2">
        <v>42081</v>
      </c>
      <c r="N666">
        <v>50.3872</v>
      </c>
      <c r="O666">
        <v>50.3872</v>
      </c>
    </row>
    <row r="667" spans="5:15">
      <c r="E667" s="2">
        <v>42066</v>
      </c>
      <c r="F667">
        <v>48.984999999999999</v>
      </c>
      <c r="G667">
        <v>7038466</v>
      </c>
      <c r="M667" s="2">
        <v>42080</v>
      </c>
      <c r="N667">
        <v>49.885899999999999</v>
      </c>
      <c r="O667">
        <v>49.885899999999999</v>
      </c>
    </row>
    <row r="668" spans="5:15">
      <c r="E668" s="2">
        <v>42065</v>
      </c>
      <c r="F668">
        <v>49.375</v>
      </c>
      <c r="G668">
        <v>11024948</v>
      </c>
      <c r="M668" s="2">
        <v>42079</v>
      </c>
      <c r="N668">
        <v>49.834200000000003</v>
      </c>
      <c r="O668">
        <v>49.834200000000003</v>
      </c>
    </row>
    <row r="669" spans="5:15">
      <c r="E669" s="2">
        <v>42062</v>
      </c>
      <c r="F669">
        <v>48.56</v>
      </c>
      <c r="G669">
        <v>7118676</v>
      </c>
      <c r="M669" s="2">
        <v>42076</v>
      </c>
      <c r="N669">
        <v>49.508699999999997</v>
      </c>
      <c r="O669">
        <v>49.508699999999997</v>
      </c>
    </row>
    <row r="670" spans="5:15">
      <c r="E670" s="2">
        <v>42061</v>
      </c>
      <c r="F670">
        <v>48.494999999999997</v>
      </c>
      <c r="G670">
        <v>5934942</v>
      </c>
      <c r="M670" s="2">
        <v>42075</v>
      </c>
      <c r="N670">
        <v>50.144300000000001</v>
      </c>
      <c r="O670">
        <v>50.144300000000001</v>
      </c>
    </row>
    <row r="671" spans="5:15">
      <c r="E671" s="2">
        <v>42060</v>
      </c>
      <c r="F671">
        <v>48.41</v>
      </c>
      <c r="G671">
        <v>7053554</v>
      </c>
      <c r="M671" s="2">
        <v>42074</v>
      </c>
      <c r="N671">
        <v>49.265799999999999</v>
      </c>
      <c r="O671">
        <v>49.265799999999999</v>
      </c>
    </row>
    <row r="672" spans="5:15">
      <c r="E672" s="2">
        <v>42059</v>
      </c>
      <c r="F672">
        <v>47.71</v>
      </c>
      <c r="G672">
        <v>5239428</v>
      </c>
      <c r="M672" s="2">
        <v>42073</v>
      </c>
      <c r="N672">
        <v>49.870399999999997</v>
      </c>
      <c r="O672">
        <v>49.870399999999997</v>
      </c>
    </row>
    <row r="673" spans="5:15">
      <c r="E673" s="2">
        <v>42058</v>
      </c>
      <c r="F673">
        <v>47.505000000000003</v>
      </c>
      <c r="G673">
        <v>4622226</v>
      </c>
      <c r="M673" s="2">
        <v>42072</v>
      </c>
      <c r="N673">
        <v>50.345799999999997</v>
      </c>
      <c r="O673">
        <v>50.345799999999997</v>
      </c>
    </row>
    <row r="674" spans="5:15">
      <c r="E674" s="2">
        <v>42055</v>
      </c>
      <c r="F674">
        <v>47.465000000000003</v>
      </c>
      <c r="G674">
        <v>7397950</v>
      </c>
      <c r="M674" s="2">
        <v>42069</v>
      </c>
      <c r="N674">
        <v>50.077100000000002</v>
      </c>
      <c r="O674">
        <v>50.077100000000002</v>
      </c>
    </row>
    <row r="675" spans="5:15">
      <c r="E675" s="2">
        <v>42054</v>
      </c>
      <c r="F675">
        <v>46.85</v>
      </c>
      <c r="G675">
        <v>6605232</v>
      </c>
      <c r="M675" s="2">
        <v>42068</v>
      </c>
      <c r="N675">
        <v>50.878100000000003</v>
      </c>
      <c r="O675">
        <v>50.878100000000003</v>
      </c>
    </row>
    <row r="676" spans="5:15">
      <c r="E676" s="2">
        <v>42053</v>
      </c>
      <c r="F676">
        <v>46.81</v>
      </c>
      <c r="G676">
        <v>8143716</v>
      </c>
      <c r="M676" s="2">
        <v>42067</v>
      </c>
      <c r="N676">
        <v>50.392299999999999</v>
      </c>
      <c r="O676">
        <v>50.392299999999999</v>
      </c>
    </row>
    <row r="677" spans="5:15">
      <c r="E677" s="2">
        <v>42052</v>
      </c>
      <c r="F677">
        <v>45.93</v>
      </c>
      <c r="G677">
        <v>7370956</v>
      </c>
      <c r="M677" s="2">
        <v>42066</v>
      </c>
      <c r="N677">
        <v>50.624899999999997</v>
      </c>
      <c r="O677">
        <v>50.624899999999997</v>
      </c>
    </row>
    <row r="678" spans="5:15">
      <c r="E678" s="2">
        <v>42048</v>
      </c>
      <c r="F678">
        <v>46.02</v>
      </c>
      <c r="G678">
        <v>7695562</v>
      </c>
      <c r="M678" s="2">
        <v>42065</v>
      </c>
      <c r="N678">
        <v>51.027900000000002</v>
      </c>
      <c r="O678">
        <v>51.027900000000002</v>
      </c>
    </row>
    <row r="679" spans="5:15">
      <c r="E679" s="2">
        <v>42047</v>
      </c>
      <c r="F679">
        <v>46</v>
      </c>
      <c r="G679">
        <v>11855786</v>
      </c>
      <c r="M679" s="2">
        <v>42062</v>
      </c>
      <c r="N679">
        <v>50.185600000000001</v>
      </c>
      <c r="O679">
        <v>50.185600000000001</v>
      </c>
    </row>
    <row r="680" spans="5:15">
      <c r="E680" s="2">
        <v>42046</v>
      </c>
      <c r="F680">
        <v>45.655000000000001</v>
      </c>
      <c r="G680">
        <v>8540992</v>
      </c>
      <c r="M680" s="2">
        <v>42061</v>
      </c>
      <c r="N680">
        <v>50.118400000000001</v>
      </c>
      <c r="O680">
        <v>50.118400000000001</v>
      </c>
    </row>
    <row r="681" spans="5:15">
      <c r="E681" s="2">
        <v>42045</v>
      </c>
      <c r="F681">
        <v>46.375</v>
      </c>
      <c r="G681">
        <v>7694606</v>
      </c>
      <c r="M681" s="2">
        <v>42060</v>
      </c>
      <c r="N681">
        <v>49.886600000000001</v>
      </c>
      <c r="O681">
        <v>49.886600000000001</v>
      </c>
    </row>
    <row r="682" spans="5:15">
      <c r="E682" s="2">
        <v>42044</v>
      </c>
      <c r="F682">
        <v>45.585000000000001</v>
      </c>
      <c r="G682">
        <v>7339396</v>
      </c>
      <c r="M682" s="2">
        <v>42059</v>
      </c>
      <c r="N682">
        <v>49.165199999999999</v>
      </c>
      <c r="O682">
        <v>49.165199999999999</v>
      </c>
    </row>
    <row r="683" spans="5:15">
      <c r="E683" s="2">
        <v>42041</v>
      </c>
      <c r="F683">
        <v>45.895000000000003</v>
      </c>
      <c r="G683">
        <v>7381798</v>
      </c>
      <c r="M683" s="2">
        <v>42058</v>
      </c>
      <c r="N683">
        <v>48.954000000000001</v>
      </c>
      <c r="O683">
        <v>48.954000000000001</v>
      </c>
    </row>
    <row r="684" spans="5:15">
      <c r="E684" s="2">
        <v>42040</v>
      </c>
      <c r="F684">
        <v>46.67</v>
      </c>
      <c r="G684">
        <v>5754348</v>
      </c>
      <c r="M684" s="2">
        <v>42055</v>
      </c>
      <c r="N684">
        <v>48.912799999999997</v>
      </c>
      <c r="O684">
        <v>48.912799999999997</v>
      </c>
    </row>
    <row r="685" spans="5:15">
      <c r="E685" s="2">
        <v>42039</v>
      </c>
      <c r="F685">
        <v>46.27</v>
      </c>
      <c r="G685">
        <v>7187314</v>
      </c>
      <c r="M685" s="2">
        <v>42054</v>
      </c>
      <c r="N685">
        <v>48.279000000000003</v>
      </c>
      <c r="O685">
        <v>48.279000000000003</v>
      </c>
    </row>
    <row r="686" spans="5:15">
      <c r="E686" s="2">
        <v>42038</v>
      </c>
      <c r="F686">
        <v>46.674999999999997</v>
      </c>
      <c r="G686">
        <v>7940116</v>
      </c>
      <c r="M686" s="2">
        <v>42053</v>
      </c>
      <c r="N686">
        <v>48.2378</v>
      </c>
      <c r="O686">
        <v>48.2378</v>
      </c>
    </row>
    <row r="687" spans="5:15">
      <c r="E687" s="2">
        <v>42037</v>
      </c>
      <c r="F687">
        <v>45.96</v>
      </c>
      <c r="G687">
        <v>8056556</v>
      </c>
      <c r="M687" s="2">
        <v>42052</v>
      </c>
      <c r="N687">
        <v>47.3309</v>
      </c>
      <c r="O687">
        <v>47.3309</v>
      </c>
    </row>
    <row r="688" spans="5:15">
      <c r="E688" s="2">
        <v>42034</v>
      </c>
      <c r="F688">
        <v>46.125</v>
      </c>
      <c r="G688">
        <v>8106318</v>
      </c>
      <c r="M688" s="2">
        <v>42048</v>
      </c>
      <c r="N688">
        <v>47.423699999999997</v>
      </c>
      <c r="O688">
        <v>47.423699999999997</v>
      </c>
    </row>
    <row r="689" spans="5:15">
      <c r="E689" s="2">
        <v>42033</v>
      </c>
      <c r="F689">
        <v>47.435000000000002</v>
      </c>
      <c r="G689">
        <v>6802386</v>
      </c>
      <c r="M689" s="2">
        <v>42047</v>
      </c>
      <c r="N689">
        <v>47.403100000000002</v>
      </c>
      <c r="O689">
        <v>47.403100000000002</v>
      </c>
    </row>
    <row r="690" spans="5:15">
      <c r="E690" s="2">
        <v>42032</v>
      </c>
      <c r="F690">
        <v>46.655000000000001</v>
      </c>
      <c r="G690">
        <v>6402676</v>
      </c>
      <c r="M690" s="2">
        <v>42046</v>
      </c>
      <c r="N690">
        <v>47.047600000000003</v>
      </c>
      <c r="O690">
        <v>47.047600000000003</v>
      </c>
    </row>
    <row r="691" spans="5:15">
      <c r="E691" s="2">
        <v>42031</v>
      </c>
      <c r="F691">
        <v>47.25</v>
      </c>
      <c r="G691">
        <v>6696864</v>
      </c>
      <c r="M691" s="2">
        <v>42045</v>
      </c>
      <c r="N691">
        <v>47.789499999999997</v>
      </c>
      <c r="O691">
        <v>47.789499999999997</v>
      </c>
    </row>
    <row r="692" spans="5:15">
      <c r="E692" s="2">
        <v>42030</v>
      </c>
      <c r="F692">
        <v>48.174999999999997</v>
      </c>
      <c r="G692">
        <v>4964092</v>
      </c>
      <c r="M692" s="2">
        <v>42044</v>
      </c>
      <c r="N692">
        <v>46.9754</v>
      </c>
      <c r="O692">
        <v>46.9754</v>
      </c>
    </row>
    <row r="693" spans="5:15">
      <c r="E693" s="2">
        <v>42027</v>
      </c>
      <c r="F693">
        <v>48.08</v>
      </c>
      <c r="G693">
        <v>6781006</v>
      </c>
      <c r="M693" s="2">
        <v>42041</v>
      </c>
      <c r="N693">
        <v>47.294899999999998</v>
      </c>
      <c r="O693">
        <v>47.294899999999998</v>
      </c>
    </row>
    <row r="694" spans="5:15">
      <c r="E694" s="2">
        <v>42026</v>
      </c>
      <c r="F694">
        <v>47.924999999999997</v>
      </c>
      <c r="G694">
        <v>6952332</v>
      </c>
      <c r="M694" s="2">
        <v>42040</v>
      </c>
      <c r="N694">
        <v>48.093499999999999</v>
      </c>
      <c r="O694">
        <v>48.093499999999999</v>
      </c>
    </row>
    <row r="695" spans="5:15">
      <c r="E695" s="2">
        <v>42025</v>
      </c>
      <c r="F695">
        <v>46.755000000000003</v>
      </c>
      <c r="G695">
        <v>5854060</v>
      </c>
      <c r="M695" s="2">
        <v>42039</v>
      </c>
      <c r="N695">
        <v>47.6813</v>
      </c>
      <c r="O695">
        <v>47.6813</v>
      </c>
    </row>
    <row r="696" spans="5:15">
      <c r="E696" s="2">
        <v>42024</v>
      </c>
      <c r="F696">
        <v>46.805</v>
      </c>
      <c r="G696">
        <v>9403824</v>
      </c>
      <c r="M696" s="2">
        <v>42038</v>
      </c>
      <c r="N696">
        <v>48.098700000000001</v>
      </c>
      <c r="O696">
        <v>48.098700000000001</v>
      </c>
    </row>
    <row r="697" spans="5:15">
      <c r="E697" s="2">
        <v>42020</v>
      </c>
      <c r="F697">
        <v>46.494999999999997</v>
      </c>
      <c r="G697">
        <v>8769998</v>
      </c>
      <c r="M697" s="2">
        <v>42037</v>
      </c>
      <c r="N697">
        <v>47.361899999999999</v>
      </c>
      <c r="O697">
        <v>47.361899999999999</v>
      </c>
    </row>
    <row r="698" spans="5:15">
      <c r="E698" s="2">
        <v>42019</v>
      </c>
      <c r="F698">
        <v>46.405000000000001</v>
      </c>
      <c r="G698">
        <v>4234950</v>
      </c>
      <c r="M698" s="2">
        <v>42034</v>
      </c>
      <c r="N698">
        <v>47.5319</v>
      </c>
      <c r="O698">
        <v>47.5319</v>
      </c>
    </row>
    <row r="699" spans="5:15">
      <c r="E699" s="2">
        <v>42018</v>
      </c>
      <c r="F699">
        <v>46.854999999999997</v>
      </c>
      <c r="G699">
        <v>6750368</v>
      </c>
      <c r="M699" s="2">
        <v>42033</v>
      </c>
      <c r="N699">
        <v>48.881799999999998</v>
      </c>
      <c r="O699">
        <v>48.881799999999998</v>
      </c>
    </row>
    <row r="700" spans="5:15">
      <c r="E700" s="2">
        <v>42017</v>
      </c>
      <c r="F700">
        <v>47.505000000000003</v>
      </c>
      <c r="G700">
        <v>6182188</v>
      </c>
      <c r="M700" s="2">
        <v>42032</v>
      </c>
      <c r="N700">
        <v>48.078099999999999</v>
      </c>
      <c r="O700">
        <v>48.078099999999999</v>
      </c>
    </row>
    <row r="701" spans="5:15">
      <c r="E701" s="2">
        <v>42016</v>
      </c>
      <c r="F701">
        <v>47.93</v>
      </c>
      <c r="G701">
        <v>5630866</v>
      </c>
      <c r="M701" s="2">
        <v>42031</v>
      </c>
      <c r="N701">
        <v>48.691200000000002</v>
      </c>
      <c r="O701">
        <v>48.691200000000002</v>
      </c>
    </row>
    <row r="702" spans="5:15">
      <c r="E702" s="2">
        <v>42013</v>
      </c>
      <c r="F702">
        <v>47.994999999999997</v>
      </c>
      <c r="G702">
        <v>4688920</v>
      </c>
      <c r="M702" s="2">
        <v>42030</v>
      </c>
      <c r="N702">
        <v>49.644399999999997</v>
      </c>
      <c r="O702">
        <v>49.644399999999997</v>
      </c>
    </row>
    <row r="703" spans="5:15">
      <c r="E703" s="2">
        <v>42012</v>
      </c>
      <c r="F703">
        <v>48.53</v>
      </c>
      <c r="G703">
        <v>5997244</v>
      </c>
      <c r="M703" s="2">
        <v>42027</v>
      </c>
      <c r="N703">
        <v>49.546500000000002</v>
      </c>
      <c r="O703">
        <v>49.546500000000002</v>
      </c>
    </row>
    <row r="704" spans="5:15">
      <c r="E704" s="2">
        <v>42011</v>
      </c>
      <c r="F704">
        <v>47.435000000000002</v>
      </c>
      <c r="G704">
        <v>7256056</v>
      </c>
      <c r="M704" s="2">
        <v>42026</v>
      </c>
      <c r="N704">
        <v>49.386800000000001</v>
      </c>
      <c r="O704">
        <v>49.386800000000001</v>
      </c>
    </row>
    <row r="705" spans="5:15">
      <c r="E705" s="2">
        <v>42010</v>
      </c>
      <c r="F705">
        <v>46.475000000000001</v>
      </c>
      <c r="G705">
        <v>7576058</v>
      </c>
      <c r="M705" s="2">
        <v>42025</v>
      </c>
      <c r="N705">
        <v>48.181100000000001</v>
      </c>
      <c r="O705">
        <v>48.181100000000001</v>
      </c>
    </row>
    <row r="706" spans="5:15">
      <c r="E706" s="2">
        <v>42009</v>
      </c>
      <c r="F706">
        <v>46.75</v>
      </c>
      <c r="G706">
        <v>6889172</v>
      </c>
      <c r="M706" s="2">
        <v>42024</v>
      </c>
      <c r="N706">
        <v>48.232599999999998</v>
      </c>
      <c r="O706">
        <v>48.232599999999998</v>
      </c>
    </row>
    <row r="707" spans="5:15">
      <c r="E707" s="2">
        <v>42006</v>
      </c>
      <c r="F707">
        <v>47.515000000000001</v>
      </c>
      <c r="G707">
        <v>4985756</v>
      </c>
      <c r="M707" s="2">
        <v>42020</v>
      </c>
      <c r="N707">
        <v>47.913200000000003</v>
      </c>
      <c r="O707">
        <v>47.913200000000003</v>
      </c>
    </row>
    <row r="708" spans="5:15">
      <c r="E708" s="2">
        <v>42004</v>
      </c>
      <c r="F708">
        <v>48.075000000000003</v>
      </c>
      <c r="G708">
        <v>4697456</v>
      </c>
      <c r="M708" s="2">
        <v>42019</v>
      </c>
      <c r="N708">
        <v>47.820399999999999</v>
      </c>
      <c r="O708">
        <v>47.820399999999999</v>
      </c>
    </row>
    <row r="709" spans="5:15">
      <c r="E709" s="2">
        <v>42003</v>
      </c>
      <c r="F709">
        <v>48.44</v>
      </c>
      <c r="G709">
        <v>4146858</v>
      </c>
      <c r="M709" s="2">
        <v>42018</v>
      </c>
      <c r="N709">
        <v>48.284199999999998</v>
      </c>
      <c r="O709">
        <v>48.284199999999998</v>
      </c>
    </row>
    <row r="710" spans="5:15">
      <c r="E710" s="2">
        <v>42002</v>
      </c>
      <c r="F710">
        <v>48.65</v>
      </c>
      <c r="G710">
        <v>4017734</v>
      </c>
      <c r="M710" s="2">
        <v>42017</v>
      </c>
      <c r="N710">
        <v>48.954000000000001</v>
      </c>
      <c r="O710">
        <v>48.954000000000001</v>
      </c>
    </row>
    <row r="711" spans="5:15">
      <c r="E711" s="2">
        <v>41999</v>
      </c>
      <c r="F711">
        <v>48.414999999999999</v>
      </c>
      <c r="G711">
        <v>3144718</v>
      </c>
      <c r="M711" s="2">
        <v>42016</v>
      </c>
      <c r="N711">
        <v>49.3919</v>
      </c>
      <c r="O711">
        <v>49.3919</v>
      </c>
    </row>
    <row r="712" spans="5:15">
      <c r="E712" s="2">
        <v>41997</v>
      </c>
      <c r="F712">
        <v>48.145000000000003</v>
      </c>
      <c r="G712">
        <v>2441210</v>
      </c>
      <c r="M712" s="2">
        <v>42013</v>
      </c>
      <c r="N712">
        <v>49.4589</v>
      </c>
      <c r="O712">
        <v>49.4589</v>
      </c>
    </row>
    <row r="713" spans="5:15">
      <c r="E713" s="2">
        <v>41996</v>
      </c>
      <c r="F713">
        <v>47.984999999999999</v>
      </c>
      <c r="G713">
        <v>5252446</v>
      </c>
      <c r="M713" s="2">
        <v>42012</v>
      </c>
      <c r="N713">
        <v>50.010199999999998</v>
      </c>
      <c r="O713">
        <v>50.010199999999998</v>
      </c>
    </row>
    <row r="714" spans="5:15">
      <c r="E714" s="2">
        <v>41995</v>
      </c>
      <c r="F714">
        <v>47.965000000000003</v>
      </c>
      <c r="G714">
        <v>7662188</v>
      </c>
      <c r="M714" s="2">
        <v>42011</v>
      </c>
      <c r="N714">
        <v>48.881799999999998</v>
      </c>
      <c r="O714">
        <v>48.881799999999998</v>
      </c>
    </row>
    <row r="715" spans="5:15">
      <c r="E715" s="2">
        <v>41992</v>
      </c>
      <c r="F715">
        <v>47.42</v>
      </c>
      <c r="G715">
        <v>27001968</v>
      </c>
      <c r="M715" s="2">
        <v>42010</v>
      </c>
      <c r="N715">
        <v>47.892600000000002</v>
      </c>
      <c r="O715">
        <v>47.892600000000002</v>
      </c>
    </row>
    <row r="716" spans="5:15">
      <c r="E716" s="2">
        <v>41991</v>
      </c>
      <c r="F716">
        <v>48.54</v>
      </c>
      <c r="G716">
        <v>18960746</v>
      </c>
      <c r="M716" s="2">
        <v>42009</v>
      </c>
      <c r="N716">
        <v>48.176000000000002</v>
      </c>
      <c r="O716">
        <v>48.176000000000002</v>
      </c>
    </row>
    <row r="717" spans="5:15">
      <c r="E717" s="2">
        <v>41990</v>
      </c>
      <c r="F717">
        <v>47.25</v>
      </c>
      <c r="G717">
        <v>11205120</v>
      </c>
      <c r="M717" s="2">
        <v>42006</v>
      </c>
      <c r="N717">
        <v>48.964300000000001</v>
      </c>
      <c r="O717">
        <v>48.964300000000001</v>
      </c>
    </row>
    <row r="718" spans="5:15">
      <c r="E718" s="2">
        <v>41989</v>
      </c>
      <c r="F718">
        <v>46.604999999999997</v>
      </c>
      <c r="G718">
        <v>14614484</v>
      </c>
      <c r="M718" s="2">
        <v>42004</v>
      </c>
      <c r="N718">
        <v>49.541400000000003</v>
      </c>
      <c r="O718">
        <v>49.541400000000003</v>
      </c>
    </row>
    <row r="719" spans="5:15">
      <c r="E719" s="2">
        <v>41988</v>
      </c>
      <c r="F719">
        <v>47.715000000000003</v>
      </c>
      <c r="G719">
        <v>10152694</v>
      </c>
      <c r="M719" s="2">
        <v>42003</v>
      </c>
      <c r="N719">
        <v>49.917499999999997</v>
      </c>
      <c r="O719">
        <v>49.917499999999997</v>
      </c>
    </row>
    <row r="720" spans="5:15">
      <c r="E720" s="2">
        <v>41985</v>
      </c>
      <c r="F720">
        <v>48.085000000000001</v>
      </c>
      <c r="G720">
        <v>8263384</v>
      </c>
      <c r="M720" s="2">
        <v>42002</v>
      </c>
      <c r="N720">
        <v>50.133899999999997</v>
      </c>
      <c r="O720">
        <v>50.133899999999997</v>
      </c>
    </row>
    <row r="721" spans="5:15">
      <c r="E721" s="2">
        <v>41984</v>
      </c>
      <c r="F721">
        <v>48.465000000000003</v>
      </c>
      <c r="G721">
        <v>8723644</v>
      </c>
      <c r="M721" s="2">
        <v>41999</v>
      </c>
      <c r="N721">
        <v>49.8917</v>
      </c>
      <c r="O721">
        <v>49.8917</v>
      </c>
    </row>
    <row r="722" spans="5:15">
      <c r="E722" s="2">
        <v>41983</v>
      </c>
      <c r="F722">
        <v>48.83</v>
      </c>
      <c r="G722">
        <v>6457796</v>
      </c>
      <c r="M722" s="2">
        <v>41997</v>
      </c>
      <c r="N722">
        <v>49.613500000000002</v>
      </c>
      <c r="O722">
        <v>49.613500000000002</v>
      </c>
    </row>
    <row r="723" spans="5:15">
      <c r="E723" s="2">
        <v>41982</v>
      </c>
      <c r="F723">
        <v>48.515000000000001</v>
      </c>
      <c r="G723">
        <v>6003768</v>
      </c>
      <c r="M723" s="2">
        <v>41996</v>
      </c>
      <c r="N723">
        <v>49.448599999999999</v>
      </c>
      <c r="O723">
        <v>49.448599999999999</v>
      </c>
    </row>
    <row r="724" spans="5:15">
      <c r="E724" s="2">
        <v>41981</v>
      </c>
      <c r="F724">
        <v>48.86</v>
      </c>
      <c r="G724">
        <v>5158048</v>
      </c>
      <c r="M724" s="2">
        <v>41995</v>
      </c>
      <c r="N724">
        <v>49.427999999999997</v>
      </c>
      <c r="O724">
        <v>49.427999999999997</v>
      </c>
    </row>
    <row r="725" spans="5:15">
      <c r="E725" s="2">
        <v>41978</v>
      </c>
      <c r="F725">
        <v>49.664999999999999</v>
      </c>
      <c r="G725">
        <v>3408244</v>
      </c>
      <c r="M725" s="2">
        <v>41992</v>
      </c>
      <c r="N725">
        <v>48.866399999999999</v>
      </c>
      <c r="O725">
        <v>48.866399999999999</v>
      </c>
    </row>
    <row r="726" spans="5:15">
      <c r="E726" s="2">
        <v>41977</v>
      </c>
      <c r="F726">
        <v>49.524999999999999</v>
      </c>
      <c r="G726">
        <v>4128228</v>
      </c>
      <c r="M726" s="2">
        <v>41991</v>
      </c>
      <c r="N726">
        <v>50.020600000000002</v>
      </c>
      <c r="O726">
        <v>50.020600000000002</v>
      </c>
    </row>
    <row r="727" spans="5:15">
      <c r="E727" s="2">
        <v>41976</v>
      </c>
      <c r="F727">
        <v>49.25</v>
      </c>
      <c r="G727">
        <v>3792700</v>
      </c>
      <c r="M727" s="2">
        <v>41990</v>
      </c>
      <c r="N727">
        <v>48.691200000000002</v>
      </c>
      <c r="O727">
        <v>48.691200000000002</v>
      </c>
    </row>
    <row r="728" spans="5:15">
      <c r="E728" s="2">
        <v>41975</v>
      </c>
      <c r="F728">
        <v>49.02</v>
      </c>
      <c r="G728">
        <v>4383926</v>
      </c>
      <c r="M728" s="2">
        <v>41989</v>
      </c>
      <c r="N728">
        <v>48.026499999999999</v>
      </c>
      <c r="O728">
        <v>48.026499999999999</v>
      </c>
    </row>
    <row r="729" spans="5:15">
      <c r="E729" s="2">
        <v>41974</v>
      </c>
      <c r="F729">
        <v>48.844999999999999</v>
      </c>
      <c r="G729">
        <v>5139102</v>
      </c>
      <c r="M729" s="2">
        <v>41988</v>
      </c>
      <c r="N729">
        <v>49.170400000000001</v>
      </c>
      <c r="O729">
        <v>49.170400000000001</v>
      </c>
    </row>
    <row r="730" spans="5:15">
      <c r="E730" s="2">
        <v>41971</v>
      </c>
      <c r="F730">
        <v>49.645000000000003</v>
      </c>
      <c r="G730">
        <v>3609490</v>
      </c>
      <c r="M730" s="2">
        <v>41985</v>
      </c>
      <c r="N730">
        <v>49.551699999999997</v>
      </c>
      <c r="O730">
        <v>49.551699999999997</v>
      </c>
    </row>
    <row r="731" spans="5:15">
      <c r="E731" s="2">
        <v>41969</v>
      </c>
      <c r="F731">
        <v>48.9</v>
      </c>
      <c r="G731">
        <v>3948758</v>
      </c>
      <c r="M731" s="2">
        <v>41984</v>
      </c>
      <c r="N731">
        <v>49.943300000000001</v>
      </c>
      <c r="O731">
        <v>49.943300000000001</v>
      </c>
    </row>
    <row r="732" spans="5:15">
      <c r="E732" s="2">
        <v>41968</v>
      </c>
      <c r="F732">
        <v>48.645000000000003</v>
      </c>
      <c r="G732">
        <v>6177120</v>
      </c>
      <c r="M732" s="2">
        <v>41983</v>
      </c>
      <c r="N732">
        <v>50.174500000000002</v>
      </c>
      <c r="O732">
        <v>50.174500000000002</v>
      </c>
    </row>
    <row r="733" spans="5:15">
      <c r="E733" s="2">
        <v>41967</v>
      </c>
      <c r="F733">
        <v>48.975000000000001</v>
      </c>
      <c r="G733">
        <v>5081522</v>
      </c>
      <c r="M733" s="2">
        <v>41982</v>
      </c>
      <c r="N733">
        <v>49.8508</v>
      </c>
      <c r="O733">
        <v>49.8508</v>
      </c>
    </row>
    <row r="734" spans="5:15">
      <c r="E734" s="2">
        <v>41964</v>
      </c>
      <c r="F734">
        <v>48.71</v>
      </c>
      <c r="G734">
        <v>7016488</v>
      </c>
      <c r="M734" s="2">
        <v>41981</v>
      </c>
      <c r="N734">
        <v>50.205300000000001</v>
      </c>
      <c r="O734">
        <v>50.205300000000001</v>
      </c>
    </row>
    <row r="735" spans="5:15">
      <c r="E735" s="2">
        <v>41963</v>
      </c>
      <c r="F735">
        <v>48.65</v>
      </c>
      <c r="G735">
        <v>4822390</v>
      </c>
      <c r="M735" s="2">
        <v>41978</v>
      </c>
      <c r="N735">
        <v>51.032400000000003</v>
      </c>
      <c r="O735">
        <v>51.032400000000003</v>
      </c>
    </row>
    <row r="736" spans="5:15">
      <c r="E736" s="2">
        <v>41962</v>
      </c>
      <c r="F736">
        <v>48.475000000000001</v>
      </c>
      <c r="G736">
        <v>4586090</v>
      </c>
      <c r="M736" s="2">
        <v>41977</v>
      </c>
      <c r="N736">
        <v>50.888599999999997</v>
      </c>
      <c r="O736">
        <v>50.888599999999997</v>
      </c>
    </row>
    <row r="737" spans="5:15">
      <c r="E737" s="2">
        <v>41961</v>
      </c>
      <c r="F737">
        <v>48.234999999999999</v>
      </c>
      <c r="G737">
        <v>4803484</v>
      </c>
      <c r="M737" s="2">
        <v>41976</v>
      </c>
      <c r="N737">
        <v>50.606000000000002</v>
      </c>
      <c r="O737">
        <v>50.606000000000002</v>
      </c>
    </row>
    <row r="738" spans="5:15">
      <c r="E738" s="2">
        <v>41960</v>
      </c>
      <c r="F738">
        <v>48.03</v>
      </c>
      <c r="G738">
        <v>5930934</v>
      </c>
      <c r="M738" s="2">
        <v>41975</v>
      </c>
      <c r="N738">
        <v>50.369700000000002</v>
      </c>
      <c r="O738">
        <v>50.369700000000002</v>
      </c>
    </row>
    <row r="739" spans="5:15">
      <c r="E739" s="2">
        <v>41957</v>
      </c>
      <c r="F739">
        <v>47.75</v>
      </c>
      <c r="G739">
        <v>6406754</v>
      </c>
      <c r="M739" s="2">
        <v>41974</v>
      </c>
      <c r="N739">
        <v>50.189900000000002</v>
      </c>
      <c r="O739">
        <v>50.189900000000002</v>
      </c>
    </row>
    <row r="740" spans="5:15">
      <c r="E740" s="2">
        <v>41956</v>
      </c>
      <c r="F740">
        <v>48.06</v>
      </c>
      <c r="G740">
        <v>5417346</v>
      </c>
      <c r="M740" s="2">
        <v>41971</v>
      </c>
      <c r="N740">
        <v>51.011899999999997</v>
      </c>
      <c r="O740">
        <v>51.011899999999997</v>
      </c>
    </row>
    <row r="741" spans="5:15">
      <c r="E741" s="2">
        <v>41955</v>
      </c>
      <c r="F741">
        <v>47.905000000000001</v>
      </c>
      <c r="G741">
        <v>5018404</v>
      </c>
      <c r="M741" s="2">
        <v>41969</v>
      </c>
      <c r="N741">
        <v>50.246400000000001</v>
      </c>
      <c r="O741">
        <v>50.246400000000001</v>
      </c>
    </row>
    <row r="742" spans="5:15">
      <c r="E742" s="2">
        <v>41954</v>
      </c>
      <c r="F742">
        <v>47.44</v>
      </c>
      <c r="G742">
        <v>4563148</v>
      </c>
      <c r="M742" s="2">
        <v>41968</v>
      </c>
      <c r="N742">
        <v>49.984400000000001</v>
      </c>
      <c r="O742">
        <v>49.984400000000001</v>
      </c>
    </row>
    <row r="743" spans="5:15">
      <c r="E743" s="2">
        <v>41953</v>
      </c>
      <c r="F743">
        <v>47.48</v>
      </c>
      <c r="G743">
        <v>5898124</v>
      </c>
      <c r="M743" s="2">
        <v>41967</v>
      </c>
      <c r="N743">
        <v>50.323500000000003</v>
      </c>
      <c r="O743">
        <v>50.323500000000003</v>
      </c>
    </row>
    <row r="744" spans="5:15">
      <c r="E744" s="2">
        <v>41950</v>
      </c>
      <c r="F744">
        <v>46.89</v>
      </c>
      <c r="G744">
        <v>4909792</v>
      </c>
      <c r="M744" s="2">
        <v>41964</v>
      </c>
      <c r="N744">
        <v>50.051200000000001</v>
      </c>
      <c r="O744">
        <v>50.051200000000001</v>
      </c>
    </row>
    <row r="745" spans="5:15">
      <c r="E745" s="2">
        <v>41949</v>
      </c>
      <c r="F745">
        <v>47.3</v>
      </c>
      <c r="G745">
        <v>5482034</v>
      </c>
      <c r="M745" s="2">
        <v>41963</v>
      </c>
      <c r="N745">
        <v>49.9895</v>
      </c>
      <c r="O745">
        <v>49.9895</v>
      </c>
    </row>
    <row r="746" spans="5:15">
      <c r="E746" s="2">
        <v>41948</v>
      </c>
      <c r="F746">
        <v>47.34</v>
      </c>
      <c r="G746">
        <v>6513814</v>
      </c>
      <c r="M746" s="2">
        <v>41962</v>
      </c>
      <c r="N746">
        <v>49.809699999999999</v>
      </c>
      <c r="O746">
        <v>49.809699999999999</v>
      </c>
    </row>
    <row r="747" spans="5:15">
      <c r="E747" s="2">
        <v>41947</v>
      </c>
      <c r="F747">
        <v>46.975000000000001</v>
      </c>
      <c r="G747">
        <v>4441432</v>
      </c>
      <c r="M747" s="2">
        <v>41961</v>
      </c>
      <c r="N747">
        <v>49.563099999999999</v>
      </c>
      <c r="O747">
        <v>49.563099999999999</v>
      </c>
    </row>
    <row r="748" spans="5:15">
      <c r="E748" s="2">
        <v>41946</v>
      </c>
      <c r="F748">
        <v>46.725000000000001</v>
      </c>
      <c r="G748">
        <v>4863412</v>
      </c>
      <c r="M748" s="2">
        <v>41960</v>
      </c>
      <c r="N748">
        <v>49.352400000000003</v>
      </c>
      <c r="O748">
        <v>49.352400000000003</v>
      </c>
    </row>
    <row r="749" spans="5:15">
      <c r="E749" s="2">
        <v>41943</v>
      </c>
      <c r="F749">
        <v>46.484999999999999</v>
      </c>
      <c r="G749">
        <v>6463600</v>
      </c>
      <c r="M749" s="2">
        <v>41957</v>
      </c>
      <c r="N749">
        <v>49.064700000000002</v>
      </c>
      <c r="O749">
        <v>49.064700000000002</v>
      </c>
    </row>
    <row r="750" spans="5:15">
      <c r="E750" s="2">
        <v>41942</v>
      </c>
      <c r="F750">
        <v>46.5</v>
      </c>
      <c r="G750">
        <v>4585130</v>
      </c>
      <c r="M750" s="2">
        <v>41956</v>
      </c>
      <c r="N750">
        <v>49.383299999999998</v>
      </c>
      <c r="O750">
        <v>49.383299999999998</v>
      </c>
    </row>
    <row r="751" spans="5:15">
      <c r="E751" s="2">
        <v>41941</v>
      </c>
      <c r="F751">
        <v>45.975000000000001</v>
      </c>
      <c r="G751">
        <v>4999730</v>
      </c>
      <c r="M751" s="2">
        <v>41955</v>
      </c>
      <c r="N751">
        <v>49.223999999999997</v>
      </c>
      <c r="O751">
        <v>49.223999999999997</v>
      </c>
    </row>
    <row r="752" spans="5:15">
      <c r="E752" s="2">
        <v>41940</v>
      </c>
      <c r="F752">
        <v>46.225000000000001</v>
      </c>
      <c r="G752">
        <v>6358432</v>
      </c>
      <c r="M752" s="2">
        <v>41954</v>
      </c>
      <c r="N752">
        <v>48.746200000000002</v>
      </c>
      <c r="O752">
        <v>48.746200000000002</v>
      </c>
    </row>
    <row r="753" spans="5:15">
      <c r="E753" s="2">
        <v>41939</v>
      </c>
      <c r="F753">
        <v>45.82</v>
      </c>
      <c r="G753">
        <v>5819342</v>
      </c>
      <c r="M753" s="2">
        <v>41953</v>
      </c>
      <c r="N753">
        <v>48.787300000000002</v>
      </c>
      <c r="O753">
        <v>48.787300000000002</v>
      </c>
    </row>
    <row r="754" spans="5:15">
      <c r="E754" s="2">
        <v>41936</v>
      </c>
      <c r="F754">
        <v>45.45</v>
      </c>
      <c r="G754">
        <v>4932098</v>
      </c>
      <c r="M754" s="2">
        <v>41950</v>
      </c>
      <c r="N754">
        <v>48.180999999999997</v>
      </c>
      <c r="O754">
        <v>48.180999999999997</v>
      </c>
    </row>
    <row r="755" spans="5:15">
      <c r="E755" s="2">
        <v>41935</v>
      </c>
      <c r="F755">
        <v>45.185000000000002</v>
      </c>
      <c r="G755">
        <v>6191882</v>
      </c>
      <c r="M755" s="2">
        <v>41949</v>
      </c>
      <c r="N755">
        <v>48.6023</v>
      </c>
      <c r="O755">
        <v>48.6023</v>
      </c>
    </row>
    <row r="756" spans="5:15">
      <c r="E756" s="2">
        <v>41934</v>
      </c>
      <c r="F756">
        <v>44.93</v>
      </c>
      <c r="G756">
        <v>7089024</v>
      </c>
      <c r="M756" s="2">
        <v>41948</v>
      </c>
      <c r="N756">
        <v>48.6434</v>
      </c>
      <c r="O756">
        <v>48.6434</v>
      </c>
    </row>
    <row r="757" spans="5:15">
      <c r="E757" s="2">
        <v>41933</v>
      </c>
      <c r="F757">
        <v>45.32</v>
      </c>
      <c r="G757">
        <v>6469338</v>
      </c>
      <c r="M757" s="2">
        <v>41947</v>
      </c>
      <c r="N757">
        <v>48.2684</v>
      </c>
      <c r="O757">
        <v>48.2684</v>
      </c>
    </row>
    <row r="758" spans="5:15">
      <c r="E758" s="2">
        <v>41932</v>
      </c>
      <c r="F758">
        <v>44.45</v>
      </c>
      <c r="G758">
        <v>6746026</v>
      </c>
      <c r="M758" s="2">
        <v>41946</v>
      </c>
      <c r="N758">
        <v>48.011499999999998</v>
      </c>
      <c r="O758">
        <v>48.011499999999998</v>
      </c>
    </row>
    <row r="759" spans="5:15">
      <c r="E759" s="2">
        <v>41929</v>
      </c>
      <c r="F759">
        <v>43.59</v>
      </c>
      <c r="G759">
        <v>11407164</v>
      </c>
      <c r="M759" s="2">
        <v>41943</v>
      </c>
      <c r="N759">
        <v>47.764899999999997</v>
      </c>
      <c r="O759">
        <v>47.764899999999997</v>
      </c>
    </row>
    <row r="760" spans="5:15">
      <c r="E760" s="2">
        <v>41928</v>
      </c>
      <c r="F760">
        <v>43.52</v>
      </c>
      <c r="G760">
        <v>13643924</v>
      </c>
      <c r="M760" s="2">
        <v>41942</v>
      </c>
      <c r="N760">
        <v>47.780299999999997</v>
      </c>
      <c r="O760">
        <v>47.780299999999997</v>
      </c>
    </row>
    <row r="761" spans="5:15">
      <c r="E761" s="2">
        <v>41927</v>
      </c>
      <c r="F761">
        <v>42.59</v>
      </c>
      <c r="G761">
        <v>17572044</v>
      </c>
      <c r="M761" s="2">
        <v>41941</v>
      </c>
      <c r="N761">
        <v>47.2408</v>
      </c>
      <c r="O761">
        <v>47.2408</v>
      </c>
    </row>
    <row r="762" spans="5:15">
      <c r="E762" s="2">
        <v>41926</v>
      </c>
      <c r="F762">
        <v>42.545000000000002</v>
      </c>
      <c r="G762">
        <v>9854322</v>
      </c>
      <c r="M762" s="2">
        <v>41940</v>
      </c>
      <c r="N762">
        <v>47.497700000000002</v>
      </c>
      <c r="O762">
        <v>47.497700000000002</v>
      </c>
    </row>
    <row r="763" spans="5:15">
      <c r="E763" s="2">
        <v>41925</v>
      </c>
      <c r="F763">
        <v>42.695</v>
      </c>
      <c r="G763">
        <v>8010426</v>
      </c>
      <c r="M763" s="2">
        <v>41939</v>
      </c>
      <c r="N763">
        <v>47.081600000000002</v>
      </c>
      <c r="O763">
        <v>47.081600000000002</v>
      </c>
    </row>
    <row r="764" spans="5:15">
      <c r="E764" s="2">
        <v>41922</v>
      </c>
      <c r="F764">
        <v>43.594999999999999</v>
      </c>
      <c r="G764">
        <v>9048282</v>
      </c>
      <c r="M764" s="2">
        <v>41936</v>
      </c>
      <c r="N764">
        <v>46.7014</v>
      </c>
      <c r="O764">
        <v>46.7014</v>
      </c>
    </row>
    <row r="765" spans="5:15">
      <c r="E765" s="2">
        <v>41921</v>
      </c>
      <c r="F765">
        <v>43.615000000000002</v>
      </c>
      <c r="G765">
        <v>7463072</v>
      </c>
      <c r="M765" s="2">
        <v>41935</v>
      </c>
      <c r="N765">
        <v>46.429099999999998</v>
      </c>
      <c r="O765">
        <v>46.429099999999998</v>
      </c>
    </row>
    <row r="766" spans="5:15">
      <c r="E766" s="2">
        <v>41920</v>
      </c>
      <c r="F766">
        <v>44.414999999999999</v>
      </c>
      <c r="G766">
        <v>7481288</v>
      </c>
      <c r="M766" s="2">
        <v>41934</v>
      </c>
      <c r="N766">
        <v>46.167099999999998</v>
      </c>
      <c r="O766">
        <v>46.167099999999998</v>
      </c>
    </row>
    <row r="767" spans="5:15">
      <c r="E767" s="2">
        <v>41919</v>
      </c>
      <c r="F767">
        <v>44.034999999999997</v>
      </c>
      <c r="G767">
        <v>5486754</v>
      </c>
      <c r="M767" s="2">
        <v>41933</v>
      </c>
      <c r="N767">
        <v>46.567799999999998</v>
      </c>
      <c r="O767">
        <v>46.567799999999998</v>
      </c>
    </row>
    <row r="768" spans="5:15">
      <c r="E768" s="2">
        <v>41918</v>
      </c>
      <c r="F768">
        <v>44.61</v>
      </c>
      <c r="G768">
        <v>7031214</v>
      </c>
      <c r="M768" s="2">
        <v>41932</v>
      </c>
      <c r="N768">
        <v>45.673900000000003</v>
      </c>
      <c r="O768">
        <v>45.673900000000003</v>
      </c>
    </row>
    <row r="769" spans="5:15">
      <c r="E769" s="2">
        <v>41915</v>
      </c>
      <c r="F769">
        <v>45.145000000000003</v>
      </c>
      <c r="G769">
        <v>8798778</v>
      </c>
      <c r="M769" s="2">
        <v>41929</v>
      </c>
      <c r="N769">
        <v>44.790199999999999</v>
      </c>
      <c r="O769">
        <v>44.790199999999999</v>
      </c>
    </row>
    <row r="770" spans="5:15">
      <c r="E770" s="2">
        <v>41914</v>
      </c>
      <c r="F770">
        <v>44.65</v>
      </c>
      <c r="G770">
        <v>8744190</v>
      </c>
      <c r="M770" s="2">
        <v>41928</v>
      </c>
      <c r="N770">
        <v>44.718299999999999</v>
      </c>
      <c r="O770">
        <v>44.718299999999999</v>
      </c>
    </row>
    <row r="771" spans="5:15">
      <c r="E771" s="2">
        <v>41913</v>
      </c>
      <c r="F771">
        <v>43.85</v>
      </c>
      <c r="G771">
        <v>9472554</v>
      </c>
      <c r="M771" s="2">
        <v>41927</v>
      </c>
      <c r="N771">
        <v>43.762599999999999</v>
      </c>
      <c r="O771">
        <v>43.762599999999999</v>
      </c>
    </row>
    <row r="772" spans="5:15">
      <c r="E772" s="2">
        <v>41912</v>
      </c>
      <c r="F772">
        <v>44.6</v>
      </c>
      <c r="G772">
        <v>11584526</v>
      </c>
      <c r="M772" s="2">
        <v>41926</v>
      </c>
      <c r="N772">
        <v>43.7164</v>
      </c>
      <c r="O772">
        <v>43.7164</v>
      </c>
    </row>
    <row r="773" spans="5:15">
      <c r="E773" s="2">
        <v>41911</v>
      </c>
      <c r="F773">
        <v>44.56</v>
      </c>
      <c r="G773">
        <v>14850956</v>
      </c>
      <c r="M773" s="2">
        <v>41925</v>
      </c>
      <c r="N773">
        <v>43.8705</v>
      </c>
      <c r="O773">
        <v>43.8705</v>
      </c>
    </row>
    <row r="774" spans="5:15">
      <c r="E774" s="2">
        <v>41908</v>
      </c>
      <c r="F774">
        <v>44.75</v>
      </c>
      <c r="G774">
        <v>35108796</v>
      </c>
      <c r="M774" s="2">
        <v>41922</v>
      </c>
      <c r="N774">
        <v>44.795299999999997</v>
      </c>
      <c r="O774">
        <v>44.795299999999997</v>
      </c>
    </row>
    <row r="775" spans="5:15">
      <c r="E775" s="2">
        <v>41907</v>
      </c>
      <c r="F775">
        <v>39.875</v>
      </c>
      <c r="G775">
        <v>14138328</v>
      </c>
      <c r="M775" s="2">
        <v>41921</v>
      </c>
      <c r="N775">
        <v>44.815899999999999</v>
      </c>
      <c r="O775">
        <v>44.815899999999999</v>
      </c>
    </row>
    <row r="776" spans="5:15">
      <c r="E776" s="2">
        <v>41906</v>
      </c>
      <c r="F776">
        <v>40.42</v>
      </c>
      <c r="G776">
        <v>6768768</v>
      </c>
      <c r="M776" s="2">
        <v>41920</v>
      </c>
      <c r="N776">
        <v>45.637900000000002</v>
      </c>
      <c r="O776">
        <v>45.637900000000002</v>
      </c>
    </row>
    <row r="777" spans="5:15">
      <c r="E777" s="2">
        <v>41905</v>
      </c>
      <c r="F777">
        <v>40.06</v>
      </c>
      <c r="G777">
        <v>6046870</v>
      </c>
      <c r="M777" s="2">
        <v>41919</v>
      </c>
      <c r="N777">
        <v>45.247399999999999</v>
      </c>
      <c r="O777">
        <v>45.247399999999999</v>
      </c>
    </row>
    <row r="778" spans="5:15">
      <c r="E778" s="2">
        <v>41904</v>
      </c>
      <c r="F778">
        <v>40.354999999999997</v>
      </c>
      <c r="G778">
        <v>8145064</v>
      </c>
      <c r="M778" s="2">
        <v>41918</v>
      </c>
      <c r="N778">
        <v>45.838299999999997</v>
      </c>
      <c r="O778">
        <v>45.838299999999997</v>
      </c>
    </row>
    <row r="779" spans="5:15">
      <c r="E779" s="2">
        <v>41901</v>
      </c>
      <c r="F779">
        <v>40.905000000000001</v>
      </c>
      <c r="G779">
        <v>19706420</v>
      </c>
      <c r="M779" s="2">
        <v>41915</v>
      </c>
      <c r="N779">
        <v>46.387999999999998</v>
      </c>
      <c r="O779">
        <v>46.387999999999998</v>
      </c>
    </row>
    <row r="780" spans="5:15">
      <c r="E780" s="2">
        <v>41900</v>
      </c>
      <c r="F780">
        <v>40.984999999999999</v>
      </c>
      <c r="G780">
        <v>6393816</v>
      </c>
      <c r="M780" s="2">
        <v>41914</v>
      </c>
      <c r="N780">
        <v>45.879399999999997</v>
      </c>
      <c r="O780">
        <v>45.879399999999997</v>
      </c>
    </row>
    <row r="781" spans="5:15">
      <c r="E781" s="2">
        <v>41899</v>
      </c>
      <c r="F781">
        <v>40.755000000000003</v>
      </c>
      <c r="G781">
        <v>7443272</v>
      </c>
      <c r="M781" s="2">
        <v>41913</v>
      </c>
      <c r="N781">
        <v>45.057299999999998</v>
      </c>
      <c r="O781">
        <v>45.057299999999998</v>
      </c>
    </row>
    <row r="782" spans="5:15">
      <c r="E782" s="2">
        <v>41898</v>
      </c>
      <c r="F782">
        <v>40.6</v>
      </c>
      <c r="G782">
        <v>9393364</v>
      </c>
      <c r="M782" s="2">
        <v>41912</v>
      </c>
      <c r="N782">
        <v>45.828000000000003</v>
      </c>
      <c r="O782">
        <v>45.828000000000003</v>
      </c>
    </row>
    <row r="783" spans="5:15">
      <c r="E783" s="2">
        <v>41897</v>
      </c>
      <c r="F783">
        <v>40.805</v>
      </c>
      <c r="G783">
        <v>6731534</v>
      </c>
      <c r="M783" s="2">
        <v>41911</v>
      </c>
      <c r="N783">
        <v>45.786900000000003</v>
      </c>
      <c r="O783">
        <v>45.786900000000003</v>
      </c>
    </row>
    <row r="784" spans="5:15">
      <c r="E784" s="2">
        <v>41894</v>
      </c>
      <c r="F784">
        <v>40.92</v>
      </c>
      <c r="G784">
        <v>5926258</v>
      </c>
      <c r="M784" s="2">
        <v>41908</v>
      </c>
      <c r="N784">
        <v>45.982100000000003</v>
      </c>
      <c r="O784">
        <v>45.982100000000003</v>
      </c>
    </row>
    <row r="785" spans="5:15">
      <c r="E785" s="2">
        <v>41893</v>
      </c>
      <c r="F785">
        <v>40.909999999999997</v>
      </c>
      <c r="G785">
        <v>7462444</v>
      </c>
      <c r="M785" s="2">
        <v>41907</v>
      </c>
      <c r="N785">
        <v>40.972900000000003</v>
      </c>
      <c r="O785">
        <v>40.972900000000003</v>
      </c>
    </row>
    <row r="786" spans="5:15">
      <c r="E786" s="2">
        <v>41892</v>
      </c>
      <c r="F786">
        <v>41.234999999999999</v>
      </c>
      <c r="G786">
        <v>6742670</v>
      </c>
      <c r="M786" s="2">
        <v>41906</v>
      </c>
      <c r="N786">
        <v>41.532899999999998</v>
      </c>
      <c r="O786">
        <v>41.532899999999998</v>
      </c>
    </row>
    <row r="787" spans="5:15">
      <c r="E787" s="2">
        <v>41891</v>
      </c>
      <c r="F787">
        <v>40.92</v>
      </c>
      <c r="G787">
        <v>8125190</v>
      </c>
      <c r="M787" s="2">
        <v>41905</v>
      </c>
      <c r="N787">
        <v>41.162999999999997</v>
      </c>
      <c r="O787">
        <v>41.162999999999997</v>
      </c>
    </row>
    <row r="788" spans="5:15">
      <c r="E788" s="2">
        <v>41890</v>
      </c>
      <c r="F788">
        <v>41.2</v>
      </c>
      <c r="G788">
        <v>11729654</v>
      </c>
      <c r="M788" s="2">
        <v>41904</v>
      </c>
      <c r="N788">
        <v>41.466099999999997</v>
      </c>
      <c r="O788">
        <v>41.466099999999997</v>
      </c>
    </row>
    <row r="789" spans="5:15">
      <c r="E789" s="2">
        <v>41887</v>
      </c>
      <c r="F789">
        <v>41.02</v>
      </c>
      <c r="G789">
        <v>12380650</v>
      </c>
      <c r="M789" s="2">
        <v>41901</v>
      </c>
      <c r="N789">
        <v>42.031300000000002</v>
      </c>
      <c r="O789">
        <v>42.031300000000002</v>
      </c>
    </row>
    <row r="790" spans="5:15">
      <c r="E790" s="2">
        <v>41886</v>
      </c>
      <c r="F790">
        <v>39.96</v>
      </c>
      <c r="G790">
        <v>6030362</v>
      </c>
      <c r="M790" s="2">
        <v>41900</v>
      </c>
      <c r="N790">
        <v>42.113500000000002</v>
      </c>
      <c r="O790">
        <v>42.113500000000002</v>
      </c>
    </row>
    <row r="791" spans="5:15">
      <c r="E791" s="2">
        <v>41885</v>
      </c>
      <c r="F791">
        <v>39.409999999999997</v>
      </c>
      <c r="G791">
        <v>4419754</v>
      </c>
      <c r="M791" s="2">
        <v>41899</v>
      </c>
      <c r="N791">
        <v>41.877099999999999</v>
      </c>
      <c r="O791">
        <v>41.877099999999999</v>
      </c>
    </row>
    <row r="792" spans="5:15">
      <c r="E792" s="2">
        <v>41884</v>
      </c>
      <c r="F792">
        <v>39.64</v>
      </c>
      <c r="G792">
        <v>8164366</v>
      </c>
      <c r="M792" s="2">
        <v>41898</v>
      </c>
      <c r="N792">
        <v>41.7179</v>
      </c>
      <c r="O792">
        <v>41.7179</v>
      </c>
    </row>
    <row r="793" spans="5:15">
      <c r="E793" s="2">
        <v>41880</v>
      </c>
      <c r="F793">
        <v>39.274999999999999</v>
      </c>
      <c r="G793">
        <v>6422960</v>
      </c>
      <c r="M793" s="2">
        <v>41897</v>
      </c>
      <c r="N793">
        <v>41.9285</v>
      </c>
      <c r="O793">
        <v>41.9285</v>
      </c>
    </row>
    <row r="794" spans="5:15">
      <c r="E794" s="2">
        <v>41879</v>
      </c>
      <c r="F794">
        <v>39.409999999999997</v>
      </c>
      <c r="G794">
        <v>5169126</v>
      </c>
      <c r="M794" s="2">
        <v>41894</v>
      </c>
      <c r="N794">
        <v>42.046700000000001</v>
      </c>
      <c r="O794">
        <v>42.046700000000001</v>
      </c>
    </row>
    <row r="795" spans="5:15">
      <c r="E795" s="2">
        <v>41878</v>
      </c>
      <c r="F795">
        <v>39.86</v>
      </c>
      <c r="G795">
        <v>3687566</v>
      </c>
      <c r="M795" s="2">
        <v>41893</v>
      </c>
      <c r="N795">
        <v>42.0364</v>
      </c>
      <c r="O795">
        <v>42.0364</v>
      </c>
    </row>
    <row r="796" spans="5:15">
      <c r="E796" s="2">
        <v>41877</v>
      </c>
      <c r="F796">
        <v>39.74</v>
      </c>
      <c r="G796">
        <v>5218934</v>
      </c>
      <c r="M796" s="2">
        <v>41892</v>
      </c>
      <c r="N796">
        <v>42.3703</v>
      </c>
      <c r="O796">
        <v>42.3703</v>
      </c>
    </row>
    <row r="797" spans="5:15">
      <c r="E797" s="2">
        <v>41876</v>
      </c>
      <c r="F797">
        <v>40.005000000000003</v>
      </c>
      <c r="G797">
        <v>5086628</v>
      </c>
      <c r="M797" s="2">
        <v>41891</v>
      </c>
      <c r="N797">
        <v>42.046700000000001</v>
      </c>
      <c r="O797">
        <v>42.046700000000001</v>
      </c>
    </row>
    <row r="798" spans="5:15">
      <c r="E798" s="2">
        <v>41873</v>
      </c>
      <c r="F798">
        <v>39.645000000000003</v>
      </c>
      <c r="G798">
        <v>5807376</v>
      </c>
      <c r="M798" s="2">
        <v>41890</v>
      </c>
      <c r="N798">
        <v>42.334400000000002</v>
      </c>
      <c r="O798">
        <v>42.334400000000002</v>
      </c>
    </row>
    <row r="799" spans="5:15">
      <c r="E799" s="2">
        <v>41872</v>
      </c>
      <c r="F799">
        <v>39.47</v>
      </c>
      <c r="G799">
        <v>4001828</v>
      </c>
      <c r="M799" s="2">
        <v>41887</v>
      </c>
      <c r="N799">
        <v>42.1494</v>
      </c>
      <c r="O799">
        <v>42.1494</v>
      </c>
    </row>
    <row r="800" spans="5:15">
      <c r="E800" s="2">
        <v>41871</v>
      </c>
      <c r="F800">
        <v>39.454999999999998</v>
      </c>
      <c r="G800">
        <v>3965796</v>
      </c>
      <c r="M800" s="2">
        <v>41886</v>
      </c>
      <c r="N800">
        <v>41.060200000000002</v>
      </c>
      <c r="O800">
        <v>41.060200000000002</v>
      </c>
    </row>
    <row r="801" spans="5:15">
      <c r="E801" s="2">
        <v>41870</v>
      </c>
      <c r="F801">
        <v>39.255000000000003</v>
      </c>
      <c r="G801">
        <v>4424066</v>
      </c>
      <c r="M801" s="2">
        <v>41885</v>
      </c>
      <c r="N801">
        <v>40.495100000000001</v>
      </c>
      <c r="O801">
        <v>40.495100000000001</v>
      </c>
    </row>
    <row r="802" spans="5:15">
      <c r="E802" s="2">
        <v>41869</v>
      </c>
      <c r="F802">
        <v>39.274999999999999</v>
      </c>
      <c r="G802">
        <v>5697360</v>
      </c>
      <c r="M802" s="2">
        <v>41884</v>
      </c>
      <c r="N802">
        <v>40.731400000000001</v>
      </c>
      <c r="O802">
        <v>40.731400000000001</v>
      </c>
    </row>
    <row r="803" spans="5:15">
      <c r="E803" s="2">
        <v>41866</v>
      </c>
      <c r="F803">
        <v>38.564999999999998</v>
      </c>
      <c r="G803">
        <v>4498524</v>
      </c>
      <c r="M803" s="2">
        <v>41880</v>
      </c>
      <c r="N803">
        <v>40.356400000000001</v>
      </c>
      <c r="O803">
        <v>40.356400000000001</v>
      </c>
    </row>
    <row r="804" spans="5:15">
      <c r="E804" s="2">
        <v>41865</v>
      </c>
      <c r="F804">
        <v>38.65</v>
      </c>
      <c r="G804">
        <v>3934930</v>
      </c>
      <c r="M804" s="2">
        <v>41879</v>
      </c>
      <c r="N804">
        <v>40.495100000000001</v>
      </c>
      <c r="O804">
        <v>40.495100000000001</v>
      </c>
    </row>
    <row r="805" spans="5:15">
      <c r="E805" s="2">
        <v>41864</v>
      </c>
      <c r="F805">
        <v>38.625</v>
      </c>
      <c r="G805">
        <v>6400460</v>
      </c>
      <c r="M805" s="2">
        <v>41878</v>
      </c>
      <c r="N805">
        <v>40.833100000000002</v>
      </c>
      <c r="O805">
        <v>40.833100000000002</v>
      </c>
    </row>
    <row r="806" spans="5:15">
      <c r="E806" s="2">
        <v>41863</v>
      </c>
      <c r="F806">
        <v>38.365000000000002</v>
      </c>
      <c r="G806">
        <v>9142328</v>
      </c>
      <c r="M806" s="2">
        <v>41877</v>
      </c>
      <c r="N806">
        <v>40.7102</v>
      </c>
      <c r="O806">
        <v>40.7102</v>
      </c>
    </row>
    <row r="807" spans="5:15">
      <c r="E807" s="2">
        <v>41862</v>
      </c>
      <c r="F807">
        <v>38.53</v>
      </c>
      <c r="G807">
        <v>7848616</v>
      </c>
      <c r="M807" s="2">
        <v>41876</v>
      </c>
      <c r="N807">
        <v>40.981700000000004</v>
      </c>
      <c r="O807">
        <v>40.981700000000004</v>
      </c>
    </row>
    <row r="808" spans="5:15">
      <c r="E808" s="2">
        <v>41859</v>
      </c>
      <c r="F808">
        <v>38.53</v>
      </c>
      <c r="G808">
        <v>6726000</v>
      </c>
      <c r="M808" s="2">
        <v>41873</v>
      </c>
      <c r="N808">
        <v>40.612900000000003</v>
      </c>
      <c r="O808">
        <v>40.612900000000003</v>
      </c>
    </row>
    <row r="809" spans="5:15">
      <c r="E809" s="2">
        <v>41858</v>
      </c>
      <c r="F809">
        <v>38.174999999999997</v>
      </c>
      <c r="G809">
        <v>6756694</v>
      </c>
      <c r="M809" s="2">
        <v>41872</v>
      </c>
      <c r="N809">
        <v>40.433599999999998</v>
      </c>
      <c r="O809">
        <v>40.433599999999998</v>
      </c>
    </row>
    <row r="810" spans="5:15">
      <c r="E810" s="2">
        <v>41857</v>
      </c>
      <c r="F810">
        <v>38.57</v>
      </c>
      <c r="G810">
        <v>5074324</v>
      </c>
      <c r="M810" s="2">
        <v>41871</v>
      </c>
      <c r="N810">
        <v>40.418300000000002</v>
      </c>
      <c r="O810">
        <v>40.418300000000002</v>
      </c>
    </row>
    <row r="811" spans="5:15">
      <c r="E811" s="2">
        <v>41856</v>
      </c>
      <c r="F811">
        <v>38.46</v>
      </c>
      <c r="G811">
        <v>4866202</v>
      </c>
      <c r="M811" s="2">
        <v>41870</v>
      </c>
      <c r="N811">
        <v>40.2134</v>
      </c>
      <c r="O811">
        <v>40.2134</v>
      </c>
    </row>
    <row r="812" spans="5:15">
      <c r="E812" s="2">
        <v>41855</v>
      </c>
      <c r="F812">
        <v>38.58</v>
      </c>
      <c r="G812">
        <v>4839350</v>
      </c>
      <c r="M812" s="2">
        <v>41869</v>
      </c>
      <c r="N812">
        <v>40.233899999999998</v>
      </c>
      <c r="O812">
        <v>40.233899999999998</v>
      </c>
    </row>
    <row r="813" spans="5:15">
      <c r="E813" s="2">
        <v>41852</v>
      </c>
      <c r="F813">
        <v>38.39</v>
      </c>
      <c r="G813">
        <v>5825772</v>
      </c>
      <c r="M813" s="2">
        <v>41866</v>
      </c>
      <c r="N813">
        <v>39.506500000000003</v>
      </c>
      <c r="O813">
        <v>39.506500000000003</v>
      </c>
    </row>
    <row r="814" spans="5:15">
      <c r="E814" s="2">
        <v>41851</v>
      </c>
      <c r="F814">
        <v>38.564999999999998</v>
      </c>
      <c r="G814">
        <v>7797748</v>
      </c>
      <c r="M814" s="2">
        <v>41865</v>
      </c>
      <c r="N814">
        <v>39.593600000000002</v>
      </c>
      <c r="O814">
        <v>39.593600000000002</v>
      </c>
    </row>
    <row r="815" spans="5:15">
      <c r="E815" s="2">
        <v>41850</v>
      </c>
      <c r="F815">
        <v>39.805</v>
      </c>
      <c r="G815">
        <v>9058332</v>
      </c>
      <c r="M815" s="2">
        <v>41864</v>
      </c>
      <c r="N815">
        <v>39.567999999999998</v>
      </c>
      <c r="O815">
        <v>39.567999999999998</v>
      </c>
    </row>
    <row r="816" spans="5:15">
      <c r="E816" s="2">
        <v>41849</v>
      </c>
      <c r="F816">
        <v>39.049999999999997</v>
      </c>
      <c r="G816">
        <v>4669634</v>
      </c>
      <c r="M816" s="2">
        <v>41863</v>
      </c>
      <c r="N816">
        <v>39.301699999999997</v>
      </c>
      <c r="O816">
        <v>39.301699999999997</v>
      </c>
    </row>
    <row r="817" spans="5:15">
      <c r="E817" s="2">
        <v>41848</v>
      </c>
      <c r="F817">
        <v>39.200000000000003</v>
      </c>
      <c r="G817">
        <v>4065216</v>
      </c>
      <c r="M817" s="2">
        <v>41862</v>
      </c>
      <c r="N817">
        <v>39.470700000000001</v>
      </c>
      <c r="O817">
        <v>39.470700000000001</v>
      </c>
    </row>
    <row r="818" spans="5:15">
      <c r="E818" s="2">
        <v>41845</v>
      </c>
      <c r="F818">
        <v>38.86</v>
      </c>
      <c r="G818">
        <v>4540920</v>
      </c>
      <c r="M818" s="2">
        <v>41859</v>
      </c>
      <c r="N818">
        <v>39.470700000000001</v>
      </c>
      <c r="O818">
        <v>39.470700000000001</v>
      </c>
    </row>
    <row r="819" spans="5:15">
      <c r="E819" s="2">
        <v>41844</v>
      </c>
      <c r="F819">
        <v>39.299999999999997</v>
      </c>
      <c r="G819">
        <v>8030262</v>
      </c>
      <c r="M819" s="2">
        <v>41858</v>
      </c>
      <c r="N819">
        <v>39.106999999999999</v>
      </c>
      <c r="O819">
        <v>39.106999999999999</v>
      </c>
    </row>
    <row r="820" spans="5:15">
      <c r="E820" s="2">
        <v>41843</v>
      </c>
      <c r="F820">
        <v>38.685000000000002</v>
      </c>
      <c r="G820">
        <v>4103962</v>
      </c>
      <c r="M820" s="2">
        <v>41857</v>
      </c>
      <c r="N820">
        <v>39.511699999999998</v>
      </c>
      <c r="O820">
        <v>39.511699999999998</v>
      </c>
    </row>
    <row r="821" spans="5:15">
      <c r="E821" s="2">
        <v>41842</v>
      </c>
      <c r="F821">
        <v>38.520000000000003</v>
      </c>
      <c r="G821">
        <v>5035986</v>
      </c>
      <c r="M821" s="2">
        <v>41856</v>
      </c>
      <c r="N821">
        <v>39.399000000000001</v>
      </c>
      <c r="O821">
        <v>39.399000000000001</v>
      </c>
    </row>
    <row r="822" spans="5:15">
      <c r="E822" s="2">
        <v>41841</v>
      </c>
      <c r="F822">
        <v>38.409999999999997</v>
      </c>
      <c r="G822">
        <v>4222964</v>
      </c>
      <c r="M822" s="2">
        <v>41855</v>
      </c>
      <c r="N822">
        <v>39.521900000000002</v>
      </c>
      <c r="O822">
        <v>39.521900000000002</v>
      </c>
    </row>
    <row r="823" spans="5:15">
      <c r="E823" s="2">
        <v>41838</v>
      </c>
      <c r="F823">
        <v>38.76</v>
      </c>
      <c r="G823">
        <v>6074414</v>
      </c>
      <c r="M823" s="2">
        <v>41852</v>
      </c>
      <c r="N823">
        <v>39.327300000000001</v>
      </c>
      <c r="O823">
        <v>39.327300000000001</v>
      </c>
    </row>
    <row r="824" spans="5:15">
      <c r="E824" s="2">
        <v>41837</v>
      </c>
      <c r="F824">
        <v>38.265000000000001</v>
      </c>
      <c r="G824">
        <v>7462670</v>
      </c>
      <c r="M824" s="2">
        <v>41851</v>
      </c>
      <c r="N824">
        <v>39.506500000000003</v>
      </c>
      <c r="O824">
        <v>39.506500000000003</v>
      </c>
    </row>
    <row r="825" spans="5:15">
      <c r="E825" s="2">
        <v>41836</v>
      </c>
      <c r="F825">
        <v>38.46</v>
      </c>
      <c r="G825">
        <v>7463878</v>
      </c>
      <c r="M825" s="2">
        <v>41850</v>
      </c>
      <c r="N825">
        <v>40.776800000000001</v>
      </c>
      <c r="O825">
        <v>40.776800000000001</v>
      </c>
    </row>
    <row r="826" spans="5:15">
      <c r="E826" s="2">
        <v>41835</v>
      </c>
      <c r="F826">
        <v>39.015000000000001</v>
      </c>
      <c r="G826">
        <v>6547966</v>
      </c>
      <c r="M826" s="2">
        <v>41849</v>
      </c>
      <c r="N826">
        <v>40.003399999999999</v>
      </c>
      <c r="O826">
        <v>40.003399999999999</v>
      </c>
    </row>
    <row r="827" spans="5:15">
      <c r="E827" s="2">
        <v>41834</v>
      </c>
      <c r="F827">
        <v>38.975000000000001</v>
      </c>
      <c r="G827">
        <v>5503306</v>
      </c>
      <c r="M827" s="2">
        <v>41848</v>
      </c>
      <c r="N827">
        <v>40.156999999999996</v>
      </c>
      <c r="O827">
        <v>40.156999999999996</v>
      </c>
    </row>
    <row r="828" spans="5:15">
      <c r="E828" s="2">
        <v>41831</v>
      </c>
      <c r="F828">
        <v>38.645000000000003</v>
      </c>
      <c r="G828">
        <v>5767520</v>
      </c>
      <c r="M828" s="2">
        <v>41845</v>
      </c>
      <c r="N828">
        <v>39.808700000000002</v>
      </c>
      <c r="O828">
        <v>39.808700000000002</v>
      </c>
    </row>
    <row r="829" spans="5:15">
      <c r="E829" s="2">
        <v>41830</v>
      </c>
      <c r="F829">
        <v>38.75</v>
      </c>
      <c r="G829">
        <v>6356956</v>
      </c>
      <c r="M829" s="2">
        <v>41844</v>
      </c>
      <c r="N829">
        <v>40.259500000000003</v>
      </c>
      <c r="O829">
        <v>40.259500000000003</v>
      </c>
    </row>
    <row r="830" spans="5:15">
      <c r="E830" s="2">
        <v>41829</v>
      </c>
      <c r="F830">
        <v>39.344999999999999</v>
      </c>
      <c r="G830">
        <v>7048542</v>
      </c>
      <c r="M830" s="2">
        <v>41843</v>
      </c>
      <c r="N830">
        <v>39.6295</v>
      </c>
      <c r="O830">
        <v>39.6295</v>
      </c>
    </row>
    <row r="831" spans="5:15">
      <c r="E831" s="2">
        <v>41828</v>
      </c>
      <c r="F831">
        <v>38.835000000000001</v>
      </c>
      <c r="G831">
        <v>8056876</v>
      </c>
      <c r="M831" s="2">
        <v>41842</v>
      </c>
      <c r="N831">
        <v>39.4604</v>
      </c>
      <c r="O831">
        <v>39.4604</v>
      </c>
    </row>
    <row r="832" spans="5:15">
      <c r="E832" s="2">
        <v>41827</v>
      </c>
      <c r="F832">
        <v>39.325000000000003</v>
      </c>
      <c r="G832">
        <v>5464806</v>
      </c>
      <c r="M832" s="2">
        <v>41841</v>
      </c>
      <c r="N832">
        <v>39.347700000000003</v>
      </c>
      <c r="O832">
        <v>39.347700000000003</v>
      </c>
    </row>
    <row r="833" spans="5:15">
      <c r="E833" s="2">
        <v>41823</v>
      </c>
      <c r="F833">
        <v>39.225000000000001</v>
      </c>
      <c r="G833">
        <v>4568500</v>
      </c>
      <c r="M833" s="2">
        <v>41838</v>
      </c>
      <c r="N833">
        <v>39.706299999999999</v>
      </c>
      <c r="O833">
        <v>39.706299999999999</v>
      </c>
    </row>
    <row r="834" spans="5:15">
      <c r="E834" s="2">
        <v>41822</v>
      </c>
      <c r="F834">
        <v>38.895000000000003</v>
      </c>
      <c r="G834">
        <v>5577522</v>
      </c>
      <c r="M834" s="2">
        <v>41837</v>
      </c>
      <c r="N834">
        <v>39.199199999999998</v>
      </c>
      <c r="O834">
        <v>39.199199999999998</v>
      </c>
    </row>
    <row r="835" spans="5:15">
      <c r="E835" s="2">
        <v>41821</v>
      </c>
      <c r="F835">
        <v>39</v>
      </c>
      <c r="G835">
        <v>7129814</v>
      </c>
      <c r="M835" s="2">
        <v>41836</v>
      </c>
      <c r="N835">
        <v>39.399000000000001</v>
      </c>
      <c r="O835">
        <v>39.399000000000001</v>
      </c>
    </row>
    <row r="836" spans="5:15">
      <c r="E836" s="2">
        <v>41820</v>
      </c>
      <c r="F836">
        <v>38.774999999999999</v>
      </c>
      <c r="G836">
        <v>8538802</v>
      </c>
      <c r="M836" s="2">
        <v>41835</v>
      </c>
      <c r="N836">
        <v>39.967500000000001</v>
      </c>
      <c r="O836">
        <v>39.967500000000001</v>
      </c>
    </row>
    <row r="837" spans="5:15">
      <c r="E837" s="2">
        <v>41817</v>
      </c>
      <c r="F837">
        <v>38.840000000000003</v>
      </c>
      <c r="G837">
        <v>18142240</v>
      </c>
      <c r="M837" s="2">
        <v>41834</v>
      </c>
      <c r="N837">
        <v>39.926499999999997</v>
      </c>
      <c r="O837">
        <v>39.926499999999997</v>
      </c>
    </row>
    <row r="838" spans="5:15">
      <c r="E838" s="2">
        <v>41816</v>
      </c>
      <c r="F838">
        <v>38.43</v>
      </c>
      <c r="G838">
        <v>10522660</v>
      </c>
      <c r="M838" s="2">
        <v>41831</v>
      </c>
      <c r="N838">
        <v>39.588500000000003</v>
      </c>
      <c r="O838">
        <v>39.588500000000003</v>
      </c>
    </row>
    <row r="839" spans="5:15">
      <c r="E839" s="2">
        <v>41815</v>
      </c>
      <c r="F839">
        <v>38.234999999999999</v>
      </c>
      <c r="G839">
        <v>7172136</v>
      </c>
      <c r="M839" s="2">
        <v>41830</v>
      </c>
      <c r="N839">
        <v>39.695999999999998</v>
      </c>
      <c r="O839">
        <v>39.695999999999998</v>
      </c>
    </row>
    <row r="840" spans="5:15">
      <c r="E840" s="2">
        <v>41814</v>
      </c>
      <c r="F840">
        <v>37.49</v>
      </c>
      <c r="G840">
        <v>7616964</v>
      </c>
      <c r="M840" s="2">
        <v>41829</v>
      </c>
      <c r="N840">
        <v>40.305599999999998</v>
      </c>
      <c r="O840">
        <v>40.305599999999998</v>
      </c>
    </row>
    <row r="841" spans="5:15">
      <c r="E841" s="2">
        <v>41813</v>
      </c>
      <c r="F841">
        <v>37.725000000000001</v>
      </c>
      <c r="G841">
        <v>9069278</v>
      </c>
      <c r="M841" s="2">
        <v>41828</v>
      </c>
      <c r="N841">
        <v>39.783099999999997</v>
      </c>
      <c r="O841">
        <v>39.783099999999997</v>
      </c>
    </row>
    <row r="842" spans="5:15">
      <c r="E842" s="2">
        <v>41810</v>
      </c>
      <c r="F842">
        <v>37.549999999999997</v>
      </c>
      <c r="G842">
        <v>11385672</v>
      </c>
      <c r="M842" s="2">
        <v>41827</v>
      </c>
      <c r="N842">
        <v>40.2851</v>
      </c>
      <c r="O842">
        <v>40.2851</v>
      </c>
    </row>
    <row r="843" spans="5:15">
      <c r="E843" s="2">
        <v>41809</v>
      </c>
      <c r="F843">
        <v>37.82</v>
      </c>
      <c r="G843">
        <v>4977664</v>
      </c>
      <c r="M843" s="2">
        <v>41823</v>
      </c>
      <c r="N843">
        <v>40.182600000000001</v>
      </c>
      <c r="O843">
        <v>40.182600000000001</v>
      </c>
    </row>
    <row r="844" spans="5:15">
      <c r="E844" s="2">
        <v>41808</v>
      </c>
      <c r="F844">
        <v>38.104999999999997</v>
      </c>
      <c r="G844">
        <v>9852222</v>
      </c>
      <c r="M844" s="2">
        <v>41822</v>
      </c>
      <c r="N844">
        <v>39.8446</v>
      </c>
      <c r="O844">
        <v>39.8446</v>
      </c>
    </row>
    <row r="845" spans="5:15">
      <c r="E845" s="2">
        <v>41807</v>
      </c>
      <c r="F845">
        <v>37.545000000000002</v>
      </c>
      <c r="G845">
        <v>6122274</v>
      </c>
      <c r="M845" s="2">
        <v>41821</v>
      </c>
      <c r="N845">
        <v>39.952199999999998</v>
      </c>
      <c r="O845">
        <v>39.952199999999998</v>
      </c>
    </row>
    <row r="846" spans="5:15">
      <c r="E846" s="2">
        <v>41806</v>
      </c>
      <c r="F846">
        <v>37.274999999999999</v>
      </c>
      <c r="G846">
        <v>6531480</v>
      </c>
      <c r="M846" s="2">
        <v>41820</v>
      </c>
      <c r="N846">
        <v>39.721699999999998</v>
      </c>
      <c r="O846">
        <v>39.721699999999998</v>
      </c>
    </row>
    <row r="847" spans="5:15">
      <c r="E847" s="2">
        <v>41803</v>
      </c>
      <c r="F847">
        <v>37.31</v>
      </c>
      <c r="G847">
        <v>7712158</v>
      </c>
      <c r="M847" s="2">
        <v>41817</v>
      </c>
      <c r="N847">
        <v>39.788200000000003</v>
      </c>
      <c r="O847">
        <v>39.788200000000003</v>
      </c>
    </row>
    <row r="848" spans="5:15">
      <c r="E848" s="2">
        <v>41802</v>
      </c>
      <c r="F848">
        <v>37.384999999999998</v>
      </c>
      <c r="G848">
        <v>6330580</v>
      </c>
      <c r="M848" s="2">
        <v>41816</v>
      </c>
      <c r="N848">
        <v>39.368200000000002</v>
      </c>
      <c r="O848">
        <v>39.368200000000002</v>
      </c>
    </row>
    <row r="849" spans="5:15">
      <c r="E849" s="2">
        <v>41801</v>
      </c>
      <c r="F849">
        <v>37.57</v>
      </c>
      <c r="G849">
        <v>9249944</v>
      </c>
      <c r="M849" s="2">
        <v>41815</v>
      </c>
      <c r="N849">
        <v>39.168500000000002</v>
      </c>
      <c r="O849">
        <v>39.168500000000002</v>
      </c>
    </row>
    <row r="850" spans="5:15">
      <c r="E850" s="2">
        <v>41800</v>
      </c>
      <c r="F850">
        <v>38.155000000000001</v>
      </c>
      <c r="G850">
        <v>5152844</v>
      </c>
      <c r="M850" s="2">
        <v>41814</v>
      </c>
      <c r="N850">
        <v>38.405299999999997</v>
      </c>
      <c r="O850">
        <v>38.405299999999997</v>
      </c>
    </row>
    <row r="851" spans="5:15">
      <c r="E851" s="2">
        <v>41799</v>
      </c>
      <c r="F851">
        <v>38.335000000000001</v>
      </c>
      <c r="G851">
        <v>5028680</v>
      </c>
      <c r="M851" s="2">
        <v>41813</v>
      </c>
      <c r="N851">
        <v>38.646000000000001</v>
      </c>
      <c r="O851">
        <v>38.646000000000001</v>
      </c>
    </row>
    <row r="852" spans="5:15">
      <c r="E852" s="2">
        <v>41796</v>
      </c>
      <c r="F852">
        <v>38.115000000000002</v>
      </c>
      <c r="G852">
        <v>6637666</v>
      </c>
      <c r="M852" s="2">
        <v>41810</v>
      </c>
      <c r="N852">
        <v>38.466799999999999</v>
      </c>
      <c r="O852">
        <v>38.466799999999999</v>
      </c>
    </row>
    <row r="853" spans="5:15">
      <c r="E853" s="2">
        <v>41795</v>
      </c>
      <c r="F853">
        <v>37.935000000000002</v>
      </c>
      <c r="G853">
        <v>7345504</v>
      </c>
      <c r="M853" s="2">
        <v>41809</v>
      </c>
      <c r="N853">
        <v>38.743299999999998</v>
      </c>
      <c r="O853">
        <v>38.743299999999998</v>
      </c>
    </row>
    <row r="854" spans="5:15">
      <c r="E854" s="2">
        <v>41794</v>
      </c>
      <c r="F854">
        <v>38.064999999999998</v>
      </c>
      <c r="G854">
        <v>7356868</v>
      </c>
      <c r="M854" s="2">
        <v>41808</v>
      </c>
      <c r="N854">
        <v>39.035299999999999</v>
      </c>
      <c r="O854">
        <v>39.035299999999999</v>
      </c>
    </row>
    <row r="855" spans="5:15">
      <c r="E855" s="2">
        <v>41793</v>
      </c>
      <c r="F855">
        <v>37.774999999999999</v>
      </c>
      <c r="G855">
        <v>6793492</v>
      </c>
      <c r="M855" s="2">
        <v>41807</v>
      </c>
      <c r="N855">
        <v>38.461599999999997</v>
      </c>
      <c r="O855">
        <v>38.461599999999997</v>
      </c>
    </row>
    <row r="856" spans="5:15">
      <c r="E856" s="2">
        <v>41792</v>
      </c>
      <c r="F856">
        <v>38.36</v>
      </c>
      <c r="G856">
        <v>3826488</v>
      </c>
      <c r="M856" s="2">
        <v>41806</v>
      </c>
      <c r="N856">
        <v>38.185000000000002</v>
      </c>
      <c r="O856">
        <v>38.185000000000002</v>
      </c>
    </row>
    <row r="857" spans="5:15">
      <c r="E857" s="2">
        <v>41789</v>
      </c>
      <c r="F857">
        <v>38.454999999999998</v>
      </c>
      <c r="G857">
        <v>5192378</v>
      </c>
      <c r="M857" s="2">
        <v>41803</v>
      </c>
      <c r="N857">
        <v>38.2209</v>
      </c>
      <c r="O857">
        <v>38.2209</v>
      </c>
    </row>
    <row r="858" spans="5:15">
      <c r="E858" s="2">
        <v>41788</v>
      </c>
      <c r="F858">
        <v>38.19</v>
      </c>
      <c r="G858">
        <v>3987550</v>
      </c>
      <c r="M858" s="2">
        <v>41802</v>
      </c>
      <c r="N858">
        <v>38.297699999999999</v>
      </c>
      <c r="O858">
        <v>38.297699999999999</v>
      </c>
    </row>
    <row r="859" spans="5:15">
      <c r="E859" s="2">
        <v>41787</v>
      </c>
      <c r="F859">
        <v>38.134999999999998</v>
      </c>
      <c r="G859">
        <v>4749234</v>
      </c>
      <c r="M859" s="2">
        <v>41801</v>
      </c>
      <c r="N859">
        <v>38.487200000000001</v>
      </c>
      <c r="O859">
        <v>38.487200000000001</v>
      </c>
    </row>
    <row r="860" spans="5:15">
      <c r="E860" s="2">
        <v>41786</v>
      </c>
      <c r="F860">
        <v>38.305</v>
      </c>
      <c r="G860">
        <v>6698076</v>
      </c>
      <c r="M860" s="2">
        <v>41800</v>
      </c>
      <c r="N860">
        <v>39.086500000000001</v>
      </c>
      <c r="O860">
        <v>39.086500000000001</v>
      </c>
    </row>
    <row r="861" spans="5:15">
      <c r="E861" s="2">
        <v>41782</v>
      </c>
      <c r="F861">
        <v>37.924999999999997</v>
      </c>
      <c r="G861">
        <v>7335230</v>
      </c>
      <c r="M861" s="2">
        <v>41799</v>
      </c>
      <c r="N861">
        <v>39.270899999999997</v>
      </c>
      <c r="O861">
        <v>39.270899999999997</v>
      </c>
    </row>
    <row r="862" spans="5:15">
      <c r="E862" s="2">
        <v>41781</v>
      </c>
      <c r="F862">
        <v>37.44</v>
      </c>
      <c r="G862">
        <v>4866302</v>
      </c>
      <c r="M862" s="2">
        <v>41796</v>
      </c>
      <c r="N862">
        <v>39.045499999999997</v>
      </c>
      <c r="O862">
        <v>39.045499999999997</v>
      </c>
    </row>
    <row r="863" spans="5:15">
      <c r="E863" s="2">
        <v>41780</v>
      </c>
      <c r="F863">
        <v>37.104999999999997</v>
      </c>
      <c r="G863">
        <v>4671898</v>
      </c>
      <c r="M863" s="2">
        <v>41795</v>
      </c>
      <c r="N863">
        <v>38.861199999999997</v>
      </c>
      <c r="O863">
        <v>38.861199999999997</v>
      </c>
    </row>
    <row r="864" spans="5:15">
      <c r="E864" s="2">
        <v>41779</v>
      </c>
      <c r="F864">
        <v>36.630000000000003</v>
      </c>
      <c r="G864">
        <v>5921378</v>
      </c>
      <c r="M864" s="2">
        <v>41794</v>
      </c>
      <c r="N864">
        <v>38.994300000000003</v>
      </c>
      <c r="O864">
        <v>38.994300000000003</v>
      </c>
    </row>
    <row r="865" spans="5:15">
      <c r="E865" s="2">
        <v>41778</v>
      </c>
      <c r="F865">
        <v>37.244999999999997</v>
      </c>
      <c r="G865">
        <v>4682142</v>
      </c>
      <c r="M865" s="2">
        <v>41793</v>
      </c>
      <c r="N865">
        <v>38.697200000000002</v>
      </c>
      <c r="O865">
        <v>38.697200000000002</v>
      </c>
    </row>
    <row r="866" spans="5:15">
      <c r="E866" s="2">
        <v>41775</v>
      </c>
      <c r="F866">
        <v>36.97</v>
      </c>
      <c r="G866">
        <v>5377026</v>
      </c>
      <c r="M866" s="2">
        <v>41792</v>
      </c>
      <c r="N866">
        <v>39.296500000000002</v>
      </c>
      <c r="O866">
        <v>39.296500000000002</v>
      </c>
    </row>
    <row r="867" spans="5:15">
      <c r="E867" s="2">
        <v>41774</v>
      </c>
      <c r="F867">
        <v>36.47</v>
      </c>
      <c r="G867">
        <v>6039798</v>
      </c>
      <c r="M867" s="2">
        <v>41789</v>
      </c>
      <c r="N867">
        <v>39.393799999999999</v>
      </c>
      <c r="O867">
        <v>39.393799999999999</v>
      </c>
    </row>
    <row r="868" spans="5:15">
      <c r="E868" s="2">
        <v>41773</v>
      </c>
      <c r="F868">
        <v>36.79</v>
      </c>
      <c r="G868">
        <v>6283330</v>
      </c>
      <c r="M868" s="2">
        <v>41788</v>
      </c>
      <c r="N868">
        <v>39.122399999999999</v>
      </c>
      <c r="O868">
        <v>39.122399999999999</v>
      </c>
    </row>
    <row r="869" spans="5:15">
      <c r="E869" s="2">
        <v>41772</v>
      </c>
      <c r="F869">
        <v>37.295000000000002</v>
      </c>
      <c r="G869">
        <v>4530112</v>
      </c>
      <c r="M869" s="2">
        <v>41787</v>
      </c>
      <c r="N869">
        <v>38.9437</v>
      </c>
      <c r="O869">
        <v>38.9437</v>
      </c>
    </row>
    <row r="870" spans="5:15">
      <c r="E870" s="2">
        <v>41771</v>
      </c>
      <c r="F870">
        <v>37.314999999999998</v>
      </c>
      <c r="G870">
        <v>6636942</v>
      </c>
      <c r="M870" s="2">
        <v>41786</v>
      </c>
      <c r="N870">
        <v>39.1173</v>
      </c>
      <c r="O870">
        <v>39.1173</v>
      </c>
    </row>
    <row r="871" spans="5:15">
      <c r="E871" s="2">
        <v>41768</v>
      </c>
      <c r="F871">
        <v>36.725000000000001</v>
      </c>
      <c r="G871">
        <v>4817094</v>
      </c>
      <c r="M871" s="2">
        <v>41782</v>
      </c>
      <c r="N871">
        <v>38.729199999999999</v>
      </c>
      <c r="O871">
        <v>38.729199999999999</v>
      </c>
    </row>
    <row r="872" spans="5:15">
      <c r="E872" s="2">
        <v>41767</v>
      </c>
      <c r="F872">
        <v>36.524999999999999</v>
      </c>
      <c r="G872">
        <v>7965266</v>
      </c>
      <c r="M872" s="2">
        <v>41781</v>
      </c>
      <c r="N872">
        <v>38.233899999999998</v>
      </c>
      <c r="O872">
        <v>38.233899999999998</v>
      </c>
    </row>
    <row r="873" spans="5:15">
      <c r="E873" s="2">
        <v>41766</v>
      </c>
      <c r="F873">
        <v>36.090000000000003</v>
      </c>
      <c r="G873">
        <v>5605346</v>
      </c>
      <c r="M873" s="2">
        <v>41780</v>
      </c>
      <c r="N873">
        <v>37.891800000000003</v>
      </c>
      <c r="O873">
        <v>37.891800000000003</v>
      </c>
    </row>
    <row r="874" spans="5:15">
      <c r="E874" s="2">
        <v>41765</v>
      </c>
      <c r="F874">
        <v>36.125</v>
      </c>
      <c r="G874">
        <v>4585112</v>
      </c>
      <c r="M874" s="2">
        <v>41779</v>
      </c>
      <c r="N874">
        <v>37.406799999999997</v>
      </c>
      <c r="O874">
        <v>37.406799999999997</v>
      </c>
    </row>
    <row r="875" spans="5:15">
      <c r="E875" s="2">
        <v>41764</v>
      </c>
      <c r="F875">
        <v>36.645000000000003</v>
      </c>
      <c r="G875">
        <v>4655822</v>
      </c>
      <c r="M875" s="2">
        <v>41778</v>
      </c>
      <c r="N875">
        <v>38.034799999999997</v>
      </c>
      <c r="O875">
        <v>38.034799999999997</v>
      </c>
    </row>
    <row r="876" spans="5:15">
      <c r="E876" s="2">
        <v>41761</v>
      </c>
      <c r="F876">
        <v>36.494999999999997</v>
      </c>
      <c r="G876">
        <v>4048270</v>
      </c>
      <c r="M876" s="2">
        <v>41775</v>
      </c>
      <c r="N876">
        <v>37.753999999999998</v>
      </c>
      <c r="O876">
        <v>37.753999999999998</v>
      </c>
    </row>
    <row r="877" spans="5:15">
      <c r="E877" s="2">
        <v>41760</v>
      </c>
      <c r="F877">
        <v>36.46</v>
      </c>
      <c r="G877">
        <v>4818124</v>
      </c>
      <c r="M877" s="2">
        <v>41774</v>
      </c>
      <c r="N877">
        <v>37.243400000000001</v>
      </c>
      <c r="O877">
        <v>37.243400000000001</v>
      </c>
    </row>
    <row r="878" spans="5:15">
      <c r="E878" s="2">
        <v>41759</v>
      </c>
      <c r="F878">
        <v>36.475000000000001</v>
      </c>
      <c r="G878">
        <v>6174692</v>
      </c>
      <c r="M878" s="2">
        <v>41773</v>
      </c>
      <c r="N878">
        <v>37.570099999999996</v>
      </c>
      <c r="O878">
        <v>37.570099999999996</v>
      </c>
    </row>
    <row r="879" spans="5:15">
      <c r="E879" s="2">
        <v>41758</v>
      </c>
      <c r="F879">
        <v>36.24</v>
      </c>
      <c r="G879">
        <v>6235986</v>
      </c>
      <c r="M879" s="2">
        <v>41772</v>
      </c>
      <c r="N879">
        <v>38.085900000000002</v>
      </c>
      <c r="O879">
        <v>38.085900000000002</v>
      </c>
    </row>
    <row r="880" spans="5:15">
      <c r="E880" s="2">
        <v>41757</v>
      </c>
      <c r="F880">
        <v>35.835000000000001</v>
      </c>
      <c r="G880">
        <v>11446864</v>
      </c>
      <c r="M880" s="2">
        <v>41771</v>
      </c>
      <c r="N880">
        <v>38.106299999999997</v>
      </c>
      <c r="O880">
        <v>38.106299999999997</v>
      </c>
    </row>
    <row r="881" spans="5:15">
      <c r="E881" s="2">
        <v>41754</v>
      </c>
      <c r="F881">
        <v>36.35</v>
      </c>
      <c r="G881">
        <v>6482914</v>
      </c>
      <c r="M881" s="2">
        <v>41768</v>
      </c>
      <c r="N881">
        <v>37.503799999999998</v>
      </c>
      <c r="O881">
        <v>37.503799999999998</v>
      </c>
    </row>
    <row r="882" spans="5:15">
      <c r="E882" s="2">
        <v>41753</v>
      </c>
      <c r="F882">
        <v>36.695</v>
      </c>
      <c r="G882">
        <v>6784518</v>
      </c>
      <c r="M882" s="2">
        <v>41767</v>
      </c>
      <c r="N882">
        <v>37.299500000000002</v>
      </c>
      <c r="O882">
        <v>37.299500000000002</v>
      </c>
    </row>
    <row r="883" spans="5:15">
      <c r="E883" s="2">
        <v>41752</v>
      </c>
      <c r="F883">
        <v>37.049999999999997</v>
      </c>
      <c r="G883">
        <v>4737822</v>
      </c>
      <c r="M883" s="2">
        <v>41766</v>
      </c>
      <c r="N883">
        <v>36.8553</v>
      </c>
      <c r="O883">
        <v>36.8553</v>
      </c>
    </row>
    <row r="884" spans="5:15">
      <c r="E884" s="2">
        <v>41751</v>
      </c>
      <c r="F884">
        <v>37.174999999999997</v>
      </c>
      <c r="G884">
        <v>5136078</v>
      </c>
      <c r="M884" s="2">
        <v>41765</v>
      </c>
      <c r="N884">
        <v>36.890999999999998</v>
      </c>
      <c r="O884">
        <v>36.890999999999998</v>
      </c>
    </row>
    <row r="885" spans="5:15">
      <c r="E885" s="2">
        <v>41750</v>
      </c>
      <c r="F885">
        <v>36.950000000000003</v>
      </c>
      <c r="G885">
        <v>6811838</v>
      </c>
      <c r="M885" s="2">
        <v>41764</v>
      </c>
      <c r="N885">
        <v>37.4221</v>
      </c>
      <c r="O885">
        <v>37.4221</v>
      </c>
    </row>
    <row r="886" spans="5:15">
      <c r="E886" s="2">
        <v>41746</v>
      </c>
      <c r="F886">
        <v>37.015000000000001</v>
      </c>
      <c r="G886">
        <v>9041594</v>
      </c>
      <c r="M886" s="2">
        <v>41761</v>
      </c>
      <c r="N886">
        <v>37.268900000000002</v>
      </c>
      <c r="O886">
        <v>37.268900000000002</v>
      </c>
    </row>
    <row r="887" spans="5:15">
      <c r="E887" s="2">
        <v>41745</v>
      </c>
      <c r="F887">
        <v>36.549999999999997</v>
      </c>
      <c r="G887">
        <v>4613326</v>
      </c>
      <c r="M887" s="2">
        <v>41760</v>
      </c>
      <c r="N887">
        <v>37.2331</v>
      </c>
      <c r="O887">
        <v>37.2331</v>
      </c>
    </row>
    <row r="888" spans="5:15">
      <c r="E888" s="2">
        <v>41744</v>
      </c>
      <c r="F888">
        <v>36.14</v>
      </c>
      <c r="G888">
        <v>7777444</v>
      </c>
      <c r="M888" s="2">
        <v>41759</v>
      </c>
      <c r="N888">
        <v>37.2485</v>
      </c>
      <c r="O888">
        <v>37.2485</v>
      </c>
    </row>
    <row r="889" spans="5:15">
      <c r="E889" s="2">
        <v>41743</v>
      </c>
      <c r="F889">
        <v>36.19</v>
      </c>
      <c r="G889">
        <v>7264770</v>
      </c>
      <c r="M889" s="2">
        <v>41758</v>
      </c>
      <c r="N889">
        <v>37.008499999999998</v>
      </c>
      <c r="O889">
        <v>37.008499999999998</v>
      </c>
    </row>
    <row r="890" spans="5:15">
      <c r="E890" s="2">
        <v>41740</v>
      </c>
      <c r="F890">
        <v>35.625</v>
      </c>
      <c r="G890">
        <v>8698526</v>
      </c>
      <c r="M890" s="2">
        <v>41757</v>
      </c>
      <c r="N890">
        <v>36.594900000000003</v>
      </c>
      <c r="O890">
        <v>36.594900000000003</v>
      </c>
    </row>
    <row r="891" spans="5:15">
      <c r="E891" s="2">
        <v>41739</v>
      </c>
      <c r="F891">
        <v>36.225000000000001</v>
      </c>
      <c r="G891">
        <v>8376572</v>
      </c>
      <c r="M891" s="2">
        <v>41754</v>
      </c>
      <c r="N891">
        <v>37.120800000000003</v>
      </c>
      <c r="O891">
        <v>37.120800000000003</v>
      </c>
    </row>
    <row r="892" spans="5:15">
      <c r="E892" s="2">
        <v>41738</v>
      </c>
      <c r="F892">
        <v>36.78</v>
      </c>
      <c r="G892">
        <v>7078436</v>
      </c>
      <c r="M892" s="2">
        <v>41753</v>
      </c>
      <c r="N892">
        <v>37.473100000000002</v>
      </c>
      <c r="O892">
        <v>37.473100000000002</v>
      </c>
    </row>
    <row r="893" spans="5:15">
      <c r="E893" s="2">
        <v>41737</v>
      </c>
      <c r="F893">
        <v>36.46</v>
      </c>
      <c r="G893">
        <v>12659534</v>
      </c>
      <c r="M893" s="2">
        <v>41752</v>
      </c>
      <c r="N893">
        <v>37.835700000000003</v>
      </c>
      <c r="O893">
        <v>37.835700000000003</v>
      </c>
    </row>
    <row r="894" spans="5:15">
      <c r="E894" s="2">
        <v>41736</v>
      </c>
      <c r="F894">
        <v>35.414999999999999</v>
      </c>
      <c r="G894">
        <v>13853874</v>
      </c>
      <c r="M894" s="2">
        <v>41751</v>
      </c>
      <c r="N894">
        <v>37.963299999999997</v>
      </c>
      <c r="O894">
        <v>37.963299999999997</v>
      </c>
    </row>
    <row r="895" spans="5:15">
      <c r="E895" s="2">
        <v>41733</v>
      </c>
      <c r="F895">
        <v>36.42</v>
      </c>
      <c r="G895">
        <v>9730242</v>
      </c>
      <c r="M895" s="2">
        <v>41750</v>
      </c>
      <c r="N895">
        <v>37.733499999999999</v>
      </c>
      <c r="O895">
        <v>37.733499999999999</v>
      </c>
    </row>
    <row r="896" spans="5:15">
      <c r="E896" s="2">
        <v>41732</v>
      </c>
      <c r="F896">
        <v>36.994999999999997</v>
      </c>
      <c r="G896">
        <v>8254934</v>
      </c>
      <c r="M896" s="2">
        <v>41746</v>
      </c>
      <c r="N896">
        <v>37.799900000000001</v>
      </c>
      <c r="O896">
        <v>37.799900000000001</v>
      </c>
    </row>
    <row r="897" spans="5:15">
      <c r="E897" s="2">
        <v>41731</v>
      </c>
      <c r="F897">
        <v>37.270000000000003</v>
      </c>
      <c r="G897">
        <v>7614620</v>
      </c>
      <c r="M897" s="2">
        <v>41745</v>
      </c>
      <c r="N897">
        <v>37.325099999999999</v>
      </c>
      <c r="O897">
        <v>37.325099999999999</v>
      </c>
    </row>
    <row r="898" spans="5:15">
      <c r="E898" s="2">
        <v>41730</v>
      </c>
      <c r="F898">
        <v>37.195</v>
      </c>
      <c r="G898">
        <v>7407620</v>
      </c>
      <c r="M898" s="2">
        <v>41744</v>
      </c>
      <c r="N898">
        <v>36.906399999999998</v>
      </c>
      <c r="O898">
        <v>36.906399999999998</v>
      </c>
    </row>
    <row r="899" spans="5:15">
      <c r="E899" s="2">
        <v>41729</v>
      </c>
      <c r="F899">
        <v>36.93</v>
      </c>
      <c r="G899">
        <v>6356670</v>
      </c>
      <c r="M899" s="2">
        <v>41743</v>
      </c>
      <c r="N899">
        <v>36.9574</v>
      </c>
      <c r="O899">
        <v>36.9574</v>
      </c>
    </row>
    <row r="900" spans="5:15">
      <c r="E900" s="2">
        <v>41726</v>
      </c>
      <c r="F900">
        <v>36.770000000000003</v>
      </c>
      <c r="G900">
        <v>5987044</v>
      </c>
      <c r="M900" s="2">
        <v>41740</v>
      </c>
      <c r="N900">
        <v>36.380400000000002</v>
      </c>
      <c r="O900">
        <v>36.380400000000002</v>
      </c>
    </row>
    <row r="901" spans="5:15">
      <c r="E901" s="2">
        <v>41725</v>
      </c>
      <c r="F901">
        <v>36.659999999999997</v>
      </c>
      <c r="G901">
        <v>8158684</v>
      </c>
      <c r="M901" s="2">
        <v>41739</v>
      </c>
      <c r="N901">
        <v>36.993200000000002</v>
      </c>
      <c r="O901">
        <v>36.993200000000002</v>
      </c>
    </row>
    <row r="902" spans="5:15">
      <c r="E902" s="2">
        <v>41724</v>
      </c>
      <c r="F902">
        <v>36.61</v>
      </c>
      <c r="G902">
        <v>8543902</v>
      </c>
      <c r="M902" s="2">
        <v>41738</v>
      </c>
      <c r="N902">
        <v>37.559899999999999</v>
      </c>
      <c r="O902">
        <v>37.559899999999999</v>
      </c>
    </row>
    <row r="903" spans="5:15">
      <c r="E903" s="2">
        <v>41723</v>
      </c>
      <c r="F903">
        <v>36.825000000000003</v>
      </c>
      <c r="G903">
        <v>10529380</v>
      </c>
      <c r="M903" s="2">
        <v>41737</v>
      </c>
      <c r="N903">
        <v>37.2331</v>
      </c>
      <c r="O903">
        <v>37.2331</v>
      </c>
    </row>
    <row r="904" spans="5:15">
      <c r="E904" s="2">
        <v>41722</v>
      </c>
      <c r="F904">
        <v>37.43</v>
      </c>
      <c r="G904">
        <v>10002094</v>
      </c>
      <c r="M904" s="2">
        <v>41736</v>
      </c>
      <c r="N904">
        <v>36.165999999999997</v>
      </c>
      <c r="O904">
        <v>36.165999999999997</v>
      </c>
    </row>
    <row r="905" spans="5:15">
      <c r="E905" s="2">
        <v>41719</v>
      </c>
      <c r="F905">
        <v>37.604999999999997</v>
      </c>
      <c r="G905">
        <v>31787072</v>
      </c>
      <c r="M905" s="2">
        <v>41733</v>
      </c>
      <c r="N905">
        <v>37.192300000000003</v>
      </c>
      <c r="O905">
        <v>37.192300000000003</v>
      </c>
    </row>
    <row r="906" spans="5:15">
      <c r="E906" s="2">
        <v>41718</v>
      </c>
      <c r="F906">
        <v>39.634999999999998</v>
      </c>
      <c r="G906">
        <v>12440636</v>
      </c>
      <c r="M906" s="2">
        <v>41732</v>
      </c>
      <c r="N906">
        <v>37.779499999999999</v>
      </c>
      <c r="O906">
        <v>37.779499999999999</v>
      </c>
    </row>
    <row r="907" spans="5:15">
      <c r="E907" s="2">
        <v>41717</v>
      </c>
      <c r="F907">
        <v>39.575000000000003</v>
      </c>
      <c r="G907">
        <v>5970302</v>
      </c>
      <c r="M907" s="2">
        <v>41731</v>
      </c>
      <c r="N907">
        <v>38.060299999999998</v>
      </c>
      <c r="O907">
        <v>38.060299999999998</v>
      </c>
    </row>
    <row r="908" spans="5:15">
      <c r="E908" s="2">
        <v>41716</v>
      </c>
      <c r="F908">
        <v>39.82</v>
      </c>
      <c r="G908">
        <v>8245394</v>
      </c>
      <c r="M908" s="2">
        <v>41730</v>
      </c>
      <c r="N908">
        <v>37.983699999999999</v>
      </c>
      <c r="O908">
        <v>37.983699999999999</v>
      </c>
    </row>
    <row r="909" spans="5:15">
      <c r="E909" s="2">
        <v>41715</v>
      </c>
      <c r="F909">
        <v>39.49</v>
      </c>
      <c r="G909">
        <v>8580336</v>
      </c>
      <c r="M909" s="2">
        <v>41729</v>
      </c>
      <c r="N909">
        <v>37.713099999999997</v>
      </c>
      <c r="O909">
        <v>37.713099999999997</v>
      </c>
    </row>
    <row r="910" spans="5:15">
      <c r="E910" s="2">
        <v>41712</v>
      </c>
      <c r="F910">
        <v>39.159999999999997</v>
      </c>
      <c r="G910">
        <v>6086540</v>
      </c>
      <c r="M910" s="2">
        <v>41726</v>
      </c>
      <c r="N910">
        <v>37.549700000000001</v>
      </c>
      <c r="O910">
        <v>37.549700000000001</v>
      </c>
    </row>
    <row r="911" spans="5:15">
      <c r="E911" s="2">
        <v>41711</v>
      </c>
      <c r="F911">
        <v>39.265000000000001</v>
      </c>
      <c r="G911">
        <v>8400450</v>
      </c>
      <c r="M911" s="2">
        <v>41725</v>
      </c>
      <c r="N911">
        <v>37.437399999999997</v>
      </c>
      <c r="O911">
        <v>37.437399999999997</v>
      </c>
    </row>
    <row r="912" spans="5:15">
      <c r="E912" s="2">
        <v>41710</v>
      </c>
      <c r="F912">
        <v>39.484999999999999</v>
      </c>
      <c r="G912">
        <v>4297346</v>
      </c>
      <c r="M912" s="2">
        <v>41724</v>
      </c>
      <c r="N912">
        <v>37.386299999999999</v>
      </c>
      <c r="O912">
        <v>37.386299999999999</v>
      </c>
    </row>
    <row r="913" spans="5:15">
      <c r="E913" s="2">
        <v>41709</v>
      </c>
      <c r="F913">
        <v>39.4</v>
      </c>
      <c r="G913">
        <v>4907242</v>
      </c>
      <c r="M913" s="2">
        <v>41723</v>
      </c>
      <c r="N913">
        <v>37.605899999999998</v>
      </c>
      <c r="O913">
        <v>37.605899999999998</v>
      </c>
    </row>
    <row r="914" spans="5:15">
      <c r="E914" s="2">
        <v>41708</v>
      </c>
      <c r="F914">
        <v>39.49</v>
      </c>
      <c r="G914">
        <v>5344448</v>
      </c>
      <c r="M914" s="2">
        <v>41722</v>
      </c>
      <c r="N914">
        <v>38.223700000000001</v>
      </c>
      <c r="O914">
        <v>38.223700000000001</v>
      </c>
    </row>
    <row r="915" spans="5:15">
      <c r="E915" s="2">
        <v>41705</v>
      </c>
      <c r="F915">
        <v>39.729999999999997</v>
      </c>
      <c r="G915">
        <v>8930880</v>
      </c>
      <c r="M915" s="2">
        <v>41719</v>
      </c>
      <c r="N915">
        <v>38.4024</v>
      </c>
      <c r="O915">
        <v>38.4024</v>
      </c>
    </row>
    <row r="916" spans="5:15">
      <c r="E916" s="2">
        <v>41704</v>
      </c>
      <c r="F916">
        <v>39.11</v>
      </c>
      <c r="G916">
        <v>5537940</v>
      </c>
      <c r="M916" s="2">
        <v>41718</v>
      </c>
      <c r="N916">
        <v>40.475499999999997</v>
      </c>
      <c r="O916">
        <v>40.475499999999997</v>
      </c>
    </row>
    <row r="917" spans="5:15">
      <c r="E917" s="2">
        <v>41703</v>
      </c>
      <c r="F917">
        <v>38.71</v>
      </c>
      <c r="G917">
        <v>6733758</v>
      </c>
      <c r="M917" s="2">
        <v>41717</v>
      </c>
      <c r="N917">
        <v>40.414200000000001</v>
      </c>
      <c r="O917">
        <v>40.414200000000001</v>
      </c>
    </row>
    <row r="918" spans="5:15">
      <c r="E918" s="2">
        <v>41702</v>
      </c>
      <c r="F918">
        <v>39.31</v>
      </c>
      <c r="G918">
        <v>5661616</v>
      </c>
      <c r="M918" s="2">
        <v>41716</v>
      </c>
      <c r="N918">
        <v>40.664400000000001</v>
      </c>
      <c r="O918">
        <v>40.664400000000001</v>
      </c>
    </row>
    <row r="919" spans="5:15">
      <c r="E919" s="2">
        <v>41701</v>
      </c>
      <c r="F919">
        <v>38.695</v>
      </c>
      <c r="G919">
        <v>6069112</v>
      </c>
      <c r="M919" s="2">
        <v>41715</v>
      </c>
      <c r="N919">
        <v>40.327399999999997</v>
      </c>
      <c r="O919">
        <v>40.327399999999997</v>
      </c>
    </row>
    <row r="920" spans="5:15">
      <c r="E920" s="2">
        <v>41698</v>
      </c>
      <c r="F920">
        <v>39.15</v>
      </c>
      <c r="G920">
        <v>6876614</v>
      </c>
      <c r="M920" s="2">
        <v>41712</v>
      </c>
      <c r="N920">
        <v>39.990400000000001</v>
      </c>
      <c r="O920">
        <v>39.990400000000001</v>
      </c>
    </row>
    <row r="921" spans="5:15">
      <c r="E921" s="2">
        <v>41697</v>
      </c>
      <c r="F921">
        <v>39.01</v>
      </c>
      <c r="G921">
        <v>6599430</v>
      </c>
      <c r="M921" s="2">
        <v>41711</v>
      </c>
      <c r="N921">
        <v>40.0976</v>
      </c>
      <c r="O921">
        <v>40.0976</v>
      </c>
    </row>
    <row r="922" spans="5:15">
      <c r="E922" s="2">
        <v>41696</v>
      </c>
      <c r="F922">
        <v>39.21</v>
      </c>
      <c r="G922">
        <v>7918668</v>
      </c>
      <c r="M922" s="2">
        <v>41710</v>
      </c>
      <c r="N922">
        <v>40.322299999999998</v>
      </c>
      <c r="O922">
        <v>40.322299999999998</v>
      </c>
    </row>
    <row r="923" spans="5:15">
      <c r="E923" s="2">
        <v>41695</v>
      </c>
      <c r="F923">
        <v>39.055</v>
      </c>
      <c r="G923">
        <v>6844588</v>
      </c>
      <c r="M923" s="2">
        <v>41709</v>
      </c>
      <c r="N923">
        <v>40.235500000000002</v>
      </c>
      <c r="O923">
        <v>40.235500000000002</v>
      </c>
    </row>
    <row r="924" spans="5:15">
      <c r="E924" s="2">
        <v>41694</v>
      </c>
      <c r="F924">
        <v>38.92</v>
      </c>
      <c r="G924">
        <v>11090816</v>
      </c>
      <c r="M924" s="2">
        <v>41708</v>
      </c>
      <c r="N924">
        <v>40.327399999999997</v>
      </c>
      <c r="O924">
        <v>40.327399999999997</v>
      </c>
    </row>
    <row r="925" spans="5:15">
      <c r="E925" s="2">
        <v>41691</v>
      </c>
      <c r="F925">
        <v>38.24</v>
      </c>
      <c r="G925">
        <v>8728528</v>
      </c>
      <c r="M925" s="2">
        <v>41705</v>
      </c>
      <c r="N925">
        <v>40.572499999999998</v>
      </c>
      <c r="O925">
        <v>40.572499999999998</v>
      </c>
    </row>
    <row r="926" spans="5:15">
      <c r="E926" s="2">
        <v>41690</v>
      </c>
      <c r="F926">
        <v>37.79</v>
      </c>
      <c r="G926">
        <v>5581594</v>
      </c>
      <c r="M926" s="2">
        <v>41704</v>
      </c>
      <c r="N926">
        <v>39.939300000000003</v>
      </c>
      <c r="O926">
        <v>39.939300000000003</v>
      </c>
    </row>
    <row r="927" spans="5:15">
      <c r="E927" s="2">
        <v>41689</v>
      </c>
      <c r="F927">
        <v>37.409999999999997</v>
      </c>
      <c r="G927">
        <v>5401484</v>
      </c>
      <c r="M927" s="2">
        <v>41703</v>
      </c>
      <c r="N927">
        <v>39.530900000000003</v>
      </c>
      <c r="O927">
        <v>39.530900000000003</v>
      </c>
    </row>
    <row r="928" spans="5:15">
      <c r="E928" s="2">
        <v>41688</v>
      </c>
      <c r="F928">
        <v>37.604999999999997</v>
      </c>
      <c r="G928">
        <v>5935698</v>
      </c>
      <c r="M928" s="2">
        <v>41702</v>
      </c>
      <c r="N928">
        <v>40.143599999999999</v>
      </c>
      <c r="O928">
        <v>40.143599999999999</v>
      </c>
    </row>
    <row r="929" spans="5:15">
      <c r="E929" s="2">
        <v>41684</v>
      </c>
      <c r="F929">
        <v>37.534999999999997</v>
      </c>
      <c r="G929">
        <v>6211156</v>
      </c>
      <c r="M929" s="2">
        <v>41701</v>
      </c>
      <c r="N929">
        <v>39.515500000000003</v>
      </c>
      <c r="O929">
        <v>39.515500000000003</v>
      </c>
    </row>
    <row r="930" spans="5:15">
      <c r="E930" s="2">
        <v>41683</v>
      </c>
      <c r="F930">
        <v>37.435000000000002</v>
      </c>
      <c r="G930">
        <v>6168760</v>
      </c>
      <c r="M930" s="2">
        <v>41698</v>
      </c>
      <c r="N930">
        <v>39.980199999999996</v>
      </c>
      <c r="O930">
        <v>39.980199999999996</v>
      </c>
    </row>
    <row r="931" spans="5:15">
      <c r="E931" s="2">
        <v>41682</v>
      </c>
      <c r="F931">
        <v>37.055</v>
      </c>
      <c r="G931">
        <v>6396304</v>
      </c>
      <c r="M931" s="2">
        <v>41697</v>
      </c>
      <c r="N931">
        <v>39.837200000000003</v>
      </c>
      <c r="O931">
        <v>39.837200000000003</v>
      </c>
    </row>
    <row r="932" spans="5:15">
      <c r="E932" s="2">
        <v>41681</v>
      </c>
      <c r="F932">
        <v>36.99</v>
      </c>
      <c r="G932">
        <v>8754260</v>
      </c>
      <c r="M932" s="2">
        <v>41696</v>
      </c>
      <c r="N932">
        <v>39.918700000000001</v>
      </c>
      <c r="O932">
        <v>39.918700000000001</v>
      </c>
    </row>
    <row r="933" spans="5:15">
      <c r="E933" s="2">
        <v>41680</v>
      </c>
      <c r="F933">
        <v>36.335000000000001</v>
      </c>
      <c r="G933">
        <v>6430536</v>
      </c>
      <c r="M933" s="2">
        <v>41695</v>
      </c>
      <c r="N933">
        <v>39.760899999999999</v>
      </c>
      <c r="O933">
        <v>39.760899999999999</v>
      </c>
    </row>
    <row r="934" spans="5:15">
      <c r="E934" s="2">
        <v>41677</v>
      </c>
      <c r="F934">
        <v>36.344999999999999</v>
      </c>
      <c r="G934">
        <v>6988704</v>
      </c>
      <c r="M934" s="2">
        <v>41694</v>
      </c>
      <c r="N934">
        <v>39.623399999999997</v>
      </c>
      <c r="O934">
        <v>39.623399999999997</v>
      </c>
    </row>
    <row r="935" spans="5:15">
      <c r="E935" s="2">
        <v>41676</v>
      </c>
      <c r="F935">
        <v>35.755000000000003</v>
      </c>
      <c r="G935">
        <v>7359296</v>
      </c>
      <c r="M935" s="2">
        <v>41691</v>
      </c>
      <c r="N935">
        <v>38.931100000000001</v>
      </c>
      <c r="O935">
        <v>38.931100000000001</v>
      </c>
    </row>
    <row r="936" spans="5:15">
      <c r="E936" s="2">
        <v>41675</v>
      </c>
      <c r="F936">
        <v>35.299999999999997</v>
      </c>
      <c r="G936">
        <v>7368688</v>
      </c>
      <c r="M936" s="2">
        <v>41690</v>
      </c>
      <c r="N936">
        <v>38.472999999999999</v>
      </c>
      <c r="O936">
        <v>38.472999999999999</v>
      </c>
    </row>
    <row r="937" spans="5:15">
      <c r="E937" s="2">
        <v>41674</v>
      </c>
      <c r="F937">
        <v>35.255000000000003</v>
      </c>
      <c r="G937">
        <v>7004194</v>
      </c>
      <c r="M937" s="2">
        <v>41689</v>
      </c>
      <c r="N937">
        <v>38.086100000000002</v>
      </c>
      <c r="O937">
        <v>38.086100000000002</v>
      </c>
    </row>
    <row r="938" spans="5:15">
      <c r="E938" s="2">
        <v>41673</v>
      </c>
      <c r="F938">
        <v>35.44</v>
      </c>
      <c r="G938">
        <v>9516214</v>
      </c>
      <c r="M938" s="2">
        <v>41688</v>
      </c>
      <c r="N938">
        <v>38.284700000000001</v>
      </c>
      <c r="O938">
        <v>38.284700000000001</v>
      </c>
    </row>
    <row r="939" spans="5:15">
      <c r="E939" s="2">
        <v>41670</v>
      </c>
      <c r="F939">
        <v>36.424999999999997</v>
      </c>
      <c r="G939">
        <v>8651900</v>
      </c>
      <c r="M939" s="2">
        <v>41684</v>
      </c>
      <c r="N939">
        <v>38.2134</v>
      </c>
      <c r="O939">
        <v>38.2134</v>
      </c>
    </row>
    <row r="940" spans="5:15">
      <c r="E940" s="2">
        <v>41669</v>
      </c>
      <c r="F940">
        <v>36.97</v>
      </c>
      <c r="G940">
        <v>10440406</v>
      </c>
      <c r="M940" s="2">
        <v>41683</v>
      </c>
      <c r="N940">
        <v>38.111600000000003</v>
      </c>
      <c r="O940">
        <v>38.111600000000003</v>
      </c>
    </row>
    <row r="941" spans="5:15">
      <c r="E941" s="2">
        <v>41668</v>
      </c>
      <c r="F941">
        <v>35.884999999999998</v>
      </c>
      <c r="G941">
        <v>10488722</v>
      </c>
      <c r="M941" s="2">
        <v>41682</v>
      </c>
      <c r="N941">
        <v>37.724699999999999</v>
      </c>
      <c r="O941">
        <v>37.724699999999999</v>
      </c>
    </row>
    <row r="942" spans="5:15">
      <c r="E942" s="2">
        <v>41667</v>
      </c>
      <c r="F942">
        <v>36.354999999999997</v>
      </c>
      <c r="G942">
        <v>9069288</v>
      </c>
      <c r="M942" s="2">
        <v>41681</v>
      </c>
      <c r="N942">
        <v>37.658499999999997</v>
      </c>
      <c r="O942">
        <v>37.658499999999997</v>
      </c>
    </row>
    <row r="943" spans="5:15">
      <c r="E943" s="2">
        <v>41666</v>
      </c>
      <c r="F943">
        <v>35.950000000000003</v>
      </c>
      <c r="G943">
        <v>11412736</v>
      </c>
      <c r="M943" s="2">
        <v>41680</v>
      </c>
      <c r="N943">
        <v>36.991700000000002</v>
      </c>
      <c r="O943">
        <v>36.991700000000002</v>
      </c>
    </row>
    <row r="944" spans="5:15">
      <c r="E944" s="2">
        <v>41663</v>
      </c>
      <c r="F944">
        <v>35.825000000000003</v>
      </c>
      <c r="G944">
        <v>9232314</v>
      </c>
      <c r="M944" s="2">
        <v>41677</v>
      </c>
      <c r="N944">
        <v>37.001899999999999</v>
      </c>
      <c r="O944">
        <v>37.001899999999999</v>
      </c>
    </row>
    <row r="945" spans="5:15">
      <c r="E945" s="2">
        <v>41662</v>
      </c>
      <c r="F945">
        <v>36.365000000000002</v>
      </c>
      <c r="G945">
        <v>9505516</v>
      </c>
      <c r="M945" s="2">
        <v>41676</v>
      </c>
      <c r="N945">
        <v>36.401200000000003</v>
      </c>
      <c r="O945">
        <v>36.401200000000003</v>
      </c>
    </row>
    <row r="946" spans="5:15">
      <c r="E946" s="2">
        <v>41661</v>
      </c>
      <c r="F946">
        <v>36.75</v>
      </c>
      <c r="G946">
        <v>7425218</v>
      </c>
      <c r="M946" s="2">
        <v>41675</v>
      </c>
      <c r="N946">
        <v>35.938000000000002</v>
      </c>
      <c r="O946">
        <v>35.938000000000002</v>
      </c>
    </row>
    <row r="947" spans="5:15">
      <c r="E947" s="2">
        <v>41660</v>
      </c>
      <c r="F947">
        <v>36.875</v>
      </c>
      <c r="G947">
        <v>13146958</v>
      </c>
      <c r="M947" s="2">
        <v>41674</v>
      </c>
      <c r="N947">
        <v>35.892200000000003</v>
      </c>
      <c r="O947">
        <v>35.892200000000003</v>
      </c>
    </row>
    <row r="948" spans="5:15">
      <c r="E948" s="2">
        <v>41656</v>
      </c>
      <c r="F948">
        <v>36.695</v>
      </c>
      <c r="G948">
        <v>9852030</v>
      </c>
      <c r="M948" s="2">
        <v>41673</v>
      </c>
      <c r="N948">
        <v>36.080500000000001</v>
      </c>
      <c r="O948">
        <v>36.080500000000001</v>
      </c>
    </row>
    <row r="949" spans="5:15">
      <c r="E949" s="2">
        <v>41655</v>
      </c>
      <c r="F949">
        <v>37.395000000000003</v>
      </c>
      <c r="G949">
        <v>4848396</v>
      </c>
      <c r="M949" s="2">
        <v>41670</v>
      </c>
      <c r="N949">
        <v>37.083300000000001</v>
      </c>
      <c r="O949">
        <v>37.083300000000001</v>
      </c>
    </row>
    <row r="950" spans="5:15">
      <c r="E950" s="2">
        <v>41654</v>
      </c>
      <c r="F950">
        <v>37.715000000000003</v>
      </c>
      <c r="G950">
        <v>5852590</v>
      </c>
      <c r="M950" s="2">
        <v>41669</v>
      </c>
      <c r="N950">
        <v>37.638199999999998</v>
      </c>
      <c r="O950">
        <v>37.638199999999998</v>
      </c>
    </row>
    <row r="951" spans="5:15">
      <c r="E951" s="2">
        <v>41653</v>
      </c>
      <c r="F951">
        <v>37.585000000000001</v>
      </c>
      <c r="G951">
        <v>7809704</v>
      </c>
      <c r="M951" s="2">
        <v>41668</v>
      </c>
      <c r="N951">
        <v>36.5336</v>
      </c>
      <c r="O951">
        <v>36.5336</v>
      </c>
    </row>
    <row r="952" spans="5:15">
      <c r="E952" s="2">
        <v>41652</v>
      </c>
      <c r="F952">
        <v>37.590000000000003</v>
      </c>
      <c r="G952">
        <v>8263852</v>
      </c>
      <c r="M952" s="2">
        <v>41667</v>
      </c>
      <c r="N952">
        <v>37.012099999999997</v>
      </c>
      <c r="O952">
        <v>37.012099999999997</v>
      </c>
    </row>
    <row r="953" spans="5:15">
      <c r="E953" s="2">
        <v>41649</v>
      </c>
      <c r="F953">
        <v>38.46</v>
      </c>
      <c r="G953">
        <v>5113992</v>
      </c>
      <c r="M953" s="2">
        <v>41666</v>
      </c>
      <c r="N953">
        <v>36.599699999999999</v>
      </c>
      <c r="O953">
        <v>36.599699999999999</v>
      </c>
    </row>
    <row r="954" spans="5:15">
      <c r="E954" s="2">
        <v>41648</v>
      </c>
      <c r="F954">
        <v>38.545000000000002</v>
      </c>
      <c r="G954">
        <v>6263454</v>
      </c>
      <c r="M954" s="2">
        <v>41663</v>
      </c>
      <c r="N954">
        <v>36.472499999999997</v>
      </c>
      <c r="O954">
        <v>36.472499999999997</v>
      </c>
    </row>
    <row r="955" spans="5:15">
      <c r="E955" s="2">
        <v>41647</v>
      </c>
      <c r="F955">
        <v>38.545000000000002</v>
      </c>
      <c r="G955">
        <v>6898036</v>
      </c>
      <c r="M955" s="2">
        <v>41662</v>
      </c>
      <c r="N955">
        <v>37.022199999999998</v>
      </c>
      <c r="O955">
        <v>37.022199999999998</v>
      </c>
    </row>
    <row r="956" spans="5:15">
      <c r="E956" s="2">
        <v>41646</v>
      </c>
      <c r="F956">
        <v>38.744999999999997</v>
      </c>
      <c r="G956">
        <v>6768976</v>
      </c>
      <c r="M956" s="2">
        <v>41661</v>
      </c>
      <c r="N956">
        <v>37.414200000000001</v>
      </c>
      <c r="O956">
        <v>37.414200000000001</v>
      </c>
    </row>
    <row r="957" spans="5:15">
      <c r="E957" s="2">
        <v>41645</v>
      </c>
      <c r="F957">
        <v>38.715000000000003</v>
      </c>
      <c r="G957">
        <v>6045824</v>
      </c>
      <c r="M957" s="2">
        <v>41660</v>
      </c>
      <c r="N957">
        <v>37.541499999999999</v>
      </c>
      <c r="O957">
        <v>37.541499999999999</v>
      </c>
    </row>
    <row r="958" spans="5:15">
      <c r="E958" s="2">
        <v>41642</v>
      </c>
      <c r="F958">
        <v>39.015000000000001</v>
      </c>
      <c r="G958">
        <v>5596994</v>
      </c>
      <c r="M958" s="2">
        <v>41656</v>
      </c>
      <c r="N958">
        <v>37.358199999999997</v>
      </c>
      <c r="O958">
        <v>37.358199999999997</v>
      </c>
    </row>
    <row r="959" spans="5:15">
      <c r="E959" s="2">
        <v>41641</v>
      </c>
      <c r="F959">
        <v>39.119999999999997</v>
      </c>
      <c r="G959">
        <v>5320436</v>
      </c>
      <c r="M959" s="2">
        <v>41655</v>
      </c>
      <c r="N959">
        <v>38.070900000000002</v>
      </c>
      <c r="O959">
        <v>38.070900000000002</v>
      </c>
    </row>
    <row r="960" spans="5:15">
      <c r="E960" s="2">
        <v>41639</v>
      </c>
      <c r="F960">
        <v>39.32</v>
      </c>
      <c r="G960">
        <v>4107266</v>
      </c>
      <c r="M960" s="2">
        <v>41654</v>
      </c>
      <c r="N960">
        <v>38.396599999999999</v>
      </c>
      <c r="O960">
        <v>38.396599999999999</v>
      </c>
    </row>
    <row r="961" spans="5:15">
      <c r="E961" s="2">
        <v>41638</v>
      </c>
      <c r="F961">
        <v>39.369999999999997</v>
      </c>
      <c r="G961">
        <v>4289342</v>
      </c>
      <c r="M961" s="2">
        <v>41653</v>
      </c>
      <c r="N961">
        <v>38.264299999999999</v>
      </c>
      <c r="O961">
        <v>38.264299999999999</v>
      </c>
    </row>
    <row r="962" spans="5:15">
      <c r="E962" s="2">
        <v>41635</v>
      </c>
      <c r="F962">
        <v>39.08</v>
      </c>
      <c r="G962">
        <v>4640706</v>
      </c>
      <c r="M962" s="2">
        <v>41652</v>
      </c>
      <c r="N962">
        <v>38.269399999999997</v>
      </c>
      <c r="O962">
        <v>38.269399999999997</v>
      </c>
    </row>
    <row r="963" spans="5:15">
      <c r="E963" s="2">
        <v>41634</v>
      </c>
      <c r="F963">
        <v>39.094999999999999</v>
      </c>
      <c r="G963">
        <v>4609850</v>
      </c>
      <c r="M963" s="2">
        <v>41649</v>
      </c>
      <c r="N963">
        <v>39.155099999999997</v>
      </c>
      <c r="O963">
        <v>39.155099999999997</v>
      </c>
    </row>
    <row r="964" spans="5:15">
      <c r="E964" s="2">
        <v>41632</v>
      </c>
      <c r="F964">
        <v>38.83</v>
      </c>
      <c r="G964">
        <v>2782672</v>
      </c>
      <c r="M964" s="2">
        <v>41648</v>
      </c>
      <c r="N964">
        <v>39.241599999999998</v>
      </c>
      <c r="O964">
        <v>39.241599999999998</v>
      </c>
    </row>
    <row r="965" spans="5:15">
      <c r="E965" s="2">
        <v>41631</v>
      </c>
      <c r="F965">
        <v>38.555</v>
      </c>
      <c r="G965">
        <v>9377292</v>
      </c>
      <c r="M965" s="2">
        <v>41647</v>
      </c>
      <c r="N965">
        <v>39.241599999999998</v>
      </c>
      <c r="O965">
        <v>39.241599999999998</v>
      </c>
    </row>
    <row r="966" spans="5:15">
      <c r="E966" s="2">
        <v>41628</v>
      </c>
      <c r="F966">
        <v>38.67</v>
      </c>
      <c r="G966">
        <v>20443782</v>
      </c>
      <c r="M966" s="2">
        <v>41646</v>
      </c>
      <c r="N966">
        <v>39.445300000000003</v>
      </c>
      <c r="O966">
        <v>39.445300000000003</v>
      </c>
    </row>
    <row r="967" spans="5:15">
      <c r="E967" s="2">
        <v>41627</v>
      </c>
      <c r="F967">
        <v>39.130000000000003</v>
      </c>
      <c r="G967">
        <v>10553666</v>
      </c>
      <c r="M967" s="2">
        <v>41645</v>
      </c>
      <c r="N967">
        <v>39.414700000000003</v>
      </c>
      <c r="O967">
        <v>39.414700000000003</v>
      </c>
    </row>
    <row r="968" spans="5:15">
      <c r="E968" s="2">
        <v>41626</v>
      </c>
      <c r="F968">
        <v>39.274999999999999</v>
      </c>
      <c r="G968">
        <v>10817508</v>
      </c>
      <c r="M968" s="2">
        <v>41642</v>
      </c>
      <c r="N968">
        <v>39.720100000000002</v>
      </c>
      <c r="O968">
        <v>39.720100000000002</v>
      </c>
    </row>
    <row r="969" spans="5:15">
      <c r="E969" s="2">
        <v>41625</v>
      </c>
      <c r="F969">
        <v>38.380000000000003</v>
      </c>
      <c r="G969">
        <v>13999090</v>
      </c>
      <c r="M969" s="2">
        <v>41641</v>
      </c>
      <c r="N969">
        <v>39.826999999999998</v>
      </c>
      <c r="O969">
        <v>39.826999999999998</v>
      </c>
    </row>
    <row r="970" spans="5:15">
      <c r="E970" s="2">
        <v>41624</v>
      </c>
      <c r="F970">
        <v>38.22</v>
      </c>
      <c r="G970">
        <v>9733130</v>
      </c>
      <c r="M970" s="2">
        <v>41639</v>
      </c>
      <c r="N970">
        <v>40.030700000000003</v>
      </c>
      <c r="O970">
        <v>40.030700000000003</v>
      </c>
    </row>
    <row r="971" spans="5:15">
      <c r="E971" s="2">
        <v>41621</v>
      </c>
      <c r="F971">
        <v>38.200000000000003</v>
      </c>
      <c r="G971">
        <v>7562266</v>
      </c>
      <c r="M971" s="2">
        <v>41638</v>
      </c>
      <c r="N971">
        <v>40.081600000000002</v>
      </c>
      <c r="O971">
        <v>40.081600000000002</v>
      </c>
    </row>
    <row r="972" spans="5:15">
      <c r="E972" s="2">
        <v>41620</v>
      </c>
      <c r="F972">
        <v>38.115000000000002</v>
      </c>
      <c r="G972">
        <v>10826492</v>
      </c>
      <c r="M972" s="2">
        <v>41635</v>
      </c>
      <c r="N972">
        <v>39.786299999999997</v>
      </c>
      <c r="O972">
        <v>39.786299999999997</v>
      </c>
    </row>
    <row r="973" spans="5:15">
      <c r="E973" s="2">
        <v>41619</v>
      </c>
      <c r="F973">
        <v>38.42</v>
      </c>
      <c r="G973">
        <v>13311554</v>
      </c>
      <c r="M973" s="2">
        <v>41634</v>
      </c>
      <c r="N973">
        <v>39.801600000000001</v>
      </c>
      <c r="O973">
        <v>39.801600000000001</v>
      </c>
    </row>
    <row r="974" spans="5:15">
      <c r="E974" s="2">
        <v>41618</v>
      </c>
      <c r="F974">
        <v>39.61</v>
      </c>
      <c r="G974">
        <v>5394962</v>
      </c>
      <c r="M974" s="2">
        <v>41632</v>
      </c>
      <c r="N974">
        <v>39.531799999999997</v>
      </c>
      <c r="O974">
        <v>39.531799999999997</v>
      </c>
    </row>
    <row r="975" spans="5:15">
      <c r="E975" s="2">
        <v>41617</v>
      </c>
      <c r="F975">
        <v>39.89</v>
      </c>
      <c r="G975">
        <v>4299198</v>
      </c>
      <c r="M975" s="2">
        <v>41631</v>
      </c>
      <c r="N975">
        <v>39.251800000000003</v>
      </c>
      <c r="O975">
        <v>39.251800000000003</v>
      </c>
    </row>
    <row r="976" spans="5:15">
      <c r="E976" s="2">
        <v>41614</v>
      </c>
      <c r="F976">
        <v>39.93</v>
      </c>
      <c r="G976">
        <v>3894944</v>
      </c>
      <c r="M976" s="2">
        <v>41628</v>
      </c>
      <c r="N976">
        <v>39.368899999999996</v>
      </c>
      <c r="O976">
        <v>39.368899999999996</v>
      </c>
    </row>
    <row r="977" spans="5:15">
      <c r="E977" s="2">
        <v>41613</v>
      </c>
      <c r="F977">
        <v>39.475000000000001</v>
      </c>
      <c r="G977">
        <v>5493908</v>
      </c>
      <c r="M977" s="2">
        <v>41627</v>
      </c>
      <c r="N977">
        <v>39.837200000000003</v>
      </c>
      <c r="O977">
        <v>39.837200000000003</v>
      </c>
    </row>
    <row r="978" spans="5:15">
      <c r="E978" s="2">
        <v>41612</v>
      </c>
      <c r="F978">
        <v>39.409999999999997</v>
      </c>
      <c r="G978">
        <v>4833204</v>
      </c>
      <c r="M978" s="2">
        <v>41626</v>
      </c>
      <c r="N978">
        <v>39.9848</v>
      </c>
      <c r="O978">
        <v>39.9848</v>
      </c>
    </row>
    <row r="979" spans="5:15">
      <c r="E979" s="2">
        <v>41611</v>
      </c>
      <c r="F979">
        <v>39.564999999999998</v>
      </c>
      <c r="G979">
        <v>5129200</v>
      </c>
      <c r="M979" s="2">
        <v>41625</v>
      </c>
      <c r="N979">
        <v>39.073700000000002</v>
      </c>
      <c r="O979">
        <v>39.073700000000002</v>
      </c>
    </row>
    <row r="980" spans="5:15">
      <c r="E980" s="2">
        <v>41610</v>
      </c>
      <c r="F980">
        <v>39.545000000000002</v>
      </c>
      <c r="G980">
        <v>6467854</v>
      </c>
      <c r="M980" s="2">
        <v>41624</v>
      </c>
      <c r="N980">
        <v>38.910800000000002</v>
      </c>
      <c r="O980">
        <v>38.910800000000002</v>
      </c>
    </row>
    <row r="981" spans="5:15">
      <c r="E981" s="2">
        <v>41607</v>
      </c>
      <c r="F981">
        <v>39.57</v>
      </c>
      <c r="G981">
        <v>3475146</v>
      </c>
      <c r="M981" s="2">
        <v>41621</v>
      </c>
      <c r="N981">
        <v>38.8904</v>
      </c>
      <c r="O981">
        <v>38.8904</v>
      </c>
    </row>
    <row r="982" spans="5:15">
      <c r="E982" s="2">
        <v>41605</v>
      </c>
      <c r="F982">
        <v>39.664999999999999</v>
      </c>
      <c r="G982">
        <v>3734332</v>
      </c>
      <c r="M982" s="2">
        <v>41620</v>
      </c>
      <c r="N982">
        <v>38.803899999999999</v>
      </c>
      <c r="O982">
        <v>38.803899999999999</v>
      </c>
    </row>
    <row r="983" spans="5:15">
      <c r="E983" s="2">
        <v>41604</v>
      </c>
      <c r="F983">
        <v>39.799999999999997</v>
      </c>
      <c r="G983">
        <v>7360354</v>
      </c>
      <c r="M983" s="2">
        <v>41619</v>
      </c>
      <c r="N983">
        <v>38.991599999999998</v>
      </c>
      <c r="O983">
        <v>38.991599999999998</v>
      </c>
    </row>
    <row r="984" spans="5:15">
      <c r="E984" s="2">
        <v>41603</v>
      </c>
      <c r="F984">
        <v>39.564999999999998</v>
      </c>
      <c r="G984">
        <v>4583380</v>
      </c>
      <c r="M984" s="2">
        <v>41618</v>
      </c>
      <c r="N984">
        <v>40.199300000000001</v>
      </c>
      <c r="O984">
        <v>40.199300000000001</v>
      </c>
    </row>
    <row r="985" spans="5:15">
      <c r="E985" s="2">
        <v>41600</v>
      </c>
      <c r="F985">
        <v>39.435000000000002</v>
      </c>
      <c r="G985">
        <v>7035664</v>
      </c>
      <c r="M985" s="2">
        <v>41617</v>
      </c>
      <c r="N985">
        <v>40.483499999999999</v>
      </c>
      <c r="O985">
        <v>40.483499999999999</v>
      </c>
    </row>
    <row r="986" spans="5:15">
      <c r="E986" s="2">
        <v>41599</v>
      </c>
      <c r="F986">
        <v>39.045000000000002</v>
      </c>
      <c r="G986">
        <v>4671450</v>
      </c>
      <c r="M986" s="2">
        <v>41614</v>
      </c>
      <c r="N986">
        <v>40.524099999999997</v>
      </c>
      <c r="O986">
        <v>40.524099999999997</v>
      </c>
    </row>
    <row r="987" spans="5:15">
      <c r="E987" s="2">
        <v>41598</v>
      </c>
      <c r="F987">
        <v>38.92</v>
      </c>
      <c r="G987">
        <v>5892974</v>
      </c>
      <c r="M987" s="2">
        <v>41613</v>
      </c>
      <c r="N987">
        <v>40.0623</v>
      </c>
      <c r="O987">
        <v>40.0623</v>
      </c>
    </row>
    <row r="988" spans="5:15">
      <c r="E988" s="2">
        <v>41597</v>
      </c>
      <c r="F988">
        <v>38.905000000000001</v>
      </c>
      <c r="G988">
        <v>6443264</v>
      </c>
      <c r="M988" s="2">
        <v>41612</v>
      </c>
      <c r="N988">
        <v>39.996400000000001</v>
      </c>
      <c r="O988">
        <v>39.996400000000001</v>
      </c>
    </row>
    <row r="989" spans="5:15">
      <c r="E989" s="2">
        <v>41596</v>
      </c>
      <c r="F989">
        <v>39.29</v>
      </c>
      <c r="G989">
        <v>5693202</v>
      </c>
      <c r="M989" s="2">
        <v>41611</v>
      </c>
      <c r="N989">
        <v>40.153700000000001</v>
      </c>
      <c r="O989">
        <v>40.153700000000001</v>
      </c>
    </row>
    <row r="990" spans="5:15">
      <c r="E990" s="2">
        <v>41593</v>
      </c>
      <c r="F990">
        <v>39.61</v>
      </c>
      <c r="G990">
        <v>5774512</v>
      </c>
      <c r="M990" s="2">
        <v>41610</v>
      </c>
      <c r="N990">
        <v>40.133400000000002</v>
      </c>
      <c r="O990">
        <v>40.133400000000002</v>
      </c>
    </row>
    <row r="991" spans="5:15">
      <c r="E991" s="2">
        <v>41592</v>
      </c>
      <c r="F991">
        <v>39.32</v>
      </c>
      <c r="G991">
        <v>4764342</v>
      </c>
      <c r="M991" s="2">
        <v>41607</v>
      </c>
      <c r="N991">
        <v>40.158700000000003</v>
      </c>
      <c r="O991">
        <v>40.158700000000003</v>
      </c>
    </row>
    <row r="992" spans="5:15">
      <c r="E992" s="2">
        <v>41591</v>
      </c>
      <c r="F992">
        <v>38.924999999999997</v>
      </c>
      <c r="G992">
        <v>4802144</v>
      </c>
      <c r="M992" s="2">
        <v>41605</v>
      </c>
      <c r="N992">
        <v>40.255200000000002</v>
      </c>
      <c r="O992">
        <v>40.255200000000002</v>
      </c>
    </row>
    <row r="993" spans="5:15">
      <c r="E993" s="2">
        <v>41590</v>
      </c>
      <c r="F993">
        <v>38.435000000000002</v>
      </c>
      <c r="G993">
        <v>4327880</v>
      </c>
      <c r="M993" s="2">
        <v>41604</v>
      </c>
      <c r="N993">
        <v>40.392200000000003</v>
      </c>
      <c r="O993">
        <v>40.392200000000003</v>
      </c>
    </row>
    <row r="994" spans="5:15">
      <c r="E994" s="2">
        <v>41589</v>
      </c>
      <c r="F994">
        <v>38.58</v>
      </c>
      <c r="G994">
        <v>3523196</v>
      </c>
      <c r="M994" s="2">
        <v>41603</v>
      </c>
      <c r="N994">
        <v>40.153700000000001</v>
      </c>
      <c r="O994">
        <v>40.153700000000001</v>
      </c>
    </row>
    <row r="995" spans="5:15">
      <c r="E995" s="2">
        <v>41586</v>
      </c>
      <c r="F995">
        <v>38.56</v>
      </c>
      <c r="G995">
        <v>5821628</v>
      </c>
      <c r="M995" s="2">
        <v>41600</v>
      </c>
      <c r="N995">
        <v>40.021700000000003</v>
      </c>
      <c r="O995">
        <v>40.021700000000003</v>
      </c>
    </row>
    <row r="996" spans="5:15">
      <c r="E996" s="2">
        <v>41585</v>
      </c>
      <c r="F996">
        <v>37.85</v>
      </c>
      <c r="G996">
        <v>6250786</v>
      </c>
      <c r="M996" s="2">
        <v>41599</v>
      </c>
      <c r="N996">
        <v>39.625900000000001</v>
      </c>
      <c r="O996">
        <v>39.625900000000001</v>
      </c>
    </row>
    <row r="997" spans="5:15">
      <c r="E997" s="2">
        <v>41584</v>
      </c>
      <c r="F997">
        <v>38.380000000000003</v>
      </c>
      <c r="G997">
        <v>3945342</v>
      </c>
      <c r="M997" s="2">
        <v>41598</v>
      </c>
      <c r="N997">
        <v>39.499099999999999</v>
      </c>
      <c r="O997">
        <v>39.499099999999999</v>
      </c>
    </row>
    <row r="998" spans="5:15">
      <c r="E998" s="2">
        <v>41583</v>
      </c>
      <c r="F998">
        <v>38.6</v>
      </c>
      <c r="G998">
        <v>6333190</v>
      </c>
      <c r="M998" s="2">
        <v>41597</v>
      </c>
      <c r="N998">
        <v>39.483800000000002</v>
      </c>
      <c r="O998">
        <v>39.483800000000002</v>
      </c>
    </row>
    <row r="999" spans="5:15">
      <c r="E999" s="2">
        <v>41582</v>
      </c>
      <c r="F999">
        <v>38.185000000000002</v>
      </c>
      <c r="G999">
        <v>3609460</v>
      </c>
      <c r="M999" s="2">
        <v>41596</v>
      </c>
      <c r="N999">
        <v>39.874600000000001</v>
      </c>
      <c r="O999">
        <v>39.874600000000001</v>
      </c>
    </row>
    <row r="1000" spans="5:15">
      <c r="E1000" s="2">
        <v>41579</v>
      </c>
      <c r="F1000">
        <v>38.03</v>
      </c>
      <c r="G1000">
        <v>4221690</v>
      </c>
      <c r="M1000" s="2">
        <v>41593</v>
      </c>
      <c r="N1000">
        <v>40.199300000000001</v>
      </c>
      <c r="O1000">
        <v>40.199300000000001</v>
      </c>
    </row>
    <row r="1001" spans="5:15">
      <c r="E1001" s="2">
        <v>41578</v>
      </c>
      <c r="F1001">
        <v>37.880000000000003</v>
      </c>
      <c r="G1001">
        <v>8184376</v>
      </c>
      <c r="M1001" s="2">
        <v>41592</v>
      </c>
      <c r="N1001">
        <v>39.905000000000001</v>
      </c>
      <c r="O1001">
        <v>39.905000000000001</v>
      </c>
    </row>
    <row r="1002" spans="5:15">
      <c r="E1002" s="2">
        <v>41577</v>
      </c>
      <c r="F1002">
        <v>38.064999999999998</v>
      </c>
      <c r="G1002">
        <v>6314856</v>
      </c>
      <c r="M1002" s="2">
        <v>41591</v>
      </c>
      <c r="N1002">
        <v>39.504100000000001</v>
      </c>
      <c r="O1002">
        <v>39.504100000000001</v>
      </c>
    </row>
    <row r="1003" spans="5:15">
      <c r="E1003" s="2">
        <v>41576</v>
      </c>
      <c r="F1003">
        <v>37.954999999999998</v>
      </c>
      <c r="G1003">
        <v>4201014</v>
      </c>
      <c r="M1003" s="2">
        <v>41590</v>
      </c>
      <c r="N1003">
        <v>39.006900000000002</v>
      </c>
      <c r="O1003">
        <v>39.006900000000002</v>
      </c>
    </row>
    <row r="1004" spans="5:15">
      <c r="E1004" s="2">
        <v>41575</v>
      </c>
      <c r="F1004">
        <v>37.755000000000003</v>
      </c>
      <c r="G1004">
        <v>6147700</v>
      </c>
      <c r="M1004" s="2">
        <v>41589</v>
      </c>
      <c r="N1004">
        <v>39.154000000000003</v>
      </c>
      <c r="O1004">
        <v>39.154000000000003</v>
      </c>
    </row>
    <row r="1005" spans="5:15">
      <c r="E1005" s="2">
        <v>41572</v>
      </c>
      <c r="F1005">
        <v>37.85</v>
      </c>
      <c r="G1005">
        <v>6896116</v>
      </c>
      <c r="M1005" s="2">
        <v>41586</v>
      </c>
      <c r="N1005">
        <v>39.133699999999997</v>
      </c>
      <c r="O1005">
        <v>39.133699999999997</v>
      </c>
    </row>
    <row r="1006" spans="5:15">
      <c r="E1006" s="2">
        <v>41571</v>
      </c>
      <c r="F1006">
        <v>37.755000000000003</v>
      </c>
      <c r="G1006">
        <v>5627336</v>
      </c>
      <c r="M1006" s="2">
        <v>41585</v>
      </c>
      <c r="N1006">
        <v>38.4131</v>
      </c>
      <c r="O1006">
        <v>38.4131</v>
      </c>
    </row>
    <row r="1007" spans="5:15">
      <c r="E1007" s="2">
        <v>41570</v>
      </c>
      <c r="F1007">
        <v>37.78</v>
      </c>
      <c r="G1007">
        <v>4762336</v>
      </c>
      <c r="M1007" s="2">
        <v>41584</v>
      </c>
      <c r="N1007">
        <v>38.951000000000001</v>
      </c>
      <c r="O1007">
        <v>38.951000000000001</v>
      </c>
    </row>
    <row r="1008" spans="5:15">
      <c r="E1008" s="2">
        <v>41569</v>
      </c>
      <c r="F1008">
        <v>37.979999999999997</v>
      </c>
      <c r="G1008">
        <v>6818922</v>
      </c>
      <c r="M1008" s="2">
        <v>41583</v>
      </c>
      <c r="N1008">
        <v>39.174300000000002</v>
      </c>
      <c r="O1008">
        <v>39.174300000000002</v>
      </c>
    </row>
    <row r="1009" spans="5:15">
      <c r="E1009" s="2">
        <v>41568</v>
      </c>
      <c r="F1009">
        <v>38.045000000000002</v>
      </c>
      <c r="G1009">
        <v>9992572</v>
      </c>
      <c r="M1009" s="2">
        <v>41582</v>
      </c>
      <c r="N1009">
        <v>38.753100000000003</v>
      </c>
      <c r="O1009">
        <v>38.753100000000003</v>
      </c>
    </row>
    <row r="1010" spans="5:15">
      <c r="E1010" s="2">
        <v>41565</v>
      </c>
      <c r="F1010">
        <v>37.965000000000003</v>
      </c>
      <c r="G1010">
        <v>9831138</v>
      </c>
      <c r="M1010" s="2">
        <v>41579</v>
      </c>
      <c r="N1010">
        <v>38.595799999999997</v>
      </c>
      <c r="O1010">
        <v>38.595799999999997</v>
      </c>
    </row>
    <row r="1011" spans="5:15">
      <c r="E1011" s="2">
        <v>41564</v>
      </c>
      <c r="F1011">
        <v>37.270000000000003</v>
      </c>
      <c r="G1011">
        <v>9384556</v>
      </c>
      <c r="M1011" s="2">
        <v>41578</v>
      </c>
      <c r="N1011">
        <v>38.443600000000004</v>
      </c>
      <c r="O1011">
        <v>38.443600000000004</v>
      </c>
    </row>
    <row r="1012" spans="5:15">
      <c r="E1012" s="2">
        <v>41563</v>
      </c>
      <c r="F1012">
        <v>37.26</v>
      </c>
      <c r="G1012">
        <v>8755686</v>
      </c>
      <c r="M1012" s="2">
        <v>41577</v>
      </c>
      <c r="N1012">
        <v>38.631300000000003</v>
      </c>
      <c r="O1012">
        <v>38.631300000000003</v>
      </c>
    </row>
    <row r="1013" spans="5:15">
      <c r="E1013" s="2">
        <v>41562</v>
      </c>
      <c r="F1013">
        <v>36.854999999999997</v>
      </c>
      <c r="G1013">
        <v>7956798</v>
      </c>
      <c r="M1013" s="2">
        <v>41576</v>
      </c>
      <c r="N1013">
        <v>38.5197</v>
      </c>
      <c r="O1013">
        <v>38.5197</v>
      </c>
    </row>
    <row r="1014" spans="5:15">
      <c r="E1014" s="2">
        <v>41561</v>
      </c>
      <c r="F1014">
        <v>37.03</v>
      </c>
      <c r="G1014">
        <v>6199812</v>
      </c>
      <c r="M1014" s="2">
        <v>41575</v>
      </c>
      <c r="N1014">
        <v>38.316699999999997</v>
      </c>
      <c r="O1014">
        <v>38.316699999999997</v>
      </c>
    </row>
    <row r="1015" spans="5:15">
      <c r="E1015" s="2">
        <v>41558</v>
      </c>
      <c r="F1015">
        <v>36.729999999999997</v>
      </c>
      <c r="G1015">
        <v>10792602</v>
      </c>
      <c r="M1015" s="2">
        <v>41572</v>
      </c>
      <c r="N1015">
        <v>38.4131</v>
      </c>
      <c r="O1015">
        <v>38.4131</v>
      </c>
    </row>
    <row r="1016" spans="5:15">
      <c r="E1016" s="2">
        <v>41557</v>
      </c>
      <c r="F1016">
        <v>36.72</v>
      </c>
      <c r="G1016">
        <v>11105626</v>
      </c>
      <c r="M1016" s="2">
        <v>41571</v>
      </c>
      <c r="N1016">
        <v>38.316699999999997</v>
      </c>
      <c r="O1016">
        <v>38.316699999999997</v>
      </c>
    </row>
    <row r="1017" spans="5:15">
      <c r="E1017" s="2">
        <v>41556</v>
      </c>
      <c r="F1017">
        <v>35.445</v>
      </c>
      <c r="G1017">
        <v>9282728</v>
      </c>
      <c r="M1017" s="2">
        <v>41570</v>
      </c>
      <c r="N1017">
        <v>38.342100000000002</v>
      </c>
      <c r="O1017">
        <v>38.342100000000002</v>
      </c>
    </row>
    <row r="1018" spans="5:15">
      <c r="E1018" s="2">
        <v>41555</v>
      </c>
      <c r="F1018">
        <v>35.14</v>
      </c>
      <c r="G1018">
        <v>7522488</v>
      </c>
      <c r="M1018" s="2">
        <v>41569</v>
      </c>
      <c r="N1018">
        <v>38.545099999999998</v>
      </c>
      <c r="O1018">
        <v>38.545099999999998</v>
      </c>
    </row>
    <row r="1019" spans="5:15">
      <c r="E1019" s="2">
        <v>41554</v>
      </c>
      <c r="F1019">
        <v>35.67</v>
      </c>
      <c r="G1019">
        <v>5173806</v>
      </c>
      <c r="M1019" s="2">
        <v>41568</v>
      </c>
      <c r="N1019">
        <v>38.6111</v>
      </c>
      <c r="O1019">
        <v>38.6111</v>
      </c>
    </row>
    <row r="1020" spans="5:15">
      <c r="E1020" s="2">
        <v>41551</v>
      </c>
      <c r="F1020">
        <v>36.07</v>
      </c>
      <c r="G1020">
        <v>7168108</v>
      </c>
      <c r="M1020" s="2">
        <v>41565</v>
      </c>
      <c r="N1020">
        <v>38.529899999999998</v>
      </c>
      <c r="O1020">
        <v>38.529899999999998</v>
      </c>
    </row>
    <row r="1021" spans="5:15">
      <c r="E1021" s="2">
        <v>41550</v>
      </c>
      <c r="F1021">
        <v>35.82</v>
      </c>
      <c r="G1021">
        <v>7145118</v>
      </c>
      <c r="M1021" s="2">
        <v>41564</v>
      </c>
      <c r="N1021">
        <v>37.8245</v>
      </c>
      <c r="O1021">
        <v>37.8245</v>
      </c>
    </row>
    <row r="1022" spans="5:15">
      <c r="E1022" s="2">
        <v>41549</v>
      </c>
      <c r="F1022">
        <v>35.945</v>
      </c>
      <c r="G1022">
        <v>8752256</v>
      </c>
      <c r="M1022" s="2">
        <v>41563</v>
      </c>
      <c r="N1022">
        <v>37.814399999999999</v>
      </c>
      <c r="O1022">
        <v>37.814399999999999</v>
      </c>
    </row>
    <row r="1023" spans="5:15">
      <c r="E1023" s="2">
        <v>41548</v>
      </c>
      <c r="F1023">
        <v>36.21</v>
      </c>
      <c r="G1023">
        <v>10444442</v>
      </c>
      <c r="M1023" s="2">
        <v>41562</v>
      </c>
      <c r="N1023">
        <v>37.403300000000002</v>
      </c>
      <c r="O1023">
        <v>37.403300000000002</v>
      </c>
    </row>
    <row r="1024" spans="5:15">
      <c r="E1024" s="2">
        <v>41547</v>
      </c>
      <c r="F1024">
        <v>36.32</v>
      </c>
      <c r="G1024">
        <v>14797768</v>
      </c>
      <c r="M1024" s="2">
        <v>41561</v>
      </c>
      <c r="N1024">
        <v>37.5809</v>
      </c>
      <c r="O1024">
        <v>37.5809</v>
      </c>
    </row>
    <row r="1025" spans="5:15">
      <c r="E1025" s="2">
        <v>41544</v>
      </c>
      <c r="F1025">
        <v>36.82</v>
      </c>
      <c r="G1025">
        <v>31199962</v>
      </c>
      <c r="M1025" s="2">
        <v>41558</v>
      </c>
      <c r="N1025">
        <v>37.276499999999999</v>
      </c>
      <c r="O1025">
        <v>37.276499999999999</v>
      </c>
    </row>
    <row r="1026" spans="5:15">
      <c r="E1026" s="2">
        <v>41543</v>
      </c>
      <c r="F1026">
        <v>35.17</v>
      </c>
      <c r="G1026">
        <v>13765338</v>
      </c>
      <c r="M1026" s="2">
        <v>41557</v>
      </c>
      <c r="N1026">
        <v>37.266300000000001</v>
      </c>
      <c r="O1026">
        <v>37.266300000000001</v>
      </c>
    </row>
    <row r="1027" spans="5:15">
      <c r="E1027" s="2">
        <v>41542</v>
      </c>
      <c r="F1027">
        <v>34.46</v>
      </c>
      <c r="G1027">
        <v>7883446</v>
      </c>
      <c r="M1027" s="2">
        <v>41556</v>
      </c>
      <c r="N1027">
        <v>35.9724</v>
      </c>
      <c r="O1027">
        <v>35.9724</v>
      </c>
    </row>
    <row r="1028" spans="5:15">
      <c r="E1028" s="2">
        <v>41541</v>
      </c>
      <c r="F1028">
        <v>34.715000000000003</v>
      </c>
      <c r="G1028">
        <v>7432624</v>
      </c>
      <c r="M1028" s="2">
        <v>41555</v>
      </c>
      <c r="N1028">
        <v>35.662799999999997</v>
      </c>
      <c r="O1028">
        <v>35.662799999999997</v>
      </c>
    </row>
    <row r="1029" spans="5:15">
      <c r="E1029" s="2">
        <v>41540</v>
      </c>
      <c r="F1029">
        <v>34.49</v>
      </c>
      <c r="G1029">
        <v>11021970</v>
      </c>
      <c r="M1029" s="2">
        <v>41554</v>
      </c>
      <c r="N1029">
        <v>36.200699999999998</v>
      </c>
      <c r="O1029">
        <v>36.200699999999998</v>
      </c>
    </row>
    <row r="1030" spans="5:15">
      <c r="E1030" s="2">
        <v>41537</v>
      </c>
      <c r="F1030">
        <v>34.685000000000002</v>
      </c>
      <c r="G1030">
        <v>37172094</v>
      </c>
      <c r="M1030" s="2">
        <v>41551</v>
      </c>
      <c r="N1030">
        <v>36.606700000000004</v>
      </c>
      <c r="O1030">
        <v>36.606700000000004</v>
      </c>
    </row>
    <row r="1031" spans="5:15">
      <c r="E1031" s="2">
        <v>41536</v>
      </c>
      <c r="F1031">
        <v>34.75</v>
      </c>
      <c r="G1031">
        <v>14628028</v>
      </c>
      <c r="M1031" s="2">
        <v>41550</v>
      </c>
      <c r="N1031">
        <v>36.352899999999998</v>
      </c>
      <c r="O1031">
        <v>36.352899999999998</v>
      </c>
    </row>
    <row r="1032" spans="5:15">
      <c r="E1032" s="2">
        <v>41535</v>
      </c>
      <c r="F1032">
        <v>34.74</v>
      </c>
      <c r="G1032">
        <v>8548112</v>
      </c>
      <c r="M1032" s="2">
        <v>41549</v>
      </c>
      <c r="N1032">
        <v>36.479799999999997</v>
      </c>
      <c r="O1032">
        <v>36.479799999999997</v>
      </c>
    </row>
    <row r="1033" spans="5:15">
      <c r="E1033" s="2">
        <v>41534</v>
      </c>
      <c r="F1033">
        <v>34.159999999999997</v>
      </c>
      <c r="G1033">
        <v>7752388</v>
      </c>
      <c r="M1033" s="2">
        <v>41548</v>
      </c>
      <c r="N1033">
        <v>36.748699999999999</v>
      </c>
      <c r="O1033">
        <v>36.748699999999999</v>
      </c>
    </row>
    <row r="1034" spans="5:15">
      <c r="E1034" s="2">
        <v>41533</v>
      </c>
      <c r="F1034">
        <v>34.094999999999999</v>
      </c>
      <c r="G1034">
        <v>5346774</v>
      </c>
      <c r="M1034" s="2">
        <v>41547</v>
      </c>
      <c r="N1034">
        <v>36.860399999999998</v>
      </c>
      <c r="O1034">
        <v>36.860399999999998</v>
      </c>
    </row>
    <row r="1035" spans="5:15">
      <c r="E1035" s="2">
        <v>41530</v>
      </c>
      <c r="F1035">
        <v>33.954999999999998</v>
      </c>
      <c r="G1035">
        <v>6584802</v>
      </c>
      <c r="M1035" s="2">
        <v>41544</v>
      </c>
      <c r="N1035">
        <v>37.367800000000003</v>
      </c>
      <c r="O1035">
        <v>37.367800000000003</v>
      </c>
    </row>
    <row r="1036" spans="5:15">
      <c r="E1036" s="2">
        <v>41529</v>
      </c>
      <c r="F1036">
        <v>34.04</v>
      </c>
      <c r="G1036">
        <v>8249744</v>
      </c>
      <c r="M1036" s="2">
        <v>41543</v>
      </c>
      <c r="N1036">
        <v>35.693300000000001</v>
      </c>
      <c r="O1036">
        <v>35.693300000000001</v>
      </c>
    </row>
    <row r="1037" spans="5:15">
      <c r="E1037" s="2">
        <v>41528</v>
      </c>
      <c r="F1037">
        <v>33.795000000000002</v>
      </c>
      <c r="G1037">
        <v>9114642</v>
      </c>
      <c r="M1037" s="2">
        <v>41542</v>
      </c>
      <c r="N1037">
        <v>34.972700000000003</v>
      </c>
      <c r="O1037">
        <v>34.972700000000003</v>
      </c>
    </row>
    <row r="1038" spans="5:15">
      <c r="E1038" s="2">
        <v>41527</v>
      </c>
      <c r="F1038">
        <v>33.409999999999997</v>
      </c>
      <c r="G1038">
        <v>13383566</v>
      </c>
      <c r="M1038" s="2">
        <v>41541</v>
      </c>
      <c r="N1038">
        <v>35.231499999999997</v>
      </c>
      <c r="O1038">
        <v>35.231499999999997</v>
      </c>
    </row>
    <row r="1039" spans="5:15">
      <c r="E1039" s="2">
        <v>41526</v>
      </c>
      <c r="F1039">
        <v>32.700000000000003</v>
      </c>
      <c r="G1039">
        <v>4148048</v>
      </c>
      <c r="M1039" s="2">
        <v>41540</v>
      </c>
      <c r="N1039">
        <v>35.0032</v>
      </c>
      <c r="O1039">
        <v>35.0032</v>
      </c>
    </row>
    <row r="1040" spans="5:15">
      <c r="E1040" s="2">
        <v>41523</v>
      </c>
      <c r="F1040">
        <v>32.49</v>
      </c>
      <c r="G1040">
        <v>4632742</v>
      </c>
      <c r="M1040" s="2">
        <v>41537</v>
      </c>
      <c r="N1040">
        <v>35.201099999999997</v>
      </c>
      <c r="O1040">
        <v>35.201099999999997</v>
      </c>
    </row>
    <row r="1041" spans="5:15">
      <c r="E1041" s="2">
        <v>41522</v>
      </c>
      <c r="F1041">
        <v>32.69</v>
      </c>
      <c r="G1041">
        <v>5271602</v>
      </c>
      <c r="M1041" s="2">
        <v>41536</v>
      </c>
      <c r="N1041">
        <v>35.267000000000003</v>
      </c>
      <c r="O1041">
        <v>35.267000000000003</v>
      </c>
    </row>
    <row r="1042" spans="5:15">
      <c r="E1042" s="2">
        <v>41521</v>
      </c>
      <c r="F1042">
        <v>32.564999999999998</v>
      </c>
      <c r="G1042">
        <v>7103248</v>
      </c>
      <c r="M1042" s="2">
        <v>41535</v>
      </c>
      <c r="N1042">
        <v>35.256900000000002</v>
      </c>
      <c r="O1042">
        <v>35.256900000000002</v>
      </c>
    </row>
    <row r="1043" spans="5:15">
      <c r="E1043" s="2">
        <v>41520</v>
      </c>
      <c r="F1043">
        <v>32.145000000000003</v>
      </c>
      <c r="G1043">
        <v>8213954</v>
      </c>
      <c r="M1043" s="2">
        <v>41534</v>
      </c>
      <c r="N1043">
        <v>34.668199999999999</v>
      </c>
      <c r="O1043">
        <v>34.668199999999999</v>
      </c>
    </row>
    <row r="1044" spans="5:15">
      <c r="E1044" s="2">
        <v>41516</v>
      </c>
      <c r="F1044">
        <v>31.41</v>
      </c>
      <c r="G1044">
        <v>5851098</v>
      </c>
      <c r="M1044" s="2">
        <v>41533</v>
      </c>
      <c r="N1044">
        <v>34.6023</v>
      </c>
      <c r="O1044">
        <v>34.6023</v>
      </c>
    </row>
    <row r="1045" spans="5:15">
      <c r="E1045" s="2">
        <v>41515</v>
      </c>
      <c r="F1045">
        <v>31.74</v>
      </c>
      <c r="G1045">
        <v>4599900</v>
      </c>
      <c r="M1045" s="2">
        <v>41530</v>
      </c>
      <c r="N1045">
        <v>34.4602</v>
      </c>
      <c r="O1045">
        <v>34.4602</v>
      </c>
    </row>
    <row r="1046" spans="5:15">
      <c r="E1046" s="2">
        <v>41514</v>
      </c>
      <c r="F1046">
        <v>31.684999999999999</v>
      </c>
      <c r="G1046">
        <v>6045020</v>
      </c>
      <c r="M1046" s="2">
        <v>41529</v>
      </c>
      <c r="N1046">
        <v>34.546500000000002</v>
      </c>
      <c r="O1046">
        <v>34.546500000000002</v>
      </c>
    </row>
    <row r="1047" spans="5:15">
      <c r="E1047" s="2">
        <v>41513</v>
      </c>
      <c r="F1047">
        <v>31.405000000000001</v>
      </c>
      <c r="G1047">
        <v>4870754</v>
      </c>
      <c r="M1047" s="2">
        <v>41528</v>
      </c>
      <c r="N1047">
        <v>34.297800000000002</v>
      </c>
      <c r="O1047">
        <v>34.297800000000002</v>
      </c>
    </row>
    <row r="1048" spans="5:15">
      <c r="E1048" s="2">
        <v>41512</v>
      </c>
      <c r="F1048">
        <v>31.96</v>
      </c>
      <c r="G1048">
        <v>5485432</v>
      </c>
      <c r="M1048" s="2">
        <v>41527</v>
      </c>
      <c r="N1048">
        <v>33.9071</v>
      </c>
      <c r="O1048">
        <v>33.9071</v>
      </c>
    </row>
    <row r="1049" spans="5:15">
      <c r="E1049" s="2">
        <v>41509</v>
      </c>
      <c r="F1049">
        <v>32.104999999999997</v>
      </c>
      <c r="G1049">
        <v>8044446</v>
      </c>
      <c r="M1049" s="2">
        <v>41526</v>
      </c>
      <c r="N1049">
        <v>33.186500000000002</v>
      </c>
      <c r="O1049">
        <v>33.186500000000002</v>
      </c>
    </row>
    <row r="1050" spans="5:15">
      <c r="E1050" s="2">
        <v>41508</v>
      </c>
      <c r="F1050">
        <v>32.43</v>
      </c>
      <c r="G1050">
        <v>5055914</v>
      </c>
      <c r="M1050" s="2">
        <v>41523</v>
      </c>
      <c r="N1050">
        <v>32.973399999999998</v>
      </c>
      <c r="O1050">
        <v>32.973399999999998</v>
      </c>
    </row>
    <row r="1051" spans="5:15">
      <c r="E1051" s="2">
        <v>41507</v>
      </c>
      <c r="F1051">
        <v>32.064999999999998</v>
      </c>
      <c r="G1051">
        <v>4770400</v>
      </c>
      <c r="M1051" s="2">
        <v>41522</v>
      </c>
      <c r="N1051">
        <v>33.176400000000001</v>
      </c>
      <c r="O1051">
        <v>33.176400000000001</v>
      </c>
    </row>
    <row r="1052" spans="5:15">
      <c r="E1052" s="2">
        <v>41506</v>
      </c>
      <c r="F1052">
        <v>32.314999999999998</v>
      </c>
      <c r="G1052">
        <v>7668206</v>
      </c>
      <c r="M1052" s="2">
        <v>41521</v>
      </c>
      <c r="N1052">
        <v>33.049500000000002</v>
      </c>
      <c r="O1052">
        <v>33.049500000000002</v>
      </c>
    </row>
    <row r="1053" spans="5:15">
      <c r="E1053" s="2">
        <v>41505</v>
      </c>
      <c r="F1053">
        <v>32.354999999999997</v>
      </c>
      <c r="G1053">
        <v>7749602</v>
      </c>
      <c r="M1053" s="2">
        <v>41520</v>
      </c>
      <c r="N1053">
        <v>32.6233</v>
      </c>
      <c r="O1053">
        <v>32.6233</v>
      </c>
    </row>
    <row r="1054" spans="5:15">
      <c r="E1054" s="2">
        <v>41502</v>
      </c>
      <c r="F1054">
        <v>31.824999999999999</v>
      </c>
      <c r="G1054">
        <v>5261216</v>
      </c>
      <c r="M1054" s="2">
        <v>41516</v>
      </c>
      <c r="N1054">
        <v>31.877299999999998</v>
      </c>
      <c r="O1054">
        <v>31.877299999999998</v>
      </c>
    </row>
    <row r="1055" spans="5:15">
      <c r="E1055" s="2">
        <v>41501</v>
      </c>
      <c r="F1055">
        <v>31.745000000000001</v>
      </c>
      <c r="G1055">
        <v>6227880</v>
      </c>
      <c r="M1055" s="2">
        <v>41515</v>
      </c>
      <c r="N1055">
        <v>32.212200000000003</v>
      </c>
      <c r="O1055">
        <v>32.212200000000003</v>
      </c>
    </row>
    <row r="1056" spans="5:15">
      <c r="E1056" s="2">
        <v>41500</v>
      </c>
      <c r="F1056">
        <v>32.174999999999997</v>
      </c>
      <c r="G1056">
        <v>5961856</v>
      </c>
      <c r="M1056" s="2">
        <v>41514</v>
      </c>
      <c r="N1056">
        <v>32.050400000000003</v>
      </c>
      <c r="O1056">
        <v>32.050400000000003</v>
      </c>
    </row>
    <row r="1057" spans="5:15">
      <c r="E1057" s="2">
        <v>41499</v>
      </c>
      <c r="F1057">
        <v>32.905000000000001</v>
      </c>
      <c r="G1057">
        <v>4299400</v>
      </c>
      <c r="M1057" s="2">
        <v>41513</v>
      </c>
      <c r="N1057">
        <v>31.767199999999999</v>
      </c>
      <c r="O1057">
        <v>31.767199999999999</v>
      </c>
    </row>
    <row r="1058" spans="5:15">
      <c r="E1058" s="2">
        <v>41498</v>
      </c>
      <c r="F1058">
        <v>33.255000000000003</v>
      </c>
      <c r="G1058">
        <v>4401734</v>
      </c>
      <c r="M1058" s="2">
        <v>41512</v>
      </c>
      <c r="N1058">
        <v>32.328600000000002</v>
      </c>
      <c r="O1058">
        <v>32.328600000000002</v>
      </c>
    </row>
    <row r="1059" spans="5:15">
      <c r="E1059" s="2">
        <v>41495</v>
      </c>
      <c r="F1059">
        <v>33.155000000000001</v>
      </c>
      <c r="G1059">
        <v>5644952</v>
      </c>
      <c r="M1059" s="2">
        <v>41509</v>
      </c>
      <c r="N1059">
        <v>32.475200000000001</v>
      </c>
      <c r="O1059">
        <v>32.475200000000001</v>
      </c>
    </row>
    <row r="1060" spans="5:15">
      <c r="E1060" s="2">
        <v>41494</v>
      </c>
      <c r="F1060">
        <v>33.024999999999999</v>
      </c>
      <c r="G1060">
        <v>5057336</v>
      </c>
      <c r="M1060" s="2">
        <v>41508</v>
      </c>
      <c r="N1060">
        <v>32.804000000000002</v>
      </c>
      <c r="O1060">
        <v>32.804000000000002</v>
      </c>
    </row>
    <row r="1061" spans="5:15">
      <c r="E1061" s="2">
        <v>41493</v>
      </c>
      <c r="F1061">
        <v>32.814999999999998</v>
      </c>
      <c r="G1061">
        <v>5897876</v>
      </c>
      <c r="M1061" s="2">
        <v>41507</v>
      </c>
      <c r="N1061">
        <v>32.434800000000003</v>
      </c>
      <c r="O1061">
        <v>32.434800000000003</v>
      </c>
    </row>
    <row r="1062" spans="5:15">
      <c r="E1062" s="2">
        <v>41492</v>
      </c>
      <c r="F1062">
        <v>33.270000000000003</v>
      </c>
      <c r="G1062">
        <v>6244008</v>
      </c>
      <c r="M1062" s="2">
        <v>41506</v>
      </c>
      <c r="N1062">
        <v>32.6877</v>
      </c>
      <c r="O1062">
        <v>32.6877</v>
      </c>
    </row>
    <row r="1063" spans="5:15">
      <c r="E1063" s="2">
        <v>41491</v>
      </c>
      <c r="F1063">
        <v>33.200000000000003</v>
      </c>
      <c r="G1063">
        <v>4212986</v>
      </c>
      <c r="M1063" s="2">
        <v>41505</v>
      </c>
      <c r="N1063">
        <v>32.728099999999998</v>
      </c>
      <c r="O1063">
        <v>32.728099999999998</v>
      </c>
    </row>
    <row r="1064" spans="5:15">
      <c r="E1064" s="2">
        <v>41488</v>
      </c>
      <c r="F1064">
        <v>33.15</v>
      </c>
      <c r="G1064">
        <v>7518508</v>
      </c>
      <c r="M1064" s="2">
        <v>41502</v>
      </c>
      <c r="N1064">
        <v>32.192</v>
      </c>
      <c r="O1064">
        <v>32.192</v>
      </c>
    </row>
    <row r="1065" spans="5:15">
      <c r="E1065" s="2">
        <v>41487</v>
      </c>
      <c r="F1065">
        <v>32.984999999999999</v>
      </c>
      <c r="G1065">
        <v>15823314</v>
      </c>
      <c r="M1065" s="2">
        <v>41501</v>
      </c>
      <c r="N1065">
        <v>32.1111</v>
      </c>
      <c r="O1065">
        <v>32.1111</v>
      </c>
    </row>
    <row r="1066" spans="5:15">
      <c r="E1066" s="2">
        <v>41486</v>
      </c>
      <c r="F1066">
        <v>31.46</v>
      </c>
      <c r="G1066">
        <v>8461854</v>
      </c>
      <c r="M1066" s="2">
        <v>41500</v>
      </c>
      <c r="N1066">
        <v>32.545999999999999</v>
      </c>
      <c r="O1066">
        <v>32.545999999999999</v>
      </c>
    </row>
    <row r="1067" spans="5:15">
      <c r="E1067" s="2">
        <v>41485</v>
      </c>
      <c r="F1067">
        <v>31.425000000000001</v>
      </c>
      <c r="G1067">
        <v>6400098</v>
      </c>
      <c r="M1067" s="2">
        <v>41499</v>
      </c>
      <c r="N1067">
        <v>33.284500000000001</v>
      </c>
      <c r="O1067">
        <v>33.284500000000001</v>
      </c>
    </row>
    <row r="1068" spans="5:15">
      <c r="E1068" s="2">
        <v>41484</v>
      </c>
      <c r="F1068">
        <v>31.355</v>
      </c>
      <c r="G1068">
        <v>5075646</v>
      </c>
      <c r="M1068" s="2">
        <v>41498</v>
      </c>
      <c r="N1068">
        <v>33.638500000000001</v>
      </c>
      <c r="O1068">
        <v>33.638500000000001</v>
      </c>
    </row>
    <row r="1069" spans="5:15">
      <c r="E1069" s="2">
        <v>41481</v>
      </c>
      <c r="F1069">
        <v>31.265000000000001</v>
      </c>
      <c r="G1069">
        <v>5518364</v>
      </c>
      <c r="M1069" s="2">
        <v>41495</v>
      </c>
      <c r="N1069">
        <v>33.537300000000002</v>
      </c>
      <c r="O1069">
        <v>33.537300000000002</v>
      </c>
    </row>
    <row r="1070" spans="5:15">
      <c r="E1070" s="2">
        <v>41480</v>
      </c>
      <c r="F1070">
        <v>31.245000000000001</v>
      </c>
      <c r="G1070">
        <v>8911238</v>
      </c>
      <c r="M1070" s="2">
        <v>41494</v>
      </c>
      <c r="N1070">
        <v>33.405799999999999</v>
      </c>
      <c r="O1070">
        <v>33.405799999999999</v>
      </c>
    </row>
    <row r="1071" spans="5:15">
      <c r="E1071" s="2">
        <v>41479</v>
      </c>
      <c r="F1071">
        <v>31.315000000000001</v>
      </c>
      <c r="G1071">
        <v>4705330</v>
      </c>
      <c r="M1071" s="2">
        <v>41493</v>
      </c>
      <c r="N1071">
        <v>33.193399999999997</v>
      </c>
      <c r="O1071">
        <v>33.193399999999997</v>
      </c>
    </row>
    <row r="1072" spans="5:15">
      <c r="E1072" s="2">
        <v>41478</v>
      </c>
      <c r="F1072">
        <v>31.594999999999999</v>
      </c>
      <c r="G1072">
        <v>4289512</v>
      </c>
      <c r="M1072" s="2">
        <v>41492</v>
      </c>
      <c r="N1072">
        <v>33.653700000000001</v>
      </c>
      <c r="O1072">
        <v>33.653700000000001</v>
      </c>
    </row>
    <row r="1073" spans="5:15">
      <c r="E1073" s="2">
        <v>41477</v>
      </c>
      <c r="F1073">
        <v>31.645</v>
      </c>
      <c r="G1073">
        <v>5581572</v>
      </c>
      <c r="M1073" s="2">
        <v>41491</v>
      </c>
      <c r="N1073">
        <v>33.582900000000002</v>
      </c>
      <c r="O1073">
        <v>33.582900000000002</v>
      </c>
    </row>
    <row r="1074" spans="5:15">
      <c r="E1074" s="2">
        <v>41474</v>
      </c>
      <c r="F1074">
        <v>31.675000000000001</v>
      </c>
      <c r="G1074">
        <v>5919356</v>
      </c>
      <c r="M1074" s="2">
        <v>41488</v>
      </c>
      <c r="N1074">
        <v>33.532299999999999</v>
      </c>
      <c r="O1074">
        <v>33.532299999999999</v>
      </c>
    </row>
    <row r="1075" spans="5:15">
      <c r="E1075" s="2">
        <v>41473</v>
      </c>
      <c r="F1075">
        <v>31.66</v>
      </c>
      <c r="G1075">
        <v>4486686</v>
      </c>
      <c r="M1075" s="2">
        <v>41487</v>
      </c>
      <c r="N1075">
        <v>33.365400000000001</v>
      </c>
      <c r="O1075">
        <v>33.365400000000001</v>
      </c>
    </row>
    <row r="1076" spans="5:15">
      <c r="E1076" s="2">
        <v>41472</v>
      </c>
      <c r="F1076">
        <v>31.664999999999999</v>
      </c>
      <c r="G1076">
        <v>6247556</v>
      </c>
      <c r="M1076" s="2">
        <v>41486</v>
      </c>
      <c r="N1076">
        <v>31.822800000000001</v>
      </c>
      <c r="O1076">
        <v>31.822800000000001</v>
      </c>
    </row>
    <row r="1077" spans="5:15">
      <c r="E1077" s="2">
        <v>41471</v>
      </c>
      <c r="F1077">
        <v>31.35</v>
      </c>
      <c r="G1077">
        <v>6858364</v>
      </c>
      <c r="M1077" s="2">
        <v>41485</v>
      </c>
      <c r="N1077">
        <v>31.787400000000002</v>
      </c>
      <c r="O1077">
        <v>31.787400000000002</v>
      </c>
    </row>
    <row r="1078" spans="5:15">
      <c r="E1078" s="2">
        <v>41470</v>
      </c>
      <c r="F1078">
        <v>31.675000000000001</v>
      </c>
      <c r="G1078">
        <v>5761842</v>
      </c>
      <c r="M1078" s="2">
        <v>41484</v>
      </c>
      <c r="N1078">
        <v>31.7166</v>
      </c>
      <c r="O1078">
        <v>31.7166</v>
      </c>
    </row>
    <row r="1079" spans="5:15">
      <c r="E1079" s="2">
        <v>41467</v>
      </c>
      <c r="F1079">
        <v>31.835000000000001</v>
      </c>
      <c r="G1079">
        <v>4424292</v>
      </c>
      <c r="M1079" s="2">
        <v>41481</v>
      </c>
      <c r="N1079">
        <v>31.625599999999999</v>
      </c>
      <c r="O1079">
        <v>31.625599999999999</v>
      </c>
    </row>
    <row r="1080" spans="5:15">
      <c r="E1080" s="2">
        <v>41466</v>
      </c>
      <c r="F1080">
        <v>31.86</v>
      </c>
      <c r="G1080">
        <v>7148004</v>
      </c>
      <c r="M1080" s="2">
        <v>41480</v>
      </c>
      <c r="N1080">
        <v>31.6053</v>
      </c>
      <c r="O1080">
        <v>31.6053</v>
      </c>
    </row>
    <row r="1081" spans="5:15">
      <c r="E1081" s="2">
        <v>41465</v>
      </c>
      <c r="F1081">
        <v>31.8</v>
      </c>
      <c r="G1081">
        <v>5098478</v>
      </c>
      <c r="M1081" s="2">
        <v>41479</v>
      </c>
      <c r="N1081">
        <v>31.676100000000002</v>
      </c>
      <c r="O1081">
        <v>31.676100000000002</v>
      </c>
    </row>
    <row r="1082" spans="5:15">
      <c r="E1082" s="2">
        <v>41464</v>
      </c>
      <c r="F1082">
        <v>31.965</v>
      </c>
      <c r="G1082">
        <v>6989460</v>
      </c>
      <c r="M1082" s="2">
        <v>41478</v>
      </c>
      <c r="N1082">
        <v>31.959399999999999</v>
      </c>
      <c r="O1082">
        <v>31.959399999999999</v>
      </c>
    </row>
    <row r="1083" spans="5:15">
      <c r="E1083" s="2">
        <v>41463</v>
      </c>
      <c r="F1083">
        <v>31.86</v>
      </c>
      <c r="G1083">
        <v>6982846</v>
      </c>
      <c r="M1083" s="2">
        <v>41477</v>
      </c>
      <c r="N1083">
        <v>32.009900000000002</v>
      </c>
      <c r="O1083">
        <v>32.009900000000002</v>
      </c>
    </row>
    <row r="1084" spans="5:15">
      <c r="E1084" s="2">
        <v>41460</v>
      </c>
      <c r="F1084">
        <v>31.82</v>
      </c>
      <c r="G1084">
        <v>5158938</v>
      </c>
      <c r="M1084" s="2">
        <v>41474</v>
      </c>
      <c r="N1084">
        <v>32.040300000000002</v>
      </c>
      <c r="O1084">
        <v>32.040300000000002</v>
      </c>
    </row>
    <row r="1085" spans="5:15">
      <c r="E1085" s="2">
        <v>41458</v>
      </c>
      <c r="F1085">
        <v>31.43</v>
      </c>
      <c r="G1085">
        <v>3377294</v>
      </c>
      <c r="M1085" s="2">
        <v>41473</v>
      </c>
      <c r="N1085">
        <v>32.025100000000002</v>
      </c>
      <c r="O1085">
        <v>32.025100000000002</v>
      </c>
    </row>
    <row r="1086" spans="5:15">
      <c r="E1086" s="2">
        <v>41457</v>
      </c>
      <c r="F1086">
        <v>31.31</v>
      </c>
      <c r="G1086">
        <v>7402270</v>
      </c>
      <c r="M1086" s="2">
        <v>41472</v>
      </c>
      <c r="N1086">
        <v>32.030200000000001</v>
      </c>
      <c r="O1086">
        <v>32.030200000000001</v>
      </c>
    </row>
    <row r="1087" spans="5:15">
      <c r="E1087" s="2">
        <v>41456</v>
      </c>
      <c r="F1087">
        <v>31.164999999999999</v>
      </c>
      <c r="G1087">
        <v>14399324</v>
      </c>
      <c r="M1087" s="2">
        <v>41471</v>
      </c>
      <c r="N1087">
        <v>31.711500000000001</v>
      </c>
      <c r="O1087">
        <v>31.711500000000001</v>
      </c>
    </row>
    <row r="1088" spans="5:15">
      <c r="E1088" s="2">
        <v>41453</v>
      </c>
      <c r="F1088">
        <v>31.84</v>
      </c>
      <c r="G1088">
        <v>26819962</v>
      </c>
      <c r="M1088" s="2">
        <v>41470</v>
      </c>
      <c r="N1088">
        <v>32.040300000000002</v>
      </c>
      <c r="O1088">
        <v>32.040300000000002</v>
      </c>
    </row>
    <row r="1089" spans="5:15">
      <c r="E1089" s="2">
        <v>41452</v>
      </c>
      <c r="F1089">
        <v>31.16</v>
      </c>
      <c r="G1089">
        <v>12283986</v>
      </c>
      <c r="M1089" s="2">
        <v>41467</v>
      </c>
      <c r="N1089">
        <v>32.202100000000002</v>
      </c>
      <c r="O1089">
        <v>32.202100000000002</v>
      </c>
    </row>
    <row r="1090" spans="5:15">
      <c r="E1090" s="2">
        <v>41451</v>
      </c>
      <c r="F1090">
        <v>30.925000000000001</v>
      </c>
      <c r="G1090">
        <v>11379284</v>
      </c>
      <c r="M1090" s="2">
        <v>41466</v>
      </c>
      <c r="N1090">
        <v>32.227400000000003</v>
      </c>
      <c r="O1090">
        <v>32.227400000000003</v>
      </c>
    </row>
    <row r="1091" spans="5:15">
      <c r="E1091" s="2">
        <v>41450</v>
      </c>
      <c r="F1091">
        <v>30.195</v>
      </c>
      <c r="G1091">
        <v>10901608</v>
      </c>
      <c r="M1091" s="2">
        <v>41465</v>
      </c>
      <c r="N1091">
        <v>32.166699999999999</v>
      </c>
      <c r="O1091">
        <v>32.166699999999999</v>
      </c>
    </row>
    <row r="1092" spans="5:15">
      <c r="E1092" s="2">
        <v>41449</v>
      </c>
      <c r="F1092">
        <v>29.975000000000001</v>
      </c>
      <c r="G1092">
        <v>9489318</v>
      </c>
      <c r="M1092" s="2">
        <v>41464</v>
      </c>
      <c r="N1092">
        <v>32.333599999999997</v>
      </c>
      <c r="O1092">
        <v>32.333599999999997</v>
      </c>
    </row>
    <row r="1093" spans="5:15">
      <c r="E1093" s="2">
        <v>41446</v>
      </c>
      <c r="F1093">
        <v>30.285</v>
      </c>
      <c r="G1093">
        <v>10095028</v>
      </c>
      <c r="M1093" s="2">
        <v>41463</v>
      </c>
      <c r="N1093">
        <v>32.227400000000003</v>
      </c>
      <c r="O1093">
        <v>32.227400000000003</v>
      </c>
    </row>
    <row r="1094" spans="5:15">
      <c r="E1094" s="2">
        <v>41445</v>
      </c>
      <c r="F1094">
        <v>30.39</v>
      </c>
      <c r="G1094">
        <v>9824554</v>
      </c>
      <c r="M1094" s="2">
        <v>41460</v>
      </c>
      <c r="N1094">
        <v>32.186999999999998</v>
      </c>
      <c r="O1094">
        <v>32.186999999999998</v>
      </c>
    </row>
    <row r="1095" spans="5:15">
      <c r="E1095" s="2">
        <v>41444</v>
      </c>
      <c r="F1095">
        <v>30.875</v>
      </c>
      <c r="G1095">
        <v>9223444</v>
      </c>
      <c r="M1095" s="2">
        <v>41458</v>
      </c>
      <c r="N1095">
        <v>31.7925</v>
      </c>
      <c r="O1095">
        <v>31.7925</v>
      </c>
    </row>
    <row r="1096" spans="5:15">
      <c r="E1096" s="2">
        <v>41443</v>
      </c>
      <c r="F1096">
        <v>31.074999999999999</v>
      </c>
      <c r="G1096">
        <v>9071116</v>
      </c>
      <c r="M1096" s="2">
        <v>41457</v>
      </c>
      <c r="N1096">
        <v>31.671099999999999</v>
      </c>
      <c r="O1096">
        <v>31.671099999999999</v>
      </c>
    </row>
    <row r="1097" spans="5:15">
      <c r="E1097" s="2">
        <v>41442</v>
      </c>
      <c r="F1097">
        <v>30.97</v>
      </c>
      <c r="G1097">
        <v>7512886</v>
      </c>
      <c r="M1097" s="2">
        <v>41456</v>
      </c>
      <c r="N1097">
        <v>31.5244</v>
      </c>
      <c r="O1097">
        <v>31.5244</v>
      </c>
    </row>
    <row r="1098" spans="5:15">
      <c r="E1098" s="2">
        <v>41439</v>
      </c>
      <c r="F1098">
        <v>30.945</v>
      </c>
      <c r="G1098">
        <v>5222280</v>
      </c>
      <c r="M1098" s="2">
        <v>41453</v>
      </c>
      <c r="N1098">
        <v>32.2072</v>
      </c>
      <c r="O1098">
        <v>32.2072</v>
      </c>
    </row>
    <row r="1099" spans="5:15">
      <c r="E1099" s="2">
        <v>41438</v>
      </c>
      <c r="F1099">
        <v>30.88</v>
      </c>
      <c r="G1099">
        <v>7836804</v>
      </c>
      <c r="M1099" s="2">
        <v>41452</v>
      </c>
      <c r="N1099">
        <v>31.519300000000001</v>
      </c>
      <c r="O1099">
        <v>31.519300000000001</v>
      </c>
    </row>
    <row r="1100" spans="5:15">
      <c r="E1100" s="2">
        <v>41437</v>
      </c>
      <c r="F1100">
        <v>30.704999999999998</v>
      </c>
      <c r="G1100">
        <v>5442454</v>
      </c>
      <c r="M1100" s="2">
        <v>41451</v>
      </c>
      <c r="N1100">
        <v>31.281600000000001</v>
      </c>
      <c r="O1100">
        <v>31.281600000000001</v>
      </c>
    </row>
    <row r="1101" spans="5:15">
      <c r="E1101" s="2">
        <v>41436</v>
      </c>
      <c r="F1101">
        <v>31.074999999999999</v>
      </c>
      <c r="G1101">
        <v>5540312</v>
      </c>
      <c r="M1101" s="2">
        <v>41450</v>
      </c>
      <c r="N1101">
        <v>30.543199999999999</v>
      </c>
      <c r="O1101">
        <v>30.543199999999999</v>
      </c>
    </row>
    <row r="1102" spans="5:15">
      <c r="E1102" s="2">
        <v>41435</v>
      </c>
      <c r="F1102">
        <v>31.52</v>
      </c>
      <c r="G1102">
        <v>5480316</v>
      </c>
      <c r="M1102" s="2">
        <v>41449</v>
      </c>
      <c r="N1102">
        <v>30.320699999999999</v>
      </c>
      <c r="O1102">
        <v>30.320699999999999</v>
      </c>
    </row>
    <row r="1103" spans="5:15">
      <c r="E1103" s="2">
        <v>41432</v>
      </c>
      <c r="F1103">
        <v>31.375</v>
      </c>
      <c r="G1103">
        <v>5332382</v>
      </c>
      <c r="M1103" s="2">
        <v>41446</v>
      </c>
      <c r="N1103">
        <v>30.6343</v>
      </c>
      <c r="O1103">
        <v>30.6343</v>
      </c>
    </row>
    <row r="1104" spans="5:15">
      <c r="E1104" s="2">
        <v>41431</v>
      </c>
      <c r="F1104">
        <v>31.08</v>
      </c>
      <c r="G1104">
        <v>4761980</v>
      </c>
      <c r="M1104" s="2">
        <v>41445</v>
      </c>
      <c r="N1104">
        <v>30.740500000000001</v>
      </c>
      <c r="O1104">
        <v>30.740500000000001</v>
      </c>
    </row>
    <row r="1105" spans="5:15">
      <c r="E1105" s="2">
        <v>41430</v>
      </c>
      <c r="F1105">
        <v>30.875</v>
      </c>
      <c r="G1105">
        <v>6205956</v>
      </c>
      <c r="M1105" s="2">
        <v>41444</v>
      </c>
      <c r="N1105">
        <v>31.231100000000001</v>
      </c>
      <c r="O1105">
        <v>31.231100000000001</v>
      </c>
    </row>
    <row r="1106" spans="5:15">
      <c r="E1106" s="2">
        <v>41429</v>
      </c>
      <c r="F1106">
        <v>31.39</v>
      </c>
      <c r="G1106">
        <v>6786706</v>
      </c>
      <c r="M1106" s="2">
        <v>41443</v>
      </c>
      <c r="N1106">
        <v>31.433399999999999</v>
      </c>
      <c r="O1106">
        <v>31.433399999999999</v>
      </c>
    </row>
    <row r="1107" spans="5:15">
      <c r="E1107" s="2">
        <v>41428</v>
      </c>
      <c r="F1107">
        <v>31.515000000000001</v>
      </c>
      <c r="G1107">
        <v>10142250</v>
      </c>
      <c r="M1107" s="2">
        <v>41442</v>
      </c>
      <c r="N1107">
        <v>31.327200000000001</v>
      </c>
      <c r="O1107">
        <v>31.327200000000001</v>
      </c>
    </row>
    <row r="1108" spans="5:15">
      <c r="E1108" s="2">
        <v>41425</v>
      </c>
      <c r="F1108">
        <v>30.83</v>
      </c>
      <c r="G1108">
        <v>7469714</v>
      </c>
      <c r="M1108" s="2">
        <v>41439</v>
      </c>
      <c r="N1108">
        <v>31.3019</v>
      </c>
      <c r="O1108">
        <v>31.3019</v>
      </c>
    </row>
    <row r="1109" spans="5:15">
      <c r="E1109" s="2">
        <v>41424</v>
      </c>
      <c r="F1109">
        <v>31.204999999999998</v>
      </c>
      <c r="G1109">
        <v>5955104</v>
      </c>
      <c r="M1109" s="2">
        <v>41438</v>
      </c>
      <c r="N1109">
        <v>31.2361</v>
      </c>
      <c r="O1109">
        <v>31.2361</v>
      </c>
    </row>
    <row r="1110" spans="5:15">
      <c r="E1110" s="2">
        <v>41423</v>
      </c>
      <c r="F1110">
        <v>31.465</v>
      </c>
      <c r="G1110">
        <v>5521182</v>
      </c>
      <c r="M1110" s="2">
        <v>41437</v>
      </c>
      <c r="N1110">
        <v>31.059100000000001</v>
      </c>
      <c r="O1110">
        <v>31.059100000000001</v>
      </c>
    </row>
    <row r="1111" spans="5:15">
      <c r="E1111" s="2">
        <v>41422</v>
      </c>
      <c r="F1111">
        <v>31.64</v>
      </c>
      <c r="G1111">
        <v>7784102</v>
      </c>
      <c r="M1111" s="2">
        <v>41436</v>
      </c>
      <c r="N1111">
        <v>31.433399999999999</v>
      </c>
      <c r="O1111">
        <v>31.433399999999999</v>
      </c>
    </row>
    <row r="1112" spans="5:15">
      <c r="E1112" s="2">
        <v>41418</v>
      </c>
      <c r="F1112">
        <v>31.395</v>
      </c>
      <c r="G1112">
        <v>7517752</v>
      </c>
      <c r="M1112" s="2">
        <v>41435</v>
      </c>
      <c r="N1112">
        <v>31.883500000000002</v>
      </c>
      <c r="O1112">
        <v>31.883500000000002</v>
      </c>
    </row>
    <row r="1113" spans="5:15">
      <c r="E1113" s="2">
        <v>41417</v>
      </c>
      <c r="F1113">
        <v>31.664999999999999</v>
      </c>
      <c r="G1113">
        <v>8627672</v>
      </c>
      <c r="M1113" s="2">
        <v>41432</v>
      </c>
      <c r="N1113">
        <v>31.736799999999999</v>
      </c>
      <c r="O1113">
        <v>31.736799999999999</v>
      </c>
    </row>
    <row r="1114" spans="5:15">
      <c r="E1114" s="2">
        <v>41416</v>
      </c>
      <c r="F1114">
        <v>32.225000000000001</v>
      </c>
      <c r="G1114">
        <v>8295434</v>
      </c>
      <c r="M1114" s="2">
        <v>41431</v>
      </c>
      <c r="N1114">
        <v>31.438400000000001</v>
      </c>
      <c r="O1114">
        <v>31.438400000000001</v>
      </c>
    </row>
    <row r="1115" spans="5:15">
      <c r="E1115" s="2">
        <v>41415</v>
      </c>
      <c r="F1115">
        <v>32.615000000000002</v>
      </c>
      <c r="G1115">
        <v>6468548</v>
      </c>
      <c r="M1115" s="2">
        <v>41430</v>
      </c>
      <c r="N1115">
        <v>31.231100000000001</v>
      </c>
      <c r="O1115">
        <v>31.231100000000001</v>
      </c>
    </row>
    <row r="1116" spans="5:15">
      <c r="E1116" s="2">
        <v>41414</v>
      </c>
      <c r="F1116">
        <v>32.664999999999999</v>
      </c>
      <c r="G1116">
        <v>5463148</v>
      </c>
      <c r="M1116" s="2">
        <v>41429</v>
      </c>
      <c r="N1116">
        <v>31.751999999999999</v>
      </c>
      <c r="O1116">
        <v>31.751999999999999</v>
      </c>
    </row>
    <row r="1117" spans="5:15">
      <c r="E1117" s="2">
        <v>41411</v>
      </c>
      <c r="F1117">
        <v>32.659999999999997</v>
      </c>
      <c r="G1117">
        <v>6219820</v>
      </c>
      <c r="M1117" s="2">
        <v>41428</v>
      </c>
      <c r="N1117">
        <v>31.878399999999999</v>
      </c>
      <c r="O1117">
        <v>31.878399999999999</v>
      </c>
    </row>
    <row r="1118" spans="5:15">
      <c r="E1118" s="2">
        <v>41410</v>
      </c>
      <c r="F1118">
        <v>32.22</v>
      </c>
      <c r="G1118">
        <v>7689620</v>
      </c>
      <c r="M1118" s="2">
        <v>41425</v>
      </c>
      <c r="N1118">
        <v>31.185500000000001</v>
      </c>
      <c r="O1118">
        <v>31.185500000000001</v>
      </c>
    </row>
    <row r="1119" spans="5:15">
      <c r="E1119" s="2">
        <v>41409</v>
      </c>
      <c r="F1119">
        <v>32.914999999999999</v>
      </c>
      <c r="G1119">
        <v>5289024</v>
      </c>
      <c r="M1119" s="2">
        <v>41424</v>
      </c>
      <c r="N1119">
        <v>31.564900000000002</v>
      </c>
      <c r="O1119">
        <v>31.564900000000002</v>
      </c>
    </row>
    <row r="1120" spans="5:15">
      <c r="E1120" s="2">
        <v>41408</v>
      </c>
      <c r="F1120">
        <v>32.954999999999998</v>
      </c>
      <c r="G1120">
        <v>8277472</v>
      </c>
      <c r="M1120" s="2">
        <v>41423</v>
      </c>
      <c r="N1120">
        <v>31.7211</v>
      </c>
      <c r="O1120">
        <v>31.7211</v>
      </c>
    </row>
    <row r="1121" spans="5:15">
      <c r="E1121" s="2">
        <v>41407</v>
      </c>
      <c r="F1121">
        <v>32.325000000000003</v>
      </c>
      <c r="G1121">
        <v>3780472</v>
      </c>
      <c r="M1121" s="2">
        <v>41422</v>
      </c>
      <c r="N1121">
        <v>31.897500000000001</v>
      </c>
      <c r="O1121">
        <v>31.897500000000001</v>
      </c>
    </row>
    <row r="1122" spans="5:15">
      <c r="E1122" s="2">
        <v>41404</v>
      </c>
      <c r="F1122">
        <v>32.380000000000003</v>
      </c>
      <c r="G1122">
        <v>6647234</v>
      </c>
      <c r="M1122" s="2">
        <v>41418</v>
      </c>
      <c r="N1122">
        <v>31.650600000000001</v>
      </c>
      <c r="O1122">
        <v>31.650600000000001</v>
      </c>
    </row>
    <row r="1123" spans="5:15">
      <c r="E1123" s="2">
        <v>41403</v>
      </c>
      <c r="F1123">
        <v>31.87</v>
      </c>
      <c r="G1123">
        <v>4433678</v>
      </c>
      <c r="M1123" s="2">
        <v>41417</v>
      </c>
      <c r="N1123">
        <v>31.922799999999999</v>
      </c>
      <c r="O1123">
        <v>31.922799999999999</v>
      </c>
    </row>
    <row r="1124" spans="5:15">
      <c r="E1124" s="2">
        <v>41402</v>
      </c>
      <c r="F1124">
        <v>31.95</v>
      </c>
      <c r="G1124">
        <v>6260520</v>
      </c>
      <c r="M1124" s="2">
        <v>41416</v>
      </c>
      <c r="N1124">
        <v>32.487299999999998</v>
      </c>
      <c r="O1124">
        <v>32.487299999999998</v>
      </c>
    </row>
    <row r="1125" spans="5:15">
      <c r="E1125" s="2">
        <v>41401</v>
      </c>
      <c r="F1125">
        <v>31.954999999999998</v>
      </c>
      <c r="G1125">
        <v>6298248</v>
      </c>
      <c r="M1125" s="2">
        <v>41415</v>
      </c>
      <c r="N1125">
        <v>32.880499999999998</v>
      </c>
      <c r="O1125">
        <v>32.880499999999998</v>
      </c>
    </row>
    <row r="1126" spans="5:15">
      <c r="E1126" s="2">
        <v>41400</v>
      </c>
      <c r="F1126">
        <v>31.98</v>
      </c>
      <c r="G1126">
        <v>4751828</v>
      </c>
      <c r="M1126" s="2">
        <v>41414</v>
      </c>
      <c r="N1126">
        <v>32.930900000000001</v>
      </c>
      <c r="O1126">
        <v>32.930900000000001</v>
      </c>
    </row>
    <row r="1127" spans="5:15">
      <c r="E1127" s="2">
        <v>41397</v>
      </c>
      <c r="F1127">
        <v>32.274999999999999</v>
      </c>
      <c r="G1127">
        <v>6952430</v>
      </c>
      <c r="M1127" s="2">
        <v>41411</v>
      </c>
      <c r="N1127">
        <v>32.925800000000002</v>
      </c>
      <c r="O1127">
        <v>32.925800000000002</v>
      </c>
    </row>
    <row r="1128" spans="5:15">
      <c r="E1128" s="2">
        <v>41396</v>
      </c>
      <c r="F1128">
        <v>31.66</v>
      </c>
      <c r="G1128">
        <v>5605208</v>
      </c>
      <c r="M1128" s="2">
        <v>41410</v>
      </c>
      <c r="N1128">
        <v>32.482300000000002</v>
      </c>
      <c r="O1128">
        <v>32.482300000000002</v>
      </c>
    </row>
    <row r="1129" spans="5:15">
      <c r="E1129" s="2">
        <v>41395</v>
      </c>
      <c r="F1129">
        <v>31.68</v>
      </c>
      <c r="G1129">
        <v>7924244</v>
      </c>
      <c r="M1129" s="2">
        <v>41409</v>
      </c>
      <c r="N1129">
        <v>33.182899999999997</v>
      </c>
      <c r="O1129">
        <v>33.182899999999997</v>
      </c>
    </row>
    <row r="1130" spans="5:15">
      <c r="E1130" s="2">
        <v>41394</v>
      </c>
      <c r="F1130">
        <v>31.8</v>
      </c>
      <c r="G1130">
        <v>10099964</v>
      </c>
      <c r="M1130" s="2">
        <v>41408</v>
      </c>
      <c r="N1130">
        <v>33.223300000000002</v>
      </c>
      <c r="O1130">
        <v>33.223300000000002</v>
      </c>
    </row>
    <row r="1131" spans="5:15">
      <c r="E1131" s="2">
        <v>41393</v>
      </c>
      <c r="F1131">
        <v>31.315000000000001</v>
      </c>
      <c r="G1131">
        <v>5845614</v>
      </c>
      <c r="M1131" s="2">
        <v>41407</v>
      </c>
      <c r="N1131">
        <v>32.588099999999997</v>
      </c>
      <c r="O1131">
        <v>32.588099999999997</v>
      </c>
    </row>
    <row r="1132" spans="5:15">
      <c r="E1132" s="2">
        <v>41390</v>
      </c>
      <c r="F1132">
        <v>30.945</v>
      </c>
      <c r="G1132">
        <v>4826564</v>
      </c>
      <c r="M1132" s="2">
        <v>41404</v>
      </c>
      <c r="N1132">
        <v>32.643599999999999</v>
      </c>
      <c r="O1132">
        <v>32.643599999999999</v>
      </c>
    </row>
    <row r="1133" spans="5:15">
      <c r="E1133" s="2">
        <v>41389</v>
      </c>
      <c r="F1133">
        <v>31.035</v>
      </c>
      <c r="G1133">
        <v>4378588</v>
      </c>
      <c r="M1133" s="2">
        <v>41403</v>
      </c>
      <c r="N1133">
        <v>32.129399999999997</v>
      </c>
      <c r="O1133">
        <v>32.129399999999997</v>
      </c>
    </row>
    <row r="1134" spans="5:15">
      <c r="E1134" s="2">
        <v>41388</v>
      </c>
      <c r="F1134">
        <v>30.765000000000001</v>
      </c>
      <c r="G1134">
        <v>4167966</v>
      </c>
      <c r="M1134" s="2">
        <v>41402</v>
      </c>
      <c r="N1134">
        <v>32.210099999999997</v>
      </c>
      <c r="O1134">
        <v>32.210099999999997</v>
      </c>
    </row>
    <row r="1135" spans="5:15">
      <c r="E1135" s="2">
        <v>41387</v>
      </c>
      <c r="F1135">
        <v>30.84</v>
      </c>
      <c r="G1135">
        <v>6122118</v>
      </c>
      <c r="M1135" s="2">
        <v>41401</v>
      </c>
      <c r="N1135">
        <v>32.2151</v>
      </c>
      <c r="O1135">
        <v>32.2151</v>
      </c>
    </row>
    <row r="1136" spans="5:15">
      <c r="E1136" s="2">
        <v>41386</v>
      </c>
      <c r="F1136">
        <v>30.68</v>
      </c>
      <c r="G1136">
        <v>5968530</v>
      </c>
      <c r="M1136" s="2">
        <v>41400</v>
      </c>
      <c r="N1136">
        <v>32.240299999999998</v>
      </c>
      <c r="O1136">
        <v>32.240299999999998</v>
      </c>
    </row>
    <row r="1137" spans="5:15">
      <c r="E1137" s="2">
        <v>41383</v>
      </c>
      <c r="F1137">
        <v>30.46</v>
      </c>
      <c r="G1137">
        <v>6773668</v>
      </c>
      <c r="M1137" s="2">
        <v>41397</v>
      </c>
      <c r="N1137">
        <v>32.537700000000001</v>
      </c>
      <c r="O1137">
        <v>32.537700000000001</v>
      </c>
    </row>
    <row r="1138" spans="5:15">
      <c r="E1138" s="2">
        <v>41382</v>
      </c>
      <c r="F1138">
        <v>30.09</v>
      </c>
      <c r="G1138">
        <v>6016272</v>
      </c>
      <c r="M1138" s="2">
        <v>41396</v>
      </c>
      <c r="N1138">
        <v>31.9177</v>
      </c>
      <c r="O1138">
        <v>31.9177</v>
      </c>
    </row>
    <row r="1139" spans="5:15">
      <c r="E1139" s="2">
        <v>41381</v>
      </c>
      <c r="F1139">
        <v>30.45</v>
      </c>
      <c r="G1139">
        <v>10437376</v>
      </c>
      <c r="M1139" s="2">
        <v>41395</v>
      </c>
      <c r="N1139">
        <v>31.937899999999999</v>
      </c>
      <c r="O1139">
        <v>31.937899999999999</v>
      </c>
    </row>
    <row r="1140" spans="5:15">
      <c r="E1140" s="2">
        <v>41380</v>
      </c>
      <c r="F1140">
        <v>30.25</v>
      </c>
      <c r="G1140">
        <v>5960568</v>
      </c>
      <c r="M1140" s="2">
        <v>41394</v>
      </c>
      <c r="N1140">
        <v>32.058799999999998</v>
      </c>
      <c r="O1140">
        <v>32.058799999999998</v>
      </c>
    </row>
    <row r="1141" spans="5:15">
      <c r="E1141" s="2">
        <v>41379</v>
      </c>
      <c r="F1141">
        <v>29.835000000000001</v>
      </c>
      <c r="G1141">
        <v>6676630</v>
      </c>
      <c r="M1141" s="2">
        <v>41393</v>
      </c>
      <c r="N1141">
        <v>31.569900000000001</v>
      </c>
      <c r="O1141">
        <v>31.569900000000001</v>
      </c>
    </row>
    <row r="1142" spans="5:15">
      <c r="E1142" s="2">
        <v>41376</v>
      </c>
      <c r="F1142">
        <v>30.29</v>
      </c>
      <c r="G1142">
        <v>5539596</v>
      </c>
      <c r="M1142" s="2">
        <v>41390</v>
      </c>
      <c r="N1142">
        <v>31.196899999999999</v>
      </c>
      <c r="O1142">
        <v>31.196899999999999</v>
      </c>
    </row>
    <row r="1143" spans="5:15">
      <c r="E1143" s="2">
        <v>41375</v>
      </c>
      <c r="F1143">
        <v>30.6</v>
      </c>
      <c r="G1143">
        <v>8790798</v>
      </c>
      <c r="M1143" s="2">
        <v>41389</v>
      </c>
      <c r="N1143">
        <v>31.287600000000001</v>
      </c>
      <c r="O1143">
        <v>31.287600000000001</v>
      </c>
    </row>
    <row r="1144" spans="5:15">
      <c r="E1144" s="2">
        <v>41374</v>
      </c>
      <c r="F1144">
        <v>30.145</v>
      </c>
      <c r="G1144">
        <v>5951308</v>
      </c>
      <c r="M1144" s="2">
        <v>41388</v>
      </c>
      <c r="N1144">
        <v>31.0154</v>
      </c>
      <c r="O1144">
        <v>31.0154</v>
      </c>
    </row>
    <row r="1145" spans="5:15">
      <c r="E1145" s="2">
        <v>41373</v>
      </c>
      <c r="F1145">
        <v>29.945</v>
      </c>
      <c r="G1145">
        <v>6679924</v>
      </c>
      <c r="M1145" s="2">
        <v>41387</v>
      </c>
      <c r="N1145">
        <v>31.091000000000001</v>
      </c>
      <c r="O1145">
        <v>31.091000000000001</v>
      </c>
    </row>
    <row r="1146" spans="5:15">
      <c r="E1146" s="2">
        <v>41372</v>
      </c>
      <c r="F1146">
        <v>29.975000000000001</v>
      </c>
      <c r="G1146">
        <v>8013984</v>
      </c>
      <c r="M1146" s="2">
        <v>41386</v>
      </c>
      <c r="N1146">
        <v>30.9297</v>
      </c>
      <c r="O1146">
        <v>30.9297</v>
      </c>
    </row>
    <row r="1147" spans="5:15">
      <c r="E1147" s="2">
        <v>41369</v>
      </c>
      <c r="F1147">
        <v>29.484999999999999</v>
      </c>
      <c r="G1147">
        <v>6190482</v>
      </c>
      <c r="M1147" s="2">
        <v>41383</v>
      </c>
      <c r="N1147">
        <v>30.707899999999999</v>
      </c>
      <c r="O1147">
        <v>30.707899999999999</v>
      </c>
    </row>
    <row r="1148" spans="5:15">
      <c r="E1148" s="2">
        <v>41368</v>
      </c>
      <c r="F1148">
        <v>29.67</v>
      </c>
      <c r="G1148">
        <v>4999470</v>
      </c>
      <c r="M1148" s="2">
        <v>41382</v>
      </c>
      <c r="N1148">
        <v>30.334900000000001</v>
      </c>
      <c r="O1148">
        <v>30.334900000000001</v>
      </c>
    </row>
    <row r="1149" spans="5:15">
      <c r="E1149" s="2">
        <v>41367</v>
      </c>
      <c r="F1149">
        <v>29.454999999999998</v>
      </c>
      <c r="G1149">
        <v>7627284</v>
      </c>
      <c r="M1149" s="2">
        <v>41381</v>
      </c>
      <c r="N1149">
        <v>30.697900000000001</v>
      </c>
      <c r="O1149">
        <v>30.697900000000001</v>
      </c>
    </row>
    <row r="1150" spans="5:15">
      <c r="E1150" s="2">
        <v>41366</v>
      </c>
      <c r="F1150">
        <v>29.45</v>
      </c>
      <c r="G1150">
        <v>9330534</v>
      </c>
      <c r="M1150" s="2">
        <v>41380</v>
      </c>
      <c r="N1150">
        <v>30.496200000000002</v>
      </c>
      <c r="O1150">
        <v>30.496200000000002</v>
      </c>
    </row>
    <row r="1151" spans="5:15">
      <c r="E1151" s="2">
        <v>41365</v>
      </c>
      <c r="F1151">
        <v>29.13</v>
      </c>
      <c r="G1151">
        <v>6970514</v>
      </c>
      <c r="M1151" s="2">
        <v>41379</v>
      </c>
      <c r="N1151">
        <v>30.0779</v>
      </c>
      <c r="O1151">
        <v>30.0779</v>
      </c>
    </row>
    <row r="1152" spans="5:15">
      <c r="E1152" s="2">
        <v>41361</v>
      </c>
      <c r="F1152">
        <v>29.504999999999999</v>
      </c>
      <c r="G1152">
        <v>7614536</v>
      </c>
      <c r="M1152" s="2">
        <v>41376</v>
      </c>
      <c r="N1152">
        <v>30.5366</v>
      </c>
      <c r="O1152">
        <v>30.5366</v>
      </c>
    </row>
    <row r="1153" spans="5:15">
      <c r="E1153" s="2">
        <v>41360</v>
      </c>
      <c r="F1153">
        <v>29.225000000000001</v>
      </c>
      <c r="G1153">
        <v>10447734</v>
      </c>
      <c r="M1153" s="2">
        <v>41375</v>
      </c>
      <c r="N1153">
        <v>30.8491</v>
      </c>
      <c r="O1153">
        <v>30.8491</v>
      </c>
    </row>
    <row r="1154" spans="5:15">
      <c r="E1154" s="2">
        <v>41359</v>
      </c>
      <c r="F1154">
        <v>29.734999999999999</v>
      </c>
      <c r="G1154">
        <v>8950618</v>
      </c>
      <c r="M1154" s="2">
        <v>41374</v>
      </c>
      <c r="N1154">
        <v>30.3904</v>
      </c>
      <c r="O1154">
        <v>30.3904</v>
      </c>
    </row>
    <row r="1155" spans="5:15">
      <c r="E1155" s="2">
        <v>41358</v>
      </c>
      <c r="F1155">
        <v>29.78</v>
      </c>
      <c r="G1155">
        <v>13317218</v>
      </c>
      <c r="M1155" s="2">
        <v>41373</v>
      </c>
      <c r="N1155">
        <v>30.188700000000001</v>
      </c>
      <c r="O1155">
        <v>30.188700000000001</v>
      </c>
    </row>
    <row r="1156" spans="5:15">
      <c r="E1156" s="2">
        <v>41355</v>
      </c>
      <c r="F1156">
        <v>29.765000000000001</v>
      </c>
      <c r="G1156">
        <v>38665440</v>
      </c>
      <c r="M1156" s="2">
        <v>41372</v>
      </c>
      <c r="N1156">
        <v>30.219000000000001</v>
      </c>
      <c r="O1156">
        <v>30.219000000000001</v>
      </c>
    </row>
    <row r="1157" spans="5:15">
      <c r="E1157" s="2">
        <v>41354</v>
      </c>
      <c r="F1157">
        <v>26.8</v>
      </c>
      <c r="G1157">
        <v>15896108</v>
      </c>
      <c r="M1157" s="2">
        <v>41369</v>
      </c>
      <c r="N1157">
        <v>29.725000000000001</v>
      </c>
      <c r="O1157">
        <v>29.725000000000001</v>
      </c>
    </row>
    <row r="1158" spans="5:15">
      <c r="E1158" s="2">
        <v>41353</v>
      </c>
      <c r="F1158">
        <v>27.414999999999999</v>
      </c>
      <c r="G1158">
        <v>7944806</v>
      </c>
      <c r="M1158" s="2">
        <v>41368</v>
      </c>
      <c r="N1158">
        <v>29.9115</v>
      </c>
      <c r="O1158">
        <v>29.9115</v>
      </c>
    </row>
    <row r="1159" spans="5:15">
      <c r="E1159" s="2">
        <v>41352</v>
      </c>
      <c r="F1159">
        <v>26.914999999999999</v>
      </c>
      <c r="G1159">
        <v>6628348</v>
      </c>
      <c r="M1159" s="2">
        <v>41367</v>
      </c>
      <c r="N1159">
        <v>29.694800000000001</v>
      </c>
      <c r="O1159">
        <v>29.694800000000001</v>
      </c>
    </row>
    <row r="1160" spans="5:15">
      <c r="E1160" s="2">
        <v>41351</v>
      </c>
      <c r="F1160">
        <v>27.08</v>
      </c>
      <c r="G1160">
        <v>5081012</v>
      </c>
      <c r="M1160" s="2">
        <v>41366</v>
      </c>
      <c r="N1160">
        <v>29.689699999999998</v>
      </c>
      <c r="O1160">
        <v>29.689699999999998</v>
      </c>
    </row>
    <row r="1161" spans="5:15">
      <c r="E1161" s="2">
        <v>41348</v>
      </c>
      <c r="F1161">
        <v>27.39</v>
      </c>
      <c r="G1161">
        <v>8131942</v>
      </c>
      <c r="M1161" s="2">
        <v>41365</v>
      </c>
      <c r="N1161">
        <v>29.367100000000001</v>
      </c>
      <c r="O1161">
        <v>29.367100000000001</v>
      </c>
    </row>
    <row r="1162" spans="5:15">
      <c r="E1162" s="2">
        <v>41347</v>
      </c>
      <c r="F1162">
        <v>27.344999999999999</v>
      </c>
      <c r="G1162">
        <v>6918234</v>
      </c>
      <c r="M1162" s="2">
        <v>41361</v>
      </c>
      <c r="N1162">
        <v>29.745200000000001</v>
      </c>
      <c r="O1162">
        <v>29.745200000000001</v>
      </c>
    </row>
    <row r="1163" spans="5:15">
      <c r="E1163" s="2">
        <v>41346</v>
      </c>
      <c r="F1163">
        <v>27.425000000000001</v>
      </c>
      <c r="G1163">
        <v>8185616</v>
      </c>
      <c r="M1163" s="2">
        <v>41360</v>
      </c>
      <c r="N1163">
        <v>29.462900000000001</v>
      </c>
      <c r="O1163">
        <v>29.462900000000001</v>
      </c>
    </row>
    <row r="1164" spans="5:15">
      <c r="E1164" s="2">
        <v>41345</v>
      </c>
      <c r="F1164">
        <v>26.745000000000001</v>
      </c>
      <c r="G1164">
        <v>12344464</v>
      </c>
      <c r="M1164" s="2">
        <v>41359</v>
      </c>
      <c r="N1164">
        <v>29.977</v>
      </c>
      <c r="O1164">
        <v>29.977</v>
      </c>
    </row>
    <row r="1165" spans="5:15">
      <c r="E1165" s="2">
        <v>41344</v>
      </c>
      <c r="F1165">
        <v>27.265000000000001</v>
      </c>
      <c r="G1165">
        <v>6754724</v>
      </c>
      <c r="M1165" s="2">
        <v>41358</v>
      </c>
      <c r="N1165">
        <v>30.022400000000001</v>
      </c>
      <c r="O1165">
        <v>30.022400000000001</v>
      </c>
    </row>
    <row r="1166" spans="5:15">
      <c r="E1166" s="2">
        <v>41341</v>
      </c>
      <c r="F1166">
        <v>27.344999999999999</v>
      </c>
      <c r="G1166">
        <v>8017382</v>
      </c>
      <c r="M1166" s="2">
        <v>41355</v>
      </c>
      <c r="N1166">
        <v>30.007300000000001</v>
      </c>
      <c r="O1166">
        <v>30.007300000000001</v>
      </c>
    </row>
    <row r="1167" spans="5:15">
      <c r="E1167" s="2">
        <v>41340</v>
      </c>
      <c r="F1167">
        <v>27.61</v>
      </c>
      <c r="G1167">
        <v>5685050</v>
      </c>
      <c r="M1167" s="2">
        <v>41354</v>
      </c>
      <c r="N1167">
        <v>27.0181</v>
      </c>
      <c r="O1167">
        <v>27.0181</v>
      </c>
    </row>
    <row r="1168" spans="5:15">
      <c r="E1168" s="2">
        <v>41339</v>
      </c>
      <c r="F1168">
        <v>27.65</v>
      </c>
      <c r="G1168">
        <v>5811896</v>
      </c>
      <c r="M1168" s="2">
        <v>41353</v>
      </c>
      <c r="N1168">
        <v>27.638200000000001</v>
      </c>
      <c r="O1168">
        <v>27.638200000000001</v>
      </c>
    </row>
    <row r="1169" spans="5:15">
      <c r="E1169" s="2">
        <v>41338</v>
      </c>
      <c r="F1169">
        <v>27.45</v>
      </c>
      <c r="G1169">
        <v>8104420</v>
      </c>
      <c r="M1169" s="2">
        <v>41352</v>
      </c>
      <c r="N1169">
        <v>27.1341</v>
      </c>
      <c r="O1169">
        <v>27.1341</v>
      </c>
    </row>
    <row r="1170" spans="5:15">
      <c r="E1170" s="2">
        <v>41337</v>
      </c>
      <c r="F1170">
        <v>27.364999999999998</v>
      </c>
      <c r="G1170">
        <v>5294732</v>
      </c>
      <c r="M1170" s="2">
        <v>41351</v>
      </c>
      <c r="N1170">
        <v>27.3004</v>
      </c>
      <c r="O1170">
        <v>27.3004</v>
      </c>
    </row>
    <row r="1171" spans="5:15">
      <c r="E1171" s="2">
        <v>41334</v>
      </c>
      <c r="F1171">
        <v>27.41</v>
      </c>
      <c r="G1171">
        <v>8054950</v>
      </c>
      <c r="M1171" s="2">
        <v>41348</v>
      </c>
      <c r="N1171">
        <v>27.613</v>
      </c>
      <c r="O1171">
        <v>27.613</v>
      </c>
    </row>
    <row r="1172" spans="5:15">
      <c r="E1172" s="2">
        <v>41333</v>
      </c>
      <c r="F1172">
        <v>27.23</v>
      </c>
      <c r="G1172">
        <v>6713490</v>
      </c>
      <c r="M1172" s="2">
        <v>41347</v>
      </c>
      <c r="N1172">
        <v>27.567599999999999</v>
      </c>
      <c r="O1172">
        <v>27.567599999999999</v>
      </c>
    </row>
    <row r="1173" spans="5:15">
      <c r="E1173" s="2">
        <v>41332</v>
      </c>
      <c r="F1173">
        <v>27.17</v>
      </c>
      <c r="G1173">
        <v>6269382</v>
      </c>
      <c r="M1173" s="2">
        <v>41346</v>
      </c>
      <c r="N1173">
        <v>27.648199999999999</v>
      </c>
      <c r="O1173">
        <v>27.648199999999999</v>
      </c>
    </row>
    <row r="1174" spans="5:15">
      <c r="E1174" s="2">
        <v>41331</v>
      </c>
      <c r="F1174">
        <v>27.135000000000002</v>
      </c>
      <c r="G1174">
        <v>6085136</v>
      </c>
      <c r="M1174" s="2">
        <v>41345</v>
      </c>
      <c r="N1174">
        <v>26.962700000000002</v>
      </c>
      <c r="O1174">
        <v>26.962700000000002</v>
      </c>
    </row>
    <row r="1175" spans="5:15">
      <c r="E1175" s="2">
        <v>41330</v>
      </c>
      <c r="F1175">
        <v>27.02</v>
      </c>
      <c r="G1175">
        <v>8567972</v>
      </c>
      <c r="M1175" s="2">
        <v>41344</v>
      </c>
      <c r="N1175">
        <v>27.486899999999999</v>
      </c>
      <c r="O1175">
        <v>27.486899999999999</v>
      </c>
    </row>
    <row r="1176" spans="5:15">
      <c r="E1176" s="2">
        <v>41327</v>
      </c>
      <c r="F1176">
        <v>27.234999999999999</v>
      </c>
      <c r="G1176">
        <v>5854828</v>
      </c>
      <c r="M1176" s="2">
        <v>41341</v>
      </c>
      <c r="N1176">
        <v>27.567599999999999</v>
      </c>
      <c r="O1176">
        <v>27.567599999999999</v>
      </c>
    </row>
    <row r="1177" spans="5:15">
      <c r="E1177" s="2">
        <v>41326</v>
      </c>
      <c r="F1177">
        <v>27.27</v>
      </c>
      <c r="G1177">
        <v>9359152</v>
      </c>
      <c r="M1177" s="2">
        <v>41340</v>
      </c>
      <c r="N1177">
        <v>27.834700000000002</v>
      </c>
      <c r="O1177">
        <v>27.834700000000002</v>
      </c>
    </row>
    <row r="1178" spans="5:15">
      <c r="E1178" s="2">
        <v>41325</v>
      </c>
      <c r="F1178">
        <v>27.01</v>
      </c>
      <c r="G1178">
        <v>7587334</v>
      </c>
      <c r="M1178" s="2">
        <v>41339</v>
      </c>
      <c r="N1178">
        <v>27.8751</v>
      </c>
      <c r="O1178">
        <v>27.8751</v>
      </c>
    </row>
    <row r="1179" spans="5:15">
      <c r="E1179" s="2">
        <v>41324</v>
      </c>
      <c r="F1179">
        <v>27.234999999999999</v>
      </c>
      <c r="G1179">
        <v>8513314</v>
      </c>
      <c r="M1179" s="2">
        <v>41338</v>
      </c>
      <c r="N1179">
        <v>27.673400000000001</v>
      </c>
      <c r="O1179">
        <v>27.673400000000001</v>
      </c>
    </row>
    <row r="1180" spans="5:15">
      <c r="E1180" s="2">
        <v>41320</v>
      </c>
      <c r="F1180">
        <v>27.475000000000001</v>
      </c>
      <c r="G1180">
        <v>7060126</v>
      </c>
      <c r="M1180" s="2">
        <v>41337</v>
      </c>
      <c r="N1180">
        <v>27.587700000000002</v>
      </c>
      <c r="O1180">
        <v>27.587700000000002</v>
      </c>
    </row>
    <row r="1181" spans="5:15">
      <c r="E1181" s="2">
        <v>41319</v>
      </c>
      <c r="F1181">
        <v>27.31</v>
      </c>
      <c r="G1181">
        <v>6164026</v>
      </c>
      <c r="M1181" s="2">
        <v>41334</v>
      </c>
      <c r="N1181">
        <v>27.633099999999999</v>
      </c>
      <c r="O1181">
        <v>27.633099999999999</v>
      </c>
    </row>
    <row r="1182" spans="5:15">
      <c r="E1182" s="2">
        <v>41318</v>
      </c>
      <c r="F1182">
        <v>27.28</v>
      </c>
      <c r="G1182">
        <v>6054126</v>
      </c>
      <c r="M1182" s="2">
        <v>41333</v>
      </c>
      <c r="N1182">
        <v>27.451699999999999</v>
      </c>
      <c r="O1182">
        <v>27.451699999999999</v>
      </c>
    </row>
    <row r="1183" spans="5:15">
      <c r="E1183" s="2">
        <v>41317</v>
      </c>
      <c r="F1183">
        <v>27.545000000000002</v>
      </c>
      <c r="G1183">
        <v>3866508</v>
      </c>
      <c r="M1183" s="2">
        <v>41332</v>
      </c>
      <c r="N1183">
        <v>27.285900000000002</v>
      </c>
      <c r="O1183">
        <v>27.285900000000002</v>
      </c>
    </row>
    <row r="1184" spans="5:15">
      <c r="E1184" s="2">
        <v>41316</v>
      </c>
      <c r="F1184">
        <v>27.61</v>
      </c>
      <c r="G1184">
        <v>8916590</v>
      </c>
      <c r="M1184" s="2">
        <v>41331</v>
      </c>
      <c r="N1184">
        <v>27.250800000000002</v>
      </c>
      <c r="O1184">
        <v>27.250800000000002</v>
      </c>
    </row>
    <row r="1185" spans="5:15">
      <c r="E1185" s="2">
        <v>41313</v>
      </c>
      <c r="F1185">
        <v>27.295000000000002</v>
      </c>
      <c r="G1185">
        <v>5100734</v>
      </c>
      <c r="M1185" s="2">
        <v>41330</v>
      </c>
      <c r="N1185">
        <v>27.135300000000001</v>
      </c>
      <c r="O1185">
        <v>27.135300000000001</v>
      </c>
    </row>
    <row r="1186" spans="5:15">
      <c r="E1186" s="2">
        <v>41312</v>
      </c>
      <c r="F1186">
        <v>27.34</v>
      </c>
      <c r="G1186">
        <v>5572950</v>
      </c>
      <c r="M1186" s="2">
        <v>41327</v>
      </c>
      <c r="N1186">
        <v>27.351199999999999</v>
      </c>
      <c r="O1186">
        <v>27.351199999999999</v>
      </c>
    </row>
    <row r="1187" spans="5:15">
      <c r="E1187" s="2">
        <v>41311</v>
      </c>
      <c r="F1187">
        <v>27.08</v>
      </c>
      <c r="G1187">
        <v>5296912</v>
      </c>
      <c r="M1187" s="2">
        <v>41326</v>
      </c>
      <c r="N1187">
        <v>27.386399999999998</v>
      </c>
      <c r="O1187">
        <v>27.386399999999998</v>
      </c>
    </row>
    <row r="1188" spans="5:15">
      <c r="E1188" s="2">
        <v>41310</v>
      </c>
      <c r="F1188">
        <v>26.945</v>
      </c>
      <c r="G1188">
        <v>4527202</v>
      </c>
      <c r="M1188" s="2">
        <v>41325</v>
      </c>
      <c r="N1188">
        <v>27.125299999999999</v>
      </c>
      <c r="O1188">
        <v>27.125299999999999</v>
      </c>
    </row>
    <row r="1189" spans="5:15">
      <c r="E1189" s="2">
        <v>41309</v>
      </c>
      <c r="F1189">
        <v>26.83</v>
      </c>
      <c r="G1189">
        <v>5075738</v>
      </c>
      <c r="M1189" s="2">
        <v>41324</v>
      </c>
      <c r="N1189">
        <v>27.351199999999999</v>
      </c>
      <c r="O1189">
        <v>27.351199999999999</v>
      </c>
    </row>
    <row r="1190" spans="5:15">
      <c r="E1190" s="2">
        <v>41306</v>
      </c>
      <c r="F1190">
        <v>26.85</v>
      </c>
      <c r="G1190">
        <v>6774510</v>
      </c>
      <c r="M1190" s="2">
        <v>41320</v>
      </c>
      <c r="N1190">
        <v>27.592199999999998</v>
      </c>
      <c r="O1190">
        <v>27.592199999999998</v>
      </c>
    </row>
    <row r="1191" spans="5:15">
      <c r="E1191" s="2">
        <v>41305</v>
      </c>
      <c r="F1191">
        <v>27.024999999999999</v>
      </c>
      <c r="G1191">
        <v>9146144</v>
      </c>
      <c r="M1191" s="2">
        <v>41319</v>
      </c>
      <c r="N1191">
        <v>27.426500000000001</v>
      </c>
      <c r="O1191">
        <v>27.426500000000001</v>
      </c>
    </row>
    <row r="1192" spans="5:15">
      <c r="E1192" s="2">
        <v>41304</v>
      </c>
      <c r="F1192">
        <v>26.805</v>
      </c>
      <c r="G1192">
        <v>6343300</v>
      </c>
      <c r="M1192" s="2">
        <v>41318</v>
      </c>
      <c r="N1192">
        <v>27.3964</v>
      </c>
      <c r="O1192">
        <v>27.3964</v>
      </c>
    </row>
    <row r="1193" spans="5:15">
      <c r="E1193" s="2">
        <v>41303</v>
      </c>
      <c r="F1193">
        <v>26.96</v>
      </c>
      <c r="G1193">
        <v>7214784</v>
      </c>
      <c r="M1193" s="2">
        <v>41317</v>
      </c>
      <c r="N1193">
        <v>27.662500000000001</v>
      </c>
      <c r="O1193">
        <v>27.662500000000001</v>
      </c>
    </row>
    <row r="1194" spans="5:15">
      <c r="E1194" s="2">
        <v>41302</v>
      </c>
      <c r="F1194">
        <v>27.25</v>
      </c>
      <c r="G1194">
        <v>8038160</v>
      </c>
      <c r="M1194" s="2">
        <v>41316</v>
      </c>
      <c r="N1194">
        <v>27.727799999999998</v>
      </c>
      <c r="O1194">
        <v>27.727799999999998</v>
      </c>
    </row>
    <row r="1195" spans="5:15">
      <c r="E1195" s="2">
        <v>41299</v>
      </c>
      <c r="F1195">
        <v>27.774999999999999</v>
      </c>
      <c r="G1195">
        <v>12543648</v>
      </c>
      <c r="M1195" s="2">
        <v>41313</v>
      </c>
      <c r="N1195">
        <v>27.4115</v>
      </c>
      <c r="O1195">
        <v>27.4115</v>
      </c>
    </row>
    <row r="1196" spans="5:15">
      <c r="E1196" s="2">
        <v>41298</v>
      </c>
      <c r="F1196">
        <v>26.93</v>
      </c>
      <c r="G1196">
        <v>6820332</v>
      </c>
      <c r="M1196" s="2">
        <v>41312</v>
      </c>
      <c r="N1196">
        <v>27.456700000000001</v>
      </c>
      <c r="O1196">
        <v>27.456700000000001</v>
      </c>
    </row>
    <row r="1197" spans="5:15">
      <c r="E1197" s="2">
        <v>41297</v>
      </c>
      <c r="F1197">
        <v>26.545000000000002</v>
      </c>
      <c r="G1197">
        <v>6779136</v>
      </c>
      <c r="M1197" s="2">
        <v>41311</v>
      </c>
      <c r="N1197">
        <v>27.195599999999999</v>
      </c>
      <c r="O1197">
        <v>27.195599999999999</v>
      </c>
    </row>
    <row r="1198" spans="5:15">
      <c r="E1198" s="2">
        <v>41296</v>
      </c>
      <c r="F1198">
        <v>26.74</v>
      </c>
      <c r="G1198">
        <v>6207542</v>
      </c>
      <c r="M1198" s="2">
        <v>41310</v>
      </c>
      <c r="N1198">
        <v>27.06</v>
      </c>
      <c r="O1198">
        <v>27.06</v>
      </c>
    </row>
    <row r="1199" spans="5:15">
      <c r="E1199" s="2">
        <v>41292</v>
      </c>
      <c r="F1199">
        <v>26.645</v>
      </c>
      <c r="G1199">
        <v>6146872</v>
      </c>
      <c r="M1199" s="2">
        <v>41309</v>
      </c>
      <c r="N1199">
        <v>26.944500000000001</v>
      </c>
      <c r="O1199">
        <v>26.944500000000001</v>
      </c>
    </row>
    <row r="1200" spans="5:15">
      <c r="E1200" s="2">
        <v>41291</v>
      </c>
      <c r="F1200">
        <v>26.74</v>
      </c>
      <c r="G1200">
        <v>4864848</v>
      </c>
      <c r="M1200" s="2">
        <v>41306</v>
      </c>
      <c r="N1200">
        <v>26.964600000000001</v>
      </c>
      <c r="O1200">
        <v>26.964600000000001</v>
      </c>
    </row>
    <row r="1201" spans="5:15">
      <c r="E1201" s="2">
        <v>41290</v>
      </c>
      <c r="F1201">
        <v>26.864999999999998</v>
      </c>
      <c r="G1201">
        <v>5300056</v>
      </c>
      <c r="M1201" s="2">
        <v>41305</v>
      </c>
      <c r="N1201">
        <v>27.1403</v>
      </c>
      <c r="O1201">
        <v>27.1403</v>
      </c>
    </row>
    <row r="1202" spans="5:15">
      <c r="E1202" s="2">
        <v>41289</v>
      </c>
      <c r="F1202">
        <v>26.82</v>
      </c>
      <c r="G1202">
        <v>6507486</v>
      </c>
      <c r="M1202" s="2">
        <v>41304</v>
      </c>
      <c r="N1202">
        <v>26.9194</v>
      </c>
      <c r="O1202">
        <v>26.9194</v>
      </c>
    </row>
    <row r="1203" spans="5:15">
      <c r="E1203" s="2">
        <v>41288</v>
      </c>
      <c r="F1203">
        <v>26.594999999999999</v>
      </c>
      <c r="G1203">
        <v>5604176</v>
      </c>
      <c r="M1203" s="2">
        <v>41303</v>
      </c>
      <c r="N1203">
        <v>27.074999999999999</v>
      </c>
      <c r="O1203">
        <v>27.074999999999999</v>
      </c>
    </row>
    <row r="1204" spans="5:15">
      <c r="E1204" s="2">
        <v>41285</v>
      </c>
      <c r="F1204">
        <v>26.55</v>
      </c>
      <c r="G1204">
        <v>9790892</v>
      </c>
      <c r="M1204" s="2">
        <v>41302</v>
      </c>
      <c r="N1204">
        <v>27.366299999999999</v>
      </c>
      <c r="O1204">
        <v>27.366299999999999</v>
      </c>
    </row>
    <row r="1205" spans="5:15">
      <c r="E1205" s="2">
        <v>41284</v>
      </c>
      <c r="F1205">
        <v>26.274999999999999</v>
      </c>
      <c r="G1205">
        <v>7705780</v>
      </c>
      <c r="M1205" s="2">
        <v>41299</v>
      </c>
      <c r="N1205">
        <v>27.8935</v>
      </c>
      <c r="O1205">
        <v>27.8935</v>
      </c>
    </row>
    <row r="1206" spans="5:15">
      <c r="E1206" s="2">
        <v>41283</v>
      </c>
      <c r="F1206">
        <v>26.225000000000001</v>
      </c>
      <c r="G1206">
        <v>5530274</v>
      </c>
      <c r="M1206" s="2">
        <v>41298</v>
      </c>
      <c r="N1206">
        <v>27.044899999999998</v>
      </c>
      <c r="O1206">
        <v>27.044899999999998</v>
      </c>
    </row>
    <row r="1207" spans="5:15">
      <c r="E1207" s="2">
        <v>41282</v>
      </c>
      <c r="F1207">
        <v>26.2</v>
      </c>
      <c r="G1207">
        <v>6714144</v>
      </c>
      <c r="M1207" s="2">
        <v>41297</v>
      </c>
      <c r="N1207">
        <v>26.658300000000001</v>
      </c>
      <c r="O1207">
        <v>26.658300000000001</v>
      </c>
    </row>
    <row r="1208" spans="5:15">
      <c r="E1208" s="2">
        <v>41281</v>
      </c>
      <c r="F1208">
        <v>26.48</v>
      </c>
      <c r="G1208">
        <v>6489308</v>
      </c>
      <c r="M1208" s="2">
        <v>41296</v>
      </c>
      <c r="N1208">
        <v>26.854099999999999</v>
      </c>
      <c r="O1208">
        <v>26.854099999999999</v>
      </c>
    </row>
    <row r="1209" spans="5:15">
      <c r="E1209" s="2">
        <v>41278</v>
      </c>
      <c r="F1209">
        <v>26.44</v>
      </c>
      <c r="G1209">
        <v>6793958</v>
      </c>
      <c r="M1209" s="2">
        <v>41292</v>
      </c>
      <c r="N1209">
        <v>26.758700000000001</v>
      </c>
      <c r="O1209">
        <v>26.758700000000001</v>
      </c>
    </row>
    <row r="1210" spans="5:15">
      <c r="E1210" s="2">
        <v>41277</v>
      </c>
      <c r="F1210">
        <v>26.184999999999999</v>
      </c>
      <c r="G1210">
        <v>7233816</v>
      </c>
      <c r="M1210" s="2">
        <v>41291</v>
      </c>
      <c r="N1210">
        <v>26.854099999999999</v>
      </c>
      <c r="O1210">
        <v>26.854099999999999</v>
      </c>
    </row>
    <row r="1211" spans="5:15">
      <c r="E1211" s="2">
        <v>41276</v>
      </c>
      <c r="F1211">
        <v>25.92</v>
      </c>
      <c r="G1211">
        <v>7513134</v>
      </c>
      <c r="M1211" s="2">
        <v>41290</v>
      </c>
      <c r="N1211">
        <v>26.979600000000001</v>
      </c>
      <c r="O1211">
        <v>26.979600000000001</v>
      </c>
    </row>
    <row r="1212" spans="5:15">
      <c r="E1212" s="2">
        <v>41274</v>
      </c>
      <c r="F1212">
        <v>25.8</v>
      </c>
      <c r="G1212">
        <v>6807232</v>
      </c>
      <c r="M1212" s="2">
        <v>41289</v>
      </c>
      <c r="N1212">
        <v>26.9345</v>
      </c>
      <c r="O1212">
        <v>26.9345</v>
      </c>
    </row>
    <row r="1213" spans="5:15">
      <c r="E1213" s="2">
        <v>41271</v>
      </c>
      <c r="F1213">
        <v>25.495000000000001</v>
      </c>
      <c r="G1213">
        <v>6432302</v>
      </c>
      <c r="M1213" s="2">
        <v>41288</v>
      </c>
      <c r="N1213">
        <v>26.708500000000001</v>
      </c>
      <c r="O1213">
        <v>26.708500000000001</v>
      </c>
    </row>
    <row r="1214" spans="5:15">
      <c r="E1214" s="2">
        <v>41270</v>
      </c>
      <c r="F1214">
        <v>25.88</v>
      </c>
      <c r="G1214">
        <v>7850244</v>
      </c>
      <c r="M1214" s="2">
        <v>41285</v>
      </c>
      <c r="N1214">
        <v>26.6633</v>
      </c>
      <c r="O1214">
        <v>26.6633</v>
      </c>
    </row>
    <row r="1215" spans="5:15">
      <c r="E1215" s="2">
        <v>41269</v>
      </c>
      <c r="F1215">
        <v>25.664999999999999</v>
      </c>
      <c r="G1215">
        <v>8090948</v>
      </c>
      <c r="M1215" s="2">
        <v>41284</v>
      </c>
      <c r="N1215">
        <v>26.3871</v>
      </c>
      <c r="O1215">
        <v>26.3871</v>
      </c>
    </row>
    <row r="1216" spans="5:15">
      <c r="E1216" s="2">
        <v>41267</v>
      </c>
      <c r="F1216">
        <v>26.4</v>
      </c>
      <c r="G1216">
        <v>5999516</v>
      </c>
      <c r="M1216" s="2">
        <v>41283</v>
      </c>
      <c r="N1216">
        <v>26.3369</v>
      </c>
      <c r="O1216">
        <v>26.3369</v>
      </c>
    </row>
    <row r="1217" spans="5:15">
      <c r="E1217" s="2">
        <v>41264</v>
      </c>
      <c r="F1217">
        <v>26.274999999999999</v>
      </c>
      <c r="G1217">
        <v>27914640</v>
      </c>
      <c r="M1217" s="2">
        <v>41282</v>
      </c>
      <c r="N1217">
        <v>26.311800000000002</v>
      </c>
      <c r="O1217">
        <v>26.311800000000002</v>
      </c>
    </row>
    <row r="1218" spans="5:15">
      <c r="E1218" s="2">
        <v>41263</v>
      </c>
      <c r="F1218">
        <v>24.75</v>
      </c>
      <c r="G1218">
        <v>12000000</v>
      </c>
      <c r="M1218" s="2">
        <v>41281</v>
      </c>
      <c r="N1218">
        <v>26.593</v>
      </c>
      <c r="O1218">
        <v>26.593</v>
      </c>
    </row>
    <row r="1219" spans="5:15">
      <c r="E1219" s="2">
        <v>41262</v>
      </c>
      <c r="F1219">
        <v>24.445</v>
      </c>
      <c r="G1219">
        <v>7879160</v>
      </c>
      <c r="M1219" s="2">
        <v>41278</v>
      </c>
      <c r="N1219">
        <v>26.552800000000001</v>
      </c>
      <c r="O1219">
        <v>26.552800000000001</v>
      </c>
    </row>
    <row r="1220" spans="5:15">
      <c r="E1220" s="2">
        <v>41261</v>
      </c>
      <c r="F1220">
        <v>24.73</v>
      </c>
      <c r="G1220">
        <v>7873336</v>
      </c>
      <c r="M1220" s="2">
        <v>41277</v>
      </c>
      <c r="N1220">
        <v>26.296700000000001</v>
      </c>
      <c r="O1220">
        <v>26.296700000000001</v>
      </c>
    </row>
    <row r="1221" spans="5:15">
      <c r="E1221" s="2">
        <v>41260</v>
      </c>
      <c r="F1221">
        <v>24.497499999999999</v>
      </c>
      <c r="G1221">
        <v>8381424</v>
      </c>
      <c r="M1221" s="2">
        <v>41276</v>
      </c>
      <c r="N1221">
        <v>26.0306</v>
      </c>
      <c r="O1221">
        <v>26.0306</v>
      </c>
    </row>
    <row r="1222" spans="5:15">
      <c r="E1222" s="2">
        <v>41257</v>
      </c>
      <c r="F1222">
        <v>24.227499999999999</v>
      </c>
      <c r="G1222">
        <v>8661636</v>
      </c>
      <c r="M1222" s="2">
        <v>41274</v>
      </c>
      <c r="N1222">
        <v>25.9101</v>
      </c>
      <c r="O1222">
        <v>25.9101</v>
      </c>
    </row>
    <row r="1223" spans="5:15">
      <c r="E1223" s="2">
        <v>41256</v>
      </c>
      <c r="F1223">
        <v>24.3325</v>
      </c>
      <c r="G1223">
        <v>7446360</v>
      </c>
      <c r="M1223" s="2">
        <v>41271</v>
      </c>
      <c r="N1223">
        <v>25.6038</v>
      </c>
      <c r="O1223">
        <v>25.6038</v>
      </c>
    </row>
    <row r="1224" spans="5:15">
      <c r="E1224" s="2">
        <v>41255</v>
      </c>
      <c r="F1224">
        <v>24.8</v>
      </c>
      <c r="G1224">
        <v>10656428</v>
      </c>
      <c r="M1224" s="2">
        <v>41270</v>
      </c>
      <c r="N1224">
        <v>25.990400000000001</v>
      </c>
      <c r="O1224">
        <v>25.990400000000001</v>
      </c>
    </row>
    <row r="1225" spans="5:15">
      <c r="E1225" s="2">
        <v>41254</v>
      </c>
      <c r="F1225">
        <v>24.852499999999999</v>
      </c>
      <c r="G1225">
        <v>9234632</v>
      </c>
      <c r="M1225" s="2">
        <v>41269</v>
      </c>
      <c r="N1225">
        <v>25.7745</v>
      </c>
      <c r="O1225">
        <v>25.7745</v>
      </c>
    </row>
    <row r="1226" spans="5:15">
      <c r="E1226" s="2">
        <v>41253</v>
      </c>
      <c r="F1226">
        <v>24.52</v>
      </c>
      <c r="G1226">
        <v>7276468</v>
      </c>
      <c r="M1226" s="2">
        <v>41267</v>
      </c>
      <c r="N1226">
        <v>26.512699999999999</v>
      </c>
      <c r="O1226">
        <v>26.512699999999999</v>
      </c>
    </row>
    <row r="1227" spans="5:15">
      <c r="E1227" s="2">
        <v>41250</v>
      </c>
      <c r="F1227">
        <v>24.647500000000001</v>
      </c>
      <c r="G1227">
        <v>7417768</v>
      </c>
      <c r="M1227" s="2">
        <v>41264</v>
      </c>
      <c r="N1227">
        <v>26.3871</v>
      </c>
      <c r="O1227">
        <v>26.3871</v>
      </c>
    </row>
    <row r="1228" spans="5:15">
      <c r="E1228" s="2">
        <v>41249</v>
      </c>
      <c r="F1228">
        <v>24.605</v>
      </c>
      <c r="G1228">
        <v>9108688</v>
      </c>
      <c r="M1228" s="2">
        <v>41263</v>
      </c>
      <c r="N1228">
        <v>24.855599999999999</v>
      </c>
      <c r="O1228">
        <v>24.855599999999999</v>
      </c>
    </row>
    <row r="1229" spans="5:15">
      <c r="E1229" s="2">
        <v>41248</v>
      </c>
      <c r="F1229">
        <v>24.42</v>
      </c>
      <c r="G1229">
        <v>6798276</v>
      </c>
      <c r="M1229" s="2">
        <v>41262</v>
      </c>
      <c r="N1229">
        <v>24.549299999999999</v>
      </c>
      <c r="O1229">
        <v>24.549299999999999</v>
      </c>
    </row>
    <row r="1230" spans="5:15">
      <c r="E1230" s="2">
        <v>41247</v>
      </c>
      <c r="F1230">
        <v>24.4175</v>
      </c>
      <c r="G1230">
        <v>7028136</v>
      </c>
      <c r="M1230" s="2">
        <v>41261</v>
      </c>
      <c r="N1230">
        <v>24.8355</v>
      </c>
      <c r="O1230">
        <v>24.8355</v>
      </c>
    </row>
    <row r="1231" spans="5:15">
      <c r="E1231" s="2">
        <v>41246</v>
      </c>
      <c r="F1231">
        <v>24.39</v>
      </c>
      <c r="G1231">
        <v>8687900</v>
      </c>
      <c r="M1231" s="2">
        <v>41260</v>
      </c>
      <c r="N1231">
        <v>24.602</v>
      </c>
      <c r="O1231">
        <v>24.602</v>
      </c>
    </row>
    <row r="1232" spans="5:15">
      <c r="E1232" s="2">
        <v>41243</v>
      </c>
      <c r="F1232">
        <v>24.37</v>
      </c>
      <c r="G1232">
        <v>12675888</v>
      </c>
      <c r="M1232" s="2">
        <v>41257</v>
      </c>
      <c r="N1232">
        <v>24.3309</v>
      </c>
      <c r="O1232">
        <v>24.3309</v>
      </c>
    </row>
    <row r="1233" spans="5:15">
      <c r="E1233" s="2">
        <v>41242</v>
      </c>
      <c r="F1233">
        <v>24.7425</v>
      </c>
      <c r="G1233">
        <v>9743852</v>
      </c>
      <c r="M1233" s="2">
        <v>41256</v>
      </c>
      <c r="N1233">
        <v>24.436299999999999</v>
      </c>
      <c r="O1233">
        <v>24.436299999999999</v>
      </c>
    </row>
    <row r="1234" spans="5:15">
      <c r="E1234" s="2">
        <v>41241</v>
      </c>
      <c r="F1234">
        <v>24.782499999999999</v>
      </c>
      <c r="G1234">
        <v>8613932</v>
      </c>
      <c r="M1234" s="2">
        <v>41255</v>
      </c>
      <c r="N1234">
        <v>24.905799999999999</v>
      </c>
      <c r="O1234">
        <v>24.905799999999999</v>
      </c>
    </row>
    <row r="1235" spans="5:15">
      <c r="E1235" s="2">
        <v>41240</v>
      </c>
      <c r="F1235">
        <v>24.252500000000001</v>
      </c>
      <c r="G1235">
        <v>8536828</v>
      </c>
      <c r="M1235" s="2">
        <v>41254</v>
      </c>
      <c r="N1235">
        <v>24.958600000000001</v>
      </c>
      <c r="O1235">
        <v>24.958600000000001</v>
      </c>
    </row>
    <row r="1236" spans="5:15">
      <c r="E1236" s="2">
        <v>41239</v>
      </c>
      <c r="F1236">
        <v>24.414999999999999</v>
      </c>
      <c r="G1236">
        <v>12054016</v>
      </c>
      <c r="M1236" s="2">
        <v>41253</v>
      </c>
      <c r="N1236">
        <v>24.624600000000001</v>
      </c>
      <c r="O1236">
        <v>24.624600000000001</v>
      </c>
    </row>
    <row r="1237" spans="5:15">
      <c r="E1237" s="2">
        <v>41236</v>
      </c>
      <c r="F1237">
        <v>24.1875</v>
      </c>
      <c r="G1237">
        <v>3352084</v>
      </c>
      <c r="M1237" s="2">
        <v>41250</v>
      </c>
      <c r="N1237">
        <v>24.752700000000001</v>
      </c>
      <c r="O1237">
        <v>24.752700000000001</v>
      </c>
    </row>
    <row r="1238" spans="5:15">
      <c r="E1238" s="2">
        <v>41234</v>
      </c>
      <c r="F1238">
        <v>23.9</v>
      </c>
      <c r="G1238">
        <v>7363400</v>
      </c>
      <c r="M1238" s="2">
        <v>41249</v>
      </c>
      <c r="N1238">
        <v>24.71</v>
      </c>
      <c r="O1238">
        <v>24.71</v>
      </c>
    </row>
    <row r="1239" spans="5:15">
      <c r="E1239" s="2">
        <v>41233</v>
      </c>
      <c r="F1239">
        <v>23.9025</v>
      </c>
      <c r="G1239">
        <v>9103024</v>
      </c>
      <c r="M1239" s="2">
        <v>41248</v>
      </c>
      <c r="N1239">
        <v>24.42</v>
      </c>
      <c r="O1239">
        <v>24.42</v>
      </c>
    </row>
    <row r="1240" spans="5:15">
      <c r="E1240" s="2">
        <v>41232</v>
      </c>
      <c r="F1240">
        <v>24.08</v>
      </c>
      <c r="G1240">
        <v>10462060</v>
      </c>
      <c r="M1240" s="2">
        <v>41247</v>
      </c>
      <c r="N1240">
        <v>24.4175</v>
      </c>
      <c r="O1240">
        <v>24.4175</v>
      </c>
    </row>
    <row r="1241" spans="5:15">
      <c r="E1241" s="2">
        <v>41229</v>
      </c>
      <c r="F1241">
        <v>23.147500000000001</v>
      </c>
      <c r="G1241">
        <v>11990304</v>
      </c>
      <c r="M1241" s="2">
        <v>41246</v>
      </c>
      <c r="N1241">
        <v>24.39</v>
      </c>
      <c r="O1241">
        <v>24.39</v>
      </c>
    </row>
    <row r="1242" spans="5:15">
      <c r="E1242" s="2">
        <v>41228</v>
      </c>
      <c r="F1242">
        <v>22.7075</v>
      </c>
      <c r="G1242">
        <v>7768244</v>
      </c>
      <c r="M1242" s="2">
        <v>41243</v>
      </c>
      <c r="N1242">
        <v>24.37</v>
      </c>
      <c r="O1242">
        <v>24.37</v>
      </c>
    </row>
    <row r="1243" spans="5:15">
      <c r="E1243" s="2">
        <v>41227</v>
      </c>
      <c r="F1243">
        <v>22.65</v>
      </c>
      <c r="G1243">
        <v>13021540</v>
      </c>
      <c r="M1243" s="2">
        <v>41242</v>
      </c>
      <c r="N1243">
        <v>24.7425</v>
      </c>
      <c r="O1243">
        <v>24.7425</v>
      </c>
    </row>
    <row r="1244" spans="5:15">
      <c r="E1244" s="2">
        <v>41226</v>
      </c>
      <c r="F1244">
        <v>22.8675</v>
      </c>
      <c r="G1244">
        <v>7245696</v>
      </c>
      <c r="M1244" s="2">
        <v>41241</v>
      </c>
      <c r="N1244">
        <v>24.782499999999999</v>
      </c>
      <c r="O1244">
        <v>24.782499999999999</v>
      </c>
    </row>
    <row r="1245" spans="5:15">
      <c r="E1245" s="2">
        <v>41225</v>
      </c>
      <c r="F1245">
        <v>23.072500000000002</v>
      </c>
      <c r="G1245">
        <v>5979020</v>
      </c>
      <c r="M1245" s="2">
        <v>41240</v>
      </c>
      <c r="N1245">
        <v>24.252500000000001</v>
      </c>
      <c r="O1245">
        <v>24.252500000000001</v>
      </c>
    </row>
    <row r="1246" spans="5:15">
      <c r="E1246" s="2">
        <v>41222</v>
      </c>
      <c r="F1246">
        <v>23.077500000000001</v>
      </c>
      <c r="G1246">
        <v>7748540</v>
      </c>
      <c r="M1246" s="2">
        <v>41239</v>
      </c>
      <c r="N1246">
        <v>24.414999999999999</v>
      </c>
      <c r="O1246">
        <v>24.414999999999999</v>
      </c>
    </row>
    <row r="1247" spans="5:15">
      <c r="E1247" s="2">
        <v>41221</v>
      </c>
      <c r="F1247">
        <v>22.965</v>
      </c>
      <c r="G1247">
        <v>10450160</v>
      </c>
      <c r="M1247" s="2">
        <v>41236</v>
      </c>
      <c r="N1247">
        <v>24.1875</v>
      </c>
      <c r="O1247">
        <v>24.1875</v>
      </c>
    </row>
    <row r="1248" spans="5:15">
      <c r="E1248" s="2">
        <v>41220</v>
      </c>
      <c r="F1248">
        <v>23.662500000000001</v>
      </c>
      <c r="G1248">
        <v>7664192</v>
      </c>
      <c r="M1248" s="2">
        <v>41234</v>
      </c>
      <c r="N1248">
        <v>23.9</v>
      </c>
      <c r="O1248">
        <v>23.9</v>
      </c>
    </row>
    <row r="1249" spans="5:15">
      <c r="E1249" s="2">
        <v>41219</v>
      </c>
      <c r="F1249">
        <v>24.032499999999999</v>
      </c>
      <c r="G1249">
        <v>7824448</v>
      </c>
      <c r="M1249" s="2">
        <v>41233</v>
      </c>
      <c r="N1249">
        <v>23.9025</v>
      </c>
      <c r="O1249">
        <v>23.9025</v>
      </c>
    </row>
    <row r="1250" spans="5:15">
      <c r="E1250" s="2">
        <v>41218</v>
      </c>
      <c r="F1250">
        <v>23.815000000000001</v>
      </c>
      <c r="G1250">
        <v>5872448</v>
      </c>
      <c r="M1250" s="2">
        <v>41232</v>
      </c>
      <c r="N1250">
        <v>24.08</v>
      </c>
      <c r="O1250">
        <v>24.08</v>
      </c>
    </row>
    <row r="1251" spans="5:15">
      <c r="E1251" s="2">
        <v>41215</v>
      </c>
      <c r="F1251">
        <v>23.635000000000002</v>
      </c>
      <c r="G1251">
        <v>7264300</v>
      </c>
      <c r="M1251" s="2">
        <v>41229</v>
      </c>
      <c r="N1251">
        <v>23.147500000000001</v>
      </c>
      <c r="O1251">
        <v>23.147500000000001</v>
      </c>
    </row>
    <row r="1252" spans="5:15">
      <c r="E1252" s="2">
        <v>41214</v>
      </c>
      <c r="F1252">
        <v>23.837499999999999</v>
      </c>
      <c r="G1252">
        <v>14254780</v>
      </c>
      <c r="M1252" s="2">
        <v>41228</v>
      </c>
      <c r="N1252">
        <v>22.7075</v>
      </c>
      <c r="O1252">
        <v>22.7075</v>
      </c>
    </row>
    <row r="1253" spans="5:15">
      <c r="E1253" s="2">
        <v>41213</v>
      </c>
      <c r="F1253">
        <v>22.844999999999999</v>
      </c>
      <c r="G1253">
        <v>9126336</v>
      </c>
      <c r="M1253" s="2">
        <v>41227</v>
      </c>
      <c r="N1253">
        <v>22.65</v>
      </c>
      <c r="O1253">
        <v>22.65</v>
      </c>
    </row>
    <row r="1254" spans="5:15">
      <c r="E1254" s="2">
        <v>41208</v>
      </c>
      <c r="F1254">
        <v>22.787500000000001</v>
      </c>
      <c r="G1254">
        <v>12443900</v>
      </c>
      <c r="M1254" s="2">
        <v>41226</v>
      </c>
      <c r="N1254">
        <v>22.8675</v>
      </c>
      <c r="O1254">
        <v>22.8675</v>
      </c>
    </row>
    <row r="1255" spans="5:15">
      <c r="E1255" s="2">
        <v>41207</v>
      </c>
      <c r="F1255">
        <v>22.827500000000001</v>
      </c>
      <c r="G1255">
        <v>10019428</v>
      </c>
      <c r="M1255" s="2">
        <v>41225</v>
      </c>
      <c r="N1255">
        <v>23.072500000000002</v>
      </c>
      <c r="O1255">
        <v>23.072500000000002</v>
      </c>
    </row>
    <row r="1256" spans="5:15">
      <c r="E1256" s="2">
        <v>41206</v>
      </c>
      <c r="F1256">
        <v>23.2225</v>
      </c>
      <c r="G1256">
        <v>9947324</v>
      </c>
      <c r="M1256" s="2">
        <v>41222</v>
      </c>
      <c r="N1256">
        <v>23.077500000000001</v>
      </c>
      <c r="O1256">
        <v>23.077500000000001</v>
      </c>
    </row>
    <row r="1257" spans="5:15">
      <c r="E1257" s="2">
        <v>41205</v>
      </c>
      <c r="F1257">
        <v>23.204999999999998</v>
      </c>
      <c r="G1257">
        <v>9384352</v>
      </c>
      <c r="M1257" s="2">
        <v>41221</v>
      </c>
      <c r="N1257">
        <v>22.965</v>
      </c>
      <c r="O1257">
        <v>22.965</v>
      </c>
    </row>
    <row r="1258" spans="5:15">
      <c r="E1258" s="2">
        <v>41204</v>
      </c>
      <c r="F1258">
        <v>23.62</v>
      </c>
      <c r="G1258">
        <v>8992508</v>
      </c>
      <c r="M1258" s="2">
        <v>41220</v>
      </c>
      <c r="N1258">
        <v>23.662500000000001</v>
      </c>
      <c r="O1258">
        <v>23.662500000000001</v>
      </c>
    </row>
    <row r="1259" spans="5:15">
      <c r="E1259" s="2">
        <v>41201</v>
      </c>
      <c r="F1259">
        <v>24.112500000000001</v>
      </c>
      <c r="G1259">
        <v>9341184</v>
      </c>
      <c r="M1259" s="2">
        <v>41219</v>
      </c>
      <c r="N1259">
        <v>24.032499999999999</v>
      </c>
      <c r="O1259">
        <v>24.032499999999999</v>
      </c>
    </row>
    <row r="1260" spans="5:15">
      <c r="E1260" s="2">
        <v>41200</v>
      </c>
      <c r="F1260">
        <v>24.392499999999998</v>
      </c>
      <c r="G1260">
        <v>7797548</v>
      </c>
      <c r="M1260" s="2">
        <v>41218</v>
      </c>
      <c r="N1260">
        <v>23.815000000000001</v>
      </c>
      <c r="O1260">
        <v>23.815000000000001</v>
      </c>
    </row>
    <row r="1261" spans="5:15">
      <c r="E1261" s="2">
        <v>41199</v>
      </c>
      <c r="F1261">
        <v>24.392499999999998</v>
      </c>
      <c r="G1261">
        <v>7125780</v>
      </c>
      <c r="M1261" s="2">
        <v>41215</v>
      </c>
      <c r="N1261">
        <v>23.635000000000002</v>
      </c>
      <c r="O1261">
        <v>23.635000000000002</v>
      </c>
    </row>
    <row r="1262" spans="5:15">
      <c r="E1262" s="2">
        <v>41198</v>
      </c>
      <c r="F1262">
        <v>24.31</v>
      </c>
      <c r="G1262">
        <v>10011756</v>
      </c>
      <c r="M1262" s="2">
        <v>41214</v>
      </c>
      <c r="N1262">
        <v>23.837499999999999</v>
      </c>
      <c r="O1262">
        <v>23.837499999999999</v>
      </c>
    </row>
    <row r="1263" spans="5:15">
      <c r="E1263" s="2">
        <v>41197</v>
      </c>
      <c r="F1263">
        <v>23.9025</v>
      </c>
      <c r="G1263">
        <v>7527692</v>
      </c>
      <c r="M1263" s="2">
        <v>41213</v>
      </c>
      <c r="N1263">
        <v>22.844999999999999</v>
      </c>
      <c r="O1263">
        <v>22.844999999999999</v>
      </c>
    </row>
    <row r="1264" spans="5:15">
      <c r="E1264" s="2">
        <v>41194</v>
      </c>
      <c r="F1264">
        <v>23.605</v>
      </c>
      <c r="G1264">
        <v>6536940</v>
      </c>
      <c r="M1264" s="2">
        <v>41208</v>
      </c>
      <c r="N1264">
        <v>22.787500000000001</v>
      </c>
      <c r="O1264">
        <v>22.787500000000001</v>
      </c>
    </row>
    <row r="1265" spans="5:15">
      <c r="E1265" s="2">
        <v>41193</v>
      </c>
      <c r="F1265">
        <v>23.725000000000001</v>
      </c>
      <c r="G1265">
        <v>7937272</v>
      </c>
      <c r="M1265" s="2">
        <v>41207</v>
      </c>
      <c r="N1265">
        <v>22.827500000000001</v>
      </c>
      <c r="O1265">
        <v>22.827500000000001</v>
      </c>
    </row>
    <row r="1266" spans="5:15">
      <c r="E1266" s="2">
        <v>41192</v>
      </c>
      <c r="F1266">
        <v>23.555</v>
      </c>
      <c r="G1266">
        <v>7208668</v>
      </c>
      <c r="M1266" s="2">
        <v>41206</v>
      </c>
      <c r="N1266">
        <v>23.2225</v>
      </c>
      <c r="O1266">
        <v>23.2225</v>
      </c>
    </row>
    <row r="1267" spans="5:15">
      <c r="E1267" s="2">
        <v>41191</v>
      </c>
      <c r="F1267">
        <v>23.62</v>
      </c>
      <c r="G1267">
        <v>9778608</v>
      </c>
      <c r="M1267" s="2">
        <v>41205</v>
      </c>
      <c r="N1267">
        <v>23.204999999999998</v>
      </c>
      <c r="O1267">
        <v>23.204999999999998</v>
      </c>
    </row>
    <row r="1268" spans="5:15">
      <c r="E1268" s="2">
        <v>41190</v>
      </c>
      <c r="F1268">
        <v>23.747499999999999</v>
      </c>
      <c r="G1268">
        <v>5637704</v>
      </c>
      <c r="M1268" s="2">
        <v>41204</v>
      </c>
      <c r="N1268">
        <v>23.62</v>
      </c>
      <c r="O1268">
        <v>23.62</v>
      </c>
    </row>
    <row r="1269" spans="5:15">
      <c r="E1269" s="2">
        <v>41187</v>
      </c>
      <c r="F1269">
        <v>23.805</v>
      </c>
      <c r="G1269">
        <v>9246856</v>
      </c>
      <c r="M1269" s="2">
        <v>41201</v>
      </c>
      <c r="N1269">
        <v>24.112500000000001</v>
      </c>
      <c r="O1269">
        <v>24.112500000000001</v>
      </c>
    </row>
    <row r="1270" spans="5:15">
      <c r="E1270" s="2">
        <v>41186</v>
      </c>
      <c r="F1270">
        <v>23.9725</v>
      </c>
      <c r="G1270">
        <v>13062220</v>
      </c>
      <c r="M1270" s="2">
        <v>41200</v>
      </c>
      <c r="N1270">
        <v>24.392499999999998</v>
      </c>
      <c r="O1270">
        <v>24.392499999999998</v>
      </c>
    </row>
    <row r="1271" spans="5:15">
      <c r="E1271" s="2">
        <v>41185</v>
      </c>
      <c r="F1271">
        <v>23.45</v>
      </c>
      <c r="G1271">
        <v>14771180</v>
      </c>
      <c r="M1271" s="2">
        <v>41199</v>
      </c>
      <c r="N1271">
        <v>24.392499999999998</v>
      </c>
      <c r="O1271">
        <v>24.392499999999998</v>
      </c>
    </row>
    <row r="1272" spans="5:15">
      <c r="E1272" s="2">
        <v>41184</v>
      </c>
      <c r="F1272">
        <v>23.737500000000001</v>
      </c>
      <c r="G1272">
        <v>11305536</v>
      </c>
      <c r="M1272" s="2">
        <v>41198</v>
      </c>
      <c r="N1272">
        <v>24.31</v>
      </c>
      <c r="O1272">
        <v>24.31</v>
      </c>
    </row>
    <row r="1273" spans="5:15">
      <c r="E1273" s="2">
        <v>41183</v>
      </c>
      <c r="F1273">
        <v>23.887499999999999</v>
      </c>
      <c r="G1273">
        <v>11076188</v>
      </c>
      <c r="M1273" s="2">
        <v>41197</v>
      </c>
      <c r="N1273">
        <v>23.9025</v>
      </c>
      <c r="O1273">
        <v>23.9025</v>
      </c>
    </row>
    <row r="1274" spans="5:15">
      <c r="E1274" s="2">
        <v>41180</v>
      </c>
      <c r="F1274">
        <v>23.727499999999999</v>
      </c>
      <c r="G1274">
        <v>27356236</v>
      </c>
      <c r="M1274" s="2">
        <v>41194</v>
      </c>
      <c r="N1274">
        <v>23.605</v>
      </c>
      <c r="O1274">
        <v>23.605</v>
      </c>
    </row>
    <row r="1275" spans="5:15">
      <c r="E1275" s="2">
        <v>41179</v>
      </c>
      <c r="F1275">
        <v>24</v>
      </c>
      <c r="G1275">
        <v>19397772</v>
      </c>
      <c r="M1275" s="2">
        <v>41193</v>
      </c>
      <c r="N1275">
        <v>23.725000000000001</v>
      </c>
      <c r="O1275">
        <v>23.725000000000001</v>
      </c>
    </row>
    <row r="1276" spans="5:15">
      <c r="E1276" s="2">
        <v>41178</v>
      </c>
      <c r="F1276">
        <v>23.872499999999999</v>
      </c>
      <c r="G1276">
        <v>11865724</v>
      </c>
      <c r="M1276" s="2">
        <v>41192</v>
      </c>
      <c r="N1276">
        <v>23.555</v>
      </c>
      <c r="O1276">
        <v>23.555</v>
      </c>
    </row>
    <row r="1277" spans="5:15">
      <c r="E1277" s="2">
        <v>41177</v>
      </c>
      <c r="F1277">
        <v>23.77</v>
      </c>
      <c r="G1277">
        <v>15992632</v>
      </c>
      <c r="M1277" s="2">
        <v>41191</v>
      </c>
      <c r="N1277">
        <v>23.62</v>
      </c>
      <c r="O1277">
        <v>23.62</v>
      </c>
    </row>
    <row r="1278" spans="5:15">
      <c r="E1278" s="2">
        <v>41176</v>
      </c>
      <c r="F1278">
        <v>23.83</v>
      </c>
      <c r="G1278">
        <v>11824724</v>
      </c>
      <c r="M1278" s="2">
        <v>41190</v>
      </c>
      <c r="N1278">
        <v>23.747499999999999</v>
      </c>
      <c r="O1278">
        <v>23.747499999999999</v>
      </c>
    </row>
    <row r="1279" spans="5:15">
      <c r="E1279" s="2">
        <v>41173</v>
      </c>
      <c r="F1279">
        <v>24.13</v>
      </c>
      <c r="G1279">
        <v>13667268</v>
      </c>
      <c r="M1279" s="2">
        <v>41187</v>
      </c>
      <c r="N1279">
        <v>23.805</v>
      </c>
      <c r="O1279">
        <v>23.805</v>
      </c>
    </row>
    <row r="1280" spans="5:15">
      <c r="E1280" s="2">
        <v>41172</v>
      </c>
      <c r="F1280">
        <v>24.18</v>
      </c>
      <c r="G1280">
        <v>12852268</v>
      </c>
      <c r="M1280" s="2">
        <v>41186</v>
      </c>
      <c r="N1280">
        <v>23.9725</v>
      </c>
      <c r="O1280">
        <v>23.9725</v>
      </c>
    </row>
    <row r="1281" spans="5:15">
      <c r="E1281" s="2">
        <v>41171</v>
      </c>
      <c r="F1281">
        <v>24.414999999999999</v>
      </c>
      <c r="G1281">
        <v>18671940</v>
      </c>
      <c r="M1281" s="2">
        <v>41185</v>
      </c>
      <c r="N1281">
        <v>23.45</v>
      </c>
      <c r="O1281">
        <v>23.45</v>
      </c>
    </row>
    <row r="1282" spans="5:15">
      <c r="E1282" s="2">
        <v>41170</v>
      </c>
      <c r="F1282">
        <v>24.43</v>
      </c>
      <c r="G1282">
        <v>13601084</v>
      </c>
      <c r="M1282" s="2">
        <v>41184</v>
      </c>
      <c r="N1282">
        <v>23.737500000000001</v>
      </c>
      <c r="O1282">
        <v>23.737500000000001</v>
      </c>
    </row>
    <row r="1283" spans="5:15">
      <c r="E1283" s="2">
        <v>41169</v>
      </c>
      <c r="F1283">
        <v>24.4925</v>
      </c>
      <c r="G1283">
        <v>9378872</v>
      </c>
      <c r="M1283" s="2">
        <v>41183</v>
      </c>
      <c r="N1283">
        <v>23.887499999999999</v>
      </c>
      <c r="O1283">
        <v>23.887499999999999</v>
      </c>
    </row>
    <row r="1284" spans="5:15">
      <c r="E1284" s="2">
        <v>41166</v>
      </c>
      <c r="F1284">
        <v>24.16</v>
      </c>
      <c r="G1284">
        <v>22892364</v>
      </c>
    </row>
    <row r="1285" spans="5:15">
      <c r="E1285" s="2">
        <v>41165</v>
      </c>
      <c r="F1285">
        <v>24.8</v>
      </c>
      <c r="G1285">
        <v>17325628</v>
      </c>
    </row>
    <row r="1286" spans="5:15">
      <c r="E1286" s="2">
        <v>41164</v>
      </c>
      <c r="F1286">
        <v>25.21</v>
      </c>
      <c r="G1286">
        <v>9197820</v>
      </c>
    </row>
    <row r="1287" spans="5:15">
      <c r="E1287" s="2">
        <v>41163</v>
      </c>
      <c r="F1287">
        <v>24.92</v>
      </c>
      <c r="G1287">
        <v>9840004</v>
      </c>
    </row>
    <row r="1288" spans="5:15">
      <c r="E1288" s="2">
        <v>41162</v>
      </c>
      <c r="F1288">
        <v>25.01</v>
      </c>
      <c r="G1288">
        <v>8678360</v>
      </c>
    </row>
    <row r="1289" spans="5:15">
      <c r="E1289" s="2">
        <v>41159</v>
      </c>
      <c r="F1289">
        <v>24.822500000000002</v>
      </c>
      <c r="G1289">
        <v>6991508</v>
      </c>
    </row>
    <row r="1290" spans="5:15">
      <c r="E1290" s="2">
        <v>41158</v>
      </c>
      <c r="F1290">
        <v>24.864999999999998</v>
      </c>
      <c r="G1290">
        <v>9090548</v>
      </c>
    </row>
    <row r="1291" spans="5:15">
      <c r="E1291" s="2">
        <v>41157</v>
      </c>
      <c r="F1291">
        <v>24.337499999999999</v>
      </c>
      <c r="G1291">
        <v>6288000</v>
      </c>
    </row>
    <row r="1292" spans="5:15">
      <c r="E1292" s="2">
        <v>41156</v>
      </c>
      <c r="F1292">
        <v>24.315000000000001</v>
      </c>
      <c r="G1292">
        <v>7589144</v>
      </c>
    </row>
    <row r="1293" spans="5:15">
      <c r="E1293" s="2">
        <v>41152</v>
      </c>
      <c r="F1293">
        <v>24.34</v>
      </c>
      <c r="G1293">
        <v>8129188</v>
      </c>
    </row>
    <row r="1294" spans="5:15">
      <c r="E1294" s="2">
        <v>41151</v>
      </c>
      <c r="F1294">
        <v>24.4375</v>
      </c>
      <c r="G1294">
        <v>7020252</v>
      </c>
    </row>
    <row r="1295" spans="5:15">
      <c r="E1295" s="2">
        <v>41150</v>
      </c>
      <c r="F1295">
        <v>24.672499999999999</v>
      </c>
      <c r="G1295">
        <v>9467856</v>
      </c>
    </row>
    <row r="1296" spans="5:15">
      <c r="E1296" s="2">
        <v>41149</v>
      </c>
      <c r="F1296">
        <v>24.717500000000001</v>
      </c>
      <c r="G1296">
        <v>16473500</v>
      </c>
    </row>
    <row r="1297" spans="5:7">
      <c r="E1297" s="2">
        <v>41148</v>
      </c>
      <c r="F1297">
        <v>24.107500000000002</v>
      </c>
      <c r="G1297">
        <v>6921328</v>
      </c>
    </row>
    <row r="1298" spans="5:7">
      <c r="E1298" s="2">
        <v>41145</v>
      </c>
      <c r="F1298">
        <v>24.215</v>
      </c>
      <c r="G1298">
        <v>9763736</v>
      </c>
    </row>
    <row r="1299" spans="5:7">
      <c r="E1299" s="2">
        <v>41144</v>
      </c>
      <c r="F1299">
        <v>23.862500000000001</v>
      </c>
      <c r="G1299">
        <v>6761760</v>
      </c>
    </row>
    <row r="1300" spans="5:7">
      <c r="E1300" s="2">
        <v>41143</v>
      </c>
      <c r="F1300">
        <v>23.942499999999999</v>
      </c>
      <c r="G1300">
        <v>6466520</v>
      </c>
    </row>
    <row r="1301" spans="5:7">
      <c r="E1301" s="2">
        <v>41142</v>
      </c>
      <c r="F1301">
        <v>23.962499999999999</v>
      </c>
      <c r="G1301">
        <v>8553096</v>
      </c>
    </row>
    <row r="1302" spans="5:7">
      <c r="E1302" s="2">
        <v>41141</v>
      </c>
      <c r="F1302">
        <v>23.942499999999999</v>
      </c>
      <c r="G1302">
        <v>7441464</v>
      </c>
    </row>
    <row r="1303" spans="5:7">
      <c r="E1303" s="2">
        <v>41138</v>
      </c>
      <c r="F1303">
        <v>24.065000000000001</v>
      </c>
      <c r="G1303">
        <v>12295604</v>
      </c>
    </row>
    <row r="1304" spans="5:7">
      <c r="E1304" s="2">
        <v>41137</v>
      </c>
      <c r="F1304">
        <v>23.695</v>
      </c>
      <c r="G1304">
        <v>13942756</v>
      </c>
    </row>
    <row r="1305" spans="5:7">
      <c r="E1305" s="2">
        <v>41136</v>
      </c>
      <c r="F1305">
        <v>23.555</v>
      </c>
      <c r="G1305">
        <v>10466376</v>
      </c>
    </row>
    <row r="1306" spans="5:7">
      <c r="E1306" s="2">
        <v>41135</v>
      </c>
      <c r="F1306">
        <v>23.727499999999999</v>
      </c>
      <c r="G1306">
        <v>10998804</v>
      </c>
    </row>
    <row r="1307" spans="5:7">
      <c r="E1307" s="2">
        <v>41134</v>
      </c>
      <c r="F1307">
        <v>23.962499999999999</v>
      </c>
      <c r="G1307">
        <v>6880264</v>
      </c>
    </row>
    <row r="1308" spans="5:7">
      <c r="E1308" s="2">
        <v>41131</v>
      </c>
      <c r="F1308">
        <v>23.625</v>
      </c>
      <c r="G1308">
        <v>9283752</v>
      </c>
    </row>
    <row r="1309" spans="5:7">
      <c r="E1309" s="2">
        <v>41130</v>
      </c>
      <c r="F1309">
        <v>23.765000000000001</v>
      </c>
      <c r="G1309">
        <v>9914200</v>
      </c>
    </row>
    <row r="1310" spans="5:7">
      <c r="E1310" s="2">
        <v>41129</v>
      </c>
      <c r="F1310">
        <v>23.975000000000001</v>
      </c>
      <c r="G1310">
        <v>8273884</v>
      </c>
    </row>
    <row r="1311" spans="5:7">
      <c r="E1311" s="2">
        <v>41128</v>
      </c>
      <c r="F1311">
        <v>24.0425</v>
      </c>
      <c r="G1311">
        <v>8313028</v>
      </c>
    </row>
    <row r="1312" spans="5:7">
      <c r="E1312" s="2">
        <v>41127</v>
      </c>
      <c r="F1312">
        <v>23.88</v>
      </c>
      <c r="G1312">
        <v>6321600</v>
      </c>
    </row>
    <row r="1313" spans="5:7">
      <c r="E1313" s="2">
        <v>41124</v>
      </c>
      <c r="F1313">
        <v>23.642499999999998</v>
      </c>
      <c r="G1313">
        <v>8997196</v>
      </c>
    </row>
    <row r="1314" spans="5:7">
      <c r="E1314" s="2">
        <v>41123</v>
      </c>
      <c r="F1314">
        <v>23.135000000000002</v>
      </c>
      <c r="G1314">
        <v>10461928</v>
      </c>
    </row>
    <row r="1315" spans="5:7">
      <c r="E1315" s="2">
        <v>41122</v>
      </c>
      <c r="F1315">
        <v>23.25</v>
      </c>
      <c r="G1315">
        <v>9594268</v>
      </c>
    </row>
    <row r="1316" spans="5:7">
      <c r="E1316" s="2">
        <v>41121</v>
      </c>
      <c r="F1316">
        <v>23.337499999999999</v>
      </c>
      <c r="G1316">
        <v>13069892</v>
      </c>
    </row>
    <row r="1317" spans="5:7">
      <c r="E1317" s="2">
        <v>41120</v>
      </c>
      <c r="F1317">
        <v>23.962499999999999</v>
      </c>
      <c r="G1317">
        <v>9112868</v>
      </c>
    </row>
    <row r="1318" spans="5:7">
      <c r="E1318" s="2">
        <v>41117</v>
      </c>
      <c r="F1318">
        <v>24.2575</v>
      </c>
      <c r="G1318">
        <v>10419672</v>
      </c>
    </row>
    <row r="1319" spans="5:7">
      <c r="E1319" s="2">
        <v>41116</v>
      </c>
      <c r="F1319">
        <v>24.145</v>
      </c>
      <c r="G1319">
        <v>14772084</v>
      </c>
    </row>
    <row r="1320" spans="5:7">
      <c r="E1320" s="2">
        <v>41115</v>
      </c>
      <c r="F1320">
        <v>23.377500000000001</v>
      </c>
      <c r="G1320">
        <v>8244776</v>
      </c>
    </row>
    <row r="1321" spans="5:7">
      <c r="E1321" s="2">
        <v>41114</v>
      </c>
      <c r="F1321">
        <v>23.24</v>
      </c>
      <c r="G1321">
        <v>8305424</v>
      </c>
    </row>
    <row r="1322" spans="5:7">
      <c r="E1322" s="2">
        <v>41113</v>
      </c>
      <c r="F1322">
        <v>23.212499999999999</v>
      </c>
      <c r="G1322">
        <v>8620140</v>
      </c>
    </row>
    <row r="1323" spans="5:7">
      <c r="E1323" s="2">
        <v>41110</v>
      </c>
      <c r="F1323">
        <v>23.27</v>
      </c>
      <c r="G1323">
        <v>11977104</v>
      </c>
    </row>
    <row r="1324" spans="5:7">
      <c r="E1324" s="2">
        <v>41109</v>
      </c>
      <c r="F1324">
        <v>23.815000000000001</v>
      </c>
      <c r="G1324">
        <v>10861104</v>
      </c>
    </row>
    <row r="1325" spans="5:7">
      <c r="E1325" s="2">
        <v>41108</v>
      </c>
      <c r="F1325">
        <v>23.657499999999999</v>
      </c>
      <c r="G1325">
        <v>10963892</v>
      </c>
    </row>
    <row r="1326" spans="5:7">
      <c r="E1326" s="2">
        <v>41107</v>
      </c>
      <c r="F1326">
        <v>23.19</v>
      </c>
      <c r="G1326">
        <v>10659856</v>
      </c>
    </row>
    <row r="1327" spans="5:7">
      <c r="E1327" s="2">
        <v>41106</v>
      </c>
      <c r="F1327">
        <v>23.254999999999999</v>
      </c>
      <c r="G1327">
        <v>11684716</v>
      </c>
    </row>
    <row r="1328" spans="5:7">
      <c r="E1328" s="2">
        <v>41103</v>
      </c>
      <c r="F1328">
        <v>23.4925</v>
      </c>
      <c r="G1328">
        <v>11427492</v>
      </c>
    </row>
    <row r="1329" spans="5:7">
      <c r="E1329" s="2">
        <v>41102</v>
      </c>
      <c r="F1329">
        <v>22.954999999999998</v>
      </c>
      <c r="G1329">
        <v>14967544</v>
      </c>
    </row>
    <row r="1330" spans="5:7">
      <c r="E1330" s="2">
        <v>41101</v>
      </c>
      <c r="F1330">
        <v>23.065000000000001</v>
      </c>
      <c r="G1330">
        <v>17392284</v>
      </c>
    </row>
    <row r="1331" spans="5:7">
      <c r="E1331" s="2">
        <v>41100</v>
      </c>
      <c r="F1331">
        <v>22.822500000000002</v>
      </c>
      <c r="G1331">
        <v>14528896</v>
      </c>
    </row>
    <row r="1332" spans="5:7">
      <c r="E1332" s="2">
        <v>41099</v>
      </c>
      <c r="F1332">
        <v>22.57</v>
      </c>
      <c r="G1332">
        <v>13910464</v>
      </c>
    </row>
    <row r="1333" spans="5:7">
      <c r="E1333" s="2">
        <v>41096</v>
      </c>
      <c r="F1333">
        <v>22.844999999999999</v>
      </c>
      <c r="G1333">
        <v>16221848</v>
      </c>
    </row>
    <row r="1334" spans="5:7">
      <c r="E1334" s="2">
        <v>41095</v>
      </c>
      <c r="F1334">
        <v>23.05</v>
      </c>
      <c r="G1334">
        <v>22258332</v>
      </c>
    </row>
    <row r="1335" spans="5:7">
      <c r="E1335" s="2">
        <v>41093</v>
      </c>
      <c r="F1335">
        <v>22.62</v>
      </c>
      <c r="G1335">
        <v>15007092</v>
      </c>
    </row>
    <row r="1336" spans="5:7">
      <c r="E1336" s="2">
        <v>41092</v>
      </c>
      <c r="F1336">
        <v>22.212499999999999</v>
      </c>
      <c r="G1336">
        <v>23504332</v>
      </c>
    </row>
    <row r="1337" spans="5:7">
      <c r="E1337" s="2">
        <v>41089</v>
      </c>
      <c r="F1337">
        <v>21.945</v>
      </c>
      <c r="G1337">
        <v>86377976</v>
      </c>
    </row>
    <row r="1338" spans="5:7">
      <c r="E1338" s="2">
        <v>41088</v>
      </c>
      <c r="F1338">
        <v>24.2225</v>
      </c>
      <c r="G1338">
        <v>23916616</v>
      </c>
    </row>
    <row r="1339" spans="5:7">
      <c r="E1339" s="2">
        <v>41087</v>
      </c>
      <c r="F1339">
        <v>24.5275</v>
      </c>
      <c r="G1339">
        <v>11222356</v>
      </c>
    </row>
    <row r="1340" spans="5:7">
      <c r="E1340" s="2">
        <v>41086</v>
      </c>
      <c r="F1340">
        <v>24.612500000000001</v>
      </c>
      <c r="G1340">
        <v>9579964</v>
      </c>
    </row>
    <row r="1341" spans="5:7">
      <c r="E1341" s="2">
        <v>41085</v>
      </c>
      <c r="F1341">
        <v>24.364999999999998</v>
      </c>
      <c r="G1341">
        <v>11873676</v>
      </c>
    </row>
    <row r="1342" spans="5:7">
      <c r="E1342" s="2">
        <v>41082</v>
      </c>
      <c r="F1342">
        <v>24.85</v>
      </c>
      <c r="G1342">
        <v>15367652</v>
      </c>
    </row>
    <row r="1343" spans="5:7">
      <c r="E1343" s="2">
        <v>41081</v>
      </c>
      <c r="F1343">
        <v>24.664999999999999</v>
      </c>
      <c r="G1343">
        <v>16054088</v>
      </c>
    </row>
    <row r="1344" spans="5:7">
      <c r="E1344" s="2">
        <v>41080</v>
      </c>
      <c r="F1344">
        <v>25.3</v>
      </c>
      <c r="G1344">
        <v>12842596</v>
      </c>
    </row>
    <row r="1345" spans="5:7">
      <c r="E1345" s="2">
        <v>41079</v>
      </c>
      <c r="F1345">
        <v>25.385000000000002</v>
      </c>
      <c r="G1345">
        <v>8654856</v>
      </c>
    </row>
    <row r="1346" spans="5:7">
      <c r="E1346" s="2">
        <v>41078</v>
      </c>
      <c r="F1346">
        <v>25.35</v>
      </c>
      <c r="G1346">
        <v>12657712</v>
      </c>
    </row>
    <row r="1347" spans="5:7">
      <c r="E1347" s="2">
        <v>41075</v>
      </c>
      <c r="F1347">
        <v>25.4375</v>
      </c>
      <c r="G1347">
        <v>16849360</v>
      </c>
    </row>
    <row r="1348" spans="5:7">
      <c r="E1348" s="2">
        <v>41074</v>
      </c>
      <c r="F1348">
        <v>25.004999999999999</v>
      </c>
      <c r="G1348">
        <v>24052476</v>
      </c>
    </row>
    <row r="1349" spans="5:7">
      <c r="E1349" s="2">
        <v>41073</v>
      </c>
      <c r="F1349">
        <v>25.555</v>
      </c>
      <c r="G1349">
        <v>22770100</v>
      </c>
    </row>
    <row r="1350" spans="5:7">
      <c r="E1350" s="2">
        <v>41072</v>
      </c>
      <c r="F1350">
        <v>26.9</v>
      </c>
      <c r="G1350">
        <v>10159568</v>
      </c>
    </row>
    <row r="1351" spans="5:7">
      <c r="E1351" s="2">
        <v>41071</v>
      </c>
      <c r="F1351">
        <v>26.864999999999998</v>
      </c>
      <c r="G1351">
        <v>6257524</v>
      </c>
    </row>
    <row r="1352" spans="5:7">
      <c r="E1352" s="2">
        <v>41068</v>
      </c>
      <c r="F1352">
        <v>27.16</v>
      </c>
      <c r="G1352">
        <v>7254216</v>
      </c>
    </row>
    <row r="1353" spans="5:7">
      <c r="E1353" s="2">
        <v>41067</v>
      </c>
      <c r="F1353">
        <v>26.84</v>
      </c>
      <c r="G1353">
        <v>7079216</v>
      </c>
    </row>
    <row r="1354" spans="5:7">
      <c r="E1354" s="2">
        <v>41066</v>
      </c>
      <c r="F1354">
        <v>26.767499999999998</v>
      </c>
      <c r="G1354">
        <v>7793740</v>
      </c>
    </row>
    <row r="1355" spans="5:7">
      <c r="E1355" s="2">
        <v>41065</v>
      </c>
      <c r="F1355">
        <v>26.377500000000001</v>
      </c>
      <c r="G1355">
        <v>9183184</v>
      </c>
    </row>
    <row r="1356" spans="5:7">
      <c r="E1356" s="2">
        <v>41064</v>
      </c>
      <c r="F1356">
        <v>26.175000000000001</v>
      </c>
      <c r="G1356">
        <v>10201752</v>
      </c>
    </row>
    <row r="1357" spans="5:7">
      <c r="E1357" s="2">
        <v>41061</v>
      </c>
      <c r="F1357">
        <v>26.15</v>
      </c>
      <c r="G1357">
        <v>9376116</v>
      </c>
    </row>
    <row r="1358" spans="5:7">
      <c r="E1358" s="2">
        <v>41060</v>
      </c>
      <c r="F1358">
        <v>27.045000000000002</v>
      </c>
      <c r="G1358">
        <v>10796764</v>
      </c>
    </row>
    <row r="1359" spans="5:7">
      <c r="E1359" s="2">
        <v>41059</v>
      </c>
      <c r="F1359">
        <v>27.1525</v>
      </c>
      <c r="G1359">
        <v>10357184</v>
      </c>
    </row>
    <row r="1360" spans="5:7">
      <c r="E1360" s="2">
        <v>41058</v>
      </c>
      <c r="F1360">
        <v>27.73</v>
      </c>
      <c r="G1360">
        <v>8735144</v>
      </c>
    </row>
    <row r="1361" spans="5:7">
      <c r="E1361" s="2">
        <v>41054</v>
      </c>
      <c r="F1361">
        <v>27.197500000000002</v>
      </c>
      <c r="G1361">
        <v>6688088</v>
      </c>
    </row>
    <row r="1362" spans="5:7">
      <c r="E1362" s="2">
        <v>41053</v>
      </c>
      <c r="F1362">
        <v>26.87</v>
      </c>
      <c r="G1362">
        <v>8629232</v>
      </c>
    </row>
    <row r="1363" spans="5:7">
      <c r="E1363" s="2">
        <v>41052</v>
      </c>
      <c r="F1363">
        <v>26.88</v>
      </c>
      <c r="G1363">
        <v>8513000</v>
      </c>
    </row>
    <row r="1364" spans="5:7">
      <c r="E1364" s="2">
        <v>41051</v>
      </c>
      <c r="F1364">
        <v>27.112500000000001</v>
      </c>
      <c r="G1364">
        <v>10213704</v>
      </c>
    </row>
    <row r="1365" spans="5:7">
      <c r="E1365" s="2">
        <v>41050</v>
      </c>
      <c r="F1365">
        <v>26.807500000000001</v>
      </c>
      <c r="G1365">
        <v>9034332</v>
      </c>
    </row>
    <row r="1366" spans="5:7">
      <c r="E1366" s="2">
        <v>41047</v>
      </c>
      <c r="F1366">
        <v>26.36</v>
      </c>
      <c r="G1366">
        <v>15844676</v>
      </c>
    </row>
    <row r="1367" spans="5:7">
      <c r="E1367" s="2">
        <v>41046</v>
      </c>
      <c r="F1367">
        <v>26.085000000000001</v>
      </c>
      <c r="G1367">
        <v>9444252</v>
      </c>
    </row>
    <row r="1368" spans="5:7">
      <c r="E1368" s="2">
        <v>41045</v>
      </c>
      <c r="F1368">
        <v>26.75</v>
      </c>
      <c r="G1368">
        <v>9964948</v>
      </c>
    </row>
    <row r="1369" spans="5:7">
      <c r="E1369" s="2">
        <v>41044</v>
      </c>
      <c r="F1369">
        <v>26.805</v>
      </c>
      <c r="G1369">
        <v>7127348</v>
      </c>
    </row>
    <row r="1370" spans="5:7">
      <c r="E1370" s="2">
        <v>41043</v>
      </c>
      <c r="F1370">
        <v>26.8675</v>
      </c>
      <c r="G1370">
        <v>5636340</v>
      </c>
    </row>
    <row r="1371" spans="5:7">
      <c r="E1371" s="2">
        <v>41040</v>
      </c>
      <c r="F1371">
        <v>27.065000000000001</v>
      </c>
      <c r="G1371">
        <v>6328280</v>
      </c>
    </row>
    <row r="1372" spans="5:7">
      <c r="E1372" s="2">
        <v>41039</v>
      </c>
      <c r="F1372">
        <v>26.89</v>
      </c>
      <c r="G1372">
        <v>9458644</v>
      </c>
    </row>
    <row r="1373" spans="5:7">
      <c r="E1373" s="2">
        <v>41038</v>
      </c>
      <c r="F1373">
        <v>27.037500000000001</v>
      </c>
      <c r="G1373">
        <v>9042992</v>
      </c>
    </row>
    <row r="1374" spans="5:7">
      <c r="E1374" s="2">
        <v>41037</v>
      </c>
      <c r="F1374">
        <v>27.182500000000001</v>
      </c>
      <c r="G1374">
        <v>14061324</v>
      </c>
    </row>
    <row r="1375" spans="5:7">
      <c r="E1375" s="2">
        <v>41036</v>
      </c>
      <c r="F1375">
        <v>27.855</v>
      </c>
      <c r="G1375">
        <v>6863620</v>
      </c>
    </row>
    <row r="1376" spans="5:7">
      <c r="E1376" s="2">
        <v>41033</v>
      </c>
      <c r="F1376">
        <v>27.952500000000001</v>
      </c>
      <c r="G1376">
        <v>7213416</v>
      </c>
    </row>
    <row r="1377" spans="5:7">
      <c r="E1377" s="2">
        <v>41032</v>
      </c>
      <c r="F1377">
        <v>28.6</v>
      </c>
      <c r="G1377">
        <v>10341216</v>
      </c>
    </row>
    <row r="1378" spans="5:7">
      <c r="E1378" s="2">
        <v>41031</v>
      </c>
      <c r="F1378">
        <v>28.57</v>
      </c>
      <c r="G1378">
        <v>10582840</v>
      </c>
    </row>
    <row r="1379" spans="5:7">
      <c r="E1379" s="2">
        <v>41030</v>
      </c>
      <c r="F1379">
        <v>27.824999999999999</v>
      </c>
      <c r="G1379">
        <v>10164952</v>
      </c>
    </row>
    <row r="1380" spans="5:7">
      <c r="E1380" s="2">
        <v>41029</v>
      </c>
      <c r="F1380">
        <v>27.967500000000001</v>
      </c>
      <c r="G1380">
        <v>9552032</v>
      </c>
    </row>
    <row r="1381" spans="5:7">
      <c r="E1381" s="2">
        <v>41026</v>
      </c>
      <c r="F1381">
        <v>27.66</v>
      </c>
      <c r="G1381">
        <v>8910468</v>
      </c>
    </row>
    <row r="1382" spans="5:7">
      <c r="E1382" s="2">
        <v>41025</v>
      </c>
      <c r="F1382">
        <v>27.587499999999999</v>
      </c>
      <c r="G1382">
        <v>6229044</v>
      </c>
    </row>
    <row r="1383" spans="5:7">
      <c r="E1383" s="2">
        <v>41024</v>
      </c>
      <c r="F1383">
        <v>27.2575</v>
      </c>
      <c r="G1383">
        <v>8388120</v>
      </c>
    </row>
    <row r="1384" spans="5:7">
      <c r="E1384" s="2">
        <v>41023</v>
      </c>
      <c r="F1384">
        <v>26.6875</v>
      </c>
      <c r="G1384">
        <v>13256108</v>
      </c>
    </row>
    <row r="1385" spans="5:7">
      <c r="E1385" s="2">
        <v>41022</v>
      </c>
      <c r="F1385">
        <v>27.4375</v>
      </c>
      <c r="G1385">
        <v>6355212</v>
      </c>
    </row>
    <row r="1386" spans="5:7">
      <c r="E1386" s="2">
        <v>41019</v>
      </c>
      <c r="F1386">
        <v>27.692499999999999</v>
      </c>
      <c r="G1386">
        <v>9299516</v>
      </c>
    </row>
    <row r="1387" spans="5:7">
      <c r="E1387" s="2">
        <v>41018</v>
      </c>
      <c r="F1387">
        <v>27.4025</v>
      </c>
      <c r="G1387">
        <v>8027308</v>
      </c>
    </row>
    <row r="1388" spans="5:7">
      <c r="E1388" s="2">
        <v>41017</v>
      </c>
      <c r="F1388">
        <v>27.64</v>
      </c>
      <c r="G1388">
        <v>8174804</v>
      </c>
    </row>
    <row r="1389" spans="5:7">
      <c r="E1389" s="2">
        <v>41016</v>
      </c>
      <c r="F1389">
        <v>27.4575</v>
      </c>
      <c r="G1389">
        <v>5771632</v>
      </c>
    </row>
    <row r="1390" spans="5:7">
      <c r="E1390" s="2">
        <v>41015</v>
      </c>
      <c r="F1390">
        <v>27.35</v>
      </c>
      <c r="G1390">
        <v>7135028</v>
      </c>
    </row>
    <row r="1391" spans="5:7">
      <c r="E1391" s="2">
        <v>41012</v>
      </c>
      <c r="F1391">
        <v>27.2</v>
      </c>
      <c r="G1391">
        <v>5761444</v>
      </c>
    </row>
    <row r="1392" spans="5:7">
      <c r="E1392" s="2">
        <v>41011</v>
      </c>
      <c r="F1392">
        <v>27.162500000000001</v>
      </c>
      <c r="G1392">
        <v>11554908</v>
      </c>
    </row>
    <row r="1393" spans="5:7">
      <c r="E1393" s="2">
        <v>41010</v>
      </c>
      <c r="F1393">
        <v>27.0625</v>
      </c>
      <c r="G1393">
        <v>12034652</v>
      </c>
    </row>
    <row r="1394" spans="5:7">
      <c r="E1394" s="2">
        <v>41009</v>
      </c>
      <c r="F1394">
        <v>26.614999999999998</v>
      </c>
      <c r="G1394">
        <v>16864452</v>
      </c>
    </row>
    <row r="1395" spans="5:7">
      <c r="E1395" s="2">
        <v>41008</v>
      </c>
      <c r="F1395">
        <v>27.672499999999999</v>
      </c>
      <c r="G1395">
        <v>11309528</v>
      </c>
    </row>
    <row r="1396" spans="5:7">
      <c r="E1396" s="2">
        <v>41004</v>
      </c>
      <c r="F1396">
        <v>27.5975</v>
      </c>
      <c r="G1396">
        <v>8787496</v>
      </c>
    </row>
    <row r="1397" spans="5:7">
      <c r="E1397" s="2">
        <v>41003</v>
      </c>
      <c r="F1397">
        <v>27.372499999999999</v>
      </c>
      <c r="G1397">
        <v>8866628</v>
      </c>
    </row>
    <row r="1398" spans="5:7">
      <c r="E1398" s="2">
        <v>41002</v>
      </c>
      <c r="F1398">
        <v>27.467500000000001</v>
      </c>
      <c r="G1398">
        <v>8829028</v>
      </c>
    </row>
    <row r="1399" spans="5:7">
      <c r="E1399" s="2">
        <v>41001</v>
      </c>
      <c r="F1399">
        <v>27.254999999999999</v>
      </c>
      <c r="G1399">
        <v>9788152</v>
      </c>
    </row>
    <row r="1400" spans="5:7">
      <c r="E1400" s="2">
        <v>40998</v>
      </c>
      <c r="F1400">
        <v>27.11</v>
      </c>
      <c r="G1400">
        <v>9274972</v>
      </c>
    </row>
    <row r="1401" spans="5:7">
      <c r="E1401" s="2">
        <v>40997</v>
      </c>
      <c r="F1401">
        <v>26.962499999999999</v>
      </c>
      <c r="G1401">
        <v>7893404</v>
      </c>
    </row>
    <row r="1402" spans="5:7">
      <c r="E1402" s="2">
        <v>40996</v>
      </c>
      <c r="F1402">
        <v>26.807500000000001</v>
      </c>
      <c r="G1402">
        <v>9239464</v>
      </c>
    </row>
    <row r="1403" spans="5:7">
      <c r="E1403" s="2">
        <v>40995</v>
      </c>
      <c r="F1403">
        <v>26.97</v>
      </c>
      <c r="G1403">
        <v>10131068</v>
      </c>
    </row>
    <row r="1404" spans="5:7">
      <c r="E1404" s="2">
        <v>40994</v>
      </c>
      <c r="F1404">
        <v>27.137499999999999</v>
      </c>
      <c r="G1404">
        <v>12512888</v>
      </c>
    </row>
    <row r="1405" spans="5:7">
      <c r="E1405" s="2">
        <v>40991</v>
      </c>
      <c r="F1405">
        <v>26.855</v>
      </c>
      <c r="G1405">
        <v>26509504</v>
      </c>
    </row>
    <row r="1406" spans="5:7">
      <c r="E1406" s="2">
        <v>40990</v>
      </c>
      <c r="F1406">
        <v>27.747499999999999</v>
      </c>
      <c r="G1406">
        <v>20453720</v>
      </c>
    </row>
    <row r="1407" spans="5:7">
      <c r="E1407" s="2">
        <v>40989</v>
      </c>
      <c r="F1407">
        <v>27.61</v>
      </c>
      <c r="G1407">
        <v>15109852</v>
      </c>
    </row>
    <row r="1408" spans="5:7">
      <c r="E1408" s="2">
        <v>40988</v>
      </c>
      <c r="F1408">
        <v>27.934999999999999</v>
      </c>
      <c r="G1408">
        <v>10681592</v>
      </c>
    </row>
    <row r="1409" spans="5:7">
      <c r="E1409" s="2">
        <v>40987</v>
      </c>
      <c r="F1409">
        <v>28.032499999999999</v>
      </c>
      <c r="G1409">
        <v>10399860</v>
      </c>
    </row>
    <row r="1410" spans="5:7">
      <c r="E1410" s="2">
        <v>40984</v>
      </c>
      <c r="F1410">
        <v>27.805</v>
      </c>
      <c r="G1410">
        <v>14449704</v>
      </c>
    </row>
    <row r="1411" spans="5:7">
      <c r="E1411" s="2">
        <v>40983</v>
      </c>
      <c r="F1411">
        <v>27.682500000000001</v>
      </c>
      <c r="G1411">
        <v>7297368</v>
      </c>
    </row>
    <row r="1412" spans="5:7">
      <c r="E1412" s="2">
        <v>40982</v>
      </c>
      <c r="F1412">
        <v>27.574999999999999</v>
      </c>
      <c r="G1412">
        <v>7452476</v>
      </c>
    </row>
    <row r="1413" spans="5:7">
      <c r="E1413" s="2">
        <v>40981</v>
      </c>
      <c r="F1413">
        <v>27.69</v>
      </c>
      <c r="G1413">
        <v>9531528</v>
      </c>
    </row>
    <row r="1414" spans="5:7">
      <c r="E1414" s="2">
        <v>40980</v>
      </c>
      <c r="F1414">
        <v>27.362500000000001</v>
      </c>
      <c r="G1414">
        <v>9208152</v>
      </c>
    </row>
    <row r="1415" spans="5:7">
      <c r="E1415" s="2">
        <v>40977</v>
      </c>
      <c r="F1415">
        <v>27.495000000000001</v>
      </c>
      <c r="G1415">
        <v>9813800</v>
      </c>
    </row>
    <row r="1416" spans="5:7">
      <c r="E1416" s="2">
        <v>40976</v>
      </c>
      <c r="F1416">
        <v>26.975000000000001</v>
      </c>
      <c r="G1416">
        <v>4564984</v>
      </c>
    </row>
    <row r="1417" spans="5:7">
      <c r="E1417" s="2">
        <v>40975</v>
      </c>
      <c r="F1417">
        <v>26.895</v>
      </c>
      <c r="G1417">
        <v>7177968</v>
      </c>
    </row>
    <row r="1418" spans="5:7">
      <c r="E1418" s="2">
        <v>40974</v>
      </c>
      <c r="F1418">
        <v>26.835000000000001</v>
      </c>
      <c r="G1418">
        <v>7887532</v>
      </c>
    </row>
    <row r="1419" spans="5:7">
      <c r="E1419" s="2">
        <v>40973</v>
      </c>
      <c r="F1419">
        <v>27.31</v>
      </c>
      <c r="G1419">
        <v>7173440</v>
      </c>
    </row>
    <row r="1420" spans="5:7">
      <c r="E1420" s="2">
        <v>40970</v>
      </c>
      <c r="F1420">
        <v>27.184999999999999</v>
      </c>
      <c r="G1420">
        <v>7011520</v>
      </c>
    </row>
    <row r="1421" spans="5:7">
      <c r="E1421" s="2">
        <v>40969</v>
      </c>
      <c r="F1421">
        <v>27.135000000000002</v>
      </c>
      <c r="G1421">
        <v>7070484</v>
      </c>
    </row>
    <row r="1422" spans="5:7">
      <c r="E1422" s="2">
        <v>40968</v>
      </c>
      <c r="F1422">
        <v>26.98</v>
      </c>
      <c r="G1422">
        <v>7088784</v>
      </c>
    </row>
    <row r="1423" spans="5:7">
      <c r="E1423" s="2">
        <v>40967</v>
      </c>
      <c r="F1423">
        <v>26.857500000000002</v>
      </c>
      <c r="G1423">
        <v>5047612</v>
      </c>
    </row>
    <row r="1424" spans="5:7">
      <c r="E1424" s="2">
        <v>40966</v>
      </c>
      <c r="F1424">
        <v>26.7925</v>
      </c>
      <c r="G1424">
        <v>6077336</v>
      </c>
    </row>
    <row r="1425" spans="5:7">
      <c r="E1425" s="2">
        <v>40963</v>
      </c>
      <c r="F1425">
        <v>26.572500000000002</v>
      </c>
      <c r="G1425">
        <v>4675456</v>
      </c>
    </row>
    <row r="1426" spans="5:7">
      <c r="E1426" s="2">
        <v>40962</v>
      </c>
      <c r="F1426">
        <v>26.535</v>
      </c>
      <c r="G1426">
        <v>5860712</v>
      </c>
    </row>
    <row r="1427" spans="5:7">
      <c r="E1427" s="2">
        <v>40961</v>
      </c>
      <c r="F1427">
        <v>26.432500000000001</v>
      </c>
      <c r="G1427">
        <v>6237576</v>
      </c>
    </row>
    <row r="1428" spans="5:7">
      <c r="E1428" s="2">
        <v>40960</v>
      </c>
      <c r="F1428">
        <v>26.237500000000001</v>
      </c>
      <c r="G1428">
        <v>7308812</v>
      </c>
    </row>
    <row r="1429" spans="5:7">
      <c r="E1429" s="2">
        <v>40956</v>
      </c>
      <c r="F1429">
        <v>26.67</v>
      </c>
      <c r="G1429">
        <v>6957504</v>
      </c>
    </row>
    <row r="1430" spans="5:7">
      <c r="E1430" s="2">
        <v>40955</v>
      </c>
      <c r="F1430">
        <v>26.54</v>
      </c>
      <c r="G1430">
        <v>6658048</v>
      </c>
    </row>
    <row r="1431" spans="5:7">
      <c r="E1431" s="2">
        <v>40954</v>
      </c>
      <c r="F1431">
        <v>26.65</v>
      </c>
      <c r="G1431">
        <v>9935344</v>
      </c>
    </row>
    <row r="1432" spans="5:7">
      <c r="E1432" s="2">
        <v>40953</v>
      </c>
      <c r="F1432">
        <v>26.657499999999999</v>
      </c>
      <c r="G1432">
        <v>9526104</v>
      </c>
    </row>
    <row r="1433" spans="5:7">
      <c r="E1433" s="2">
        <v>40952</v>
      </c>
      <c r="F1433">
        <v>26.305</v>
      </c>
      <c r="G1433">
        <v>5875300</v>
      </c>
    </row>
    <row r="1434" spans="5:7">
      <c r="E1434" s="2">
        <v>40949</v>
      </c>
      <c r="F1434">
        <v>26.352499999999999</v>
      </c>
      <c r="G1434">
        <v>6210240</v>
      </c>
    </row>
    <row r="1435" spans="5:7">
      <c r="E1435" s="2">
        <v>40948</v>
      </c>
      <c r="F1435">
        <v>26.44</v>
      </c>
      <c r="G1435">
        <v>5847612</v>
      </c>
    </row>
    <row r="1436" spans="5:7">
      <c r="E1436" s="2">
        <v>40947</v>
      </c>
      <c r="F1436">
        <v>26.482500000000002</v>
      </c>
      <c r="G1436">
        <v>11142884</v>
      </c>
    </row>
    <row r="1437" spans="5:7">
      <c r="E1437" s="2">
        <v>40946</v>
      </c>
      <c r="F1437">
        <v>26.057500000000001</v>
      </c>
      <c r="G1437">
        <v>5231284</v>
      </c>
    </row>
    <row r="1438" spans="5:7">
      <c r="E1438" s="2">
        <v>40945</v>
      </c>
      <c r="F1438">
        <v>25.864999999999998</v>
      </c>
      <c r="G1438">
        <v>6230512</v>
      </c>
    </row>
    <row r="1439" spans="5:7">
      <c r="E1439" s="2">
        <v>40942</v>
      </c>
      <c r="F1439">
        <v>25.875</v>
      </c>
      <c r="G1439">
        <v>13192116</v>
      </c>
    </row>
    <row r="1440" spans="5:7">
      <c r="E1440" s="2">
        <v>40941</v>
      </c>
      <c r="F1440">
        <v>25.704999999999998</v>
      </c>
      <c r="G1440">
        <v>9372956</v>
      </c>
    </row>
    <row r="1441" spans="5:7">
      <c r="E1441" s="2">
        <v>40940</v>
      </c>
      <c r="F1441">
        <v>25.9375</v>
      </c>
      <c r="G1441">
        <v>10000584</v>
      </c>
    </row>
    <row r="1442" spans="5:7">
      <c r="E1442" s="2">
        <v>40939</v>
      </c>
      <c r="F1442">
        <v>25.997499999999999</v>
      </c>
      <c r="G1442">
        <v>24751676</v>
      </c>
    </row>
    <row r="1443" spans="5:7">
      <c r="E1443" s="2">
        <v>40938</v>
      </c>
      <c r="F1443">
        <v>25.8475</v>
      </c>
      <c r="G1443">
        <v>11892116</v>
      </c>
    </row>
    <row r="1444" spans="5:7">
      <c r="E1444" s="2">
        <v>40935</v>
      </c>
      <c r="F1444">
        <v>25.5275</v>
      </c>
      <c r="G1444">
        <v>6934356</v>
      </c>
    </row>
    <row r="1445" spans="5:7">
      <c r="E1445" s="2">
        <v>40934</v>
      </c>
      <c r="F1445">
        <v>25.574999999999999</v>
      </c>
      <c r="G1445">
        <v>7528256</v>
      </c>
    </row>
    <row r="1446" spans="5:7">
      <c r="E1446" s="2">
        <v>40933</v>
      </c>
      <c r="F1446">
        <v>25.802499999999998</v>
      </c>
      <c r="G1446">
        <v>11383852</v>
      </c>
    </row>
    <row r="1447" spans="5:7">
      <c r="E1447" s="2">
        <v>40932</v>
      </c>
      <c r="F1447">
        <v>25.552499999999998</v>
      </c>
      <c r="G1447">
        <v>6564588</v>
      </c>
    </row>
    <row r="1448" spans="5:7">
      <c r="E1448" s="2">
        <v>40931</v>
      </c>
      <c r="F1448">
        <v>25.39</v>
      </c>
      <c r="G1448">
        <v>8329840</v>
      </c>
    </row>
    <row r="1449" spans="5:7">
      <c r="E1449" s="2">
        <v>40928</v>
      </c>
      <c r="F1449">
        <v>25.44</v>
      </c>
      <c r="G1449">
        <v>8949620</v>
      </c>
    </row>
    <row r="1450" spans="5:7">
      <c r="E1450" s="2">
        <v>40927</v>
      </c>
      <c r="F1450">
        <v>25.395</v>
      </c>
      <c r="G1450">
        <v>9158364</v>
      </c>
    </row>
    <row r="1451" spans="5:7">
      <c r="E1451" s="2">
        <v>40926</v>
      </c>
      <c r="F1451">
        <v>25.215</v>
      </c>
      <c r="G1451">
        <v>12278960</v>
      </c>
    </row>
    <row r="1452" spans="5:7">
      <c r="E1452" s="2">
        <v>40925</v>
      </c>
      <c r="F1452">
        <v>24.81</v>
      </c>
      <c r="G1452">
        <v>8242316</v>
      </c>
    </row>
    <row r="1453" spans="5:7">
      <c r="E1453" s="2">
        <v>40921</v>
      </c>
      <c r="F1453">
        <v>24.574999999999999</v>
      </c>
      <c r="G1453">
        <v>6534104</v>
      </c>
    </row>
    <row r="1454" spans="5:7">
      <c r="E1454" s="2">
        <v>40920</v>
      </c>
      <c r="F1454">
        <v>24.774999999999999</v>
      </c>
      <c r="G1454">
        <v>7516552</v>
      </c>
    </row>
    <row r="1455" spans="5:7">
      <c r="E1455" s="2">
        <v>40919</v>
      </c>
      <c r="F1455">
        <v>24.535</v>
      </c>
      <c r="G1455">
        <v>7002892</v>
      </c>
    </row>
    <row r="1456" spans="5:7">
      <c r="E1456" s="2">
        <v>40918</v>
      </c>
      <c r="F1456">
        <v>24.6175</v>
      </c>
      <c r="G1456">
        <v>9812672</v>
      </c>
    </row>
    <row r="1457" spans="5:7">
      <c r="E1457" s="2">
        <v>40917</v>
      </c>
      <c r="F1457">
        <v>24.587499999999999</v>
      </c>
      <c r="G1457">
        <v>10045640</v>
      </c>
    </row>
    <row r="1458" spans="5:7">
      <c r="E1458" s="2">
        <v>40914</v>
      </c>
      <c r="F1458">
        <v>24.497499999999999</v>
      </c>
      <c r="G1458">
        <v>7761100</v>
      </c>
    </row>
    <row r="1459" spans="5:7">
      <c r="E1459" s="2">
        <v>40913</v>
      </c>
      <c r="F1459">
        <v>24.54</v>
      </c>
      <c r="G1459">
        <v>8393472</v>
      </c>
    </row>
    <row r="1460" spans="5:7">
      <c r="E1460" s="2">
        <v>40912</v>
      </c>
      <c r="F1460">
        <v>24.555</v>
      </c>
      <c r="G1460">
        <v>9440992</v>
      </c>
    </row>
    <row r="1461" spans="5:7">
      <c r="E1461" s="2">
        <v>40911</v>
      </c>
      <c r="F1461">
        <v>24.202500000000001</v>
      </c>
      <c r="G1461">
        <v>10944748</v>
      </c>
    </row>
    <row r="1462" spans="5:7">
      <c r="E1462" s="2">
        <v>40907</v>
      </c>
      <c r="F1462">
        <v>24.092500000000001</v>
      </c>
      <c r="G1462">
        <v>6609360</v>
      </c>
    </row>
    <row r="1463" spans="5:7">
      <c r="E1463" s="2">
        <v>40906</v>
      </c>
      <c r="F1463">
        <v>24.364999999999998</v>
      </c>
      <c r="G1463">
        <v>8571744</v>
      </c>
    </row>
    <row r="1464" spans="5:7">
      <c r="E1464" s="2">
        <v>40905</v>
      </c>
      <c r="F1464">
        <v>24.107500000000002</v>
      </c>
      <c r="G1464">
        <v>6830312</v>
      </c>
    </row>
    <row r="1465" spans="5:7">
      <c r="E1465" s="2">
        <v>40904</v>
      </c>
      <c r="F1465">
        <v>24.442499999999999</v>
      </c>
      <c r="G1465">
        <v>6448208</v>
      </c>
    </row>
    <row r="1466" spans="5:7">
      <c r="E1466" s="2">
        <v>40900</v>
      </c>
      <c r="F1466">
        <v>24.225000000000001</v>
      </c>
      <c r="G1466">
        <v>7165328</v>
      </c>
    </row>
    <row r="1467" spans="5:7">
      <c r="E1467" s="2">
        <v>40899</v>
      </c>
      <c r="F1467">
        <v>23.704999999999998</v>
      </c>
      <c r="G1467">
        <v>11711644</v>
      </c>
    </row>
    <row r="1468" spans="5:7">
      <c r="E1468" s="2">
        <v>40898</v>
      </c>
      <c r="F1468">
        <v>24.087499999999999</v>
      </c>
      <c r="G1468">
        <v>25045312</v>
      </c>
    </row>
    <row r="1469" spans="5:7">
      <c r="E1469" s="2">
        <v>40897</v>
      </c>
      <c r="F1469">
        <v>23.407499999999999</v>
      </c>
      <c r="G1469">
        <v>18300996</v>
      </c>
    </row>
    <row r="1470" spans="5:7">
      <c r="E1470" s="2">
        <v>40896</v>
      </c>
      <c r="F1470">
        <v>23.344999999999999</v>
      </c>
      <c r="G1470">
        <v>8765352</v>
      </c>
    </row>
    <row r="1471" spans="5:7">
      <c r="E1471" s="2">
        <v>40893</v>
      </c>
      <c r="F1471">
        <v>23.4175</v>
      </c>
      <c r="G1471">
        <v>12788516</v>
      </c>
    </row>
    <row r="1472" spans="5:7">
      <c r="E1472" s="2">
        <v>40892</v>
      </c>
      <c r="F1472">
        <v>23.52</v>
      </c>
      <c r="G1472">
        <v>10732104</v>
      </c>
    </row>
    <row r="1473" spans="5:7">
      <c r="E1473" s="2">
        <v>40891</v>
      </c>
      <c r="F1473">
        <v>23.5975</v>
      </c>
      <c r="G1473">
        <v>9455324</v>
      </c>
    </row>
    <row r="1474" spans="5:7">
      <c r="E1474" s="2">
        <v>40890</v>
      </c>
      <c r="F1474">
        <v>23.762499999999999</v>
      </c>
      <c r="G1474">
        <v>10714364</v>
      </c>
    </row>
    <row r="1475" spans="5:7">
      <c r="E1475" s="2">
        <v>40889</v>
      </c>
      <c r="F1475">
        <v>24.237500000000001</v>
      </c>
      <c r="G1475">
        <v>10852412</v>
      </c>
    </row>
    <row r="1476" spans="5:7">
      <c r="E1476" s="2">
        <v>40886</v>
      </c>
      <c r="F1476">
        <v>24.42</v>
      </c>
      <c r="G1476">
        <v>12423136</v>
      </c>
    </row>
    <row r="1477" spans="5:7">
      <c r="E1477" s="2">
        <v>40885</v>
      </c>
      <c r="F1477">
        <v>23.795000000000002</v>
      </c>
      <c r="G1477">
        <v>9393548</v>
      </c>
    </row>
    <row r="1478" spans="5:7">
      <c r="E1478" s="2">
        <v>40884</v>
      </c>
      <c r="F1478">
        <v>23.9725</v>
      </c>
      <c r="G1478">
        <v>11209200</v>
      </c>
    </row>
    <row r="1479" spans="5:7">
      <c r="E1479" s="2">
        <v>40883</v>
      </c>
      <c r="F1479">
        <v>24.0625</v>
      </c>
      <c r="G1479">
        <v>6987708</v>
      </c>
    </row>
    <row r="1480" spans="5:7">
      <c r="E1480" s="2">
        <v>40882</v>
      </c>
      <c r="F1480">
        <v>24.15</v>
      </c>
      <c r="G1480">
        <v>8855780</v>
      </c>
    </row>
    <row r="1481" spans="5:7">
      <c r="E1481" s="2">
        <v>40879</v>
      </c>
      <c r="F1481">
        <v>24.0625</v>
      </c>
      <c r="G1481">
        <v>9465844</v>
      </c>
    </row>
    <row r="1482" spans="5:7">
      <c r="E1482" s="2">
        <v>40878</v>
      </c>
      <c r="F1482">
        <v>23.8125</v>
      </c>
      <c r="G1482">
        <v>9567020</v>
      </c>
    </row>
    <row r="1483" spans="5:7">
      <c r="E1483" s="2">
        <v>40877</v>
      </c>
      <c r="F1483">
        <v>24.045000000000002</v>
      </c>
      <c r="G1483">
        <v>13493088</v>
      </c>
    </row>
    <row r="1484" spans="5:7">
      <c r="E1484" s="2">
        <v>40876</v>
      </c>
      <c r="F1484">
        <v>23.717500000000001</v>
      </c>
      <c r="G1484">
        <v>11024736</v>
      </c>
    </row>
    <row r="1485" spans="5:7">
      <c r="E1485" s="2">
        <v>40875</v>
      </c>
      <c r="F1485">
        <v>23.727499999999999</v>
      </c>
      <c r="G1485">
        <v>15442476</v>
      </c>
    </row>
    <row r="1486" spans="5:7">
      <c r="E1486" s="2">
        <v>40872</v>
      </c>
      <c r="F1486">
        <v>22.57</v>
      </c>
      <c r="G1486">
        <v>3475800</v>
      </c>
    </row>
    <row r="1487" spans="5:7">
      <c r="E1487" s="2">
        <v>40870</v>
      </c>
      <c r="F1487">
        <v>22.732500000000002</v>
      </c>
      <c r="G1487">
        <v>7470632</v>
      </c>
    </row>
    <row r="1488" spans="5:7">
      <c r="E1488" s="2">
        <v>40869</v>
      </c>
      <c r="F1488">
        <v>22.907499999999999</v>
      </c>
      <c r="G1488">
        <v>7660112</v>
      </c>
    </row>
    <row r="1489" spans="5:7">
      <c r="E1489" s="2">
        <v>40868</v>
      </c>
      <c r="F1489">
        <v>22.765000000000001</v>
      </c>
      <c r="G1489">
        <v>7354388</v>
      </c>
    </row>
    <row r="1490" spans="5:7">
      <c r="E1490" s="2">
        <v>40865</v>
      </c>
      <c r="F1490">
        <v>23.1875</v>
      </c>
      <c r="G1490">
        <v>9440908</v>
      </c>
    </row>
    <row r="1491" spans="5:7">
      <c r="E1491" s="2">
        <v>40864</v>
      </c>
      <c r="F1491">
        <v>22.9725</v>
      </c>
      <c r="G1491">
        <v>9039584</v>
      </c>
    </row>
    <row r="1492" spans="5:7">
      <c r="E1492" s="2">
        <v>40863</v>
      </c>
      <c r="F1492">
        <v>23.425000000000001</v>
      </c>
      <c r="G1492">
        <v>8850336</v>
      </c>
    </row>
    <row r="1493" spans="5:7">
      <c r="E1493" s="2">
        <v>40862</v>
      </c>
      <c r="F1493">
        <v>23.987500000000001</v>
      </c>
      <c r="G1493">
        <v>7013756</v>
      </c>
    </row>
    <row r="1494" spans="5:7">
      <c r="E1494" s="2">
        <v>40861</v>
      </c>
      <c r="F1494">
        <v>23.9375</v>
      </c>
      <c r="G1494">
        <v>6849268</v>
      </c>
    </row>
    <row r="1495" spans="5:7">
      <c r="E1495" s="2">
        <v>40858</v>
      </c>
      <c r="F1495">
        <v>24.037500000000001</v>
      </c>
      <c r="G1495">
        <v>8108136</v>
      </c>
    </row>
    <row r="1496" spans="5:7">
      <c r="E1496" s="2">
        <v>40857</v>
      </c>
      <c r="F1496">
        <v>23.48</v>
      </c>
      <c r="G1496">
        <v>9393636</v>
      </c>
    </row>
    <row r="1497" spans="5:7">
      <c r="E1497" s="2">
        <v>40856</v>
      </c>
      <c r="F1497">
        <v>23.09</v>
      </c>
      <c r="G1497">
        <v>11706936</v>
      </c>
    </row>
    <row r="1498" spans="5:7">
      <c r="E1498" s="2">
        <v>40855</v>
      </c>
      <c r="F1498">
        <v>23.855</v>
      </c>
      <c r="G1498">
        <v>9659228</v>
      </c>
    </row>
    <row r="1499" spans="5:7">
      <c r="E1499" s="2">
        <v>40854</v>
      </c>
      <c r="F1499">
        <v>23.45</v>
      </c>
      <c r="G1499">
        <v>8731024</v>
      </c>
    </row>
    <row r="1500" spans="5:7">
      <c r="E1500" s="2">
        <v>40851</v>
      </c>
      <c r="F1500">
        <v>23.594999999999999</v>
      </c>
      <c r="G1500">
        <v>8239472</v>
      </c>
    </row>
    <row r="1501" spans="5:7">
      <c r="E1501" s="2">
        <v>40850</v>
      </c>
      <c r="F1501">
        <v>23.92</v>
      </c>
      <c r="G1501">
        <v>10708128</v>
      </c>
    </row>
    <row r="1502" spans="5:7">
      <c r="E1502" s="2">
        <v>40849</v>
      </c>
      <c r="F1502">
        <v>23.734999999999999</v>
      </c>
      <c r="G1502">
        <v>11624508</v>
      </c>
    </row>
    <row r="1503" spans="5:7">
      <c r="E1503" s="2">
        <v>40848</v>
      </c>
      <c r="F1503">
        <v>23.47</v>
      </c>
      <c r="G1503">
        <v>10651200</v>
      </c>
    </row>
    <row r="1504" spans="5:7">
      <c r="E1504" s="2">
        <v>40847</v>
      </c>
      <c r="F1504">
        <v>24.087499999999999</v>
      </c>
      <c r="G1504">
        <v>12228196</v>
      </c>
    </row>
    <row r="1505" spans="5:7">
      <c r="E1505" s="2">
        <v>40844</v>
      </c>
      <c r="F1505">
        <v>24.1875</v>
      </c>
      <c r="G1505">
        <v>12221660</v>
      </c>
    </row>
    <row r="1506" spans="5:7">
      <c r="E1506" s="2">
        <v>40843</v>
      </c>
      <c r="F1506">
        <v>23.9575</v>
      </c>
      <c r="G1506">
        <v>15449024</v>
      </c>
    </row>
    <row r="1507" spans="5:7">
      <c r="E1507" s="2">
        <v>40842</v>
      </c>
      <c r="F1507">
        <v>23.552499999999998</v>
      </c>
      <c r="G1507">
        <v>9555268</v>
      </c>
    </row>
    <row r="1508" spans="5:7">
      <c r="E1508" s="2">
        <v>40841</v>
      </c>
      <c r="F1508">
        <v>23.4375</v>
      </c>
      <c r="G1508">
        <v>9489032</v>
      </c>
    </row>
    <row r="1509" spans="5:7">
      <c r="E1509" s="2">
        <v>40840</v>
      </c>
      <c r="F1509">
        <v>23.767499999999998</v>
      </c>
      <c r="G1509">
        <v>13173876</v>
      </c>
    </row>
    <row r="1510" spans="5:7">
      <c r="E1510" s="2">
        <v>40837</v>
      </c>
      <c r="F1510">
        <v>23.587499999999999</v>
      </c>
      <c r="G1510">
        <v>12383636</v>
      </c>
    </row>
    <row r="1511" spans="5:7">
      <c r="E1511" s="2">
        <v>40836</v>
      </c>
      <c r="F1511">
        <v>22.9725</v>
      </c>
      <c r="G1511">
        <v>8445192</v>
      </c>
    </row>
    <row r="1512" spans="5:7">
      <c r="E1512" s="2">
        <v>40835</v>
      </c>
      <c r="F1512">
        <v>22.822500000000002</v>
      </c>
      <c r="G1512">
        <v>8567088</v>
      </c>
    </row>
    <row r="1513" spans="5:7">
      <c r="E1513" s="2">
        <v>40834</v>
      </c>
      <c r="F1513">
        <v>22.87</v>
      </c>
      <c r="G1513">
        <v>11126032</v>
      </c>
    </row>
    <row r="1514" spans="5:7">
      <c r="E1514" s="2">
        <v>40833</v>
      </c>
      <c r="F1514">
        <v>22.754999999999999</v>
      </c>
      <c r="G1514">
        <v>8205940</v>
      </c>
    </row>
    <row r="1515" spans="5:7">
      <c r="E1515" s="2">
        <v>40830</v>
      </c>
      <c r="F1515">
        <v>23.2425</v>
      </c>
      <c r="G1515">
        <v>8571040</v>
      </c>
    </row>
    <row r="1516" spans="5:7">
      <c r="E1516" s="2">
        <v>40829</v>
      </c>
      <c r="F1516">
        <v>23.052499999999998</v>
      </c>
      <c r="G1516">
        <v>8464984</v>
      </c>
    </row>
    <row r="1517" spans="5:7">
      <c r="E1517" s="2">
        <v>40828</v>
      </c>
      <c r="F1517">
        <v>22.947500000000002</v>
      </c>
      <c r="G1517">
        <v>14055576</v>
      </c>
    </row>
    <row r="1518" spans="5:7">
      <c r="E1518" s="2">
        <v>40827</v>
      </c>
      <c r="F1518">
        <v>22.462499999999999</v>
      </c>
      <c r="G1518">
        <v>8690600</v>
      </c>
    </row>
    <row r="1519" spans="5:7">
      <c r="E1519" s="2">
        <v>40826</v>
      </c>
      <c r="F1519">
        <v>22.68</v>
      </c>
      <c r="G1519">
        <v>8209524</v>
      </c>
    </row>
    <row r="1520" spans="5:7">
      <c r="E1520" s="2">
        <v>40823</v>
      </c>
      <c r="F1520">
        <v>22.037500000000001</v>
      </c>
      <c r="G1520">
        <v>10361812</v>
      </c>
    </row>
    <row r="1521" spans="5:7">
      <c r="E1521" s="2">
        <v>40822</v>
      </c>
      <c r="F1521">
        <v>22.32</v>
      </c>
      <c r="G1521">
        <v>10604044</v>
      </c>
    </row>
    <row r="1522" spans="5:7">
      <c r="E1522" s="2">
        <v>40821</v>
      </c>
      <c r="F1522">
        <v>21.95</v>
      </c>
      <c r="G1522">
        <v>14786624</v>
      </c>
    </row>
    <row r="1523" spans="5:7">
      <c r="E1523" s="2">
        <v>40820</v>
      </c>
      <c r="F1523">
        <v>21.432500000000001</v>
      </c>
      <c r="G1523">
        <v>13781824</v>
      </c>
    </row>
    <row r="1524" spans="5:7">
      <c r="E1524" s="2">
        <v>40819</v>
      </c>
      <c r="F1524">
        <v>20.762499999999999</v>
      </c>
      <c r="G1524">
        <v>14336152</v>
      </c>
    </row>
    <row r="1525" spans="5:7">
      <c r="E1525" s="2">
        <v>40816</v>
      </c>
      <c r="F1525">
        <v>21.377500000000001</v>
      </c>
      <c r="G1525">
        <v>13958872</v>
      </c>
    </row>
    <row r="1526" spans="5:7">
      <c r="E1526" s="2">
        <v>40815</v>
      </c>
      <c r="F1526">
        <v>21.997499999999999</v>
      </c>
      <c r="G1526">
        <v>14378396</v>
      </c>
    </row>
    <row r="1527" spans="5:7">
      <c r="E1527" s="2">
        <v>40814</v>
      </c>
      <c r="F1527">
        <v>22.1175</v>
      </c>
      <c r="G1527">
        <v>14258032</v>
      </c>
    </row>
    <row r="1528" spans="5:7">
      <c r="E1528" s="2">
        <v>40813</v>
      </c>
      <c r="F1528">
        <v>22.645</v>
      </c>
      <c r="G1528">
        <v>17463132</v>
      </c>
    </row>
    <row r="1529" spans="5:7">
      <c r="E1529" s="2">
        <v>40812</v>
      </c>
      <c r="F1529">
        <v>22.327500000000001</v>
      </c>
      <c r="G1529">
        <v>16838536</v>
      </c>
    </row>
    <row r="1530" spans="5:7">
      <c r="E1530" s="2">
        <v>40809</v>
      </c>
      <c r="F1530">
        <v>22.16</v>
      </c>
      <c r="G1530">
        <v>36419584</v>
      </c>
    </row>
    <row r="1531" spans="5:7">
      <c r="E1531" s="2">
        <v>40808</v>
      </c>
      <c r="F1531">
        <v>21.045000000000002</v>
      </c>
      <c r="G1531">
        <v>23763380</v>
      </c>
    </row>
    <row r="1532" spans="5:7">
      <c r="E1532" s="2">
        <v>40807</v>
      </c>
      <c r="F1532">
        <v>21.434999999999999</v>
      </c>
      <c r="G1532">
        <v>20443052</v>
      </c>
    </row>
    <row r="1533" spans="5:7">
      <c r="E1533" s="2">
        <v>40806</v>
      </c>
      <c r="F1533">
        <v>22.364999999999998</v>
      </c>
      <c r="G1533">
        <v>15854416</v>
      </c>
    </row>
    <row r="1534" spans="5:7">
      <c r="E1534" s="2">
        <v>40805</v>
      </c>
      <c r="F1534">
        <v>22.55</v>
      </c>
      <c r="G1534">
        <v>14538136</v>
      </c>
    </row>
    <row r="1535" spans="5:7">
      <c r="E1535" s="2">
        <v>40802</v>
      </c>
      <c r="F1535">
        <v>22.442499999999999</v>
      </c>
      <c r="G1535">
        <v>16175608</v>
      </c>
    </row>
    <row r="1536" spans="5:7">
      <c r="E1536" s="2">
        <v>40801</v>
      </c>
      <c r="F1536">
        <v>22.01</v>
      </c>
      <c r="G1536">
        <v>11005976</v>
      </c>
    </row>
    <row r="1537" spans="5:7">
      <c r="E1537" s="2">
        <v>40800</v>
      </c>
      <c r="F1537">
        <v>21.872499999999999</v>
      </c>
      <c r="G1537">
        <v>15416184</v>
      </c>
    </row>
    <row r="1538" spans="5:7">
      <c r="E1538" s="2">
        <v>40799</v>
      </c>
      <c r="F1538">
        <v>21.454999999999998</v>
      </c>
      <c r="G1538">
        <v>11845780</v>
      </c>
    </row>
    <row r="1539" spans="5:7">
      <c r="E1539" s="2">
        <v>40798</v>
      </c>
      <c r="F1539">
        <v>21.09</v>
      </c>
      <c r="G1539">
        <v>9917096</v>
      </c>
    </row>
    <row r="1540" spans="5:7">
      <c r="E1540" s="2">
        <v>40795</v>
      </c>
      <c r="F1540">
        <v>20.625</v>
      </c>
      <c r="G1540">
        <v>14903332</v>
      </c>
    </row>
    <row r="1541" spans="5:7">
      <c r="E1541" s="2">
        <v>40794</v>
      </c>
      <c r="F1541">
        <v>21.3325</v>
      </c>
      <c r="G1541">
        <v>11198832</v>
      </c>
    </row>
    <row r="1542" spans="5:7">
      <c r="E1542" s="2">
        <v>40793</v>
      </c>
      <c r="F1542">
        <v>21.627500000000001</v>
      </c>
      <c r="G1542">
        <v>11406104</v>
      </c>
    </row>
    <row r="1543" spans="5:7">
      <c r="E1543" s="2">
        <v>40792</v>
      </c>
      <c r="F1543">
        <v>20.94</v>
      </c>
      <c r="G1543">
        <v>11293372</v>
      </c>
    </row>
    <row r="1544" spans="5:7">
      <c r="E1544" s="2">
        <v>40788</v>
      </c>
      <c r="F1544">
        <v>21.01</v>
      </c>
      <c r="G1544">
        <v>10301484</v>
      </c>
    </row>
    <row r="1545" spans="5:7">
      <c r="E1545" s="2">
        <v>40787</v>
      </c>
      <c r="F1545">
        <v>21.637499999999999</v>
      </c>
      <c r="G1545">
        <v>15754764</v>
      </c>
    </row>
    <row r="1546" spans="5:7">
      <c r="E1546" s="2">
        <v>40786</v>
      </c>
      <c r="F1546">
        <v>21.662500000000001</v>
      </c>
      <c r="G1546">
        <v>13958308</v>
      </c>
    </row>
    <row r="1547" spans="5:7">
      <c r="E1547" s="2">
        <v>40785</v>
      </c>
      <c r="F1547">
        <v>21.592500000000001</v>
      </c>
      <c r="G1547">
        <v>18831288</v>
      </c>
    </row>
    <row r="1548" spans="5:7">
      <c r="E1548" s="2">
        <v>40784</v>
      </c>
      <c r="F1548">
        <v>22.135000000000002</v>
      </c>
      <c r="G1548">
        <v>11164216</v>
      </c>
    </row>
    <row r="1549" spans="5:7">
      <c r="E1549" s="2">
        <v>40781</v>
      </c>
      <c r="F1549">
        <v>21.572500000000002</v>
      </c>
      <c r="G1549">
        <v>12231012</v>
      </c>
    </row>
    <row r="1550" spans="5:7">
      <c r="E1550" s="2">
        <v>40780</v>
      </c>
      <c r="F1550">
        <v>20.94</v>
      </c>
      <c r="G1550">
        <v>12359904</v>
      </c>
    </row>
    <row r="1551" spans="5:7">
      <c r="E1551" s="2">
        <v>40779</v>
      </c>
      <c r="F1551">
        <v>21.45</v>
      </c>
      <c r="G1551">
        <v>15281716</v>
      </c>
    </row>
    <row r="1552" spans="5:7">
      <c r="E1552" s="2">
        <v>40778</v>
      </c>
      <c r="F1552">
        <v>20.897500000000001</v>
      </c>
      <c r="G1552">
        <v>12045996</v>
      </c>
    </row>
    <row r="1553" spans="5:7">
      <c r="E1553" s="2">
        <v>40777</v>
      </c>
      <c r="F1553">
        <v>19.8125</v>
      </c>
      <c r="G1553">
        <v>11138872</v>
      </c>
    </row>
    <row r="1554" spans="5:7">
      <c r="E1554" s="2">
        <v>40774</v>
      </c>
      <c r="F1554">
        <v>19.645</v>
      </c>
      <c r="G1554">
        <v>12649044</v>
      </c>
    </row>
    <row r="1555" spans="5:7">
      <c r="E1555" s="2">
        <v>40773</v>
      </c>
      <c r="F1555">
        <v>19.98</v>
      </c>
      <c r="G1555">
        <v>16644096</v>
      </c>
    </row>
    <row r="1556" spans="5:7">
      <c r="E1556" s="2">
        <v>40772</v>
      </c>
      <c r="F1556">
        <v>20.637499999999999</v>
      </c>
      <c r="G1556">
        <v>12017568</v>
      </c>
    </row>
    <row r="1557" spans="5:7">
      <c r="E1557" s="2">
        <v>40771</v>
      </c>
      <c r="F1557">
        <v>20.805</v>
      </c>
      <c r="G1557">
        <v>14041548</v>
      </c>
    </row>
    <row r="1558" spans="5:7">
      <c r="E1558" s="2">
        <v>40770</v>
      </c>
      <c r="F1558">
        <v>21.282499999999999</v>
      </c>
      <c r="G1558">
        <v>10026920</v>
      </c>
    </row>
    <row r="1559" spans="5:7">
      <c r="E1559" s="2">
        <v>40767</v>
      </c>
      <c r="F1559">
        <v>21.06</v>
      </c>
      <c r="G1559">
        <v>10663428</v>
      </c>
    </row>
    <row r="1560" spans="5:7">
      <c r="E1560" s="2">
        <v>40766</v>
      </c>
      <c r="F1560">
        <v>20.8125</v>
      </c>
      <c r="G1560">
        <v>14950476</v>
      </c>
    </row>
    <row r="1561" spans="5:7">
      <c r="E1561" s="2">
        <v>40765</v>
      </c>
      <c r="F1561">
        <v>19.8325</v>
      </c>
      <c r="G1561">
        <v>19309688</v>
      </c>
    </row>
    <row r="1562" spans="5:7">
      <c r="E1562" s="2">
        <v>40764</v>
      </c>
      <c r="F1562">
        <v>20.625</v>
      </c>
      <c r="G1562">
        <v>21544172</v>
      </c>
    </row>
    <row r="1563" spans="5:7">
      <c r="E1563" s="2">
        <v>40763</v>
      </c>
      <c r="F1563">
        <v>19.797499999999999</v>
      </c>
      <c r="G1563">
        <v>23861740</v>
      </c>
    </row>
    <row r="1564" spans="5:7">
      <c r="E1564" s="2">
        <v>40760</v>
      </c>
      <c r="F1564">
        <v>20.967500000000001</v>
      </c>
      <c r="G1564">
        <v>21511344</v>
      </c>
    </row>
    <row r="1565" spans="5:7">
      <c r="E1565" s="2">
        <v>40759</v>
      </c>
      <c r="F1565">
        <v>20.387499999999999</v>
      </c>
      <c r="G1565">
        <v>18850844</v>
      </c>
    </row>
    <row r="1566" spans="5:7">
      <c r="E1566" s="2">
        <v>40758</v>
      </c>
      <c r="F1566">
        <v>21.77</v>
      </c>
      <c r="G1566">
        <v>15954416</v>
      </c>
    </row>
    <row r="1567" spans="5:7">
      <c r="E1567" s="2">
        <v>40757</v>
      </c>
      <c r="F1567">
        <v>21.2775</v>
      </c>
      <c r="G1567">
        <v>17061712</v>
      </c>
    </row>
    <row r="1568" spans="5:7">
      <c r="E1568" s="2">
        <v>40756</v>
      </c>
      <c r="F1568">
        <v>22.335000000000001</v>
      </c>
      <c r="G1568">
        <v>10046856</v>
      </c>
    </row>
    <row r="1569" spans="5:7">
      <c r="E1569" s="2">
        <v>40753</v>
      </c>
      <c r="F1569">
        <v>22.537500000000001</v>
      </c>
      <c r="G1569">
        <v>9905260</v>
      </c>
    </row>
    <row r="1570" spans="5:7">
      <c r="E1570" s="2">
        <v>40752</v>
      </c>
      <c r="F1570">
        <v>22.62</v>
      </c>
      <c r="G1570">
        <v>14810500</v>
      </c>
    </row>
    <row r="1571" spans="5:7">
      <c r="E1571" s="2">
        <v>40751</v>
      </c>
      <c r="F1571">
        <v>22.18</v>
      </c>
      <c r="G1571">
        <v>12686496</v>
      </c>
    </row>
    <row r="1572" spans="5:7">
      <c r="E1572" s="2">
        <v>40750</v>
      </c>
      <c r="F1572">
        <v>22.5825</v>
      </c>
      <c r="G1572">
        <v>7567036</v>
      </c>
    </row>
    <row r="1573" spans="5:7">
      <c r="E1573" s="2">
        <v>40749</v>
      </c>
      <c r="F1573">
        <v>22.732500000000002</v>
      </c>
      <c r="G1573">
        <v>6965264</v>
      </c>
    </row>
    <row r="1574" spans="5:7">
      <c r="E1574" s="2">
        <v>40746</v>
      </c>
      <c r="F1574">
        <v>22.927499999999998</v>
      </c>
      <c r="G1574">
        <v>7219292</v>
      </c>
    </row>
    <row r="1575" spans="5:7">
      <c r="E1575" s="2">
        <v>40745</v>
      </c>
      <c r="F1575">
        <v>22.96</v>
      </c>
      <c r="G1575">
        <v>11621404</v>
      </c>
    </row>
    <row r="1576" spans="5:7">
      <c r="E1576" s="2">
        <v>40744</v>
      </c>
      <c r="F1576">
        <v>22.65</v>
      </c>
      <c r="G1576">
        <v>9916380</v>
      </c>
    </row>
    <row r="1577" spans="5:7">
      <c r="E1577" s="2">
        <v>40743</v>
      </c>
      <c r="F1577">
        <v>22.684999999999999</v>
      </c>
      <c r="G1577">
        <v>18579872</v>
      </c>
    </row>
    <row r="1578" spans="5:7">
      <c r="E1578" s="2">
        <v>40742</v>
      </c>
      <c r="F1578">
        <v>22.66</v>
      </c>
      <c r="G1578">
        <v>11662476</v>
      </c>
    </row>
    <row r="1579" spans="5:7">
      <c r="E1579" s="2">
        <v>40739</v>
      </c>
      <c r="F1579">
        <v>22.925000000000001</v>
      </c>
      <c r="G1579">
        <v>14330520</v>
      </c>
    </row>
    <row r="1580" spans="5:7">
      <c r="E1580" s="2">
        <v>40738</v>
      </c>
      <c r="F1580">
        <v>22.99</v>
      </c>
      <c r="G1580">
        <v>10843256</v>
      </c>
    </row>
    <row r="1581" spans="5:7">
      <c r="E1581" s="2">
        <v>40737</v>
      </c>
      <c r="F1581">
        <v>23.012499999999999</v>
      </c>
      <c r="G1581">
        <v>9458640</v>
      </c>
    </row>
    <row r="1582" spans="5:7">
      <c r="E1582" s="2">
        <v>40736</v>
      </c>
      <c r="F1582">
        <v>22.807500000000001</v>
      </c>
      <c r="G1582">
        <v>7284340</v>
      </c>
    </row>
    <row r="1583" spans="5:7">
      <c r="E1583" s="2">
        <v>40735</v>
      </c>
      <c r="F1583">
        <v>22.857500000000002</v>
      </c>
      <c r="G1583">
        <v>12599688</v>
      </c>
    </row>
    <row r="1584" spans="5:7">
      <c r="E1584" s="2">
        <v>40732</v>
      </c>
      <c r="F1584">
        <v>23.31</v>
      </c>
      <c r="G1584">
        <v>12672592</v>
      </c>
    </row>
    <row r="1585" spans="5:7">
      <c r="E1585" s="2">
        <v>40731</v>
      </c>
      <c r="F1585">
        <v>23.414999999999999</v>
      </c>
      <c r="G1585">
        <v>17198184</v>
      </c>
    </row>
    <row r="1586" spans="5:7">
      <c r="E1586" s="2">
        <v>40730</v>
      </c>
      <c r="F1586">
        <v>23.087499999999999</v>
      </c>
      <c r="G1586">
        <v>14488396</v>
      </c>
    </row>
    <row r="1587" spans="5:7">
      <c r="E1587" s="2">
        <v>40729</v>
      </c>
      <c r="F1587">
        <v>22.934999999999999</v>
      </c>
      <c r="G1587">
        <v>14938872</v>
      </c>
    </row>
    <row r="1588" spans="5:7">
      <c r="E1588" s="2">
        <v>40725</v>
      </c>
      <c r="F1588">
        <v>22.954999999999998</v>
      </c>
      <c r="G1588">
        <v>16781356</v>
      </c>
    </row>
    <row r="1589" spans="5:7">
      <c r="E1589" s="2">
        <v>40724</v>
      </c>
      <c r="F1589">
        <v>22.495000000000001</v>
      </c>
      <c r="G1589">
        <v>17715424</v>
      </c>
    </row>
    <row r="1590" spans="5:7">
      <c r="E1590" s="2">
        <v>40723</v>
      </c>
      <c r="F1590">
        <v>22.445</v>
      </c>
      <c r="G1590">
        <v>25427620</v>
      </c>
    </row>
    <row r="1591" spans="5:7">
      <c r="E1591" s="2">
        <v>40722</v>
      </c>
      <c r="F1591">
        <v>22.475000000000001</v>
      </c>
      <c r="G1591">
        <v>60457140</v>
      </c>
    </row>
    <row r="1592" spans="5:7">
      <c r="E1592" s="2">
        <v>40721</v>
      </c>
      <c r="F1592">
        <v>20.405000000000001</v>
      </c>
      <c r="G1592">
        <v>22992824</v>
      </c>
    </row>
    <row r="1593" spans="5:7">
      <c r="E1593" s="2">
        <v>40718</v>
      </c>
      <c r="F1593">
        <v>20.295000000000002</v>
      </c>
      <c r="G1593">
        <v>15564720</v>
      </c>
    </row>
    <row r="1594" spans="5:7">
      <c r="E1594" s="2">
        <v>40717</v>
      </c>
      <c r="F1594">
        <v>20.547499999999999</v>
      </c>
      <c r="G1594">
        <v>17086136</v>
      </c>
    </row>
    <row r="1595" spans="5:7">
      <c r="E1595" s="2">
        <v>40716</v>
      </c>
      <c r="F1595">
        <v>20.487500000000001</v>
      </c>
      <c r="G1595">
        <v>18370784</v>
      </c>
    </row>
    <row r="1596" spans="5:7">
      <c r="E1596" s="2">
        <v>40715</v>
      </c>
      <c r="F1596">
        <v>21.127500000000001</v>
      </c>
      <c r="G1596">
        <v>9263512</v>
      </c>
    </row>
    <row r="1597" spans="5:7">
      <c r="E1597" s="2">
        <v>40714</v>
      </c>
      <c r="F1597">
        <v>20.807500000000001</v>
      </c>
      <c r="G1597">
        <v>9141076</v>
      </c>
    </row>
    <row r="1598" spans="5:7">
      <c r="E1598" s="2">
        <v>40711</v>
      </c>
      <c r="F1598">
        <v>20.2775</v>
      </c>
      <c r="G1598">
        <v>10494456</v>
      </c>
    </row>
    <row r="1599" spans="5:7">
      <c r="E1599" s="2">
        <v>40710</v>
      </c>
      <c r="F1599">
        <v>20.072500000000002</v>
      </c>
      <c r="G1599">
        <v>9092108</v>
      </c>
    </row>
    <row r="1600" spans="5:7">
      <c r="E1600" s="2">
        <v>40709</v>
      </c>
      <c r="F1600">
        <v>20.0975</v>
      </c>
      <c r="G1600">
        <v>11419112</v>
      </c>
    </row>
    <row r="1601" spans="5:7">
      <c r="E1601" s="2">
        <v>40708</v>
      </c>
      <c r="F1601">
        <v>20.56</v>
      </c>
      <c r="G1601">
        <v>11731916</v>
      </c>
    </row>
    <row r="1602" spans="5:7">
      <c r="E1602" s="2">
        <v>40707</v>
      </c>
      <c r="F1602">
        <v>20.127500000000001</v>
      </c>
      <c r="G1602">
        <v>10787872</v>
      </c>
    </row>
    <row r="1603" spans="5:7">
      <c r="E1603" s="2">
        <v>40704</v>
      </c>
      <c r="F1603">
        <v>19.914999999999999</v>
      </c>
      <c r="G1603">
        <v>9920016</v>
      </c>
    </row>
    <row r="1604" spans="5:7">
      <c r="E1604" s="2">
        <v>40703</v>
      </c>
      <c r="F1604">
        <v>20.1675</v>
      </c>
      <c r="G1604">
        <v>9539164</v>
      </c>
    </row>
    <row r="1605" spans="5:7">
      <c r="E1605" s="2">
        <v>40702</v>
      </c>
      <c r="F1605">
        <v>20.024999999999999</v>
      </c>
      <c r="G1605">
        <v>12223536</v>
      </c>
    </row>
    <row r="1606" spans="5:7">
      <c r="E1606" s="2">
        <v>40701</v>
      </c>
      <c r="F1606">
        <v>20.475000000000001</v>
      </c>
      <c r="G1606">
        <v>13809212</v>
      </c>
    </row>
    <row r="1607" spans="5:7">
      <c r="E1607" s="2">
        <v>40700</v>
      </c>
      <c r="F1607">
        <v>19.942499999999999</v>
      </c>
      <c r="G1607">
        <v>9093104</v>
      </c>
    </row>
    <row r="1608" spans="5:7">
      <c r="E1608" s="2">
        <v>40697</v>
      </c>
      <c r="F1608">
        <v>20.09</v>
      </c>
      <c r="G1608">
        <v>11259356</v>
      </c>
    </row>
    <row r="1609" spans="5:7">
      <c r="E1609" s="2">
        <v>40696</v>
      </c>
      <c r="F1609">
        <v>20.287500000000001</v>
      </c>
      <c r="G1609">
        <v>11829548</v>
      </c>
    </row>
    <row r="1610" spans="5:7">
      <c r="E1610" s="2">
        <v>40695</v>
      </c>
      <c r="F1610">
        <v>20.537500000000001</v>
      </c>
      <c r="G1610">
        <v>10125072</v>
      </c>
    </row>
    <row r="1611" spans="5:7">
      <c r="E1611" s="2">
        <v>40694</v>
      </c>
      <c r="F1611">
        <v>21.112500000000001</v>
      </c>
      <c r="G1611">
        <v>8879448</v>
      </c>
    </row>
    <row r="1612" spans="5:7">
      <c r="E1612" s="2">
        <v>40690</v>
      </c>
      <c r="F1612">
        <v>21.155000000000001</v>
      </c>
      <c r="G1612">
        <v>6079608</v>
      </c>
    </row>
    <row r="1613" spans="5:7">
      <c r="E1613" s="2">
        <v>40689</v>
      </c>
      <c r="F1613">
        <v>21.017499999999998</v>
      </c>
      <c r="G1613">
        <v>6762056</v>
      </c>
    </row>
    <row r="1614" spans="5:7">
      <c r="E1614" s="2">
        <v>40688</v>
      </c>
      <c r="F1614">
        <v>20.797499999999999</v>
      </c>
      <c r="G1614">
        <v>9230784</v>
      </c>
    </row>
    <row r="1615" spans="5:7">
      <c r="E1615" s="2">
        <v>40687</v>
      </c>
      <c r="F1615">
        <v>21.0825</v>
      </c>
      <c r="G1615">
        <v>5756332</v>
      </c>
    </row>
    <row r="1616" spans="5:7">
      <c r="E1616" s="2">
        <v>40686</v>
      </c>
      <c r="F1616">
        <v>20.905000000000001</v>
      </c>
      <c r="G1616">
        <v>9112468</v>
      </c>
    </row>
    <row r="1617" spans="5:7">
      <c r="E1617" s="2">
        <v>40683</v>
      </c>
      <c r="F1617">
        <v>21.262499999999999</v>
      </c>
      <c r="G1617">
        <v>10130724</v>
      </c>
    </row>
    <row r="1618" spans="5:7">
      <c r="E1618" s="2">
        <v>40682</v>
      </c>
      <c r="F1618">
        <v>21.5275</v>
      </c>
      <c r="G1618">
        <v>8239948</v>
      </c>
    </row>
    <row r="1619" spans="5:7">
      <c r="E1619" s="2">
        <v>40681</v>
      </c>
      <c r="F1619">
        <v>21.2075</v>
      </c>
      <c r="G1619">
        <v>9857864</v>
      </c>
    </row>
    <row r="1620" spans="5:7">
      <c r="E1620" s="2">
        <v>40680</v>
      </c>
      <c r="F1620">
        <v>21.2225</v>
      </c>
      <c r="G1620">
        <v>9972700</v>
      </c>
    </row>
    <row r="1621" spans="5:7">
      <c r="E1621" s="2">
        <v>40679</v>
      </c>
      <c r="F1621">
        <v>21.317499999999999</v>
      </c>
      <c r="G1621">
        <v>10656976</v>
      </c>
    </row>
    <row r="1622" spans="5:7">
      <c r="E1622" s="2">
        <v>40676</v>
      </c>
      <c r="F1622">
        <v>21.565000000000001</v>
      </c>
      <c r="G1622">
        <v>14449168</v>
      </c>
    </row>
    <row r="1623" spans="5:7">
      <c r="E1623" s="2">
        <v>40675</v>
      </c>
      <c r="F1623">
        <v>21.145</v>
      </c>
      <c r="G1623">
        <v>10241196</v>
      </c>
    </row>
    <row r="1624" spans="5:7">
      <c r="E1624" s="2">
        <v>40674</v>
      </c>
      <c r="F1624">
        <v>20.664999999999999</v>
      </c>
      <c r="G1624">
        <v>8601992</v>
      </c>
    </row>
    <row r="1625" spans="5:7">
      <c r="E1625" s="2">
        <v>40673</v>
      </c>
      <c r="F1625">
        <v>20.875</v>
      </c>
      <c r="G1625">
        <v>10405832</v>
      </c>
    </row>
    <row r="1626" spans="5:7">
      <c r="E1626" s="2">
        <v>40672</v>
      </c>
      <c r="F1626">
        <v>20.727499999999999</v>
      </c>
      <c r="G1626">
        <v>6537108</v>
      </c>
    </row>
    <row r="1627" spans="5:7">
      <c r="E1627" s="2">
        <v>40669</v>
      </c>
      <c r="F1627">
        <v>20.504999999999999</v>
      </c>
      <c r="G1627">
        <v>9624816</v>
      </c>
    </row>
    <row r="1628" spans="5:7">
      <c r="E1628" s="2">
        <v>40668</v>
      </c>
      <c r="F1628">
        <v>20.6525</v>
      </c>
      <c r="G1628">
        <v>9631588</v>
      </c>
    </row>
    <row r="1629" spans="5:7">
      <c r="E1629" s="2">
        <v>40667</v>
      </c>
      <c r="F1629">
        <v>20.697500000000002</v>
      </c>
      <c r="G1629">
        <v>11956004</v>
      </c>
    </row>
    <row r="1630" spans="5:7">
      <c r="E1630" s="2">
        <v>40666</v>
      </c>
      <c r="F1630">
        <v>20.414999999999999</v>
      </c>
      <c r="G1630">
        <v>8711100</v>
      </c>
    </row>
    <row r="1631" spans="5:7">
      <c r="E1631" s="2">
        <v>40665</v>
      </c>
      <c r="F1631">
        <v>20.56</v>
      </c>
      <c r="G1631">
        <v>12402744</v>
      </c>
    </row>
    <row r="1632" spans="5:7">
      <c r="E1632" s="2">
        <v>40662</v>
      </c>
      <c r="F1632">
        <v>20.58</v>
      </c>
      <c r="G1632">
        <v>8844632</v>
      </c>
    </row>
    <row r="1633" spans="5:7">
      <c r="E1633" s="2">
        <v>40661</v>
      </c>
      <c r="F1633">
        <v>20.642499999999998</v>
      </c>
      <c r="G1633">
        <v>10064096</v>
      </c>
    </row>
    <row r="1634" spans="5:7">
      <c r="E1634" s="2">
        <v>40660</v>
      </c>
      <c r="F1634">
        <v>20.28</v>
      </c>
      <c r="G1634">
        <v>9981280</v>
      </c>
    </row>
    <row r="1635" spans="5:7">
      <c r="E1635" s="2">
        <v>40659</v>
      </c>
      <c r="F1635">
        <v>19.989999999999998</v>
      </c>
      <c r="G1635">
        <v>7317880</v>
      </c>
    </row>
    <row r="1636" spans="5:7">
      <c r="E1636" s="2">
        <v>40658</v>
      </c>
      <c r="F1636">
        <v>20.0275</v>
      </c>
      <c r="G1636">
        <v>6976204</v>
      </c>
    </row>
    <row r="1637" spans="5:7">
      <c r="E1637" s="2">
        <v>40654</v>
      </c>
      <c r="F1637">
        <v>20.047499999999999</v>
      </c>
      <c r="G1637">
        <v>8706392</v>
      </c>
    </row>
    <row r="1638" spans="5:7">
      <c r="E1638" s="2">
        <v>40653</v>
      </c>
      <c r="F1638">
        <v>20.017499999999998</v>
      </c>
      <c r="G1638">
        <v>14865284</v>
      </c>
    </row>
    <row r="1639" spans="5:7">
      <c r="E1639" s="2">
        <v>40652</v>
      </c>
      <c r="F1639">
        <v>19.682500000000001</v>
      </c>
      <c r="G1639">
        <v>10803084</v>
      </c>
    </row>
    <row r="1640" spans="5:7">
      <c r="E1640" s="2">
        <v>40651</v>
      </c>
      <c r="F1640">
        <v>19.645</v>
      </c>
      <c r="G1640">
        <v>11543488</v>
      </c>
    </row>
    <row r="1641" spans="5:7">
      <c r="E1641" s="2">
        <v>40648</v>
      </c>
      <c r="F1641">
        <v>19.682500000000001</v>
      </c>
      <c r="G1641">
        <v>13746868</v>
      </c>
    </row>
    <row r="1642" spans="5:7">
      <c r="E1642" s="2">
        <v>40647</v>
      </c>
      <c r="F1642">
        <v>20.02</v>
      </c>
      <c r="G1642">
        <v>14087972</v>
      </c>
    </row>
    <row r="1643" spans="5:7">
      <c r="E1643" s="2">
        <v>40646</v>
      </c>
      <c r="F1643">
        <v>19.852499999999999</v>
      </c>
      <c r="G1643">
        <v>12069868</v>
      </c>
    </row>
    <row r="1644" spans="5:7">
      <c r="E1644" s="2">
        <v>40645</v>
      </c>
      <c r="F1644">
        <v>19.55</v>
      </c>
      <c r="G1644">
        <v>8850212</v>
      </c>
    </row>
    <row r="1645" spans="5:7">
      <c r="E1645" s="2">
        <v>40644</v>
      </c>
      <c r="F1645">
        <v>19.532499999999999</v>
      </c>
      <c r="G1645">
        <v>8329272</v>
      </c>
    </row>
    <row r="1646" spans="5:7">
      <c r="E1646" s="2">
        <v>40641</v>
      </c>
      <c r="F1646">
        <v>19.3475</v>
      </c>
      <c r="G1646">
        <v>10769880</v>
      </c>
    </row>
    <row r="1647" spans="5:7">
      <c r="E1647" s="2">
        <v>40640</v>
      </c>
      <c r="F1647">
        <v>19.522500000000001</v>
      </c>
      <c r="G1647">
        <v>14823060</v>
      </c>
    </row>
    <row r="1648" spans="5:7">
      <c r="E1648" s="2">
        <v>40639</v>
      </c>
      <c r="F1648">
        <v>19.6675</v>
      </c>
      <c r="G1648">
        <v>15684332</v>
      </c>
    </row>
    <row r="1649" spans="5:7">
      <c r="E1649" s="2">
        <v>40638</v>
      </c>
      <c r="F1649">
        <v>19.482500000000002</v>
      </c>
      <c r="G1649">
        <v>12783560</v>
      </c>
    </row>
    <row r="1650" spans="5:7">
      <c r="E1650" s="2">
        <v>40637</v>
      </c>
      <c r="F1650">
        <v>19.352499999999999</v>
      </c>
      <c r="G1650">
        <v>9965348</v>
      </c>
    </row>
    <row r="1651" spans="5:7">
      <c r="E1651" s="2">
        <v>40634</v>
      </c>
      <c r="F1651">
        <v>19.1325</v>
      </c>
      <c r="G1651">
        <v>12892640</v>
      </c>
    </row>
    <row r="1652" spans="5:7">
      <c r="E1652" s="2">
        <v>40633</v>
      </c>
      <c r="F1652">
        <v>18.925000000000001</v>
      </c>
      <c r="G1652">
        <v>13097536</v>
      </c>
    </row>
    <row r="1653" spans="5:7">
      <c r="E1653" s="2">
        <v>40632</v>
      </c>
      <c r="F1653">
        <v>19.1875</v>
      </c>
      <c r="G1653">
        <v>9911232</v>
      </c>
    </row>
    <row r="1654" spans="5:7">
      <c r="E1654" s="2">
        <v>40631</v>
      </c>
      <c r="F1654">
        <v>19.09</v>
      </c>
      <c r="G1654">
        <v>15672428</v>
      </c>
    </row>
    <row r="1655" spans="5:7">
      <c r="E1655" s="2">
        <v>40630</v>
      </c>
      <c r="F1655">
        <v>18.9725</v>
      </c>
      <c r="G1655">
        <v>14793844</v>
      </c>
    </row>
    <row r="1656" spans="5:7">
      <c r="E1656" s="2">
        <v>40627</v>
      </c>
      <c r="F1656">
        <v>19.164999999999999</v>
      </c>
      <c r="G1656">
        <v>18833780</v>
      </c>
    </row>
    <row r="1657" spans="5:7">
      <c r="E1657" s="2">
        <v>40626</v>
      </c>
      <c r="F1657">
        <v>19.182500000000001</v>
      </c>
      <c r="G1657">
        <v>17726860</v>
      </c>
    </row>
    <row r="1658" spans="5:7">
      <c r="E1658" s="2">
        <v>40625</v>
      </c>
      <c r="F1658">
        <v>19.305</v>
      </c>
      <c r="G1658">
        <v>48562352</v>
      </c>
    </row>
    <row r="1659" spans="5:7">
      <c r="E1659" s="2">
        <v>40624</v>
      </c>
      <c r="F1659">
        <v>18.862500000000001</v>
      </c>
      <c r="G1659">
        <v>36628512</v>
      </c>
    </row>
    <row r="1660" spans="5:7">
      <c r="E1660" s="2">
        <v>40623</v>
      </c>
      <c r="F1660">
        <v>19.21</v>
      </c>
      <c r="G1660">
        <v>23426168</v>
      </c>
    </row>
    <row r="1661" spans="5:7">
      <c r="E1661" s="2">
        <v>40620</v>
      </c>
      <c r="F1661">
        <v>19.397500000000001</v>
      </c>
      <c r="G1661">
        <v>78895512</v>
      </c>
    </row>
    <row r="1662" spans="5:7">
      <c r="E1662" s="2">
        <v>40619</v>
      </c>
      <c r="F1662">
        <v>21.352499999999999</v>
      </c>
      <c r="G1662">
        <v>13822396</v>
      </c>
    </row>
    <row r="1663" spans="5:7">
      <c r="E1663" s="2">
        <v>40618</v>
      </c>
      <c r="F1663">
        <v>21.204999999999998</v>
      </c>
      <c r="G1663">
        <v>10024904</v>
      </c>
    </row>
    <row r="1664" spans="5:7">
      <c r="E1664" s="2">
        <v>40617</v>
      </c>
      <c r="F1664">
        <v>21.3325</v>
      </c>
      <c r="G1664">
        <v>9891472</v>
      </c>
    </row>
    <row r="1665" spans="5:7">
      <c r="E1665" s="2">
        <v>40616</v>
      </c>
      <c r="F1665">
        <v>21.552499999999998</v>
      </c>
      <c r="G1665">
        <v>10236264</v>
      </c>
    </row>
    <row r="1666" spans="5:7">
      <c r="E1666" s="2">
        <v>40613</v>
      </c>
      <c r="F1666">
        <v>21.7925</v>
      </c>
      <c r="G1666">
        <v>14917448</v>
      </c>
    </row>
    <row r="1667" spans="5:7">
      <c r="E1667" s="2">
        <v>40612</v>
      </c>
      <c r="F1667">
        <v>22.045000000000002</v>
      </c>
      <c r="G1667">
        <v>9078780</v>
      </c>
    </row>
    <row r="1668" spans="5:7">
      <c r="E1668" s="2">
        <v>40611</v>
      </c>
      <c r="F1668">
        <v>22.237500000000001</v>
      </c>
      <c r="G1668">
        <v>9950540</v>
      </c>
    </row>
    <row r="1669" spans="5:7">
      <c r="E1669" s="2">
        <v>40610</v>
      </c>
      <c r="F1669">
        <v>22.297499999999999</v>
      </c>
      <c r="G1669">
        <v>9622200</v>
      </c>
    </row>
    <row r="1670" spans="5:7">
      <c r="E1670" s="2">
        <v>40609</v>
      </c>
      <c r="F1670">
        <v>22.23</v>
      </c>
      <c r="G1670">
        <v>16266568</v>
      </c>
    </row>
    <row r="1671" spans="5:7">
      <c r="E1671" s="2">
        <v>40606</v>
      </c>
      <c r="F1671">
        <v>22.47</v>
      </c>
      <c r="G1671">
        <v>10181640</v>
      </c>
    </row>
    <row r="1672" spans="5:7">
      <c r="E1672" s="2">
        <v>40605</v>
      </c>
      <c r="F1672">
        <v>22.46</v>
      </c>
      <c r="G1672">
        <v>10421336</v>
      </c>
    </row>
    <row r="1673" spans="5:7">
      <c r="E1673" s="2">
        <v>40604</v>
      </c>
      <c r="F1673">
        <v>22.0825</v>
      </c>
      <c r="G1673">
        <v>9465400</v>
      </c>
    </row>
    <row r="1674" spans="5:7">
      <c r="E1674" s="2">
        <v>40603</v>
      </c>
      <c r="F1674">
        <v>21.925000000000001</v>
      </c>
      <c r="G1674">
        <v>13718520</v>
      </c>
    </row>
    <row r="1675" spans="5:7">
      <c r="E1675" s="2">
        <v>40602</v>
      </c>
      <c r="F1675">
        <v>22.2575</v>
      </c>
      <c r="G1675">
        <v>10353108</v>
      </c>
    </row>
    <row r="1676" spans="5:7">
      <c r="E1676" s="2">
        <v>40599</v>
      </c>
      <c r="F1676">
        <v>21.995000000000001</v>
      </c>
      <c r="G1676">
        <v>8998608</v>
      </c>
    </row>
    <row r="1677" spans="5:7">
      <c r="E1677" s="2">
        <v>40598</v>
      </c>
      <c r="F1677">
        <v>21.63</v>
      </c>
      <c r="G1677">
        <v>8765448</v>
      </c>
    </row>
    <row r="1678" spans="5:7">
      <c r="E1678" s="2">
        <v>40597</v>
      </c>
      <c r="F1678">
        <v>21.547499999999999</v>
      </c>
      <c r="G1678">
        <v>11854404</v>
      </c>
    </row>
    <row r="1679" spans="5:7">
      <c r="E1679" s="2">
        <v>40596</v>
      </c>
      <c r="F1679">
        <v>21.807500000000001</v>
      </c>
      <c r="G1679">
        <v>10979084</v>
      </c>
    </row>
    <row r="1680" spans="5:7">
      <c r="E1680" s="2">
        <v>40592</v>
      </c>
      <c r="F1680">
        <v>22.204999999999998</v>
      </c>
      <c r="G1680">
        <v>14709356</v>
      </c>
    </row>
    <row r="1681" spans="5:7">
      <c r="E1681" s="2">
        <v>40591</v>
      </c>
      <c r="F1681">
        <v>21.51</v>
      </c>
      <c r="G1681">
        <v>11937460</v>
      </c>
    </row>
    <row r="1682" spans="5:7">
      <c r="E1682" s="2">
        <v>40590</v>
      </c>
      <c r="F1682">
        <v>21.4375</v>
      </c>
      <c r="G1682">
        <v>8909068</v>
      </c>
    </row>
    <row r="1683" spans="5:7">
      <c r="E1683" s="2">
        <v>40589</v>
      </c>
      <c r="F1683">
        <v>21.387499999999999</v>
      </c>
      <c r="G1683">
        <v>8109788</v>
      </c>
    </row>
    <row r="1684" spans="5:7">
      <c r="E1684" s="2">
        <v>40588</v>
      </c>
      <c r="F1684">
        <v>21.442499999999999</v>
      </c>
      <c r="G1684">
        <v>7376296</v>
      </c>
    </row>
    <row r="1685" spans="5:7">
      <c r="E1685" s="2">
        <v>40585</v>
      </c>
      <c r="F1685">
        <v>21.552499999999998</v>
      </c>
      <c r="G1685">
        <v>7393008</v>
      </c>
    </row>
    <row r="1686" spans="5:7">
      <c r="E1686" s="2">
        <v>40584</v>
      </c>
      <c r="F1686">
        <v>21.697500000000002</v>
      </c>
      <c r="G1686">
        <v>6752616</v>
      </c>
    </row>
    <row r="1687" spans="5:7">
      <c r="E1687" s="2">
        <v>40583</v>
      </c>
      <c r="F1687">
        <v>21.8125</v>
      </c>
      <c r="G1687">
        <v>8368908</v>
      </c>
    </row>
    <row r="1688" spans="5:7">
      <c r="E1688" s="2">
        <v>40582</v>
      </c>
      <c r="F1688">
        <v>21.677499999999998</v>
      </c>
      <c r="G1688">
        <v>6837056</v>
      </c>
    </row>
    <row r="1689" spans="5:7">
      <c r="E1689" s="2">
        <v>40581</v>
      </c>
      <c r="F1689">
        <v>21.625</v>
      </c>
      <c r="G1689">
        <v>8380928</v>
      </c>
    </row>
    <row r="1690" spans="5:7">
      <c r="E1690" s="2">
        <v>40578</v>
      </c>
      <c r="F1690">
        <v>21.434999999999999</v>
      </c>
      <c r="G1690">
        <v>9636664</v>
      </c>
    </row>
    <row r="1691" spans="5:7">
      <c r="E1691" s="2">
        <v>40577</v>
      </c>
      <c r="F1691">
        <v>20.95</v>
      </c>
      <c r="G1691">
        <v>10352408</v>
      </c>
    </row>
    <row r="1692" spans="5:7">
      <c r="E1692" s="2">
        <v>40576</v>
      </c>
      <c r="F1692">
        <v>20.977499999999999</v>
      </c>
      <c r="G1692">
        <v>7764748</v>
      </c>
    </row>
    <row r="1693" spans="5:7">
      <c r="E1693" s="2">
        <v>40575</v>
      </c>
      <c r="F1693">
        <v>20.887499999999999</v>
      </c>
      <c r="G1693">
        <v>9705508</v>
      </c>
    </row>
    <row r="1694" spans="5:7">
      <c r="E1694" s="2">
        <v>40574</v>
      </c>
      <c r="F1694">
        <v>20.62</v>
      </c>
      <c r="G1694">
        <v>7680904</v>
      </c>
    </row>
    <row r="1695" spans="5:7">
      <c r="E1695" s="2">
        <v>40571</v>
      </c>
      <c r="F1695">
        <v>20.364999999999998</v>
      </c>
      <c r="G1695">
        <v>8968216</v>
      </c>
    </row>
    <row r="1696" spans="5:7">
      <c r="E1696" s="2">
        <v>40570</v>
      </c>
      <c r="F1696">
        <v>20.692499999999999</v>
      </c>
      <c r="G1696">
        <v>9769972</v>
      </c>
    </row>
    <row r="1697" spans="5:7">
      <c r="E1697" s="2">
        <v>40569</v>
      </c>
      <c r="F1697">
        <v>21</v>
      </c>
      <c r="G1697">
        <v>10357656</v>
      </c>
    </row>
    <row r="1698" spans="5:7">
      <c r="E1698" s="2">
        <v>40568</v>
      </c>
      <c r="F1698">
        <v>20.72</v>
      </c>
      <c r="G1698">
        <v>7434232</v>
      </c>
    </row>
    <row r="1699" spans="5:7">
      <c r="E1699" s="2">
        <v>40567</v>
      </c>
      <c r="F1699">
        <v>20.664999999999999</v>
      </c>
      <c r="G1699">
        <v>8115892</v>
      </c>
    </row>
    <row r="1700" spans="5:7">
      <c r="E1700" s="2">
        <v>40564</v>
      </c>
      <c r="F1700">
        <v>20.574999999999999</v>
      </c>
      <c r="G1700">
        <v>7430688</v>
      </c>
    </row>
    <row r="1701" spans="5:7">
      <c r="E1701" s="2">
        <v>40563</v>
      </c>
      <c r="F1701">
        <v>20.767499999999998</v>
      </c>
      <c r="G1701">
        <v>9431224</v>
      </c>
    </row>
    <row r="1702" spans="5:7">
      <c r="E1702" s="2">
        <v>40562</v>
      </c>
      <c r="F1702">
        <v>20.914999999999999</v>
      </c>
      <c r="G1702">
        <v>10901220</v>
      </c>
    </row>
    <row r="1703" spans="5:7">
      <c r="E1703" s="2">
        <v>40561</v>
      </c>
      <c r="F1703">
        <v>21.015000000000001</v>
      </c>
      <c r="G1703">
        <v>9024784</v>
      </c>
    </row>
    <row r="1704" spans="5:7">
      <c r="E1704" s="2">
        <v>40557</v>
      </c>
      <c r="F1704">
        <v>21.017499999999998</v>
      </c>
      <c r="G1704">
        <v>8390936</v>
      </c>
    </row>
    <row r="1705" spans="5:7">
      <c r="E1705" s="2">
        <v>40556</v>
      </c>
      <c r="F1705">
        <v>20.64</v>
      </c>
      <c r="G1705">
        <v>9774456</v>
      </c>
    </row>
    <row r="1706" spans="5:7">
      <c r="E1706" s="2">
        <v>40555</v>
      </c>
      <c r="F1706">
        <v>20.932500000000001</v>
      </c>
      <c r="G1706">
        <v>9653760</v>
      </c>
    </row>
    <row r="1707" spans="5:7">
      <c r="E1707" s="2">
        <v>40554</v>
      </c>
      <c r="F1707">
        <v>21.004999999999999</v>
      </c>
      <c r="G1707">
        <v>5563388</v>
      </c>
    </row>
    <row r="1708" spans="5:7">
      <c r="E1708" s="2">
        <v>40553</v>
      </c>
      <c r="F1708">
        <v>21.0425</v>
      </c>
      <c r="G1708">
        <v>8914640</v>
      </c>
    </row>
    <row r="1709" spans="5:7">
      <c r="E1709" s="2">
        <v>40550</v>
      </c>
      <c r="F1709">
        <v>20.8825</v>
      </c>
      <c r="G1709">
        <v>8174496</v>
      </c>
    </row>
    <row r="1710" spans="5:7">
      <c r="E1710" s="2">
        <v>40549</v>
      </c>
      <c r="F1710">
        <v>20.94</v>
      </c>
      <c r="G1710">
        <v>8057252</v>
      </c>
    </row>
    <row r="1711" spans="5:7">
      <c r="E1711" s="2">
        <v>40548</v>
      </c>
      <c r="F1711">
        <v>21.13</v>
      </c>
      <c r="G1711">
        <v>11599180</v>
      </c>
    </row>
    <row r="1712" spans="5:7">
      <c r="E1712" s="2">
        <v>40547</v>
      </c>
      <c r="F1712">
        <v>20.9925</v>
      </c>
      <c r="G1712">
        <v>13797676</v>
      </c>
    </row>
    <row r="1713" spans="5:7">
      <c r="E1713" s="2">
        <v>40546</v>
      </c>
      <c r="F1713">
        <v>21.522500000000001</v>
      </c>
      <c r="G1713">
        <v>8566436</v>
      </c>
    </row>
    <row r="1714" spans="5:7">
      <c r="E1714" s="2">
        <v>40543</v>
      </c>
      <c r="F1714">
        <v>21.355</v>
      </c>
      <c r="G1714">
        <v>5796312</v>
      </c>
    </row>
    <row r="1715" spans="5:7">
      <c r="E1715" s="2">
        <v>40542</v>
      </c>
      <c r="F1715">
        <v>21.44</v>
      </c>
      <c r="G1715">
        <v>5910240</v>
      </c>
    </row>
    <row r="1716" spans="5:7">
      <c r="E1716" s="2">
        <v>40541</v>
      </c>
      <c r="F1716">
        <v>21.317499999999999</v>
      </c>
      <c r="G1716">
        <v>6960520</v>
      </c>
    </row>
    <row r="1717" spans="5:7">
      <c r="E1717" s="2">
        <v>40540</v>
      </c>
      <c r="F1717">
        <v>21.5825</v>
      </c>
      <c r="G1717">
        <v>8459616</v>
      </c>
    </row>
    <row r="1718" spans="5:7">
      <c r="E1718" s="2">
        <v>40539</v>
      </c>
      <c r="F1718">
        <v>21.4575</v>
      </c>
      <c r="G1718">
        <v>6373632</v>
      </c>
    </row>
    <row r="1719" spans="5:7">
      <c r="E1719" s="2">
        <v>40535</v>
      </c>
      <c r="F1719">
        <v>21.512499999999999</v>
      </c>
      <c r="G1719">
        <v>13773036</v>
      </c>
    </row>
    <row r="1720" spans="5:7">
      <c r="E1720" s="2">
        <v>40534</v>
      </c>
      <c r="F1720">
        <v>21.737500000000001</v>
      </c>
      <c r="G1720">
        <v>33224016</v>
      </c>
    </row>
    <row r="1721" spans="5:7">
      <c r="E1721" s="2">
        <v>40533</v>
      </c>
      <c r="F1721">
        <v>23.074999999999999</v>
      </c>
      <c r="G1721">
        <v>25000024</v>
      </c>
    </row>
    <row r="1722" spans="5:7">
      <c r="E1722" s="2">
        <v>40532</v>
      </c>
      <c r="F1722">
        <v>22.567499999999999</v>
      </c>
      <c r="G1722">
        <v>8693188</v>
      </c>
    </row>
    <row r="1723" spans="5:7">
      <c r="E1723" s="2">
        <v>40529</v>
      </c>
      <c r="F1723">
        <v>22.512499999999999</v>
      </c>
      <c r="G1723">
        <v>11552772</v>
      </c>
    </row>
    <row r="1724" spans="5:7">
      <c r="E1724" s="2">
        <v>40528</v>
      </c>
      <c r="F1724">
        <v>22.307500000000001</v>
      </c>
      <c r="G1724">
        <v>7224480</v>
      </c>
    </row>
    <row r="1725" spans="5:7">
      <c r="E1725" s="2">
        <v>40527</v>
      </c>
      <c r="F1725">
        <v>22.145</v>
      </c>
      <c r="G1725">
        <v>7001172</v>
      </c>
    </row>
    <row r="1726" spans="5:7">
      <c r="E1726" s="2">
        <v>40526</v>
      </c>
      <c r="F1726">
        <v>22.32</v>
      </c>
      <c r="G1726">
        <v>7559132</v>
      </c>
    </row>
    <row r="1727" spans="5:7">
      <c r="E1727" s="2">
        <v>40525</v>
      </c>
      <c r="F1727">
        <v>22.307500000000001</v>
      </c>
      <c r="G1727">
        <v>12956720</v>
      </c>
    </row>
    <row r="1728" spans="5:7">
      <c r="E1728" s="2">
        <v>40522</v>
      </c>
      <c r="F1728">
        <v>21.95</v>
      </c>
      <c r="G1728">
        <v>5095292</v>
      </c>
    </row>
    <row r="1729" spans="5:7">
      <c r="E1729" s="2">
        <v>40521</v>
      </c>
      <c r="F1729">
        <v>21.8675</v>
      </c>
      <c r="G1729">
        <v>6420504</v>
      </c>
    </row>
    <row r="1730" spans="5:7">
      <c r="E1730" s="2">
        <v>40520</v>
      </c>
      <c r="F1730">
        <v>21.83</v>
      </c>
      <c r="G1730">
        <v>5463128</v>
      </c>
    </row>
    <row r="1731" spans="5:7">
      <c r="E1731" s="2">
        <v>40519</v>
      </c>
      <c r="F1731">
        <v>21.797499999999999</v>
      </c>
      <c r="G1731">
        <v>7687160</v>
      </c>
    </row>
    <row r="1732" spans="5:7">
      <c r="E1732" s="2">
        <v>40518</v>
      </c>
      <c r="F1732">
        <v>21.932500000000001</v>
      </c>
      <c r="G1732">
        <v>4806580</v>
      </c>
    </row>
    <row r="1733" spans="5:7">
      <c r="E1733" s="2">
        <v>40515</v>
      </c>
      <c r="F1733">
        <v>21.8825</v>
      </c>
      <c r="G1733">
        <v>8116632</v>
      </c>
    </row>
    <row r="1734" spans="5:7">
      <c r="E1734" s="2">
        <v>40514</v>
      </c>
      <c r="F1734">
        <v>21.9575</v>
      </c>
      <c r="G1734">
        <v>6449424</v>
      </c>
    </row>
    <row r="1735" spans="5:7">
      <c r="E1735" s="2">
        <v>40513</v>
      </c>
      <c r="F1735">
        <v>21.91</v>
      </c>
      <c r="G1735">
        <v>7963632</v>
      </c>
    </row>
    <row r="1736" spans="5:7">
      <c r="E1736" s="2">
        <v>40512</v>
      </c>
      <c r="F1736">
        <v>21.532499999999999</v>
      </c>
      <c r="G1736">
        <v>13166128</v>
      </c>
    </row>
    <row r="1737" spans="5:7">
      <c r="E1737" s="2">
        <v>40511</v>
      </c>
      <c r="F1737">
        <v>21.29</v>
      </c>
      <c r="G1737">
        <v>9700564</v>
      </c>
    </row>
    <row r="1738" spans="5:7">
      <c r="E1738" s="2">
        <v>40508</v>
      </c>
      <c r="F1738">
        <v>21.49</v>
      </c>
      <c r="G1738">
        <v>4050520</v>
      </c>
    </row>
    <row r="1739" spans="5:7">
      <c r="E1739" s="2">
        <v>40506</v>
      </c>
      <c r="F1739">
        <v>21.6325</v>
      </c>
      <c r="G1739">
        <v>8905644</v>
      </c>
    </row>
    <row r="1740" spans="5:7">
      <c r="E1740" s="2">
        <v>40505</v>
      </c>
      <c r="F1740">
        <v>21.315000000000001</v>
      </c>
      <c r="G1740">
        <v>6632316</v>
      </c>
    </row>
    <row r="1741" spans="5:7">
      <c r="E1741" s="2">
        <v>40504</v>
      </c>
      <c r="F1741">
        <v>21.48</v>
      </c>
      <c r="G1741">
        <v>7275980</v>
      </c>
    </row>
    <row r="1742" spans="5:7">
      <c r="E1742" s="2">
        <v>40501</v>
      </c>
      <c r="F1742">
        <v>21.452500000000001</v>
      </c>
      <c r="G1742">
        <v>19276988</v>
      </c>
    </row>
    <row r="1743" spans="5:7">
      <c r="E1743" s="2">
        <v>40500</v>
      </c>
      <c r="F1743">
        <v>20.6175</v>
      </c>
      <c r="G1743">
        <v>8432268</v>
      </c>
    </row>
    <row r="1744" spans="5:7">
      <c r="E1744" s="2">
        <v>40499</v>
      </c>
      <c r="F1744">
        <v>20.3475</v>
      </c>
      <c r="G1744">
        <v>10762332</v>
      </c>
    </row>
    <row r="1745" spans="5:7">
      <c r="E1745" s="2">
        <v>40498</v>
      </c>
      <c r="F1745">
        <v>20.127500000000001</v>
      </c>
      <c r="G1745">
        <v>12930848</v>
      </c>
    </row>
    <row r="1746" spans="5:7">
      <c r="E1746" s="2">
        <v>40497</v>
      </c>
      <c r="F1746">
        <v>20.45</v>
      </c>
      <c r="G1746">
        <v>7975712</v>
      </c>
    </row>
    <row r="1747" spans="5:7">
      <c r="E1747" s="2">
        <v>40494</v>
      </c>
      <c r="F1747">
        <v>20.655000000000001</v>
      </c>
      <c r="G1747">
        <v>7630544</v>
      </c>
    </row>
    <row r="1748" spans="5:7">
      <c r="E1748" s="2">
        <v>40493</v>
      </c>
      <c r="F1748">
        <v>20.9175</v>
      </c>
      <c r="G1748">
        <v>6689632</v>
      </c>
    </row>
    <row r="1749" spans="5:7">
      <c r="E1749" s="2">
        <v>40492</v>
      </c>
      <c r="F1749">
        <v>20.97</v>
      </c>
      <c r="G1749">
        <v>8811488</v>
      </c>
    </row>
    <row r="1750" spans="5:7">
      <c r="E1750" s="2">
        <v>40491</v>
      </c>
      <c r="F1750">
        <v>20.8</v>
      </c>
      <c r="G1750">
        <v>9705504</v>
      </c>
    </row>
    <row r="1751" spans="5:7">
      <c r="E1751" s="2">
        <v>40490</v>
      </c>
      <c r="F1751">
        <v>20.9025</v>
      </c>
      <c r="G1751">
        <v>7300400</v>
      </c>
    </row>
    <row r="1752" spans="5:7">
      <c r="E1752" s="2">
        <v>40487</v>
      </c>
      <c r="F1752">
        <v>21.0275</v>
      </c>
      <c r="G1752">
        <v>9039088</v>
      </c>
    </row>
    <row r="1753" spans="5:7">
      <c r="E1753" s="2">
        <v>40486</v>
      </c>
      <c r="F1753">
        <v>20.852499999999999</v>
      </c>
      <c r="G1753">
        <v>9876144</v>
      </c>
    </row>
    <row r="1754" spans="5:7">
      <c r="E1754" s="2">
        <v>40485</v>
      </c>
      <c r="F1754">
        <v>20.4575</v>
      </c>
      <c r="G1754">
        <v>7029580</v>
      </c>
    </row>
    <row r="1755" spans="5:7">
      <c r="E1755" s="2">
        <v>40484</v>
      </c>
      <c r="F1755">
        <v>20.4375</v>
      </c>
      <c r="G1755">
        <v>7117996</v>
      </c>
    </row>
    <row r="1756" spans="5:7">
      <c r="E1756" s="2">
        <v>40483</v>
      </c>
      <c r="F1756">
        <v>20.274999999999999</v>
      </c>
      <c r="G1756">
        <v>7583424</v>
      </c>
    </row>
    <row r="1757" spans="5:7">
      <c r="E1757" s="2">
        <v>40480</v>
      </c>
      <c r="F1757">
        <v>20.36</v>
      </c>
      <c r="G1757">
        <v>8051780</v>
      </c>
    </row>
    <row r="1758" spans="5:7">
      <c r="E1758" s="2">
        <v>40479</v>
      </c>
      <c r="F1758">
        <v>20.2775</v>
      </c>
      <c r="G1758">
        <v>6505708</v>
      </c>
    </row>
    <row r="1759" spans="5:7">
      <c r="E1759" s="2">
        <v>40478</v>
      </c>
      <c r="F1759">
        <v>20.2575</v>
      </c>
      <c r="G1759">
        <v>8974292</v>
      </c>
    </row>
    <row r="1760" spans="5:7">
      <c r="E1760" s="2">
        <v>40477</v>
      </c>
      <c r="F1760">
        <v>20.454999999999998</v>
      </c>
      <c r="G1760">
        <v>10289868</v>
      </c>
    </row>
    <row r="1761" spans="5:7">
      <c r="E1761" s="2">
        <v>40476</v>
      </c>
      <c r="F1761">
        <v>20.512499999999999</v>
      </c>
      <c r="G1761">
        <v>8883144</v>
      </c>
    </row>
    <row r="1762" spans="5:7">
      <c r="E1762" s="2">
        <v>40473</v>
      </c>
      <c r="F1762">
        <v>20.48</v>
      </c>
      <c r="G1762">
        <v>4240536</v>
      </c>
    </row>
    <row r="1763" spans="5:7">
      <c r="E1763" s="2">
        <v>40472</v>
      </c>
      <c r="F1763">
        <v>20.5275</v>
      </c>
      <c r="G1763">
        <v>11593464</v>
      </c>
    </row>
    <row r="1764" spans="5:7">
      <c r="E1764" s="2">
        <v>40471</v>
      </c>
      <c r="F1764">
        <v>20.309999999999999</v>
      </c>
      <c r="G1764">
        <v>7533368</v>
      </c>
    </row>
    <row r="1765" spans="5:7">
      <c r="E1765" s="2">
        <v>40470</v>
      </c>
      <c r="F1765">
        <v>20.182500000000001</v>
      </c>
      <c r="G1765">
        <v>10816524</v>
      </c>
    </row>
    <row r="1766" spans="5:7">
      <c r="E1766" s="2">
        <v>40469</v>
      </c>
      <c r="F1766">
        <v>20.414999999999999</v>
      </c>
      <c r="G1766">
        <v>6297748</v>
      </c>
    </row>
    <row r="1767" spans="5:7">
      <c r="E1767" s="2">
        <v>40466</v>
      </c>
      <c r="F1767">
        <v>20.5</v>
      </c>
      <c r="G1767">
        <v>8277124</v>
      </c>
    </row>
    <row r="1768" spans="5:7">
      <c r="E1768" s="2">
        <v>40465</v>
      </c>
      <c r="F1768">
        <v>20.442499999999999</v>
      </c>
      <c r="G1768">
        <v>9410284</v>
      </c>
    </row>
    <row r="1769" spans="5:7">
      <c r="E1769" s="2">
        <v>40464</v>
      </c>
      <c r="F1769">
        <v>20.504999999999999</v>
      </c>
      <c r="G1769">
        <v>10490872</v>
      </c>
    </row>
    <row r="1770" spans="5:7">
      <c r="E1770" s="2">
        <v>40463</v>
      </c>
      <c r="F1770">
        <v>20.4725</v>
      </c>
      <c r="G1770">
        <v>22497348</v>
      </c>
    </row>
    <row r="1771" spans="5:7">
      <c r="E1771" s="2">
        <v>40462</v>
      </c>
      <c r="F1771">
        <v>20.495000000000001</v>
      </c>
      <c r="G1771">
        <v>9902968</v>
      </c>
    </row>
    <row r="1772" spans="5:7">
      <c r="E1772" s="2">
        <v>40459</v>
      </c>
      <c r="F1772">
        <v>20.51</v>
      </c>
      <c r="G1772">
        <v>19038520</v>
      </c>
    </row>
    <row r="1773" spans="5:7">
      <c r="E1773" s="2">
        <v>40458</v>
      </c>
      <c r="F1773">
        <v>20.247499999999999</v>
      </c>
      <c r="G1773">
        <v>12183660</v>
      </c>
    </row>
    <row r="1774" spans="5:7">
      <c r="E1774" s="2">
        <v>40457</v>
      </c>
      <c r="F1774">
        <v>20.327500000000001</v>
      </c>
      <c r="G1774">
        <v>9634608</v>
      </c>
    </row>
    <row r="1775" spans="5:7">
      <c r="E1775" s="2">
        <v>40456</v>
      </c>
      <c r="F1775">
        <v>20.324999999999999</v>
      </c>
      <c r="G1775">
        <v>13471228</v>
      </c>
    </row>
    <row r="1776" spans="5:7">
      <c r="E1776" s="2">
        <v>40455</v>
      </c>
      <c r="F1776">
        <v>19.97</v>
      </c>
      <c r="G1776">
        <v>10353220</v>
      </c>
    </row>
    <row r="1777" spans="5:7">
      <c r="E1777" s="2">
        <v>40452</v>
      </c>
      <c r="F1777">
        <v>20.0625</v>
      </c>
      <c r="G1777">
        <v>14170220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X52"/>
  <sheetViews>
    <sheetView showGridLines="0" zoomScaleNormal="100" workbookViewId="0">
      <pane ySplit="3" topLeftCell="A4" activePane="bottomLeft" state="frozen"/>
      <selection activeCell="F28" activeCellId="1" sqref="H23 F28"/>
      <selection pane="bottomLeft" activeCell="K7" sqref="K7"/>
    </sheetView>
  </sheetViews>
  <sheetFormatPr baseColWidth="10" defaultColWidth="8.83203125" defaultRowHeight="15"/>
  <cols>
    <col min="1" max="1" width="31.5" style="360" customWidth="1"/>
    <col min="2" max="6" width="13.1640625" style="360" customWidth="1"/>
    <col min="7" max="7" width="2.83203125" style="359" customWidth="1"/>
    <col min="8" max="8" width="32.1640625" style="360" customWidth="1"/>
    <col min="9" max="13" width="13.1640625" style="360" customWidth="1"/>
    <col min="14" max="14" width="11.1640625" style="360" customWidth="1"/>
    <col min="15" max="18" width="12.1640625" style="360" bestFit="1" customWidth="1"/>
    <col min="19" max="16384" width="8.83203125" style="360"/>
  </cols>
  <sheetData>
    <row r="1" spans="1:24" ht="30" customHeight="1">
      <c r="A1" s="357"/>
      <c r="B1" s="357"/>
      <c r="C1" s="357"/>
      <c r="D1" s="357"/>
      <c r="E1" s="358"/>
      <c r="F1" s="358"/>
      <c r="G1" s="358"/>
    </row>
    <row r="2" spans="1:24" ht="21.5" customHeight="1">
      <c r="A2" s="361" t="s">
        <v>296</v>
      </c>
      <c r="B2" s="362"/>
      <c r="C2" s="362"/>
      <c r="D2" s="362"/>
      <c r="E2" s="358"/>
      <c r="F2" s="358"/>
      <c r="H2" s="358"/>
      <c r="I2" s="358"/>
      <c r="J2" s="358"/>
      <c r="K2" s="358"/>
      <c r="L2" s="358"/>
      <c r="M2" s="358"/>
      <c r="N2" s="358"/>
    </row>
    <row r="3" spans="1:24">
      <c r="A3" s="363"/>
      <c r="B3" s="363"/>
      <c r="C3" s="363"/>
      <c r="D3" s="363"/>
      <c r="E3" s="358"/>
      <c r="F3" s="358"/>
      <c r="H3" s="358"/>
      <c r="I3" s="358"/>
      <c r="J3" s="358"/>
      <c r="K3" s="358"/>
      <c r="L3" s="358"/>
      <c r="M3" s="358"/>
      <c r="N3" s="358"/>
      <c r="O3" s="364"/>
      <c r="P3" s="364"/>
      <c r="Q3" s="364"/>
      <c r="R3" s="364"/>
      <c r="S3" s="364"/>
      <c r="T3" s="364"/>
      <c r="U3" s="364"/>
      <c r="V3" s="364"/>
      <c r="W3" s="364"/>
    </row>
    <row r="4" spans="1:24" s="359" customFormat="1" ht="16" thickBot="1">
      <c r="A4" s="365" t="s">
        <v>317</v>
      </c>
      <c r="B4" s="366"/>
      <c r="C4" s="366"/>
      <c r="D4" s="366"/>
      <c r="E4" s="366"/>
      <c r="F4" s="366"/>
      <c r="G4" s="367"/>
      <c r="H4" s="365" t="s">
        <v>293</v>
      </c>
      <c r="I4" s="366"/>
      <c r="J4" s="366"/>
      <c r="K4" s="366"/>
      <c r="L4" s="366"/>
      <c r="M4" s="366"/>
    </row>
    <row r="5" spans="1:24" ht="6.5" customHeight="1">
      <c r="A5" s="368"/>
      <c r="B5" s="369"/>
      <c r="C5" s="369"/>
      <c r="D5" s="369"/>
      <c r="E5" s="369"/>
      <c r="F5" s="369"/>
      <c r="G5" s="369"/>
      <c r="H5" s="368"/>
      <c r="I5" s="369"/>
      <c r="J5" s="369"/>
      <c r="K5" s="369"/>
      <c r="L5" s="369"/>
      <c r="M5" s="369"/>
      <c r="R5" s="370"/>
      <c r="X5" s="370"/>
    </row>
    <row r="6" spans="1:24" s="359" customFormat="1" ht="17">
      <c r="A6" s="371" t="s">
        <v>291</v>
      </c>
      <c r="B6" s="358"/>
      <c r="C6" s="372"/>
      <c r="D6" s="372"/>
      <c r="E6" s="372"/>
      <c r="F6" s="372"/>
      <c r="H6" s="373" t="s">
        <v>524</v>
      </c>
      <c r="I6" s="374"/>
      <c r="J6" s="374"/>
      <c r="K6" s="374"/>
      <c r="L6" s="374"/>
      <c r="M6" s="374"/>
    </row>
    <row r="7" spans="1:24" s="367" customFormat="1" ht="17.5" customHeight="1">
      <c r="A7" s="375" t="s">
        <v>160</v>
      </c>
      <c r="B7" s="376"/>
      <c r="C7" s="376"/>
      <c r="D7" s="376"/>
      <c r="E7" s="376"/>
      <c r="F7" s="376"/>
      <c r="G7" s="370"/>
      <c r="H7" s="375" t="s">
        <v>160</v>
      </c>
      <c r="I7" s="376"/>
      <c r="J7" s="377" t="s">
        <v>525</v>
      </c>
      <c r="K7" s="378">
        <f>INDEX(WACC!P10:P12,MATCH(APV!H7,WACC!O10:O12,0),1)</f>
        <v>9.449107342567524E-2</v>
      </c>
      <c r="L7" s="376"/>
      <c r="M7" s="376"/>
    </row>
    <row r="8" spans="1:24" ht="6.5" customHeight="1">
      <c r="A8" s="368"/>
      <c r="B8" s="369"/>
      <c r="C8" s="369"/>
      <c r="D8" s="369"/>
      <c r="E8" s="369"/>
      <c r="F8" s="369"/>
      <c r="H8" s="368"/>
      <c r="I8" s="369"/>
      <c r="J8" s="369"/>
      <c r="K8" s="369"/>
      <c r="L8" s="369"/>
      <c r="M8" s="369"/>
      <c r="R8" s="370"/>
      <c r="X8" s="370"/>
    </row>
    <row r="9" spans="1:24" s="359" customFormat="1">
      <c r="A9" s="379" t="s">
        <v>136</v>
      </c>
      <c r="B9" s="380" t="s">
        <v>165</v>
      </c>
      <c r="C9" s="380" t="s">
        <v>166</v>
      </c>
      <c r="D9" s="380" t="s">
        <v>167</v>
      </c>
      <c r="E9" s="380" t="s">
        <v>168</v>
      </c>
      <c r="F9" s="381" t="s">
        <v>169</v>
      </c>
      <c r="G9" s="370"/>
      <c r="H9" s="379" t="s">
        <v>136</v>
      </c>
      <c r="I9" s="380" t="s">
        <v>165</v>
      </c>
      <c r="J9" s="380" t="s">
        <v>166</v>
      </c>
      <c r="K9" s="380" t="s">
        <v>167</v>
      </c>
      <c r="L9" s="380" t="s">
        <v>168</v>
      </c>
      <c r="M9" s="380" t="s">
        <v>169</v>
      </c>
    </row>
    <row r="10" spans="1:24" s="370" customFormat="1" ht="6.5" customHeight="1">
      <c r="A10" s="382"/>
      <c r="B10" s="383"/>
      <c r="C10" s="383"/>
      <c r="D10" s="383"/>
      <c r="E10" s="383"/>
      <c r="F10" s="369"/>
      <c r="G10" s="359"/>
      <c r="H10" s="382"/>
      <c r="I10" s="383"/>
      <c r="J10" s="383"/>
      <c r="K10" s="383"/>
      <c r="L10" s="383"/>
      <c r="M10" s="383"/>
    </row>
    <row r="11" spans="1:24" s="359" customFormat="1">
      <c r="A11" s="384" t="s">
        <v>312</v>
      </c>
      <c r="B11" s="385">
        <f t="array" ref="B11">INDEX('Free Cash Flows'!$D$22:$H$24,MATCH($A$7,'Free Cash Flows'!$C$22:$C$24,0),MATCH(B9,'Free Cash Flows'!$D$21:$H$21,0))</f>
        <v>4867.6183443062973</v>
      </c>
      <c r="C11" s="385">
        <f t="array" ref="C11">INDEX('Free Cash Flows'!$D$22:$H$24,MATCH($A$7,'Free Cash Flows'!$C$22:$C$24,0),MATCH(C9,'Free Cash Flows'!$D$21:$H$21,0))</f>
        <v>5251.431761179304</v>
      </c>
      <c r="D11" s="385">
        <f t="array" ref="D11">INDEX('Free Cash Flows'!$D$22:$H$24,MATCH($A$7,'Free Cash Flows'!$C$22:$C$24,0),MATCH(D9,'Free Cash Flows'!$D$21:$H$21,0))</f>
        <v>5666.3934523269709</v>
      </c>
      <c r="E11" s="385">
        <f t="array" ref="E11">INDEX('Free Cash Flows'!$D$22:$H$24,MATCH($A$7,'Free Cash Flows'!$C$22:$C$24,0),MATCH(E9,'Free Cash Flows'!$D$21:$H$21,0))</f>
        <v>6115.0278675010768</v>
      </c>
      <c r="F11" s="385">
        <f t="array" ref="F11">INDEX('Free Cash Flows'!$D$22:$H$24,MATCH($A$7,'Free Cash Flows'!$C$22:$C$24,0),MATCH(F9,'Free Cash Flows'!$D$21:$H$21,0))</f>
        <v>6600.0639692434588</v>
      </c>
      <c r="H11" s="384" t="s">
        <v>191</v>
      </c>
      <c r="I11" s="385">
        <f>I14*B11</f>
        <v>4447.3805794240207</v>
      </c>
      <c r="J11" s="385">
        <f>J14*C11</f>
        <v>4383.8257043539288</v>
      </c>
      <c r="K11" s="385">
        <f>K14*D11</f>
        <v>4321.853640297938</v>
      </c>
      <c r="L11" s="385">
        <f>L14*E11</f>
        <v>4261.3729537182098</v>
      </c>
      <c r="M11" s="385">
        <f>M14*F11</f>
        <v>4202.2997324945236</v>
      </c>
    </row>
    <row r="12" spans="1:24" s="370" customFormat="1" ht="6.5" customHeight="1">
      <c r="A12" s="382"/>
      <c r="B12" s="383"/>
      <c r="C12" s="383"/>
      <c r="D12" s="383"/>
      <c r="E12" s="383"/>
      <c r="F12" s="369"/>
      <c r="G12" s="359"/>
      <c r="H12" s="382"/>
      <c r="I12" s="383"/>
      <c r="J12" s="383"/>
      <c r="K12" s="383"/>
      <c r="L12" s="383"/>
      <c r="M12" s="383"/>
    </row>
    <row r="13" spans="1:24" s="359" customFormat="1">
      <c r="A13" s="374"/>
      <c r="B13" s="374"/>
      <c r="C13" s="374"/>
      <c r="D13" s="374"/>
      <c r="E13" s="374"/>
      <c r="F13" s="374"/>
      <c r="G13" s="369"/>
      <c r="H13" s="386" t="s">
        <v>189</v>
      </c>
      <c r="I13" s="387">
        <v>1</v>
      </c>
      <c r="J13" s="387">
        <f>I13+1</f>
        <v>2</v>
      </c>
      <c r="K13" s="387">
        <f>J13+1</f>
        <v>3</v>
      </c>
      <c r="L13" s="387">
        <f>K13+1</f>
        <v>4</v>
      </c>
      <c r="M13" s="387">
        <f>L13+1</f>
        <v>5</v>
      </c>
    </row>
    <row r="14" spans="1:24" ht="16" thickBot="1">
      <c r="A14" s="365" t="s">
        <v>324</v>
      </c>
      <c r="B14" s="388"/>
      <c r="C14" s="389"/>
      <c r="D14" s="366"/>
      <c r="E14" s="366"/>
      <c r="F14" s="366"/>
      <c r="G14" s="390"/>
      <c r="H14" s="391" t="s">
        <v>190</v>
      </c>
      <c r="I14" s="392">
        <f>1/((1+$K$7)^I13)</f>
        <v>0.91366665684177284</v>
      </c>
      <c r="J14" s="392">
        <f t="shared" ref="J14:M14" si="0">1/((1+$K$7)^J13)</f>
        <v>0.83478675982442196</v>
      </c>
      <c r="K14" s="392">
        <f t="shared" si="0"/>
        <v>0.76271682802455565</v>
      </c>
      <c r="L14" s="392">
        <f t="shared" si="0"/>
        <v>0.69686893437815711</v>
      </c>
      <c r="M14" s="392">
        <f t="shared" si="0"/>
        <v>0.63670590953017958</v>
      </c>
    </row>
    <row r="15" spans="1:24" ht="6.5" customHeight="1">
      <c r="A15" s="368"/>
      <c r="B15" s="369"/>
      <c r="C15" s="369"/>
      <c r="D15" s="369"/>
      <c r="E15" s="369"/>
      <c r="F15" s="369"/>
      <c r="I15" s="369"/>
      <c r="J15" s="369"/>
      <c r="K15" s="369"/>
      <c r="L15" s="369"/>
      <c r="M15" s="369"/>
      <c r="R15" s="370"/>
      <c r="X15" s="370"/>
    </row>
    <row r="16" spans="1:24">
      <c r="A16" s="386" t="s">
        <v>365</v>
      </c>
      <c r="B16" s="393">
        <f>'Cost of Debt'!R33</f>
        <v>98166.089045946748</v>
      </c>
      <c r="C16" s="374"/>
      <c r="D16" s="364"/>
      <c r="E16" s="364"/>
      <c r="F16" s="364"/>
      <c r="G16" s="364"/>
    </row>
    <row r="17" spans="1:24">
      <c r="A17" s="391" t="s">
        <v>364</v>
      </c>
      <c r="B17" s="394">
        <f>'Cost of Debt'!R27</f>
        <v>2.2742587361374404E-2</v>
      </c>
      <c r="C17" s="374"/>
      <c r="D17" s="364"/>
      <c r="E17" s="364"/>
      <c r="F17" s="364"/>
      <c r="G17" s="364"/>
      <c r="H17" s="600"/>
      <c r="I17" s="600"/>
      <c r="J17" s="600"/>
      <c r="K17" s="600"/>
      <c r="L17" s="600"/>
      <c r="M17" s="600"/>
    </row>
    <row r="18" spans="1:24" ht="6.5" customHeight="1">
      <c r="A18" s="368"/>
      <c r="B18" s="369"/>
      <c r="C18" s="369"/>
      <c r="D18" s="369"/>
      <c r="E18" s="369"/>
      <c r="F18" s="369"/>
      <c r="H18" s="600"/>
      <c r="I18" s="369"/>
      <c r="J18" s="369"/>
      <c r="K18" s="369"/>
      <c r="L18" s="369"/>
      <c r="M18" s="369"/>
      <c r="R18" s="370"/>
      <c r="X18" s="370"/>
    </row>
    <row r="19" spans="1:24">
      <c r="A19" s="395" t="s">
        <v>301</v>
      </c>
      <c r="B19" s="599">
        <v>2.1999999999999999E-2</v>
      </c>
      <c r="C19" s="374"/>
      <c r="D19" s="364"/>
      <c r="E19" s="364"/>
      <c r="F19" s="552"/>
      <c r="G19" s="552"/>
      <c r="H19" s="601"/>
      <c r="I19" s="601"/>
      <c r="J19" s="601"/>
      <c r="K19" s="601"/>
      <c r="L19" s="601"/>
      <c r="M19" s="601"/>
    </row>
    <row r="20" spans="1:24">
      <c r="A20" s="370" t="s">
        <v>302</v>
      </c>
      <c r="B20" s="397">
        <v>3.8399999999999997E-2</v>
      </c>
      <c r="C20" s="374"/>
      <c r="D20" s="364"/>
      <c r="E20" s="364"/>
      <c r="F20" s="552" t="s">
        <v>611</v>
      </c>
      <c r="G20" s="552"/>
      <c r="H20" s="552" t="s">
        <v>160</v>
      </c>
      <c r="I20" s="552">
        <f t="array" ref="I20">INDEX('Free Cash Flows'!$D$22:$H$24,MATCH($H$20,'Free Cash Flows'!$C$22:$C$24,0),MATCH(B9,'Free Cash Flows'!$D$21:$H$21,0))</f>
        <v>4867.6183443062973</v>
      </c>
      <c r="J20" s="552">
        <f t="array" ref="J20">INDEX('Free Cash Flows'!$D$22:$H$24,MATCH($H$20,'Free Cash Flows'!$C$22:$C$24,0),MATCH(C9,'Free Cash Flows'!$D$21:$H$21,0))</f>
        <v>5251.431761179304</v>
      </c>
      <c r="K20" s="552">
        <f t="array" ref="K20">INDEX('Free Cash Flows'!$D$22:$H$24,MATCH($H$20,'Free Cash Flows'!$C$22:$C$24,0),MATCH(D9,'Free Cash Flows'!$D$21:$H$21,0))</f>
        <v>5666.3934523269709</v>
      </c>
      <c r="L20" s="552">
        <f t="array" ref="L20">INDEX('Free Cash Flows'!$D$22:$H$24,MATCH($H$20,'Free Cash Flows'!$C$22:$C$24,0),MATCH(E9,'Free Cash Flows'!$D$21:$H$21,0))</f>
        <v>6115.0278675010768</v>
      </c>
      <c r="M20" s="552">
        <f t="array" ref="M20">INDEX('Free Cash Flows'!$D$22:$H$24,MATCH($H$20,'Free Cash Flows'!$C$22:$C$24,0),MATCH(F9,'Free Cash Flows'!$D$21:$H$21,0))</f>
        <v>6600.0639692434588</v>
      </c>
    </row>
    <row r="21" spans="1:24">
      <c r="A21" s="370" t="s">
        <v>298</v>
      </c>
      <c r="B21" s="398">
        <f>AVERAGE(B19:B20)</f>
        <v>3.0199999999999998E-2</v>
      </c>
      <c r="C21" s="398"/>
      <c r="D21" s="364"/>
      <c r="E21" s="364"/>
      <c r="F21" s="552" t="s">
        <v>609</v>
      </c>
      <c r="G21" s="552"/>
      <c r="H21" s="552" t="s">
        <v>160</v>
      </c>
      <c r="I21" s="553">
        <f t="array" ref="I21">INDEX(WACC!P10:P12,MATCH(APV!H21,WACC!O10:O12,0),1)</f>
        <v>9.449107342567524E-2</v>
      </c>
      <c r="J21" s="553"/>
      <c r="K21" s="553"/>
      <c r="L21" s="552"/>
      <c r="M21" s="552"/>
    </row>
    <row r="22" spans="1:24">
      <c r="A22" s="370" t="s">
        <v>270</v>
      </c>
      <c r="B22" s="400">
        <f>1/(1+K7)^M13</f>
        <v>0.63670590953017958</v>
      </c>
      <c r="C22" s="374"/>
      <c r="D22" s="364"/>
      <c r="E22" s="364"/>
      <c r="F22" s="552"/>
      <c r="G22" s="552"/>
      <c r="H22" s="553" t="s">
        <v>190</v>
      </c>
      <c r="I22" s="624">
        <f>1/((1+$I$21)^I13)</f>
        <v>0.91366665684177284</v>
      </c>
      <c r="J22" s="624">
        <f>1/((1+$I$21)^J13)</f>
        <v>0.83478675982442196</v>
      </c>
      <c r="K22" s="624">
        <f>1/((1+$I$21)^K13)</f>
        <v>0.76271682802455565</v>
      </c>
      <c r="L22" s="624">
        <f>1/((1+$I$21)^L13)</f>
        <v>0.69686893437815711</v>
      </c>
      <c r="M22" s="624">
        <f>1/((1+$I$21)^M13)</f>
        <v>0.63670590953017958</v>
      </c>
    </row>
    <row r="23" spans="1:24">
      <c r="A23" s="370" t="s">
        <v>328</v>
      </c>
      <c r="B23" s="401">
        <f>B16*B17</f>
        <v>2232.5508560519029</v>
      </c>
      <c r="C23" s="374"/>
      <c r="D23" s="400"/>
      <c r="E23" s="374"/>
      <c r="F23" s="554"/>
      <c r="G23" s="552"/>
      <c r="H23" s="552" t="s">
        <v>610</v>
      </c>
      <c r="I23" s="552">
        <f>I20*I22</f>
        <v>4447.3805794240207</v>
      </c>
      <c r="J23" s="552">
        <f t="shared" ref="J23:M23" si="1">J20*J22</f>
        <v>4383.8257043539288</v>
      </c>
      <c r="K23" s="552">
        <f t="shared" si="1"/>
        <v>4321.853640297938</v>
      </c>
      <c r="L23" s="552">
        <f t="shared" si="1"/>
        <v>4261.3729537182098</v>
      </c>
      <c r="M23" s="552">
        <f t="shared" si="1"/>
        <v>4202.2997324945236</v>
      </c>
    </row>
    <row r="24" spans="1:24">
      <c r="A24" s="402" t="s">
        <v>303</v>
      </c>
      <c r="B24" s="403">
        <f>'Marginal Tax Rate'!K18*B23*'Cost of Equity'!N12*(1+APV!B21)/('Cost of Equity'!N12-APV!B21)^2</f>
        <v>14589.453247150921</v>
      </c>
      <c r="C24" s="374"/>
      <c r="D24" s="364"/>
      <c r="E24" s="364"/>
      <c r="F24" s="552"/>
      <c r="G24" s="552"/>
      <c r="H24" s="625"/>
      <c r="I24" s="552"/>
      <c r="J24" s="552"/>
      <c r="K24" s="552"/>
      <c r="L24" s="552"/>
      <c r="M24" s="552"/>
    </row>
    <row r="25" spans="1:24" s="399" customFormat="1" ht="6" customHeight="1" thickBot="1">
      <c r="A25" s="404"/>
      <c r="B25" s="405"/>
      <c r="C25" s="406"/>
      <c r="D25" s="406"/>
      <c r="E25" s="406"/>
      <c r="F25" s="553"/>
      <c r="G25" s="553"/>
      <c r="H25" s="553"/>
      <c r="I25" s="553"/>
      <c r="J25" s="553"/>
      <c r="K25" s="553"/>
      <c r="L25" s="553"/>
      <c r="M25" s="553"/>
    </row>
    <row r="26" spans="1:24" s="359" customFormat="1">
      <c r="A26" s="407" t="s">
        <v>299</v>
      </c>
      <c r="B26" s="408">
        <f>B24*B22</f>
        <v>9289.1910992752582</v>
      </c>
      <c r="C26" s="409"/>
      <c r="D26" s="410"/>
      <c r="E26" s="410"/>
      <c r="F26" s="555"/>
      <c r="G26" s="555"/>
      <c r="H26" s="555"/>
      <c r="I26" s="555"/>
      <c r="J26" s="555"/>
      <c r="K26" s="555"/>
      <c r="L26" s="555"/>
      <c r="M26" s="555"/>
    </row>
    <row r="27" spans="1:24" s="370" customFormat="1" ht="6" customHeight="1">
      <c r="A27" s="404"/>
      <c r="B27" s="405"/>
      <c r="C27" s="411"/>
      <c r="D27" s="411"/>
      <c r="E27" s="411"/>
      <c r="F27" s="556"/>
      <c r="G27" s="556"/>
      <c r="H27" s="556"/>
      <c r="I27" s="556"/>
      <c r="J27" s="556"/>
      <c r="K27" s="556"/>
      <c r="L27" s="556"/>
      <c r="M27" s="556"/>
    </row>
    <row r="28" spans="1:24" ht="14.5" customHeight="1">
      <c r="A28" s="440" t="s">
        <v>387</v>
      </c>
      <c r="B28" s="396">
        <f>(1.26+2.01)/2</f>
        <v>1.6349999999999998</v>
      </c>
      <c r="C28" s="437" t="s">
        <v>391</v>
      </c>
      <c r="D28" s="412"/>
      <c r="F28" s="552"/>
      <c r="G28" s="555"/>
      <c r="H28" s="626" t="s">
        <v>653</v>
      </c>
      <c r="I28" s="555"/>
      <c r="J28" s="555"/>
      <c r="K28" s="552"/>
      <c r="L28" s="552"/>
      <c r="M28" s="552"/>
    </row>
    <row r="29" spans="1:24" ht="14.5" customHeight="1">
      <c r="A29" s="438" t="s">
        <v>388</v>
      </c>
      <c r="B29" s="400">
        <f>(0.1+0.23)/2*100</f>
        <v>16.5</v>
      </c>
      <c r="C29" s="437" t="s">
        <v>392</v>
      </c>
      <c r="D29" s="364"/>
      <c r="F29" s="552" t="s">
        <v>376</v>
      </c>
      <c r="G29" s="555"/>
      <c r="H29" s="552" t="s">
        <v>160</v>
      </c>
      <c r="I29" s="555">
        <f>M20*(1+B36)/(I21-B36)*M22</f>
        <v>72210.684507664206</v>
      </c>
      <c r="J29" s="555"/>
      <c r="K29" s="552"/>
      <c r="L29" s="552"/>
      <c r="M29" s="552"/>
    </row>
    <row r="30" spans="1:24" ht="14.5" customHeight="1">
      <c r="A30" s="438" t="s">
        <v>389</v>
      </c>
      <c r="B30" s="413">
        <v>2.33</v>
      </c>
      <c r="C30" s="437" t="s">
        <v>393</v>
      </c>
      <c r="D30" s="364"/>
      <c r="F30" s="552" t="s">
        <v>375</v>
      </c>
      <c r="G30" s="555"/>
      <c r="H30" s="552" t="s">
        <v>160</v>
      </c>
      <c r="I30" s="555">
        <f>B24*M22</f>
        <v>9289.1910992752582</v>
      </c>
      <c r="J30" s="555"/>
      <c r="K30" s="552"/>
      <c r="L30" s="552"/>
      <c r="M30" s="552"/>
    </row>
    <row r="31" spans="1:24" ht="14.5" customHeight="1">
      <c r="A31" s="439" t="s">
        <v>390</v>
      </c>
      <c r="B31" s="400">
        <f>(B28/(B28+B30))*B29</f>
        <v>6.8039092055485497</v>
      </c>
      <c r="C31" s="437" t="s">
        <v>394</v>
      </c>
      <c r="D31" s="400"/>
      <c r="F31" s="554" t="s">
        <v>615</v>
      </c>
      <c r="G31" s="555"/>
      <c r="H31" s="552" t="s">
        <v>160</v>
      </c>
      <c r="I31" s="555">
        <f>B31*(I29+SUM(I23:M23))/100</f>
        <v>6383.9322706168286</v>
      </c>
      <c r="J31" s="555"/>
      <c r="K31" s="552"/>
      <c r="L31" s="552"/>
      <c r="M31" s="552"/>
    </row>
    <row r="32" spans="1:24" s="370" customFormat="1" ht="6" customHeight="1" thickBot="1">
      <c r="A32" s="404"/>
      <c r="B32" s="405"/>
      <c r="C32" s="411"/>
      <c r="D32" s="411"/>
      <c r="F32" s="556"/>
      <c r="G32" s="556"/>
      <c r="H32" s="556"/>
      <c r="I32" s="556"/>
      <c r="J32" s="556"/>
      <c r="K32" s="556"/>
      <c r="L32" s="556"/>
      <c r="M32" s="556"/>
    </row>
    <row r="33" spans="1:24" s="417" customFormat="1" ht="18">
      <c r="A33" s="414" t="s">
        <v>526</v>
      </c>
      <c r="B33" s="415">
        <f>B31*(B39+SUM(I11:M11))/100</f>
        <v>6383.9322706168286</v>
      </c>
      <c r="C33" s="416"/>
      <c r="D33" s="416"/>
      <c r="E33" s="425"/>
      <c r="F33" s="557" t="s">
        <v>616</v>
      </c>
      <c r="G33" s="557"/>
      <c r="H33" s="557"/>
      <c r="I33" s="557">
        <f>I29+SUM(I23:M23)+I30-I31</f>
        <v>96732.675946611256</v>
      </c>
      <c r="J33" s="557"/>
      <c r="K33" s="557"/>
      <c r="L33" s="557"/>
      <c r="M33" s="557"/>
    </row>
    <row r="34" spans="1:24" s="370" customFormat="1" ht="6" customHeight="1">
      <c r="A34" s="404"/>
      <c r="B34" s="405"/>
      <c r="C34" s="411"/>
      <c r="D34" s="411"/>
      <c r="E34" s="411"/>
      <c r="F34" s="556"/>
      <c r="G34" s="556"/>
      <c r="H34" s="556"/>
      <c r="I34" s="556"/>
      <c r="J34" s="556"/>
      <c r="K34" s="556"/>
      <c r="L34" s="556"/>
      <c r="M34" s="556"/>
    </row>
    <row r="35" spans="1:24" s="359" customFormat="1">
      <c r="A35" s="418" t="s">
        <v>194</v>
      </c>
      <c r="B35" s="419">
        <f>F11</f>
        <v>6600.0639692434588</v>
      </c>
      <c r="C35" s="372"/>
      <c r="D35" s="390"/>
      <c r="F35" s="555"/>
      <c r="G35" s="555"/>
      <c r="H35" s="555"/>
      <c r="I35" s="555"/>
      <c r="J35" s="555"/>
      <c r="K35" s="555"/>
      <c r="L35" s="555"/>
      <c r="M35" s="555"/>
    </row>
    <row r="36" spans="1:24" s="359" customFormat="1">
      <c r="A36" s="370" t="s">
        <v>298</v>
      </c>
      <c r="B36" s="398">
        <f>DCF!B19</f>
        <v>3.4299999999999997E-2</v>
      </c>
      <c r="C36" s="372"/>
      <c r="D36" s="390"/>
      <c r="E36" s="412"/>
      <c r="F36" s="410"/>
    </row>
    <row r="37" spans="1:24" s="359" customFormat="1">
      <c r="A37" s="420" t="s">
        <v>192</v>
      </c>
      <c r="B37" s="421">
        <f>B35*(1+B36)/(K7-B36)</f>
        <v>113412.93276349189</v>
      </c>
      <c r="C37" s="372"/>
      <c r="D37" s="390"/>
      <c r="E37" s="412"/>
      <c r="F37" s="410"/>
    </row>
    <row r="38" spans="1:24" s="359" customFormat="1">
      <c r="A38" s="420" t="s">
        <v>195</v>
      </c>
      <c r="B38" s="421">
        <f>1/(1+K7)^M13</f>
        <v>0.63670590953017958</v>
      </c>
      <c r="C38" s="422"/>
      <c r="D38" s="390"/>
      <c r="E38" s="412"/>
      <c r="F38" s="410"/>
    </row>
    <row r="39" spans="1:24" s="359" customFormat="1">
      <c r="A39" s="423" t="s">
        <v>318</v>
      </c>
      <c r="B39" s="424">
        <f>B37*B38</f>
        <v>72210.684507664206</v>
      </c>
      <c r="C39" s="436"/>
      <c r="D39" s="390"/>
      <c r="E39" s="412"/>
      <c r="F39" s="410"/>
    </row>
    <row r="40" spans="1:24" s="359" customFormat="1" ht="6.5" customHeight="1" thickBot="1">
      <c r="A40" s="368"/>
      <c r="B40" s="369"/>
      <c r="C40" s="369"/>
      <c r="D40" s="369"/>
      <c r="E40" s="369"/>
      <c r="F40" s="369"/>
      <c r="G40" s="369"/>
      <c r="H40" s="368"/>
      <c r="I40" s="369"/>
      <c r="J40" s="369"/>
      <c r="K40" s="369"/>
      <c r="L40" s="369"/>
      <c r="M40" s="369"/>
      <c r="R40" s="370"/>
      <c r="X40" s="370"/>
    </row>
    <row r="41" spans="1:24" s="417" customFormat="1">
      <c r="A41" s="414" t="s">
        <v>193</v>
      </c>
      <c r="B41" s="415">
        <f>B39+SUM(I11:M11)+B26-B33</f>
        <v>96732.675946611256</v>
      </c>
      <c r="C41" s="416"/>
      <c r="D41" s="416"/>
      <c r="E41" s="425">
        <f>ROUND(((B43-'Share Prices'!F13)/'Share Prices'!F13),3)</f>
        <v>0.12</v>
      </c>
      <c r="F41" s="416"/>
    </row>
    <row r="42" spans="1:24" s="359" customFormat="1" ht="6.5" customHeight="1" thickBot="1">
      <c r="A42" s="368"/>
      <c r="B42" s="369"/>
      <c r="C42" s="369"/>
      <c r="D42" s="369"/>
      <c r="E42" s="369"/>
      <c r="F42" s="369"/>
      <c r="G42" s="369"/>
      <c r="H42" s="368"/>
      <c r="I42" s="369"/>
      <c r="J42" s="369"/>
      <c r="K42" s="369"/>
      <c r="L42" s="369"/>
      <c r="M42" s="369"/>
      <c r="R42" s="370"/>
      <c r="X42" s="370"/>
    </row>
    <row r="43" spans="1:24" s="417" customFormat="1">
      <c r="A43" s="414" t="s">
        <v>400</v>
      </c>
      <c r="B43" s="426">
        <f>B41/'Income Statement'!K45</f>
        <v>58.35002771541275</v>
      </c>
      <c r="C43" s="409" t="str">
        <f>IF(B43&gt;'Share Prices'!F13,CONCATENATE("undervalued by ",(E41*100),"%"),CONCATENATE("overvalued by ",((-1*E41)*100),"%"))</f>
        <v>undervalued by 12%</v>
      </c>
      <c r="D43" s="427"/>
      <c r="E43" s="427"/>
      <c r="F43" s="427"/>
    </row>
    <row r="44" spans="1:24" s="359" customFormat="1">
      <c r="A44" s="100" t="s">
        <v>196</v>
      </c>
      <c r="B44" s="100"/>
      <c r="C44" s="372"/>
      <c r="D44" s="390"/>
      <c r="E44" s="390"/>
      <c r="F44" s="410"/>
    </row>
    <row r="45" spans="1:24" s="359" customFormat="1" ht="16" thickBot="1">
      <c r="A45" s="374"/>
      <c r="B45" s="374"/>
      <c r="C45" s="372"/>
      <c r="D45" s="390"/>
      <c r="E45" s="390"/>
      <c r="F45" s="410"/>
    </row>
    <row r="46" spans="1:24" ht="17.5" customHeight="1">
      <c r="A46" s="428" t="s">
        <v>374</v>
      </c>
      <c r="B46" s="428"/>
      <c r="C46" s="428"/>
      <c r="D46" s="428"/>
      <c r="E46" s="428"/>
      <c r="F46" s="428"/>
      <c r="G46" s="428"/>
      <c r="H46" s="428"/>
      <c r="I46" s="428"/>
      <c r="J46" s="428"/>
      <c r="K46" s="428"/>
      <c r="L46" s="428"/>
      <c r="M46" s="428"/>
      <c r="N46" s="428"/>
      <c r="O46" s="428"/>
      <c r="P46" s="428"/>
    </row>
    <row r="47" spans="1:24" ht="14.5" customHeight="1">
      <c r="A47" s="534" t="s">
        <v>603</v>
      </c>
      <c r="B47" s="429"/>
      <c r="C47" s="429"/>
      <c r="D47" s="429"/>
      <c r="E47" s="429"/>
      <c r="F47" s="429"/>
      <c r="G47" s="429"/>
      <c r="H47" s="429"/>
      <c r="I47" s="429"/>
      <c r="J47" s="429"/>
      <c r="K47" s="429"/>
      <c r="L47" s="429"/>
      <c r="M47" s="429"/>
      <c r="N47" s="429"/>
      <c r="O47" s="429"/>
      <c r="P47" s="429"/>
    </row>
    <row r="48" spans="1:24" ht="15" customHeight="1">
      <c r="A48" s="430" t="s">
        <v>372</v>
      </c>
      <c r="B48" s="429"/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</row>
    <row r="49" spans="1:16" ht="14.5" customHeight="1">
      <c r="A49" s="429" t="s">
        <v>373</v>
      </c>
      <c r="B49" s="429"/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9"/>
      <c r="P49" s="429"/>
    </row>
    <row r="52" spans="1:16">
      <c r="B52" s="433"/>
    </row>
  </sheetData>
  <dataValidations disablePrompts="1" count="1">
    <dataValidation type="list" allowBlank="1" showInputMessage="1" showErrorMessage="1" sqref="A7:A8 H7:I7" xr:uid="{00000000-0002-0000-0900-000000000000}">
      <formula1>ScenarioSelection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B82"/>
  <sheetViews>
    <sheetView showGridLines="0" topLeftCell="A46" zoomScale="90" zoomScaleNormal="90" workbookViewId="0">
      <pane xSplit="1" topLeftCell="B1" activePane="topRight" state="frozen"/>
      <selection pane="topRight" activeCell="H65" sqref="H65"/>
    </sheetView>
  </sheetViews>
  <sheetFormatPr baseColWidth="10" defaultColWidth="8.83203125" defaultRowHeight="13" outlineLevelRow="1"/>
  <cols>
    <col min="1" max="1" width="40.5" style="342" customWidth="1"/>
    <col min="2" max="2" width="14.83203125" style="342" bestFit="1" customWidth="1"/>
    <col min="3" max="3" width="12.83203125" style="342" bestFit="1" customWidth="1"/>
    <col min="4" max="4" width="12.5" style="342" bestFit="1" customWidth="1"/>
    <col min="5" max="5" width="11.83203125" style="342" bestFit="1" customWidth="1"/>
    <col min="6" max="7" width="12.5" style="342" bestFit="1" customWidth="1"/>
    <col min="8" max="8" width="17.33203125" style="342" customWidth="1"/>
    <col min="9" max="9" width="15.6640625" style="342" customWidth="1"/>
    <col min="10" max="10" width="13.6640625" style="342" customWidth="1"/>
    <col min="11" max="11" width="14.33203125" style="342" bestFit="1" customWidth="1"/>
    <col min="12" max="13" width="13.6640625" style="342" customWidth="1"/>
    <col min="14" max="14" width="16.5" style="342" bestFit="1" customWidth="1"/>
    <col min="15" max="15" width="9.83203125" style="342" bestFit="1" customWidth="1"/>
    <col min="16" max="16384" width="8.83203125" style="342"/>
  </cols>
  <sheetData>
    <row r="1" spans="1:28" ht="30" customHeight="1">
      <c r="A1" s="341"/>
      <c r="B1" s="341"/>
      <c r="C1" s="341"/>
      <c r="D1" s="341"/>
      <c r="E1" s="341"/>
      <c r="N1" s="343" t="s">
        <v>401</v>
      </c>
    </row>
    <row r="2" spans="1:28" ht="21.5" customHeight="1">
      <c r="A2" s="6" t="s">
        <v>402</v>
      </c>
      <c r="B2" s="344"/>
      <c r="C2" s="344"/>
      <c r="D2" s="344"/>
      <c r="E2" s="344"/>
    </row>
    <row r="3" spans="1:28">
      <c r="A3" s="340"/>
      <c r="B3" s="340"/>
      <c r="C3" s="340"/>
      <c r="D3" s="340"/>
      <c r="E3" s="340"/>
    </row>
    <row r="4" spans="1:28" ht="14">
      <c r="A4" s="13" t="s">
        <v>403</v>
      </c>
      <c r="B4" s="662" t="s">
        <v>404</v>
      </c>
      <c r="C4" s="326" t="s">
        <v>405</v>
      </c>
      <c r="D4" s="327" t="s">
        <v>406</v>
      </c>
      <c r="E4" s="663" t="s">
        <v>407</v>
      </c>
      <c r="F4" s="663"/>
      <c r="G4" s="663"/>
      <c r="H4" s="657" t="s">
        <v>408</v>
      </c>
      <c r="I4" s="656" t="s">
        <v>409</v>
      </c>
      <c r="J4" s="656" t="s">
        <v>55</v>
      </c>
      <c r="K4" s="656" t="s">
        <v>410</v>
      </c>
      <c r="L4" s="656" t="s">
        <v>14</v>
      </c>
      <c r="M4" s="656" t="s">
        <v>411</v>
      </c>
      <c r="N4" s="658" t="s">
        <v>412</v>
      </c>
    </row>
    <row r="5" spans="1:28">
      <c r="A5" s="13" t="s">
        <v>52</v>
      </c>
      <c r="B5" s="662"/>
      <c r="C5" s="328" t="s">
        <v>413</v>
      </c>
      <c r="D5" s="328" t="s">
        <v>414</v>
      </c>
      <c r="E5" s="328" t="s">
        <v>42</v>
      </c>
      <c r="F5" s="328" t="s">
        <v>415</v>
      </c>
      <c r="G5" s="328" t="s">
        <v>416</v>
      </c>
      <c r="H5" s="657"/>
      <c r="I5" s="657"/>
      <c r="J5" s="656"/>
      <c r="K5" s="657"/>
      <c r="L5" s="657"/>
      <c r="M5" s="657"/>
      <c r="N5" s="658"/>
    </row>
    <row r="6" spans="1:28">
      <c r="A6" s="329" t="s">
        <v>417</v>
      </c>
      <c r="B6" s="330">
        <v>52.69</v>
      </c>
      <c r="C6" s="330">
        <v>85964.707235879992</v>
      </c>
      <c r="D6" s="330">
        <v>84259.707235879992</v>
      </c>
      <c r="E6" s="330">
        <v>15.776017082171876</v>
      </c>
      <c r="F6" s="330">
        <v>15.517644380963359</v>
      </c>
      <c r="G6" s="330">
        <v>13.947809458932033</v>
      </c>
      <c r="H6" s="331">
        <v>5341</v>
      </c>
      <c r="I6" s="330">
        <f>11992999936/1000000</f>
        <v>11992.999936</v>
      </c>
      <c r="J6" s="331">
        <v>1636.9999359999999</v>
      </c>
      <c r="K6" s="330">
        <v>1302.2729999999999</v>
      </c>
      <c r="L6" s="330">
        <f t="shared" ref="L6:L15" si="0">I6/K6</f>
        <v>9.2092824899233889</v>
      </c>
      <c r="M6" s="330">
        <v>22.421276011365524</v>
      </c>
      <c r="N6" s="330">
        <v>7.1919893064222968</v>
      </c>
    </row>
    <row r="7" spans="1:28">
      <c r="A7" s="329" t="s">
        <v>418</v>
      </c>
      <c r="B7" s="330">
        <v>220.49199999999999</v>
      </c>
      <c r="C7" s="330">
        <v>46130.50552646703</v>
      </c>
      <c r="D7" s="330">
        <v>46447.939340163546</v>
      </c>
      <c r="E7" s="330">
        <v>18.125747115791896</v>
      </c>
      <c r="F7" s="330">
        <v>16.131950880864302</v>
      </c>
      <c r="G7" s="330">
        <v>13.80636872330151</v>
      </c>
      <c r="H7" s="331">
        <v>2367.9243845699825</v>
      </c>
      <c r="I7" s="330">
        <f>6990462492.48889/1000000</f>
        <v>6990.4624924888894</v>
      </c>
      <c r="J7" s="331">
        <v>202.65734399999999</v>
      </c>
      <c r="K7" s="330">
        <v>209.21619999999999</v>
      </c>
      <c r="L7" s="330">
        <f t="shared" si="0"/>
        <v>33.412625277052591</v>
      </c>
      <c r="M7" s="330">
        <v>31.881570653296986</v>
      </c>
      <c r="N7" s="330">
        <v>6.1810325313566405</v>
      </c>
    </row>
    <row r="8" spans="1:28">
      <c r="A8" s="332" t="s">
        <v>419</v>
      </c>
      <c r="B8" s="330">
        <v>65.349999999999994</v>
      </c>
      <c r="C8" s="330">
        <v>25723.155157149999</v>
      </c>
      <c r="D8" s="330">
        <v>28337.12815715</v>
      </c>
      <c r="E8" s="330">
        <v>15.003493487670367</v>
      </c>
      <c r="F8" s="330">
        <v>14.84600977355707</v>
      </c>
      <c r="G8" s="330">
        <v>13.988193319812675</v>
      </c>
      <c r="H8" s="331">
        <v>1888.7020000000002</v>
      </c>
      <c r="I8" s="330">
        <f>3644338944/1000000</f>
        <v>3644.3389440000001</v>
      </c>
      <c r="J8" s="331">
        <v>393.308672</v>
      </c>
      <c r="K8" s="330">
        <v>393.62129999999996</v>
      </c>
      <c r="L8" s="330">
        <f t="shared" si="0"/>
        <v>9.2584901884120612</v>
      </c>
      <c r="M8" s="330">
        <v>22.367987276130535</v>
      </c>
      <c r="N8" s="330">
        <v>7.0527801884672581</v>
      </c>
    </row>
    <row r="9" spans="1:28">
      <c r="A9" s="332" t="s">
        <v>420</v>
      </c>
      <c r="B9" s="330">
        <v>60.09</v>
      </c>
      <c r="C9" s="330">
        <v>8135.1073244100007</v>
      </c>
      <c r="D9" s="330">
        <v>7413.8953244100012</v>
      </c>
      <c r="E9" s="330">
        <v>14.289394830400186</v>
      </c>
      <c r="F9" s="330">
        <v>12.832780869314615</v>
      </c>
      <c r="G9" s="330">
        <v>11.802878205138004</v>
      </c>
      <c r="H9" s="331">
        <v>518.83899999999994</v>
      </c>
      <c r="I9" s="330">
        <f>1397809024/1000000</f>
        <v>1397.8090239999999</v>
      </c>
      <c r="J9" s="331">
        <v>135.47800000000001</v>
      </c>
      <c r="K9" s="330">
        <v>125.60109999999999</v>
      </c>
      <c r="L9" s="330">
        <f t="shared" si="0"/>
        <v>11.128955271888543</v>
      </c>
      <c r="M9" s="330">
        <v>28.158480441401579</v>
      </c>
      <c r="N9" s="330">
        <v>5.8240239121885056</v>
      </c>
    </row>
    <row r="10" spans="1:28">
      <c r="A10" s="332" t="s">
        <v>421</v>
      </c>
      <c r="B10" s="330">
        <v>16.45</v>
      </c>
      <c r="C10" s="330">
        <v>6912.75495778</v>
      </c>
      <c r="D10" s="330">
        <v>7701.7869577800002</v>
      </c>
      <c r="E10" s="330">
        <v>14.581387783972904</v>
      </c>
      <c r="F10" s="330">
        <v>17.321399239339691</v>
      </c>
      <c r="G10" s="330">
        <v>14.862346698198408</v>
      </c>
      <c r="H10" s="331">
        <v>528.19299999999998</v>
      </c>
      <c r="I10" s="330">
        <f>2023771008/1000000</f>
        <v>2023.7710079999999</v>
      </c>
      <c r="J10" s="331">
        <v>440.92259200000001</v>
      </c>
      <c r="K10" s="330">
        <v>184.95050000000001</v>
      </c>
      <c r="L10" s="330">
        <f t="shared" si="0"/>
        <v>10.942230531953143</v>
      </c>
      <c r="M10" s="330">
        <v>34.060088127501608</v>
      </c>
      <c r="N10" s="330">
        <v>3.5839908977830173</v>
      </c>
    </row>
    <row r="11" spans="1:28">
      <c r="A11" s="332" t="s">
        <v>422</v>
      </c>
      <c r="B11" s="330">
        <v>408.88029999999998</v>
      </c>
      <c r="C11" s="330">
        <v>6166.9223593616434</v>
      </c>
      <c r="D11" s="330">
        <v>5921.2551239673685</v>
      </c>
      <c r="E11" s="330" t="s">
        <v>423</v>
      </c>
      <c r="F11" s="330">
        <v>16.888461139580738</v>
      </c>
      <c r="G11" s="330">
        <v>13.411341257219947</v>
      </c>
      <c r="H11" s="331">
        <v>372</v>
      </c>
      <c r="I11" s="330">
        <f>1876297139.16779/1000000</f>
        <v>1876.29713916779</v>
      </c>
      <c r="J11" s="331">
        <v>15.082464</v>
      </c>
      <c r="K11" s="330">
        <v>15.082459999999999</v>
      </c>
      <c r="L11" s="330">
        <f t="shared" si="0"/>
        <v>124.40259342095321</v>
      </c>
      <c r="M11" s="330">
        <v>48.727146583267412</v>
      </c>
      <c r="N11" s="330">
        <v>3.2330050009391393</v>
      </c>
    </row>
    <row r="12" spans="1:28">
      <c r="A12" s="333" t="s">
        <v>424</v>
      </c>
      <c r="B12" s="330">
        <v>60.8</v>
      </c>
      <c r="C12" s="330">
        <v>4240.6149855999993</v>
      </c>
      <c r="D12" s="330">
        <v>3643.7749855999991</v>
      </c>
      <c r="E12" s="330">
        <v>11.351606848768814</v>
      </c>
      <c r="F12" s="330">
        <v>11.234672344781441</v>
      </c>
      <c r="G12" s="330">
        <v>10.394955640695738</v>
      </c>
      <c r="H12" s="331">
        <v>320.99200000000002</v>
      </c>
      <c r="I12" s="330">
        <f>1572199936/1000000</f>
        <v>1572.199936</v>
      </c>
      <c r="J12" s="331">
        <v>69.686000000000007</v>
      </c>
      <c r="K12" s="331">
        <v>69.746960000000001</v>
      </c>
      <c r="L12" s="330">
        <f t="shared" si="0"/>
        <v>22.541483327732134</v>
      </c>
      <c r="M12" s="330">
        <v>21.93089216423661</v>
      </c>
      <c r="N12" s="330">
        <v>2.7391268137869558</v>
      </c>
    </row>
    <row r="13" spans="1:28">
      <c r="A13" s="333" t="s">
        <v>425</v>
      </c>
      <c r="B13" s="330">
        <v>24.03</v>
      </c>
      <c r="C13" s="330">
        <v>3807.0976989599999</v>
      </c>
      <c r="D13" s="330">
        <v>3204.8746989599999</v>
      </c>
      <c r="E13" s="330" t="s">
        <v>423</v>
      </c>
      <c r="F13" s="330">
        <v>7.4034560798726687</v>
      </c>
      <c r="G13" s="330">
        <v>5.9681093090502788</v>
      </c>
      <c r="H13" s="331">
        <v>417.08699999999999</v>
      </c>
      <c r="I13" s="330">
        <f>1999697024/1000000</f>
        <v>1999.6970240000001</v>
      </c>
      <c r="J13" s="331">
        <v>158.43104</v>
      </c>
      <c r="K13" s="330">
        <v>133.88579999999999</v>
      </c>
      <c r="L13" s="330">
        <f t="shared" si="0"/>
        <v>14.935841022722352</v>
      </c>
      <c r="M13" s="330">
        <v>14.919276155387399</v>
      </c>
      <c r="N13" s="330">
        <v>2.0220361799454194</v>
      </c>
    </row>
    <row r="14" spans="1:28">
      <c r="A14" s="333" t="s">
        <v>426</v>
      </c>
      <c r="B14" s="330">
        <v>15.21758</v>
      </c>
      <c r="C14" s="330">
        <v>3042.9534265874559</v>
      </c>
      <c r="D14" s="330">
        <v>3029.7892322197795</v>
      </c>
      <c r="E14" s="330">
        <v>10.638026357702914</v>
      </c>
      <c r="F14" s="330">
        <v>10.578490180901484</v>
      </c>
      <c r="G14" s="330">
        <v>9.5237581635971136</v>
      </c>
      <c r="H14" s="331">
        <v>296.32195655134268</v>
      </c>
      <c r="I14" s="330">
        <f>1762937236.01272/1000000</f>
        <v>1762.9372360127202</v>
      </c>
      <c r="J14" s="331">
        <v>189.82264000000001</v>
      </c>
      <c r="K14" s="330">
        <v>199.96299999999999</v>
      </c>
      <c r="L14" s="330">
        <f t="shared" si="0"/>
        <v>8.8163171987453683</v>
      </c>
      <c r="M14" s="330">
        <v>21.243299858295853</v>
      </c>
      <c r="N14" s="330">
        <v>1.6629616656740687</v>
      </c>
    </row>
    <row r="15" spans="1:28">
      <c r="A15" s="332" t="s">
        <v>427</v>
      </c>
      <c r="B15" s="330">
        <v>4.1684659999999996</v>
      </c>
      <c r="C15" s="330">
        <v>1080.4969391038737</v>
      </c>
      <c r="D15" s="330">
        <v>1117.8491390663598</v>
      </c>
      <c r="E15" s="330">
        <v>13.183676021798362</v>
      </c>
      <c r="F15" s="330">
        <v>13.049609659974402</v>
      </c>
      <c r="G15" s="330">
        <v>9.9034867800787385</v>
      </c>
      <c r="H15" s="331">
        <v>78.420597067627995</v>
      </c>
      <c r="I15" s="330">
        <f>395001616.332687/1000000</f>
        <v>395.00161633268704</v>
      </c>
      <c r="J15" s="331">
        <v>259.20732800000002</v>
      </c>
      <c r="K15" s="330">
        <v>259.20729999999998</v>
      </c>
      <c r="L15" s="330">
        <f t="shared" si="0"/>
        <v>1.5238830709346807</v>
      </c>
      <c r="M15" s="330">
        <v>93.821390449180626</v>
      </c>
      <c r="N15" s="330">
        <v>2.6587440918180145</v>
      </c>
    </row>
    <row r="16" spans="1:28" s="345" customFormat="1">
      <c r="A16" s="25" t="s">
        <v>604</v>
      </c>
      <c r="B16" s="334">
        <f>AVERAGE(B7:B15)</f>
        <v>97.275371777777764</v>
      </c>
      <c r="C16" s="334">
        <f t="shared" ref="C16:N16" si="1">AVERAGE(C7:C15)</f>
        <v>11693.28981949111</v>
      </c>
      <c r="D16" s="334">
        <f t="shared" si="1"/>
        <v>11868.699217701893</v>
      </c>
      <c r="E16" s="334">
        <f t="shared" si="1"/>
        <v>13.88190463515792</v>
      </c>
      <c r="F16" s="334">
        <f t="shared" si="1"/>
        <v>13.365203352020712</v>
      </c>
      <c r="G16" s="334">
        <f t="shared" si="1"/>
        <v>11.517937566343599</v>
      </c>
      <c r="H16" s="334">
        <f t="shared" si="1"/>
        <v>754.27554868766163</v>
      </c>
      <c r="I16" s="334">
        <f t="shared" si="1"/>
        <v>2406.9460466668988</v>
      </c>
      <c r="J16" s="334">
        <f t="shared" si="1"/>
        <v>207.17734222222219</v>
      </c>
      <c r="K16" s="334">
        <f t="shared" si="1"/>
        <v>176.80829111111109</v>
      </c>
      <c r="L16" s="334">
        <f t="shared" si="1"/>
        <v>26.329157701154898</v>
      </c>
      <c r="M16" s="334">
        <f t="shared" si="1"/>
        <v>35.234459078744294</v>
      </c>
      <c r="N16" s="334">
        <f t="shared" si="1"/>
        <v>3.8841890313287806</v>
      </c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</row>
    <row r="17" spans="1:28" s="345" customFormat="1">
      <c r="A17" s="333" t="s">
        <v>605</v>
      </c>
      <c r="B17" s="335">
        <f>_xlfn.QUARTILE.EXC(B7:B15,1)</f>
        <v>15.83379</v>
      </c>
      <c r="C17" s="335">
        <f t="shared" ref="C17:N17" si="2">_xlfn.QUARTILE.EXC(C7:C15,1)</f>
        <v>3425.0255627737279</v>
      </c>
      <c r="D17" s="335">
        <f t="shared" si="2"/>
        <v>3117.3319655898895</v>
      </c>
      <c r="E17" s="335">
        <f t="shared" si="2"/>
        <v>11.351606848768814</v>
      </c>
      <c r="F17" s="335">
        <f t="shared" si="2"/>
        <v>10.906581262841463</v>
      </c>
      <c r="G17" s="335">
        <f t="shared" si="2"/>
        <v>9.713622471837926</v>
      </c>
      <c r="H17" s="335">
        <f t="shared" si="2"/>
        <v>308.65697827567135</v>
      </c>
      <c r="I17" s="335">
        <f t="shared" si="2"/>
        <v>1485.0044800000001</v>
      </c>
      <c r="J17" s="335">
        <f t="shared" si="2"/>
        <v>102.58200000000001</v>
      </c>
      <c r="K17" s="335">
        <f t="shared" si="2"/>
        <v>97.674029999999988</v>
      </c>
      <c r="L17" s="335">
        <f t="shared" si="2"/>
        <v>9.0374036935787139</v>
      </c>
      <c r="M17" s="335">
        <f t="shared" si="2"/>
        <v>21.587096011266233</v>
      </c>
      <c r="N17" s="335">
        <f t="shared" si="2"/>
        <v>2.3403901358817167</v>
      </c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</row>
    <row r="18" spans="1:28" s="345" customFormat="1">
      <c r="A18" s="333" t="s">
        <v>606</v>
      </c>
      <c r="B18" s="335">
        <f>MEDIAN(B7:B15)</f>
        <v>60.09</v>
      </c>
      <c r="C18" s="335">
        <f t="shared" ref="C18:D18" si="3">MEDIAN(C7:C15)</f>
        <v>6166.9223593616434</v>
      </c>
      <c r="D18" s="335">
        <f t="shared" si="3"/>
        <v>5921.2551239673685</v>
      </c>
      <c r="E18" s="335">
        <f>MEDIAN(E6:E15)</f>
        <v>14.435391307186546</v>
      </c>
      <c r="F18" s="335">
        <f t="shared" ref="F18:N18" si="4">MEDIAN(F6:F15)</f>
        <v>13.947809716765736</v>
      </c>
      <c r="G18" s="335">
        <f t="shared" si="4"/>
        <v>12.607109731178976</v>
      </c>
      <c r="H18" s="335">
        <f t="shared" si="4"/>
        <v>467.96299999999997</v>
      </c>
      <c r="I18" s="335">
        <f t="shared" si="4"/>
        <v>1937.9970815838951</v>
      </c>
      <c r="J18" s="335">
        <f t="shared" si="4"/>
        <v>196.239992</v>
      </c>
      <c r="K18" s="335">
        <f t="shared" si="4"/>
        <v>192.45675</v>
      </c>
      <c r="L18" s="335">
        <f t="shared" si="4"/>
        <v>11.035592901920843</v>
      </c>
      <c r="M18" s="335">
        <f t="shared" si="4"/>
        <v>25.28987822638355</v>
      </c>
      <c r="N18" s="335">
        <f t="shared" si="4"/>
        <v>3.4084979493610783</v>
      </c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</row>
    <row r="19" spans="1:28" s="345" customFormat="1">
      <c r="A19" s="333" t="s">
        <v>607</v>
      </c>
      <c r="B19" s="335">
        <f>_xlfn.QUARTILE.EXC(B7:B15,3)</f>
        <v>142.92099999999999</v>
      </c>
      <c r="C19" s="335">
        <f t="shared" ref="C19:N19" si="5">_xlfn.QUARTILE.EXC(C7:C15,3)</f>
        <v>16929.13124078</v>
      </c>
      <c r="D19" s="335">
        <f t="shared" si="5"/>
        <v>18019.457557465001</v>
      </c>
      <c r="E19" s="335">
        <f t="shared" si="5"/>
        <v>15.003493487670367</v>
      </c>
      <c r="F19" s="335">
        <f t="shared" si="5"/>
        <v>16.510206010222518</v>
      </c>
      <c r="G19" s="335">
        <f t="shared" si="5"/>
        <v>13.897281021557092</v>
      </c>
      <c r="H19" s="335">
        <f t="shared" si="5"/>
        <v>1208.4475000000002</v>
      </c>
      <c r="I19" s="335">
        <f t="shared" si="5"/>
        <v>2834.0549759999999</v>
      </c>
      <c r="J19" s="335">
        <f t="shared" si="5"/>
        <v>326.25800000000004</v>
      </c>
      <c r="K19" s="335">
        <f t="shared" si="5"/>
        <v>234.21174999999999</v>
      </c>
      <c r="L19" s="335">
        <f t="shared" si="5"/>
        <v>27.977054302392361</v>
      </c>
      <c r="M19" s="335">
        <f t="shared" si="5"/>
        <v>41.393617355384507</v>
      </c>
      <c r="N19" s="335">
        <f t="shared" si="5"/>
        <v>6.0025282217725735</v>
      </c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</row>
    <row r="20" spans="1:28">
      <c r="A20" s="1" t="s">
        <v>429</v>
      </c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</row>
    <row r="21" spans="1:28"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N21" s="346"/>
    </row>
    <row r="22" spans="1:28">
      <c r="B22" s="346"/>
      <c r="C22" s="346"/>
      <c r="D22" s="346"/>
      <c r="E22" s="346"/>
      <c r="F22" s="346"/>
      <c r="G22" s="346"/>
      <c r="H22" s="346"/>
      <c r="I22" s="346"/>
      <c r="J22" s="331"/>
      <c r="K22" s="330"/>
      <c r="N22" s="346"/>
    </row>
    <row r="23" spans="1:28">
      <c r="A23" s="356" t="s">
        <v>521</v>
      </c>
      <c r="B23" s="346"/>
      <c r="C23" s="347"/>
      <c r="D23" s="347"/>
      <c r="E23" s="346"/>
      <c r="F23" s="346"/>
      <c r="G23" s="346"/>
      <c r="H23" s="346"/>
      <c r="I23" s="346"/>
      <c r="J23" s="346"/>
      <c r="K23" s="346"/>
      <c r="N23" s="346"/>
    </row>
    <row r="24" spans="1:28" ht="14.5" customHeight="1">
      <c r="A24" s="13" t="s">
        <v>403</v>
      </c>
      <c r="B24" s="659" t="s">
        <v>430</v>
      </c>
      <c r="C24" s="658" t="s">
        <v>431</v>
      </c>
      <c r="D24" s="658" t="s">
        <v>432</v>
      </c>
      <c r="E24" s="658" t="s">
        <v>433</v>
      </c>
      <c r="F24" s="659" t="s">
        <v>434</v>
      </c>
      <c r="G24" s="658" t="s">
        <v>435</v>
      </c>
      <c r="H24" s="658" t="s">
        <v>436</v>
      </c>
    </row>
    <row r="25" spans="1:28">
      <c r="A25" s="13" t="s">
        <v>52</v>
      </c>
      <c r="B25" s="660"/>
      <c r="C25" s="658"/>
      <c r="D25" s="658"/>
      <c r="E25" s="658"/>
      <c r="F25" s="659"/>
      <c r="G25" s="661"/>
      <c r="H25" s="658"/>
    </row>
    <row r="26" spans="1:28">
      <c r="A26" s="329" t="s">
        <v>417</v>
      </c>
      <c r="B26" s="331">
        <f t="shared" ref="B26:B35" si="6">D6</f>
        <v>84259.707235879992</v>
      </c>
      <c r="C26" s="331">
        <f t="shared" ref="C26:C35" si="7">H6</f>
        <v>5341</v>
      </c>
      <c r="D26" s="331">
        <f>B26/F26</f>
        <v>5341</v>
      </c>
      <c r="E26" s="331">
        <f>B26/C26</f>
        <v>15.776017082171876</v>
      </c>
      <c r="F26" s="331">
        <f>E6</f>
        <v>15.776017082171876</v>
      </c>
      <c r="G26" s="348"/>
      <c r="H26" s="349"/>
    </row>
    <row r="27" spans="1:28">
      <c r="A27" s="329" t="s">
        <v>418</v>
      </c>
      <c r="B27" s="331">
        <f t="shared" si="6"/>
        <v>46447.939340163546</v>
      </c>
      <c r="C27" s="331">
        <f t="shared" si="7"/>
        <v>2367.9243845699825</v>
      </c>
      <c r="D27" s="331">
        <f t="shared" ref="D27:D35" si="8">B27/F27</f>
        <v>2562.5393007770804</v>
      </c>
      <c r="E27" s="331">
        <f t="shared" ref="E27:E35" si="9">B27/C27</f>
        <v>19.615465613188718</v>
      </c>
      <c r="F27" s="331">
        <f>E7</f>
        <v>18.125747115791896</v>
      </c>
      <c r="G27" s="349">
        <f>E27*$C$26</f>
        <v>104766.20184004094</v>
      </c>
      <c r="H27" s="349">
        <f>F27*$D$26</f>
        <v>96809.615345444516</v>
      </c>
    </row>
    <row r="28" spans="1:28">
      <c r="A28" s="332" t="s">
        <v>419</v>
      </c>
      <c r="B28" s="331">
        <f t="shared" si="6"/>
        <v>28337.12815715</v>
      </c>
      <c r="C28" s="331">
        <f t="shared" si="7"/>
        <v>1888.7020000000002</v>
      </c>
      <c r="D28" s="331">
        <f t="shared" si="8"/>
        <v>1888.7020000000002</v>
      </c>
      <c r="E28" s="331">
        <f t="shared" si="9"/>
        <v>15.003493487670367</v>
      </c>
      <c r="F28" s="331">
        <f>E8</f>
        <v>15.003493487670367</v>
      </c>
      <c r="G28" s="349">
        <f t="shared" ref="G28:G35" si="10">E28*$C$26</f>
        <v>80133.658717647428</v>
      </c>
      <c r="H28" s="349">
        <f t="shared" ref="H28:H35" si="11">F28*$D$26</f>
        <v>80133.658717647428</v>
      </c>
    </row>
    <row r="29" spans="1:28">
      <c r="A29" s="332" t="s">
        <v>420</v>
      </c>
      <c r="B29" s="331">
        <f t="shared" si="6"/>
        <v>7413.8953244100012</v>
      </c>
      <c r="C29" s="331">
        <f t="shared" si="7"/>
        <v>518.83899999999994</v>
      </c>
      <c r="D29" s="331">
        <f t="shared" si="8"/>
        <v>518.83899999999994</v>
      </c>
      <c r="E29" s="331">
        <f t="shared" si="9"/>
        <v>14.289394830400186</v>
      </c>
      <c r="F29" s="331">
        <f>E9</f>
        <v>14.289394830400186</v>
      </c>
      <c r="G29" s="349">
        <f t="shared" si="10"/>
        <v>76319.657789167395</v>
      </c>
      <c r="H29" s="349">
        <f t="shared" si="11"/>
        <v>76319.657789167395</v>
      </c>
    </row>
    <row r="30" spans="1:28">
      <c r="A30" s="332" t="s">
        <v>421</v>
      </c>
      <c r="B30" s="331">
        <f t="shared" si="6"/>
        <v>7701.7869577800002</v>
      </c>
      <c r="C30" s="331">
        <f t="shared" si="7"/>
        <v>528.19299999999998</v>
      </c>
      <c r="D30" s="331">
        <f t="shared" si="8"/>
        <v>528.19299999999998</v>
      </c>
      <c r="E30" s="331">
        <f t="shared" si="9"/>
        <v>14.581387783972904</v>
      </c>
      <c r="F30" s="331">
        <f>E10</f>
        <v>14.581387783972904</v>
      </c>
      <c r="G30" s="349">
        <f t="shared" si="10"/>
        <v>77879.192154199278</v>
      </c>
      <c r="H30" s="349">
        <f t="shared" si="11"/>
        <v>77879.192154199278</v>
      </c>
    </row>
    <row r="31" spans="1:28">
      <c r="A31" s="332" t="s">
        <v>422</v>
      </c>
      <c r="B31" s="331">
        <f t="shared" si="6"/>
        <v>5921.2551239673685</v>
      </c>
      <c r="C31" s="331">
        <f t="shared" si="7"/>
        <v>372</v>
      </c>
      <c r="D31" s="331">
        <f t="shared" si="8"/>
        <v>350.60951231903454</v>
      </c>
      <c r="E31" s="331">
        <f t="shared" si="9"/>
        <v>15.917352483783249</v>
      </c>
      <c r="F31" s="331">
        <f>F11</f>
        <v>16.888461139580738</v>
      </c>
      <c r="G31" s="349">
        <f t="shared" si="10"/>
        <v>85014.579615886338</v>
      </c>
      <c r="H31" s="349">
        <f t="shared" si="11"/>
        <v>90201.270946500721</v>
      </c>
    </row>
    <row r="32" spans="1:28">
      <c r="A32" s="333" t="s">
        <v>424</v>
      </c>
      <c r="B32" s="331">
        <f t="shared" si="6"/>
        <v>3643.7749855999991</v>
      </c>
      <c r="C32" s="331">
        <f t="shared" si="7"/>
        <v>320.99200000000002</v>
      </c>
      <c r="D32" s="331">
        <f t="shared" si="8"/>
        <v>320.99200000000002</v>
      </c>
      <c r="E32" s="331">
        <f t="shared" si="9"/>
        <v>11.351606848768814</v>
      </c>
      <c r="F32" s="331">
        <f>E12</f>
        <v>11.351606848768814</v>
      </c>
      <c r="G32" s="349">
        <f t="shared" si="10"/>
        <v>60628.932179274234</v>
      </c>
      <c r="H32" s="349">
        <f t="shared" si="11"/>
        <v>60628.932179274234</v>
      </c>
    </row>
    <row r="33" spans="1:14">
      <c r="A33" s="333" t="s">
        <v>425</v>
      </c>
      <c r="B33" s="331">
        <f t="shared" si="6"/>
        <v>3204.8746989599999</v>
      </c>
      <c r="C33" s="331">
        <f t="shared" si="7"/>
        <v>417.08699999999999</v>
      </c>
      <c r="D33" s="331">
        <f t="shared" si="8"/>
        <v>432.88900000000001</v>
      </c>
      <c r="E33" s="331">
        <f t="shared" si="9"/>
        <v>7.68394771105309</v>
      </c>
      <c r="F33" s="331">
        <f>F13</f>
        <v>7.4034560798726687</v>
      </c>
      <c r="G33" s="349">
        <f t="shared" si="10"/>
        <v>41039.964724734557</v>
      </c>
      <c r="H33" s="349">
        <f t="shared" si="11"/>
        <v>39541.858922599924</v>
      </c>
    </row>
    <row r="34" spans="1:14">
      <c r="A34" s="333" t="s">
        <v>426</v>
      </c>
      <c r="B34" s="331">
        <f t="shared" si="6"/>
        <v>3029.7892322197795</v>
      </c>
      <c r="C34" s="331">
        <f t="shared" si="7"/>
        <v>296.32195655134268</v>
      </c>
      <c r="D34" s="331">
        <f t="shared" si="8"/>
        <v>284.80745679163806</v>
      </c>
      <c r="E34" s="331">
        <f t="shared" si="9"/>
        <v>10.224653169414459</v>
      </c>
      <c r="F34" s="331">
        <f>E14</f>
        <v>10.638026357702914</v>
      </c>
      <c r="G34" s="349">
        <f t="shared" si="10"/>
        <v>54609.872577842631</v>
      </c>
      <c r="H34" s="349">
        <f t="shared" si="11"/>
        <v>56817.698776491263</v>
      </c>
    </row>
    <row r="35" spans="1:14">
      <c r="A35" s="332" t="s">
        <v>427</v>
      </c>
      <c r="B35" s="331">
        <f t="shared" si="6"/>
        <v>1117.8491390663598</v>
      </c>
      <c r="C35" s="331">
        <f t="shared" si="7"/>
        <v>78.420597067627995</v>
      </c>
      <c r="D35" s="331">
        <f t="shared" si="8"/>
        <v>84.790398157393128</v>
      </c>
      <c r="E35" s="331">
        <f t="shared" si="9"/>
        <v>14.254534916411746</v>
      </c>
      <c r="F35" s="331">
        <f>E15</f>
        <v>13.183676021798362</v>
      </c>
      <c r="G35" s="349">
        <f t="shared" si="10"/>
        <v>76133.470988555142</v>
      </c>
      <c r="H35" s="349">
        <f t="shared" si="11"/>
        <v>70414.013632425049</v>
      </c>
    </row>
    <row r="36" spans="1:14">
      <c r="A36" s="337" t="s">
        <v>437</v>
      </c>
      <c r="B36" s="338">
        <f>MEDIAN(B27:B35)</f>
        <v>5921.2551239673685</v>
      </c>
      <c r="C36" s="338">
        <f t="shared" ref="C36:H36" si="12">MEDIAN(C27:C35)</f>
        <v>417.08699999999999</v>
      </c>
      <c r="D36" s="338">
        <f t="shared" si="12"/>
        <v>432.88900000000001</v>
      </c>
      <c r="E36" s="338">
        <f t="shared" si="12"/>
        <v>14.289394830400186</v>
      </c>
      <c r="F36" s="338">
        <f t="shared" si="12"/>
        <v>14.289394830400186</v>
      </c>
      <c r="G36" s="338">
        <f t="shared" si="12"/>
        <v>76319.657789167395</v>
      </c>
      <c r="H36" s="338">
        <f t="shared" si="12"/>
        <v>76319.657789167395</v>
      </c>
    </row>
    <row r="37" spans="1:14" ht="15">
      <c r="A37" s="333" t="s">
        <v>605</v>
      </c>
      <c r="B37" s="335">
        <f>_xlfn.QUARTILE.EXC(B27:B35,1)</f>
        <v>3117.3319655898895</v>
      </c>
      <c r="C37" s="335">
        <f t="shared" ref="C37:H37" si="13">_xlfn.QUARTILE.EXC(C27:C35,1)</f>
        <v>308.65697827567135</v>
      </c>
      <c r="D37" s="335">
        <f t="shared" si="13"/>
        <v>302.89972839581901</v>
      </c>
      <c r="E37" s="335">
        <f t="shared" si="13"/>
        <v>10.788130009091637</v>
      </c>
      <c r="F37" s="335">
        <f t="shared" si="13"/>
        <v>10.994816603235865</v>
      </c>
      <c r="G37" s="335">
        <f t="shared" si="13"/>
        <v>57619.402378558429</v>
      </c>
      <c r="H37" s="335">
        <f t="shared" si="13"/>
        <v>58723.315477882745</v>
      </c>
      <c r="I37"/>
      <c r="J37"/>
      <c r="K37"/>
      <c r="L37"/>
      <c r="M37"/>
      <c r="N37"/>
    </row>
    <row r="38" spans="1:14" ht="15">
      <c r="A38" s="333" t="s">
        <v>607</v>
      </c>
      <c r="B38" s="335">
        <f t="shared" ref="B38:H38" si="14">_xlfn.QUARTILE.EXC(B27:B35,3)</f>
        <v>18019.457557465001</v>
      </c>
      <c r="C38" s="335">
        <f t="shared" si="14"/>
        <v>1208.4475000000002</v>
      </c>
      <c r="D38" s="335">
        <f t="shared" si="14"/>
        <v>1208.4475000000002</v>
      </c>
      <c r="E38" s="335">
        <f t="shared" si="14"/>
        <v>15.460422985726808</v>
      </c>
      <c r="F38" s="335">
        <f t="shared" si="14"/>
        <v>15.945977313625551</v>
      </c>
      <c r="G38" s="335">
        <f t="shared" si="14"/>
        <v>82574.119166766875</v>
      </c>
      <c r="H38" s="335">
        <f t="shared" si="14"/>
        <v>85167.464832074067</v>
      </c>
      <c r="I38"/>
      <c r="J38"/>
      <c r="K38"/>
      <c r="L38"/>
      <c r="M38"/>
      <c r="N38"/>
    </row>
    <row r="39" spans="1:14" ht="15">
      <c r="A39" s="1" t="s">
        <v>429</v>
      </c>
      <c r="B39" s="1"/>
      <c r="C39" s="1"/>
      <c r="D39" s="1"/>
      <c r="E39" s="1"/>
      <c r="F39" s="1"/>
      <c r="G39" s="1"/>
      <c r="H39" s="1"/>
      <c r="I39"/>
      <c r="J39"/>
      <c r="K39"/>
      <c r="L39"/>
      <c r="M39"/>
      <c r="N39"/>
    </row>
    <row r="42" spans="1:14">
      <c r="A42" s="356" t="s">
        <v>522</v>
      </c>
      <c r="C42" s="350"/>
      <c r="D42" s="350"/>
      <c r="F42" s="350"/>
      <c r="H42" s="351"/>
    </row>
    <row r="43" spans="1:14" ht="14.5" customHeight="1">
      <c r="A43" s="13" t="s">
        <v>403</v>
      </c>
      <c r="B43" s="662" t="s">
        <v>404</v>
      </c>
      <c r="C43" s="659" t="s">
        <v>438</v>
      </c>
      <c r="D43" s="659" t="s">
        <v>439</v>
      </c>
      <c r="E43" s="658" t="s">
        <v>440</v>
      </c>
      <c r="F43" s="658" t="s">
        <v>441</v>
      </c>
      <c r="G43" s="658" t="s">
        <v>442</v>
      </c>
      <c r="H43" s="658" t="s">
        <v>443</v>
      </c>
      <c r="I43" s="658" t="s">
        <v>444</v>
      </c>
      <c r="J43" s="658" t="s">
        <v>445</v>
      </c>
    </row>
    <row r="44" spans="1:14">
      <c r="A44" s="13" t="s">
        <v>52</v>
      </c>
      <c r="B44" s="662"/>
      <c r="C44" s="659"/>
      <c r="D44" s="659"/>
      <c r="E44" s="658"/>
      <c r="F44" s="658"/>
      <c r="G44" s="658"/>
      <c r="H44" s="658"/>
      <c r="I44" s="658"/>
      <c r="J44" s="658"/>
    </row>
    <row r="45" spans="1:14">
      <c r="A45" s="329" t="s">
        <v>417</v>
      </c>
      <c r="B45" s="330">
        <f>'Trading Multiples'!B6</f>
        <v>52.69</v>
      </c>
      <c r="C45" s="330">
        <f t="shared" ref="C45:C54" si="15">J6</f>
        <v>1636.9999359999999</v>
      </c>
      <c r="D45" s="330">
        <f>B45*C45</f>
        <v>86253.526627839994</v>
      </c>
      <c r="E45" s="330">
        <f t="shared" ref="E45:E54" si="16">I6</f>
        <v>11992.999936</v>
      </c>
      <c r="F45" s="330">
        <f t="shared" ref="F45:F54" si="17">D45/E45</f>
        <v>7.1919892510737347</v>
      </c>
      <c r="G45" s="330">
        <f t="shared" ref="G45:G54" si="18">N6</f>
        <v>7.1919893064222968</v>
      </c>
      <c r="H45" s="330"/>
      <c r="I45" s="330"/>
      <c r="J45" s="330"/>
    </row>
    <row r="46" spans="1:14">
      <c r="A46" s="329" t="s">
        <v>418</v>
      </c>
      <c r="B46" s="330">
        <f t="shared" ref="B46:B54" si="19">B7</f>
        <v>220.49199999999999</v>
      </c>
      <c r="C46" s="330">
        <f t="shared" si="15"/>
        <v>202.65734399999999</v>
      </c>
      <c r="D46" s="330">
        <f t="shared" ref="D46:D54" si="20">B46*C46</f>
        <v>44684.323093248</v>
      </c>
      <c r="E46" s="330">
        <f t="shared" si="16"/>
        <v>6990.4624924888894</v>
      </c>
      <c r="F46" s="330">
        <f t="shared" si="17"/>
        <v>6.3921840852819685</v>
      </c>
      <c r="G46" s="330">
        <f t="shared" si="18"/>
        <v>6.1810325313566405</v>
      </c>
      <c r="H46" s="330">
        <f>F46*$E$45</f>
        <v>76661.463325686869</v>
      </c>
      <c r="I46" s="330">
        <f>G46*$E$45</f>
        <v>74129.122752974115</v>
      </c>
      <c r="J46" s="330">
        <f t="shared" ref="J46:J54" si="21">I46+$B$79</f>
        <v>77606.122752974115</v>
      </c>
    </row>
    <row r="47" spans="1:14">
      <c r="A47" s="332" t="s">
        <v>419</v>
      </c>
      <c r="B47" s="330">
        <f t="shared" si="19"/>
        <v>65.349999999999994</v>
      </c>
      <c r="C47" s="330">
        <f t="shared" si="15"/>
        <v>393.308672</v>
      </c>
      <c r="D47" s="330">
        <f t="shared" si="20"/>
        <v>25702.721715199998</v>
      </c>
      <c r="E47" s="330">
        <f t="shared" si="16"/>
        <v>3644.3389440000001</v>
      </c>
      <c r="F47" s="330">
        <f t="shared" si="17"/>
        <v>7.0527802463370426</v>
      </c>
      <c r="G47" s="330">
        <f t="shared" si="18"/>
        <v>7.0527801884672581</v>
      </c>
      <c r="H47" s="330">
        <f t="shared" ref="H47:I54" si="22">F47*$E$45</f>
        <v>84583.993042942224</v>
      </c>
      <c r="I47" s="330">
        <f t="shared" si="22"/>
        <v>84583.992348909902</v>
      </c>
      <c r="J47" s="330">
        <f t="shared" si="21"/>
        <v>88060.992348909902</v>
      </c>
    </row>
    <row r="48" spans="1:14">
      <c r="A48" s="332" t="s">
        <v>420</v>
      </c>
      <c r="B48" s="330">
        <f t="shared" si="19"/>
        <v>60.09</v>
      </c>
      <c r="C48" s="330">
        <f t="shared" si="15"/>
        <v>135.47800000000001</v>
      </c>
      <c r="D48" s="330">
        <f t="shared" si="20"/>
        <v>8140.8730200000009</v>
      </c>
      <c r="E48" s="330">
        <f t="shared" si="16"/>
        <v>1397.8090239999999</v>
      </c>
      <c r="F48" s="330">
        <f t="shared" si="17"/>
        <v>5.8240237974025284</v>
      </c>
      <c r="G48" s="330">
        <f t="shared" si="18"/>
        <v>5.8240239121885056</v>
      </c>
      <c r="H48" s="330">
        <f t="shared" si="22"/>
        <v>69847.517029511</v>
      </c>
      <c r="I48" s="330">
        <f t="shared" si="22"/>
        <v>69847.518406139221</v>
      </c>
      <c r="J48" s="330">
        <f t="shared" si="21"/>
        <v>73324.518406139221</v>
      </c>
    </row>
    <row r="49" spans="1:14">
      <c r="A49" s="332" t="s">
        <v>421</v>
      </c>
      <c r="B49" s="330">
        <f t="shared" si="19"/>
        <v>16.45</v>
      </c>
      <c r="C49" s="330">
        <f t="shared" si="15"/>
        <v>440.92259200000001</v>
      </c>
      <c r="D49" s="330">
        <f t="shared" si="20"/>
        <v>7253.1766384000002</v>
      </c>
      <c r="E49" s="330">
        <f t="shared" si="16"/>
        <v>2023.7710079999999</v>
      </c>
      <c r="F49" s="330">
        <f t="shared" si="17"/>
        <v>3.5839907824195891</v>
      </c>
      <c r="G49" s="330">
        <f t="shared" si="18"/>
        <v>3.5839908977830173</v>
      </c>
      <c r="H49" s="330">
        <f t="shared" si="22"/>
        <v>42982.801224182724</v>
      </c>
      <c r="I49" s="330">
        <f t="shared" si="22"/>
        <v>42982.80260773631</v>
      </c>
      <c r="J49" s="330">
        <f t="shared" si="21"/>
        <v>46459.80260773631</v>
      </c>
    </row>
    <row r="50" spans="1:14">
      <c r="A50" s="332" t="s">
        <v>422</v>
      </c>
      <c r="B50" s="330">
        <f t="shared" si="19"/>
        <v>408.88029999999998</v>
      </c>
      <c r="C50" s="330">
        <f t="shared" si="15"/>
        <v>15.082464</v>
      </c>
      <c r="D50" s="330">
        <f t="shared" si="20"/>
        <v>6166.9224050591993</v>
      </c>
      <c r="E50" s="330">
        <f t="shared" si="16"/>
        <v>1876.29713916779</v>
      </c>
      <c r="F50" s="330">
        <f t="shared" si="17"/>
        <v>3.2867514831869684</v>
      </c>
      <c r="G50" s="330">
        <f t="shared" si="18"/>
        <v>3.2330050009391393</v>
      </c>
      <c r="H50" s="330">
        <f t="shared" si="22"/>
        <v>39418.010327509219</v>
      </c>
      <c r="I50" s="330">
        <f t="shared" si="22"/>
        <v>38773.428769350779</v>
      </c>
      <c r="J50" s="330">
        <f t="shared" si="21"/>
        <v>42250.428769350779</v>
      </c>
    </row>
    <row r="51" spans="1:14">
      <c r="A51" s="333" t="s">
        <v>424</v>
      </c>
      <c r="B51" s="330">
        <f t="shared" si="19"/>
        <v>60.8</v>
      </c>
      <c r="C51" s="330">
        <f t="shared" si="15"/>
        <v>69.686000000000007</v>
      </c>
      <c r="D51" s="330">
        <f t="shared" si="20"/>
        <v>4236.9088000000002</v>
      </c>
      <c r="E51" s="330">
        <f t="shared" si="16"/>
        <v>1572.199936</v>
      </c>
      <c r="F51" s="330">
        <f t="shared" si="17"/>
        <v>2.6948918537546613</v>
      </c>
      <c r="G51" s="330">
        <f t="shared" si="18"/>
        <v>2.7391268137869558</v>
      </c>
      <c r="H51" s="330">
        <f t="shared" si="22"/>
        <v>32319.837829606575</v>
      </c>
      <c r="I51" s="330">
        <f t="shared" si="22"/>
        <v>32850.347702442843</v>
      </c>
      <c r="J51" s="330">
        <f t="shared" si="21"/>
        <v>36327.347702442843</v>
      </c>
    </row>
    <row r="52" spans="1:14">
      <c r="A52" s="333" t="s">
        <v>425</v>
      </c>
      <c r="B52" s="330">
        <f t="shared" si="19"/>
        <v>24.03</v>
      </c>
      <c r="C52" s="330">
        <f t="shared" si="15"/>
        <v>158.43104</v>
      </c>
      <c r="D52" s="330">
        <f t="shared" si="20"/>
        <v>3807.0978912</v>
      </c>
      <c r="E52" s="330">
        <f t="shared" si="16"/>
        <v>1999.6970240000001</v>
      </c>
      <c r="F52" s="330">
        <f t="shared" si="17"/>
        <v>1.9038373541131</v>
      </c>
      <c r="G52" s="330">
        <f t="shared" si="18"/>
        <v>2.0220361799454194</v>
      </c>
      <c r="H52" s="330">
        <f t="shared" si="22"/>
        <v>22832.721266032819</v>
      </c>
      <c r="I52" s="330">
        <f t="shared" si="22"/>
        <v>24250.279776675099</v>
      </c>
      <c r="J52" s="330">
        <f t="shared" si="21"/>
        <v>27727.279776675099</v>
      </c>
    </row>
    <row r="53" spans="1:14">
      <c r="A53" s="333" t="s">
        <v>426</v>
      </c>
      <c r="B53" s="330">
        <f t="shared" si="19"/>
        <v>15.21758</v>
      </c>
      <c r="C53" s="330">
        <f t="shared" si="15"/>
        <v>189.82264000000001</v>
      </c>
      <c r="D53" s="330">
        <f t="shared" si="20"/>
        <v>2888.6412100112002</v>
      </c>
      <c r="E53" s="330">
        <f t="shared" si="16"/>
        <v>1762.9372360127202</v>
      </c>
      <c r="F53" s="330">
        <f t="shared" si="17"/>
        <v>1.6385388832925858</v>
      </c>
      <c r="G53" s="330">
        <f t="shared" si="18"/>
        <v>1.6629616656740687</v>
      </c>
      <c r="H53" s="330">
        <f t="shared" si="22"/>
        <v>19650.996722461492</v>
      </c>
      <c r="I53" s="330">
        <f t="shared" si="22"/>
        <v>19943.899149999561</v>
      </c>
      <c r="J53" s="330">
        <f t="shared" si="21"/>
        <v>23420.899149999561</v>
      </c>
    </row>
    <row r="54" spans="1:14">
      <c r="A54" s="332" t="s">
        <v>427</v>
      </c>
      <c r="B54" s="330">
        <f t="shared" si="19"/>
        <v>4.1684659999999996</v>
      </c>
      <c r="C54" s="330">
        <f t="shared" si="15"/>
        <v>259.20732800000002</v>
      </c>
      <c r="D54" s="330">
        <f t="shared" si="20"/>
        <v>1080.4969337188479</v>
      </c>
      <c r="E54" s="330">
        <f t="shared" si="16"/>
        <v>395.00161633268704</v>
      </c>
      <c r="F54" s="330">
        <f t="shared" si="17"/>
        <v>2.7354240819328894</v>
      </c>
      <c r="G54" s="330">
        <f t="shared" si="18"/>
        <v>2.6587440918180145</v>
      </c>
      <c r="H54" s="330">
        <f t="shared" si="22"/>
        <v>32805.940839554001</v>
      </c>
      <c r="I54" s="330">
        <f t="shared" si="22"/>
        <v>31886.317723013828</v>
      </c>
      <c r="J54" s="330">
        <f t="shared" si="21"/>
        <v>35363.317723013824</v>
      </c>
    </row>
    <row r="55" spans="1:14">
      <c r="A55" s="337" t="s">
        <v>437</v>
      </c>
      <c r="B55" s="339">
        <f>MEDIAN(B46:B54)</f>
        <v>60.09</v>
      </c>
      <c r="C55" s="339">
        <f t="shared" ref="C55:J55" si="23">MEDIAN(C46:C54)</f>
        <v>189.82264000000001</v>
      </c>
      <c r="D55" s="339">
        <f t="shared" si="23"/>
        <v>6166.9224050591993</v>
      </c>
      <c r="E55" s="339">
        <f t="shared" si="23"/>
        <v>1876.29713916779</v>
      </c>
      <c r="F55" s="339">
        <f t="shared" si="23"/>
        <v>3.2867514831869684</v>
      </c>
      <c r="G55" s="339">
        <f t="shared" si="23"/>
        <v>3.2330050009391393</v>
      </c>
      <c r="H55" s="339">
        <f t="shared" si="23"/>
        <v>39418.010327509219</v>
      </c>
      <c r="I55" s="339">
        <f t="shared" si="23"/>
        <v>38773.428769350779</v>
      </c>
      <c r="J55" s="339">
        <f t="shared" si="23"/>
        <v>42250.428769350779</v>
      </c>
    </row>
    <row r="56" spans="1:14" ht="15">
      <c r="A56" s="333" t="s">
        <v>605</v>
      </c>
      <c r="B56" s="335">
        <f>_xlfn.QUARTILE.EXC(B46:B54,1)</f>
        <v>15.83379</v>
      </c>
      <c r="C56" s="335">
        <f t="shared" ref="C56:J56" si="24">_xlfn.QUARTILE.EXC(C46:C54,1)</f>
        <v>102.58200000000001</v>
      </c>
      <c r="D56" s="335">
        <f t="shared" si="24"/>
        <v>3347.8695506056001</v>
      </c>
      <c r="E56" s="335">
        <f t="shared" si="24"/>
        <v>1485.0044800000001</v>
      </c>
      <c r="F56" s="335">
        <f t="shared" si="24"/>
        <v>2.2993646039338804</v>
      </c>
      <c r="G56" s="335">
        <f t="shared" si="24"/>
        <v>2.3403901358817167</v>
      </c>
      <c r="H56" s="335">
        <f t="shared" si="24"/>
        <v>27576.279547819697</v>
      </c>
      <c r="I56" s="335">
        <f t="shared" si="24"/>
        <v>28068.298749844464</v>
      </c>
      <c r="J56" s="335">
        <f t="shared" si="24"/>
        <v>31545.298749844464</v>
      </c>
      <c r="K56"/>
      <c r="L56"/>
      <c r="M56"/>
      <c r="N56"/>
    </row>
    <row r="57" spans="1:14" ht="15">
      <c r="A57" s="333" t="s">
        <v>607</v>
      </c>
      <c r="B57" s="335">
        <f t="shared" ref="B57:J57" si="25">_xlfn.QUARTILE.EXC(B46:B54,3)</f>
        <v>142.92099999999999</v>
      </c>
      <c r="C57" s="335">
        <f t="shared" si="25"/>
        <v>326.25800000000004</v>
      </c>
      <c r="D57" s="335">
        <f t="shared" si="25"/>
        <v>16921.797367599997</v>
      </c>
      <c r="E57" s="335">
        <f t="shared" si="25"/>
        <v>2834.0549759999999</v>
      </c>
      <c r="F57" s="335">
        <f t="shared" si="25"/>
        <v>6.1081039413422484</v>
      </c>
      <c r="G57" s="335">
        <f t="shared" si="25"/>
        <v>6.0025282217725735</v>
      </c>
      <c r="H57" s="335">
        <f t="shared" si="25"/>
        <v>73254.490177598927</v>
      </c>
      <c r="I57" s="335">
        <f t="shared" si="25"/>
        <v>71988.320579556661</v>
      </c>
      <c r="J57" s="335">
        <f t="shared" si="25"/>
        <v>75465.320579556661</v>
      </c>
      <c r="K57"/>
      <c r="L57"/>
      <c r="M57"/>
      <c r="N57"/>
    </row>
    <row r="58" spans="1:14">
      <c r="A58" s="1" t="s">
        <v>429</v>
      </c>
      <c r="B58" s="1"/>
      <c r="C58" s="1"/>
      <c r="D58" s="1"/>
      <c r="E58" s="1"/>
      <c r="F58" s="1"/>
      <c r="G58" s="1"/>
      <c r="H58" s="1"/>
      <c r="I58" s="1"/>
      <c r="J58" s="1"/>
    </row>
    <row r="59" spans="1:14" ht="14.5" customHeight="1"/>
    <row r="61" spans="1:14">
      <c r="A61" s="356" t="s">
        <v>523</v>
      </c>
    </row>
    <row r="62" spans="1:14">
      <c r="A62" s="13" t="s">
        <v>403</v>
      </c>
      <c r="B62" s="662" t="s">
        <v>404</v>
      </c>
      <c r="C62" s="658" t="s">
        <v>446</v>
      </c>
      <c r="D62" s="658" t="s">
        <v>447</v>
      </c>
      <c r="E62" s="658" t="s">
        <v>448</v>
      </c>
      <c r="F62" s="658" t="s">
        <v>449</v>
      </c>
      <c r="G62" s="658" t="s">
        <v>439</v>
      </c>
      <c r="H62" s="658" t="s">
        <v>450</v>
      </c>
      <c r="I62" s="658" t="s">
        <v>436</v>
      </c>
      <c r="J62" s="658" t="s">
        <v>436</v>
      </c>
    </row>
    <row r="63" spans="1:14">
      <c r="A63" s="13" t="s">
        <v>52</v>
      </c>
      <c r="B63" s="662"/>
      <c r="C63" s="658"/>
      <c r="D63" s="658"/>
      <c r="E63" s="658"/>
      <c r="F63" s="661"/>
      <c r="G63" s="661"/>
      <c r="H63" s="661"/>
      <c r="I63" s="661"/>
      <c r="J63" s="658"/>
    </row>
    <row r="64" spans="1:14">
      <c r="A64" s="329" t="s">
        <v>417</v>
      </c>
      <c r="B64" s="330">
        <f t="shared" ref="B64:B73" si="26">B6</f>
        <v>52.69</v>
      </c>
      <c r="C64" s="330">
        <v>2.3500000238418601</v>
      </c>
      <c r="D64" s="330">
        <f>B64/C64</f>
        <v>22.421276368270238</v>
      </c>
      <c r="E64" s="330">
        <f t="shared" ref="E64:E73" si="27">M6</f>
        <v>22.421276011365524</v>
      </c>
      <c r="F64" s="330">
        <f>$C$64*E64</f>
        <v>52.68999916127391</v>
      </c>
      <c r="G64" s="330"/>
      <c r="H64" s="330"/>
      <c r="I64" s="330"/>
      <c r="J64" s="330"/>
    </row>
    <row r="65" spans="1:10">
      <c r="A65" s="329" t="s">
        <v>418</v>
      </c>
      <c r="B65" s="330">
        <f t="shared" si="26"/>
        <v>220.49199999999999</v>
      </c>
      <c r="C65" s="330">
        <v>5.2787512471833198</v>
      </c>
      <c r="D65" s="330">
        <f t="shared" ref="D65:D73" si="28">B65/C65</f>
        <v>41.769727284961938</v>
      </c>
      <c r="E65" s="330">
        <f t="shared" si="27"/>
        <v>31.881570653296986</v>
      </c>
      <c r="F65" s="330">
        <f>$C$64*E65</f>
        <v>74.92169179536387</v>
      </c>
      <c r="G65" s="330">
        <f t="shared" ref="G65:G73" si="29">F65*$B$82</f>
        <v>122646.06025209271</v>
      </c>
      <c r="H65" s="330">
        <f t="shared" ref="H65:H73" si="30">F65*$B$81</f>
        <v>97568.496339423888</v>
      </c>
      <c r="I65" s="330">
        <f>G65+$B$79-$B$80</f>
        <v>122315.06025209271</v>
      </c>
      <c r="J65" s="330">
        <f>H65+$B$79-$B$80</f>
        <v>97237.496339423888</v>
      </c>
    </row>
    <row r="66" spans="1:10">
      <c r="A66" s="332" t="s">
        <v>419</v>
      </c>
      <c r="B66" s="330">
        <f t="shared" si="26"/>
        <v>65.349999999999994</v>
      </c>
      <c r="C66" s="330">
        <v>2.5900000631809199</v>
      </c>
      <c r="D66" s="330">
        <f t="shared" si="28"/>
        <v>25.231659616154644</v>
      </c>
      <c r="E66" s="330">
        <f t="shared" si="27"/>
        <v>22.367987276130535</v>
      </c>
      <c r="F66" s="330">
        <f t="shared" ref="F66:F73" si="31">$C$64*E66</f>
        <v>52.564770632201181</v>
      </c>
      <c r="G66" s="330">
        <f t="shared" si="29"/>
        <v>86048.003877207011</v>
      </c>
      <c r="H66" s="330">
        <f t="shared" si="30"/>
        <v>68453.681545508531</v>
      </c>
      <c r="I66" s="330">
        <f t="shared" ref="I66:I73" si="32">G66+B80-B81</f>
        <v>88553.73087720701</v>
      </c>
      <c r="J66" s="330">
        <f t="shared" ref="J66:J73" si="33">H66+$B$79-$B$80</f>
        <v>68122.681545508531</v>
      </c>
    </row>
    <row r="67" spans="1:10">
      <c r="A67" s="332" t="s">
        <v>420</v>
      </c>
      <c r="B67" s="330">
        <f t="shared" si="26"/>
        <v>60.09</v>
      </c>
      <c r="C67" s="330">
        <v>2.0800000280141799</v>
      </c>
      <c r="D67" s="330">
        <f t="shared" si="28"/>
        <v>28.889422687830056</v>
      </c>
      <c r="E67" s="330">
        <f t="shared" si="27"/>
        <v>28.158480441401579</v>
      </c>
      <c r="F67" s="330">
        <f t="shared" si="31"/>
        <v>66.172429708644259</v>
      </c>
      <c r="G67" s="330">
        <f t="shared" si="29"/>
        <v>108323.60570875356</v>
      </c>
      <c r="H67" s="330">
        <f t="shared" si="30"/>
        <v>86174.568553965277</v>
      </c>
      <c r="I67" s="330">
        <f t="shared" si="32"/>
        <v>107988.88870875355</v>
      </c>
      <c r="J67" s="330">
        <f t="shared" si="33"/>
        <v>85843.568553965277</v>
      </c>
    </row>
    <row r="68" spans="1:10">
      <c r="A68" s="332" t="s">
        <v>421</v>
      </c>
      <c r="B68" s="330">
        <f t="shared" si="26"/>
        <v>16.45</v>
      </c>
      <c r="C68" s="330">
        <v>0.48029001057148002</v>
      </c>
      <c r="D68" s="330">
        <f t="shared" si="28"/>
        <v>34.250139786223599</v>
      </c>
      <c r="E68" s="330">
        <f t="shared" si="27"/>
        <v>34.060088127501608</v>
      </c>
      <c r="F68" s="330">
        <f t="shared" si="31"/>
        <v>80.041207911684637</v>
      </c>
      <c r="G68" s="330">
        <f t="shared" si="29"/>
        <v>131026.65693934863</v>
      </c>
      <c r="H68" s="330">
        <f t="shared" si="30"/>
        <v>104235.50395077329</v>
      </c>
      <c r="I68" s="330">
        <f t="shared" si="32"/>
        <v>132663.64693934863</v>
      </c>
      <c r="J68" s="330">
        <f t="shared" si="33"/>
        <v>103904.50395077329</v>
      </c>
    </row>
    <row r="69" spans="1:10">
      <c r="A69" s="332" t="s">
        <v>422</v>
      </c>
      <c r="B69" s="330">
        <f t="shared" si="26"/>
        <v>408.88029999999998</v>
      </c>
      <c r="C69" s="330">
        <v>7.7565590218473703</v>
      </c>
      <c r="D69" s="330">
        <f t="shared" si="28"/>
        <v>52.714135075661098</v>
      </c>
      <c r="E69" s="330">
        <f t="shared" si="27"/>
        <v>48.727146583267412</v>
      </c>
      <c r="F69" s="330">
        <f t="shared" si="31"/>
        <v>114.50879563242424</v>
      </c>
      <c r="G69" s="330">
        <f t="shared" si="29"/>
        <v>187449.75336232217</v>
      </c>
      <c r="H69" s="330">
        <f t="shared" si="30"/>
        <v>149121.71281462401</v>
      </c>
      <c r="I69" s="330">
        <f t="shared" si="32"/>
        <v>187449.75336232217</v>
      </c>
      <c r="J69" s="330">
        <f t="shared" si="33"/>
        <v>148790.71281462401</v>
      </c>
    </row>
    <row r="70" spans="1:10">
      <c r="A70" s="333" t="s">
        <v>424</v>
      </c>
      <c r="B70" s="330">
        <f t="shared" si="26"/>
        <v>60.8</v>
      </c>
      <c r="C70" s="330">
        <v>2.7199999839067499</v>
      </c>
      <c r="D70" s="330">
        <f t="shared" si="28"/>
        <v>22.352941308724805</v>
      </c>
      <c r="E70" s="330">
        <f t="shared" si="27"/>
        <v>21.93089216423661</v>
      </c>
      <c r="F70" s="330">
        <f t="shared" si="31"/>
        <v>51.537597108829296</v>
      </c>
      <c r="G70" s="330">
        <f t="shared" si="29"/>
        <v>84366.531091182464</v>
      </c>
      <c r="H70" s="330">
        <f t="shared" si="30"/>
        <v>67116.021199706447</v>
      </c>
      <c r="I70" s="330">
        <f t="shared" si="32"/>
        <v>84366.531091182464</v>
      </c>
      <c r="J70" s="330">
        <f t="shared" si="33"/>
        <v>66785.021199706447</v>
      </c>
    </row>
    <row r="71" spans="1:10">
      <c r="A71" s="333" t="s">
        <v>425</v>
      </c>
      <c r="B71" s="330">
        <f t="shared" si="26"/>
        <v>24.03</v>
      </c>
      <c r="C71" s="330">
        <v>1.6099999919533701</v>
      </c>
      <c r="D71" s="330">
        <f t="shared" si="28"/>
        <v>14.925465913105405</v>
      </c>
      <c r="E71" s="330">
        <f t="shared" si="27"/>
        <v>14.919276155387399</v>
      </c>
      <c r="F71" s="330">
        <f t="shared" si="31"/>
        <v>35.060299320863685</v>
      </c>
      <c r="G71" s="330">
        <f t="shared" si="29"/>
        <v>57393.359385260643</v>
      </c>
      <c r="H71" s="330">
        <f t="shared" si="30"/>
        <v>45658.081177479107</v>
      </c>
      <c r="I71" s="330">
        <f t="shared" si="32"/>
        <v>57393.359385260643</v>
      </c>
      <c r="J71" s="330">
        <f t="shared" si="33"/>
        <v>45327.081177479107</v>
      </c>
    </row>
    <row r="72" spans="1:10">
      <c r="A72" s="333" t="s">
        <v>426</v>
      </c>
      <c r="B72" s="330">
        <f t="shared" si="26"/>
        <v>15.21758</v>
      </c>
      <c r="C72" s="330">
        <v>0.69576745311495503</v>
      </c>
      <c r="D72" s="330">
        <f t="shared" si="28"/>
        <v>21.871646815140323</v>
      </c>
      <c r="E72" s="330">
        <f t="shared" si="27"/>
        <v>21.243299858295853</v>
      </c>
      <c r="F72" s="330">
        <f t="shared" si="31"/>
        <v>49.921755173475034</v>
      </c>
      <c r="G72" s="330">
        <f t="shared" si="29"/>
        <v>81721.414001426892</v>
      </c>
      <c r="H72" s="330">
        <f t="shared" si="30"/>
        <v>65011.75387502685</v>
      </c>
      <c r="I72" s="330">
        <f t="shared" si="32"/>
        <v>81721.414001426892</v>
      </c>
      <c r="J72" s="330">
        <f t="shared" si="33"/>
        <v>64680.753875026858</v>
      </c>
    </row>
    <row r="73" spans="1:10">
      <c r="A73" s="596" t="s">
        <v>427</v>
      </c>
      <c r="B73" s="597">
        <f t="shared" si="26"/>
        <v>4.1684659999999996</v>
      </c>
      <c r="C73" s="597">
        <v>4.0883024387874001E-2</v>
      </c>
      <c r="D73" s="597">
        <f t="shared" si="28"/>
        <v>101.96080310624906</v>
      </c>
      <c r="E73" s="597">
        <f t="shared" si="27"/>
        <v>93.821390449180626</v>
      </c>
      <c r="F73" s="597">
        <f t="shared" si="31"/>
        <v>220.48026979245094</v>
      </c>
      <c r="G73" s="597">
        <f t="shared" si="29"/>
        <v>360923.99684754427</v>
      </c>
      <c r="H73" s="597">
        <f t="shared" si="30"/>
        <v>287125.50238342443</v>
      </c>
      <c r="I73" s="597">
        <f t="shared" si="32"/>
        <v>360923.99684754427</v>
      </c>
      <c r="J73" s="597">
        <f t="shared" si="33"/>
        <v>286794.50238342443</v>
      </c>
    </row>
    <row r="74" spans="1:10">
      <c r="A74" s="337" t="s">
        <v>437</v>
      </c>
      <c r="B74" s="339">
        <f>MEDIAN(B65:B72)</f>
        <v>60.445</v>
      </c>
      <c r="C74" s="339">
        <f>MEDIAN(C65:C72)</f>
        <v>2.3350000455975497</v>
      </c>
      <c r="D74" s="339">
        <f t="shared" ref="D74:J74" si="34">MEDIAN(D65:D72)</f>
        <v>27.06054115199235</v>
      </c>
      <c r="E74" s="339">
        <f t="shared" si="34"/>
        <v>25.263233858766057</v>
      </c>
      <c r="F74" s="339">
        <f t="shared" si="34"/>
        <v>59.368600170422724</v>
      </c>
      <c r="G74" s="339">
        <f t="shared" si="34"/>
        <v>97185.804792980285</v>
      </c>
      <c r="H74" s="339">
        <f t="shared" si="34"/>
        <v>77314.125049736904</v>
      </c>
      <c r="I74" s="339">
        <f t="shared" si="34"/>
        <v>98271.30979298029</v>
      </c>
      <c r="J74" s="339">
        <f t="shared" si="34"/>
        <v>76983.125049736904</v>
      </c>
    </row>
    <row r="75" spans="1:10">
      <c r="A75" s="333" t="s">
        <v>605</v>
      </c>
      <c r="B75" s="335">
        <f>_xlfn.QUARTILE.EXC(B65:B72,1)</f>
        <v>18.344999999999999</v>
      </c>
      <c r="C75" s="335">
        <f>_xlfn.QUARTILE.EXC(C65:C72,1)</f>
        <v>0.92432558782455876</v>
      </c>
      <c r="D75" s="335">
        <f t="shared" ref="D75:J75" si="35">_xlfn.QUARTILE.EXC(D65:D72,1)</f>
        <v>21.991970438536445</v>
      </c>
      <c r="E75" s="335">
        <f t="shared" si="35"/>
        <v>21.415197934781041</v>
      </c>
      <c r="F75" s="335">
        <f t="shared" si="35"/>
        <v>50.325715657313602</v>
      </c>
      <c r="G75" s="335">
        <f t="shared" si="35"/>
        <v>82382.693273865792</v>
      </c>
      <c r="H75" s="335">
        <f t="shared" si="35"/>
        <v>65537.820706196755</v>
      </c>
      <c r="I75" s="335">
        <f t="shared" si="35"/>
        <v>82382.693273865792</v>
      </c>
      <c r="J75" s="335">
        <f t="shared" si="35"/>
        <v>65206.820706196755</v>
      </c>
    </row>
    <row r="76" spans="1:10">
      <c r="A76" s="333" t="s">
        <v>607</v>
      </c>
      <c r="B76" s="335">
        <f>_xlfn.QUARTILE.EXC(B65:B72,3)</f>
        <v>181.70650000000001</v>
      </c>
      <c r="C76" s="335">
        <f>_xlfn.QUARTILE.EXC(C65:C72,3)</f>
        <v>4.6390634313641774</v>
      </c>
      <c r="D76" s="335">
        <f t="shared" ref="D76:J76" si="36">_xlfn.QUARTILE.EXC(D65:D72,3)</f>
        <v>39.889830410277355</v>
      </c>
      <c r="E76" s="335">
        <f t="shared" si="36"/>
        <v>33.515458758950452</v>
      </c>
      <c r="F76" s="335">
        <f t="shared" si="36"/>
        <v>78.761328882604445</v>
      </c>
      <c r="G76" s="335">
        <f t="shared" si="36"/>
        <v>128931.50776753464</v>
      </c>
      <c r="H76" s="335">
        <f t="shared" si="36"/>
        <v>102568.75204793594</v>
      </c>
      <c r="I76" s="335">
        <f t="shared" si="36"/>
        <v>130076.50026753465</v>
      </c>
      <c r="J76" s="335">
        <f t="shared" si="36"/>
        <v>102237.75204793594</v>
      </c>
    </row>
    <row r="77" spans="1:10">
      <c r="A77" s="1" t="s">
        <v>429</v>
      </c>
      <c r="B77" s="1"/>
      <c r="C77" s="1"/>
      <c r="D77" s="1"/>
      <c r="E77" s="1"/>
      <c r="F77" s="1"/>
      <c r="G77" s="1"/>
      <c r="H77" s="1"/>
      <c r="I77" s="1"/>
      <c r="J77" s="1"/>
    </row>
    <row r="79" spans="1:10" outlineLevel="1">
      <c r="A79" s="342" t="s">
        <v>451</v>
      </c>
      <c r="B79" s="346">
        <v>3477</v>
      </c>
    </row>
    <row r="80" spans="1:10" outlineLevel="1">
      <c r="A80" s="342" t="s">
        <v>452</v>
      </c>
      <c r="B80" s="346">
        <v>3808</v>
      </c>
    </row>
    <row r="81" spans="1:2" outlineLevel="1">
      <c r="A81" s="342" t="s">
        <v>453</v>
      </c>
      <c r="B81" s="346">
        <v>1302.2729999999999</v>
      </c>
    </row>
    <row r="82" spans="1:2" outlineLevel="1">
      <c r="A82" s="342" t="s">
        <v>55</v>
      </c>
      <c r="B82" s="346">
        <v>1636.99</v>
      </c>
    </row>
  </sheetData>
  <mergeCells count="34">
    <mergeCell ref="I62:I63"/>
    <mergeCell ref="J62:J63"/>
    <mergeCell ref="H43:H44"/>
    <mergeCell ref="I43:I44"/>
    <mergeCell ref="J43:J44"/>
    <mergeCell ref="G62:G63"/>
    <mergeCell ref="H62:H63"/>
    <mergeCell ref="B43:B44"/>
    <mergeCell ref="C43:C44"/>
    <mergeCell ref="D43:D44"/>
    <mergeCell ref="E43:E44"/>
    <mergeCell ref="F43:F44"/>
    <mergeCell ref="G43:G44"/>
    <mergeCell ref="B62:B63"/>
    <mergeCell ref="C62:C63"/>
    <mergeCell ref="D62:D63"/>
    <mergeCell ref="E62:E63"/>
    <mergeCell ref="F62:F63"/>
    <mergeCell ref="L4:L5"/>
    <mergeCell ref="M4:M5"/>
    <mergeCell ref="N4:N5"/>
    <mergeCell ref="B24:B25"/>
    <mergeCell ref="C24:C25"/>
    <mergeCell ref="D24:D25"/>
    <mergeCell ref="E24:E25"/>
    <mergeCell ref="F24:F25"/>
    <mergeCell ref="G24:G25"/>
    <mergeCell ref="H24:H25"/>
    <mergeCell ref="B4:B5"/>
    <mergeCell ref="E4:G4"/>
    <mergeCell ref="H4:H5"/>
    <mergeCell ref="I4:I5"/>
    <mergeCell ref="J4:J5"/>
    <mergeCell ref="K4:K5"/>
  </mergeCells>
  <pageMargins left="0.7" right="0.7" top="0.75" bottom="0.75" header="0.3" footer="0.3"/>
  <pageSetup paperSize="9" orientation="portrait" r:id="rId1"/>
  <ignoredErrors>
    <ignoredError sqref="F31:F32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/>
  </sheetPr>
  <dimension ref="A1:Y109"/>
  <sheetViews>
    <sheetView showGridLines="0" zoomScale="90" zoomScaleNormal="90" workbookViewId="0">
      <pane ySplit="3" topLeftCell="A16" activePane="bottomLeft" state="frozen"/>
      <selection pane="bottomLeft" activeCell="M1" sqref="M1:M1048576"/>
    </sheetView>
  </sheetViews>
  <sheetFormatPr baseColWidth="10" defaultColWidth="8.83203125" defaultRowHeight="15" outlineLevelRow="3"/>
  <cols>
    <col min="1" max="1" width="36.5" style="54" customWidth="1"/>
    <col min="2" max="2" width="16.33203125" style="54" hidden="1" customWidth="1"/>
    <col min="3" max="3" width="11" style="54" bestFit="1" customWidth="1"/>
    <col min="4" max="11" width="10.1640625" style="54" bestFit="1" customWidth="1"/>
    <col min="12" max="12" width="1" style="55" customWidth="1"/>
    <col min="13" max="16" width="11.83203125" style="54" bestFit="1" customWidth="1"/>
    <col min="17" max="17" width="12.83203125" style="54" bestFit="1" customWidth="1"/>
    <col min="18" max="19" width="8.83203125" style="226"/>
    <col min="20" max="16384" width="8.83203125" style="227"/>
  </cols>
  <sheetData>
    <row r="1" spans="1:25" ht="30" customHeight="1">
      <c r="A1" s="53"/>
      <c r="B1" s="53"/>
      <c r="C1" s="53"/>
      <c r="D1" s="53"/>
      <c r="E1" s="53"/>
      <c r="F1" s="53"/>
      <c r="G1" s="53"/>
      <c r="H1" s="53"/>
      <c r="I1" s="53"/>
      <c r="J1" s="53"/>
    </row>
    <row r="2" spans="1:25" ht="21.5" customHeight="1">
      <c r="A2" s="56" t="s">
        <v>159</v>
      </c>
      <c r="B2" s="57"/>
      <c r="C2" s="57"/>
      <c r="D2" s="57"/>
      <c r="E2" s="57"/>
      <c r="F2" s="57"/>
      <c r="G2" s="57"/>
      <c r="H2" s="57"/>
      <c r="I2" s="57"/>
      <c r="J2" s="57"/>
    </row>
    <row r="3" spans="1:25">
      <c r="A3" s="58"/>
      <c r="B3" s="58"/>
      <c r="C3" s="58"/>
      <c r="D3" s="58"/>
      <c r="E3" s="58"/>
      <c r="F3" s="58"/>
      <c r="G3" s="58"/>
      <c r="H3" s="58"/>
      <c r="I3" s="58"/>
      <c r="J3" s="58"/>
      <c r="K3" s="59"/>
      <c r="L3" s="60"/>
    </row>
    <row r="4" spans="1:25" ht="16" thickBot="1">
      <c r="A4" s="61"/>
      <c r="B4" s="648" t="s">
        <v>174</v>
      </c>
      <c r="C4" s="648"/>
      <c r="D4" s="648"/>
      <c r="E4" s="648"/>
      <c r="F4" s="648"/>
      <c r="G4" s="648"/>
      <c r="H4" s="648"/>
      <c r="I4" s="648"/>
      <c r="J4" s="648"/>
      <c r="K4" s="648"/>
      <c r="L4" s="258"/>
      <c r="M4" s="648" t="s">
        <v>175</v>
      </c>
      <c r="N4" s="648"/>
      <c r="O4" s="648"/>
      <c r="P4" s="648"/>
      <c r="Q4" s="648"/>
      <c r="R4" s="169"/>
    </row>
    <row r="5" spans="1:25" s="38" customFormat="1" ht="6" customHeight="1">
      <c r="A5" s="40"/>
      <c r="B5" s="41"/>
      <c r="C5" s="41"/>
      <c r="D5" s="41"/>
      <c r="E5" s="41"/>
      <c r="F5" s="41"/>
      <c r="G5" s="41"/>
      <c r="H5" s="41"/>
      <c r="I5" s="41"/>
      <c r="J5" s="41"/>
    </row>
    <row r="6" spans="1:25">
      <c r="A6" s="63" t="s">
        <v>136</v>
      </c>
      <c r="B6" s="64" t="s">
        <v>51</v>
      </c>
      <c r="C6" s="64" t="s">
        <v>50</v>
      </c>
      <c r="D6" s="64" t="s">
        <v>49</v>
      </c>
      <c r="E6" s="64" t="s">
        <v>48</v>
      </c>
      <c r="F6" s="64" t="s">
        <v>47</v>
      </c>
      <c r="G6" s="64" t="s">
        <v>46</v>
      </c>
      <c r="H6" s="64" t="s">
        <v>45</v>
      </c>
      <c r="I6" s="64" t="s">
        <v>44</v>
      </c>
      <c r="J6" s="64" t="s">
        <v>43</v>
      </c>
      <c r="K6" s="65" t="s">
        <v>42</v>
      </c>
      <c r="L6" s="66"/>
      <c r="M6" s="64" t="s">
        <v>165</v>
      </c>
      <c r="N6" s="64" t="s">
        <v>166</v>
      </c>
      <c r="O6" s="64" t="s">
        <v>167</v>
      </c>
      <c r="P6" s="64" t="s">
        <v>168</v>
      </c>
      <c r="Q6" s="65" t="s">
        <v>169</v>
      </c>
      <c r="R6" s="169"/>
    </row>
    <row r="7" spans="1:25" s="38" customFormat="1" ht="6" customHeight="1">
      <c r="A7" s="40"/>
      <c r="B7" s="41"/>
      <c r="C7" s="41"/>
      <c r="D7" s="41"/>
      <c r="E7" s="41"/>
      <c r="F7" s="41"/>
      <c r="G7" s="41"/>
      <c r="H7" s="41"/>
      <c r="I7" s="41"/>
      <c r="J7" s="41"/>
    </row>
    <row r="8" spans="1:25" ht="16" thickBot="1">
      <c r="A8" s="221" t="s">
        <v>160</v>
      </c>
      <c r="B8" s="222"/>
      <c r="C8" s="222"/>
      <c r="D8" s="222"/>
      <c r="E8" s="222"/>
      <c r="F8" s="222"/>
      <c r="G8" s="222"/>
      <c r="H8" s="222"/>
      <c r="I8" s="222"/>
      <c r="J8" s="222"/>
      <c r="K8" s="223"/>
      <c r="L8" s="62"/>
      <c r="M8" s="224"/>
      <c r="N8" s="224"/>
      <c r="O8" s="224"/>
      <c r="P8" s="224"/>
      <c r="Q8" s="224"/>
      <c r="R8" s="169"/>
      <c r="T8" s="226"/>
      <c r="U8" s="226"/>
      <c r="V8" s="226"/>
      <c r="W8" s="226"/>
      <c r="X8" s="226"/>
      <c r="Y8" s="226"/>
    </row>
    <row r="9" spans="1:25" s="38" customFormat="1" ht="6" customHeight="1">
      <c r="A9" s="40"/>
      <c r="B9" s="41"/>
      <c r="C9" s="41"/>
      <c r="D9" s="41"/>
      <c r="E9" s="41"/>
      <c r="F9" s="41"/>
      <c r="G9" s="41"/>
      <c r="H9" s="41"/>
      <c r="I9" s="41"/>
      <c r="J9" s="41"/>
      <c r="R9" s="478"/>
      <c r="S9" s="479"/>
      <c r="T9" s="479"/>
      <c r="U9" s="479"/>
      <c r="V9" s="479"/>
      <c r="W9" s="479"/>
      <c r="X9" s="479"/>
      <c r="Y9" s="169"/>
    </row>
    <row r="10" spans="1:25" outlineLevel="1">
      <c r="A10" s="236" t="s">
        <v>161</v>
      </c>
      <c r="B10" s="237">
        <v>18627</v>
      </c>
      <c r="C10" s="237">
        <v>19176</v>
      </c>
      <c r="D10" s="237">
        <f>'Income Statement'!D7</f>
        <v>19014</v>
      </c>
      <c r="E10" s="237">
        <f>'Income Statement'!E7</f>
        <v>20862</v>
      </c>
      <c r="F10" s="237">
        <f>'Income Statement'!F7</f>
        <v>24128</v>
      </c>
      <c r="G10" s="237">
        <f>'Income Statement'!G7</f>
        <v>25313</v>
      </c>
      <c r="H10" s="237">
        <f>'Income Statement'!H7</f>
        <v>27799</v>
      </c>
      <c r="I10" s="237">
        <f>'Income Statement'!I7</f>
        <v>30601</v>
      </c>
      <c r="J10" s="237">
        <f>'Income Statement'!J7</f>
        <v>32376</v>
      </c>
      <c r="K10" s="237">
        <f>'Income Statement'!K7</f>
        <v>34350</v>
      </c>
      <c r="L10" s="71"/>
      <c r="M10" s="239">
        <f>$K$10*(1+M11)</f>
        <v>36835.858260475412</v>
      </c>
      <c r="N10" s="239">
        <f>M10*(1+N11)</f>
        <v>39501.614375133468</v>
      </c>
      <c r="O10" s="239">
        <f t="shared" ref="O10:Q10" si="0">N10*(1+O11)</f>
        <v>42360.287283329679</v>
      </c>
      <c r="P10" s="239">
        <f t="shared" si="0"/>
        <v>45425.838085640498</v>
      </c>
      <c r="Q10" s="239">
        <f t="shared" si="0"/>
        <v>48713.238226665475</v>
      </c>
      <c r="R10" s="479"/>
      <c r="S10" s="480"/>
      <c r="T10" s="480" t="str">
        <f>M6</f>
        <v>FY 2018E</v>
      </c>
      <c r="U10" s="480" t="str">
        <f t="shared" ref="U10:X10" si="1">N6</f>
        <v>FY 2019E</v>
      </c>
      <c r="V10" s="480" t="str">
        <f t="shared" si="1"/>
        <v>FY 2020E</v>
      </c>
      <c r="W10" s="480" t="str">
        <f t="shared" si="1"/>
        <v>FY 2021E</v>
      </c>
      <c r="X10" s="480" t="str">
        <f t="shared" si="1"/>
        <v>FY 2022E</v>
      </c>
      <c r="Y10" s="226"/>
    </row>
    <row r="11" spans="1:25">
      <c r="A11" s="640" t="s">
        <v>187</v>
      </c>
      <c r="B11" s="68"/>
      <c r="C11" s="68">
        <f>(C10/B10)-1</f>
        <v>2.9473345144145568E-2</v>
      </c>
      <c r="D11" s="68">
        <f t="shared" ref="D11:J11" si="2">(D10/C10)-1</f>
        <v>-8.4480600750939105E-3</v>
      </c>
      <c r="E11" s="68">
        <f t="shared" si="2"/>
        <v>9.7191543073524844E-2</v>
      </c>
      <c r="F11" s="68">
        <f t="shared" si="2"/>
        <v>0.15655258364490465</v>
      </c>
      <c r="G11" s="68">
        <f t="shared" si="2"/>
        <v>4.9113063660477518E-2</v>
      </c>
      <c r="H11" s="68">
        <f t="shared" si="2"/>
        <v>9.8210405720380756E-2</v>
      </c>
      <c r="I11" s="68">
        <f t="shared" si="2"/>
        <v>0.10079499262563396</v>
      </c>
      <c r="J11" s="68">
        <f t="shared" si="2"/>
        <v>5.8004640371229765E-2</v>
      </c>
      <c r="K11" s="68">
        <f>(K10/J10)-1</f>
        <v>6.0971089696071123E-2</v>
      </c>
      <c r="L11" s="68"/>
      <c r="M11" s="638">
        <f>(AVERAGE($G$11:$K$11)+AVERAGE($C$11:$K$11))/2</f>
        <v>7.2368508310783439E-2</v>
      </c>
      <c r="N11" s="638">
        <f t="shared" ref="N11:Q11" si="3">(AVERAGE($G$11:$K$11)+AVERAGE($C$11:$K$11))/2</f>
        <v>7.2368508310783439E-2</v>
      </c>
      <c r="O11" s="638">
        <f t="shared" si="3"/>
        <v>7.2368508310783439E-2</v>
      </c>
      <c r="P11" s="638">
        <f t="shared" si="3"/>
        <v>7.2368508310783439E-2</v>
      </c>
      <c r="Q11" s="638">
        <f t="shared" si="3"/>
        <v>7.2368508310783439E-2</v>
      </c>
      <c r="R11" s="479" t="s">
        <v>162</v>
      </c>
      <c r="S11" s="480" t="str">
        <f>'Table of Contents'!J1</f>
        <v>Scenario 1: Base Case</v>
      </c>
      <c r="T11" s="480">
        <f>M12</f>
        <v>6093.9575151679755</v>
      </c>
      <c r="U11" s="480">
        <f t="shared" ref="U11:X11" si="4">N12</f>
        <v>6571.6365593120227</v>
      </c>
      <c r="V11" s="480">
        <f t="shared" si="4"/>
        <v>7086.7588033219117</v>
      </c>
      <c r="W11" s="480">
        <f t="shared" si="4"/>
        <v>7642.2592581288927</v>
      </c>
      <c r="X11" s="480">
        <f t="shared" si="4"/>
        <v>8241.3029975113423</v>
      </c>
      <c r="Y11" s="226"/>
    </row>
    <row r="12" spans="1:25" s="10" customFormat="1">
      <c r="A12" s="270" t="s">
        <v>162</v>
      </c>
      <c r="B12" s="271"/>
      <c r="C12" s="271">
        <f t="shared" ref="C12:K12" si="5">C24-C15</f>
        <v>2293.8999999999992</v>
      </c>
      <c r="D12" s="271">
        <f t="shared" si="5"/>
        <v>2860.3999999999996</v>
      </c>
      <c r="E12" s="271">
        <f t="shared" si="5"/>
        <v>3199</v>
      </c>
      <c r="F12" s="271">
        <f t="shared" si="5"/>
        <v>3373</v>
      </c>
      <c r="G12" s="271">
        <f t="shared" si="5"/>
        <v>3721</v>
      </c>
      <c r="H12" s="271">
        <f t="shared" si="5"/>
        <v>4106</v>
      </c>
      <c r="I12" s="271">
        <f t="shared" si="5"/>
        <v>4839</v>
      </c>
      <c r="J12" s="271">
        <f t="shared" si="5"/>
        <v>5291</v>
      </c>
      <c r="K12" s="271">
        <f t="shared" si="5"/>
        <v>5651</v>
      </c>
      <c r="M12" s="271">
        <f>M10*M13</f>
        <v>6093.9575151679755</v>
      </c>
      <c r="N12" s="271">
        <f t="shared" ref="N12:Q12" si="6">N10*N13</f>
        <v>6571.6365593120227</v>
      </c>
      <c r="O12" s="271">
        <f t="shared" si="6"/>
        <v>7086.7588033219117</v>
      </c>
      <c r="P12" s="271">
        <f t="shared" si="6"/>
        <v>7642.2592581288927</v>
      </c>
      <c r="Q12" s="271">
        <f t="shared" si="6"/>
        <v>8241.3029975113423</v>
      </c>
      <c r="R12" s="479" t="s">
        <v>162</v>
      </c>
      <c r="S12" s="480" t="str">
        <f>'Table of Contents'!J2</f>
        <v>Scenario 2: Bull Case</v>
      </c>
      <c r="T12" s="480">
        <f>M42</f>
        <v>6264.4387667509964</v>
      </c>
      <c r="U12" s="480">
        <f t="shared" ref="U12:X12" si="7">N42</f>
        <v>6905.7200187075396</v>
      </c>
      <c r="V12" s="480">
        <f t="shared" si="7"/>
        <v>7612.6482758345464</v>
      </c>
      <c r="W12" s="480">
        <f t="shared" si="7"/>
        <v>8391.9437241263859</v>
      </c>
      <c r="X12" s="480">
        <f t="shared" si="7"/>
        <v>9251.0144849932458</v>
      </c>
      <c r="Y12" s="170"/>
    </row>
    <row r="13" spans="1:25" ht="13.5" customHeight="1">
      <c r="A13" s="67" t="s">
        <v>171</v>
      </c>
      <c r="B13" s="70"/>
      <c r="C13" s="68">
        <f t="shared" ref="C13:K13" si="8">C12/C10</f>
        <v>0.11962348769294948</v>
      </c>
      <c r="D13" s="68">
        <f t="shared" si="8"/>
        <v>0.15043652045860942</v>
      </c>
      <c r="E13" s="68">
        <f t="shared" si="8"/>
        <v>0.15334100278017448</v>
      </c>
      <c r="F13" s="68">
        <f t="shared" si="8"/>
        <v>0.1397960875331565</v>
      </c>
      <c r="G13" s="68">
        <f t="shared" si="8"/>
        <v>0.14699956544068266</v>
      </c>
      <c r="H13" s="68">
        <f t="shared" si="8"/>
        <v>0.14770315478974064</v>
      </c>
      <c r="I13" s="68">
        <f t="shared" si="8"/>
        <v>0.15813208718669325</v>
      </c>
      <c r="J13" s="68">
        <f t="shared" si="8"/>
        <v>0.16342352359772672</v>
      </c>
      <c r="K13" s="68">
        <f t="shared" si="8"/>
        <v>0.16451237263464338</v>
      </c>
      <c r="L13" s="68"/>
      <c r="M13" s="69">
        <f>K13*(1+(AVERAGE($D$14:$K$14)))</f>
        <v>0.16543546975547857</v>
      </c>
      <c r="N13" s="69">
        <f>M13*(1+(AVERAGE($D$14:$K$14)))</f>
        <v>0.16636374647636964</v>
      </c>
      <c r="O13" s="69">
        <f t="shared" ref="O13:Q13" si="9">N13*(1+(AVERAGE($D$14:$K$14)))</f>
        <v>0.16729723186062551</v>
      </c>
      <c r="P13" s="69">
        <f t="shared" si="9"/>
        <v>0.16823595513463244</v>
      </c>
      <c r="Q13" s="69">
        <f t="shared" si="9"/>
        <v>0.16917994568876923</v>
      </c>
      <c r="R13" s="479" t="s">
        <v>162</v>
      </c>
      <c r="S13" s="480" t="str">
        <f>'Table of Contents'!J3</f>
        <v>Scenario 3: Bear Case</v>
      </c>
      <c r="T13" s="480">
        <f>M72</f>
        <v>5923.4762635849547</v>
      </c>
      <c r="U13" s="480">
        <f t="shared" ref="U13:X13" si="10">N72</f>
        <v>6174.4451168873829</v>
      </c>
      <c r="V13" s="480">
        <f t="shared" si="10"/>
        <v>6436.0471461367015</v>
      </c>
      <c r="W13" s="480">
        <f t="shared" si="10"/>
        <v>6708.7328631363889</v>
      </c>
      <c r="X13" s="480">
        <f t="shared" si="10"/>
        <v>6992.9718672030085</v>
      </c>
      <c r="Y13" s="226"/>
    </row>
    <row r="14" spans="1:25" outlineLevel="1">
      <c r="A14" s="67" t="s">
        <v>188</v>
      </c>
      <c r="B14" s="70"/>
      <c r="C14" s="68"/>
      <c r="D14" s="68">
        <f t="shared" ref="D14:F14" si="11">D13-C13</f>
        <v>3.0813032765659942E-2</v>
      </c>
      <c r="E14" s="68">
        <f t="shared" si="11"/>
        <v>2.9044823215650661E-3</v>
      </c>
      <c r="F14" s="68">
        <f t="shared" si="11"/>
        <v>-1.354491524701798E-2</v>
      </c>
      <c r="G14" s="68">
        <f>G13-F13</f>
        <v>7.2034779075261512E-3</v>
      </c>
      <c r="H14" s="68">
        <f t="shared" ref="H14:L14" si="12">H13-G13</f>
        <v>7.0358934905798143E-4</v>
      </c>
      <c r="I14" s="68">
        <f t="shared" si="12"/>
        <v>1.0428932396952612E-2</v>
      </c>
      <c r="J14" s="68">
        <f t="shared" si="12"/>
        <v>5.2914364110334677E-3</v>
      </c>
      <c r="K14" s="68">
        <f t="shared" si="12"/>
        <v>1.088849036916667E-3</v>
      </c>
      <c r="L14" s="68">
        <f t="shared" si="12"/>
        <v>-0.16451237263464338</v>
      </c>
      <c r="M14" s="69"/>
      <c r="N14" s="69"/>
      <c r="O14" s="69"/>
      <c r="P14" s="69"/>
      <c r="Q14" s="69"/>
      <c r="R14" s="169"/>
      <c r="S14" s="228"/>
      <c r="T14" s="272"/>
      <c r="U14" s="272"/>
      <c r="V14" s="272"/>
      <c r="W14" s="272"/>
      <c r="X14" s="272"/>
      <c r="Y14" s="226"/>
    </row>
    <row r="15" spans="1:25" ht="29">
      <c r="A15" s="73" t="s">
        <v>186</v>
      </c>
      <c r="B15" s="71">
        <f>-('Income Statement'!$B$42+'Income Statement'!$B$43)</f>
        <v>-312.8</v>
      </c>
      <c r="C15" s="74">
        <f>-(C16*C18)</f>
        <v>-346.9</v>
      </c>
      <c r="D15" s="74">
        <f t="shared" ref="D15:K15" si="13">-(D16*D18)</f>
        <v>-337.2</v>
      </c>
      <c r="E15" s="74">
        <f t="shared" si="13"/>
        <v>-351</v>
      </c>
      <c r="F15" s="74">
        <f t="shared" si="13"/>
        <v>-387</v>
      </c>
      <c r="G15" s="74">
        <f t="shared" si="13"/>
        <v>-452</v>
      </c>
      <c r="H15" s="74">
        <f t="shared" si="13"/>
        <v>-529</v>
      </c>
      <c r="I15" s="74">
        <f t="shared" si="13"/>
        <v>-606</v>
      </c>
      <c r="J15" s="74">
        <f t="shared" si="13"/>
        <v>-649</v>
      </c>
      <c r="K15" s="74">
        <f t="shared" si="13"/>
        <v>-706</v>
      </c>
      <c r="L15" s="71"/>
      <c r="M15" s="72">
        <f>-(M16*M18)</f>
        <v>-757.57585344087306</v>
      </c>
      <c r="N15" s="72">
        <f t="shared" ref="N15:P15" si="14">-(N16*N18)</f>
        <v>-824.14155520845748</v>
      </c>
      <c r="O15" s="72">
        <f t="shared" si="14"/>
        <v>-896.55616653629988</v>
      </c>
      <c r="P15" s="72">
        <f t="shared" si="14"/>
        <v>-975.33361189504626</v>
      </c>
      <c r="Q15" s="72">
        <f>-(Q16*Q18)</f>
        <v>-1061.0329726104464</v>
      </c>
      <c r="R15" s="169"/>
      <c r="T15" s="226"/>
      <c r="U15" s="226"/>
      <c r="V15" s="226"/>
      <c r="W15" s="226"/>
      <c r="X15" s="226"/>
      <c r="Y15" s="226"/>
    </row>
    <row r="16" spans="1:25" outlineLevel="1">
      <c r="A16" s="73" t="s">
        <v>177</v>
      </c>
      <c r="B16" s="70">
        <f>'Balance Sheet'!B15+'Balance Sheet'!B16</f>
        <v>2634.2</v>
      </c>
      <c r="C16" s="70">
        <f>'Balance Sheet'!C15+'Balance Sheet'!C16</f>
        <v>2425.1</v>
      </c>
      <c r="D16" s="70">
        <f>'Balance Sheet'!D15+'Balance Sheet'!D16</f>
        <v>2398.9</v>
      </c>
      <c r="E16" s="70">
        <f>'Balance Sheet'!E15+'Balance Sheet'!E16</f>
        <v>2602</v>
      </c>
      <c r="F16" s="70">
        <f>'Balance Sheet'!F15+'Balance Sheet'!F16</f>
        <v>2814</v>
      </c>
      <c r="G16" s="70">
        <f>'Balance Sheet'!G15+'Balance Sheet'!G16</f>
        <v>2834</v>
      </c>
      <c r="H16" s="70">
        <f>'Balance Sheet'!H15+'Balance Sheet'!H16</f>
        <v>3116</v>
      </c>
      <c r="I16" s="70">
        <f>'Balance Sheet'!I15+'Balance Sheet'!I16</f>
        <v>3292</v>
      </c>
      <c r="J16" s="70">
        <f>'Balance Sheet'!J15+'Balance Sheet'!J16</f>
        <v>3801</v>
      </c>
      <c r="K16" s="70">
        <f>'Balance Sheet'!K15+'Balance Sheet'!K16</f>
        <v>4272</v>
      </c>
      <c r="L16" s="71"/>
      <c r="M16" s="72">
        <f>K16*(1+M17)</f>
        <v>4647.3666073958557</v>
      </c>
      <c r="N16" s="72">
        <f>M16*(1+N17)</f>
        <v>5055.7154455847531</v>
      </c>
      <c r="O16" s="72">
        <f t="shared" ref="O16:P16" si="15">N16*(1+O17)</f>
        <v>5499.9445548469193</v>
      </c>
      <c r="P16" s="72">
        <f t="shared" si="15"/>
        <v>5983.2066167425646</v>
      </c>
      <c r="Q16" s="72">
        <f>P16*(1+Q17)</f>
        <v>6508.9313286047118</v>
      </c>
      <c r="R16" s="169"/>
    </row>
    <row r="17" spans="1:19" outlineLevel="1">
      <c r="A17" s="73" t="s">
        <v>176</v>
      </c>
      <c r="B17" s="70"/>
      <c r="C17" s="68">
        <f>(C16/B16)-1</f>
        <v>-7.9378938577177149E-2</v>
      </c>
      <c r="D17" s="68">
        <f t="shared" ref="D17:K17" si="16">(D16/C16)-1</f>
        <v>-1.0803678198837097E-2</v>
      </c>
      <c r="E17" s="68">
        <f t="shared" si="16"/>
        <v>8.466380424361164E-2</v>
      </c>
      <c r="F17" s="68">
        <f t="shared" si="16"/>
        <v>8.1475787855495696E-2</v>
      </c>
      <c r="G17" s="68">
        <f t="shared" si="16"/>
        <v>7.1073205401563921E-3</v>
      </c>
      <c r="H17" s="68">
        <f t="shared" si="16"/>
        <v>9.9505998588567346E-2</v>
      </c>
      <c r="I17" s="68">
        <f t="shared" si="16"/>
        <v>5.6482670089858855E-2</v>
      </c>
      <c r="J17" s="68">
        <f t="shared" si="16"/>
        <v>0.15461725394896719</v>
      </c>
      <c r="K17" s="68">
        <f t="shared" si="16"/>
        <v>0.12391475927387519</v>
      </c>
      <c r="L17" s="71"/>
      <c r="M17" s="69">
        <f>M21</f>
        <v>8.7866715214385743E-2</v>
      </c>
      <c r="N17" s="69">
        <f t="shared" ref="N17:Q17" si="17">N21</f>
        <v>8.7866715214385743E-2</v>
      </c>
      <c r="O17" s="69">
        <f t="shared" si="17"/>
        <v>8.7866715214385743E-2</v>
      </c>
      <c r="P17" s="69">
        <f t="shared" si="17"/>
        <v>8.7866715214385743E-2</v>
      </c>
      <c r="Q17" s="69">
        <f t="shared" si="17"/>
        <v>8.7866715214385743E-2</v>
      </c>
      <c r="R17" s="169"/>
    </row>
    <row r="18" spans="1:19" outlineLevel="1">
      <c r="A18" s="73" t="s">
        <v>178</v>
      </c>
      <c r="B18" s="68"/>
      <c r="C18" s="68">
        <f>('Income Statement'!C42+'Income Statement'!C43)/C16</f>
        <v>0.14304564760216074</v>
      </c>
      <c r="D18" s="68">
        <f>('Income Statement'!D42+'Income Statement'!D43)/D16</f>
        <v>0.14056442536162406</v>
      </c>
      <c r="E18" s="68">
        <f>('Income Statement'!E42+'Income Statement'!E43)/E16</f>
        <v>0.13489623366641046</v>
      </c>
      <c r="F18" s="68">
        <f>('Income Statement'!F42+'Income Statement'!F43)/F16</f>
        <v>0.13752665245202558</v>
      </c>
      <c r="G18" s="68">
        <f>('Income Statement'!G42+'Income Statement'!G43)/G16</f>
        <v>0.15949188426252647</v>
      </c>
      <c r="H18" s="68">
        <f>('Income Statement'!H42+'Income Statement'!H43)/H16</f>
        <v>0.16976893453145059</v>
      </c>
      <c r="I18" s="68">
        <f>('Income Statement'!I42+'Income Statement'!I43)/I16</f>
        <v>0.18408262454434993</v>
      </c>
      <c r="J18" s="68">
        <f>('Income Statement'!J42+'Income Statement'!J43)/J16</f>
        <v>0.17074454091028676</v>
      </c>
      <c r="K18" s="68">
        <f>('Income Statement'!K42+'Income Statement'!K43)/K16</f>
        <v>0.16526217228464418</v>
      </c>
      <c r="L18" s="71"/>
      <c r="M18" s="69">
        <f>(AVERAGE(G18:K18)+AVERAGE(C18:K18))/2</f>
        <v>0.16301185540974128</v>
      </c>
      <c r="N18" s="69">
        <f>$M$18</f>
        <v>0.16301185540974128</v>
      </c>
      <c r="O18" s="69">
        <f t="shared" ref="O18:Q18" si="18">$M$18</f>
        <v>0.16301185540974128</v>
      </c>
      <c r="P18" s="69">
        <f t="shared" si="18"/>
        <v>0.16301185540974128</v>
      </c>
      <c r="Q18" s="69">
        <f t="shared" si="18"/>
        <v>0.16301185540974128</v>
      </c>
      <c r="R18" s="169"/>
    </row>
    <row r="19" spans="1:19" s="230" customFormat="1" outlineLevel="1">
      <c r="A19" s="75" t="s">
        <v>181</v>
      </c>
      <c r="B19" s="74">
        <f>'Balance Sheet'!B15</f>
        <v>1891.1</v>
      </c>
      <c r="C19" s="74">
        <f>'Balance Sheet'!C15</f>
        <v>1957.7</v>
      </c>
      <c r="D19" s="74">
        <f>'Balance Sheet'!D15</f>
        <v>1931.9</v>
      </c>
      <c r="E19" s="74">
        <f>'Balance Sheet'!E15</f>
        <v>2115</v>
      </c>
      <c r="F19" s="74">
        <f>'Balance Sheet'!F15</f>
        <v>2279</v>
      </c>
      <c r="G19" s="74">
        <f>'Balance Sheet'!G15</f>
        <v>2452</v>
      </c>
      <c r="H19" s="74">
        <f>'Balance Sheet'!H15</f>
        <v>2834</v>
      </c>
      <c r="I19" s="74">
        <f>'Balance Sheet'!I15</f>
        <v>3011</v>
      </c>
      <c r="J19" s="74">
        <f>'Balance Sheet'!J15</f>
        <v>3520</v>
      </c>
      <c r="K19" s="74">
        <f>'Balance Sheet'!K15</f>
        <v>3989</v>
      </c>
      <c r="L19" s="70"/>
      <c r="M19" s="72">
        <f>K19*(1+M21)</f>
        <v>4339.5003269901845</v>
      </c>
      <c r="N19" s="72">
        <f>M19*(1+N21)</f>
        <v>4720.7979663945644</v>
      </c>
      <c r="O19" s="72">
        <f t="shared" ref="O19:Q19" si="19">N19*(1+O21)</f>
        <v>5135.5989768924064</v>
      </c>
      <c r="P19" s="72">
        <f t="shared" si="19"/>
        <v>5586.8471896503024</v>
      </c>
      <c r="Q19" s="72">
        <f t="shared" si="19"/>
        <v>6077.7451006095971</v>
      </c>
      <c r="R19" s="169"/>
      <c r="S19" s="229"/>
    </row>
    <row r="20" spans="1:19" outlineLevel="1">
      <c r="A20" s="73" t="s">
        <v>182</v>
      </c>
      <c r="B20" s="74"/>
      <c r="C20" s="74">
        <f>'Balance Sheet'!C15-'Balance Sheet'!B15</f>
        <v>66.600000000000136</v>
      </c>
      <c r="D20" s="74">
        <f>'Balance Sheet'!D15-'Balance Sheet'!C15</f>
        <v>-25.799999999999955</v>
      </c>
      <c r="E20" s="74">
        <f>'Balance Sheet'!E15-'Balance Sheet'!D15</f>
        <v>183.09999999999991</v>
      </c>
      <c r="F20" s="74">
        <f>'Balance Sheet'!F15-'Balance Sheet'!E15</f>
        <v>164</v>
      </c>
      <c r="G20" s="74">
        <f>'Balance Sheet'!G15-'Balance Sheet'!F15</f>
        <v>173</v>
      </c>
      <c r="H20" s="74">
        <f>'Balance Sheet'!H15-'Balance Sheet'!G15</f>
        <v>382</v>
      </c>
      <c r="I20" s="74">
        <f>'Balance Sheet'!I15-'Balance Sheet'!H15</f>
        <v>177</v>
      </c>
      <c r="J20" s="74">
        <f>'Balance Sheet'!J15-'Balance Sheet'!I15</f>
        <v>509</v>
      </c>
      <c r="K20" s="74">
        <f>'Balance Sheet'!K15-'Balance Sheet'!J15</f>
        <v>469</v>
      </c>
      <c r="L20" s="71"/>
      <c r="M20" s="72">
        <f>M19-K19</f>
        <v>350.50032699018448</v>
      </c>
      <c r="N20" s="72">
        <f>N19-M19</f>
        <v>381.29763940437988</v>
      </c>
      <c r="O20" s="72">
        <f t="shared" ref="O20:Q20" si="20">O19-N19</f>
        <v>414.80101049784207</v>
      </c>
      <c r="P20" s="72">
        <f t="shared" si="20"/>
        <v>451.248212757896</v>
      </c>
      <c r="Q20" s="72">
        <f t="shared" si="20"/>
        <v>490.89791095929468</v>
      </c>
      <c r="R20" s="169"/>
    </row>
    <row r="21" spans="1:19" outlineLevel="1">
      <c r="A21" s="73" t="s">
        <v>185</v>
      </c>
      <c r="B21" s="74"/>
      <c r="C21" s="76">
        <f>(C19/B19)-1</f>
        <v>3.5217598223256319E-2</v>
      </c>
      <c r="D21" s="76">
        <f t="shared" ref="D21:K21" si="21">(D19/C19)-1</f>
        <v>-1.3178730142514139E-2</v>
      </c>
      <c r="E21" s="76">
        <f t="shared" si="21"/>
        <v>9.477716237900502E-2</v>
      </c>
      <c r="F21" s="76">
        <f t="shared" si="21"/>
        <v>7.7541371158392325E-2</v>
      </c>
      <c r="G21" s="76">
        <f t="shared" si="21"/>
        <v>7.5910487055726117E-2</v>
      </c>
      <c r="H21" s="76">
        <f t="shared" si="21"/>
        <v>0.15579119086460036</v>
      </c>
      <c r="I21" s="76">
        <f t="shared" si="21"/>
        <v>6.2455892731122065E-2</v>
      </c>
      <c r="J21" s="76">
        <f t="shared" si="21"/>
        <v>0.16904682829624718</v>
      </c>
      <c r="K21" s="76">
        <f t="shared" si="21"/>
        <v>0.13323863636363642</v>
      </c>
      <c r="L21" s="71"/>
      <c r="M21" s="69">
        <f>AVERAGE(C21:K21)</f>
        <v>8.7866715214385743E-2</v>
      </c>
      <c r="N21" s="69">
        <f>$M$21</f>
        <v>8.7866715214385743E-2</v>
      </c>
      <c r="O21" s="69">
        <f t="shared" ref="O21:Q21" si="22">$M$21</f>
        <v>8.7866715214385743E-2</v>
      </c>
      <c r="P21" s="69">
        <f t="shared" si="22"/>
        <v>8.7866715214385743E-2</v>
      </c>
      <c r="Q21" s="69">
        <f t="shared" si="22"/>
        <v>8.7866715214385743E-2</v>
      </c>
      <c r="R21" s="169"/>
    </row>
    <row r="22" spans="1:19" s="99" customFormat="1" outlineLevel="1">
      <c r="A22" s="96" t="s">
        <v>183</v>
      </c>
      <c r="B22" s="82"/>
      <c r="C22" s="97">
        <f>'Balance Sheet'!C16-'Balance Sheet'!B16</f>
        <v>-275.70000000000005</v>
      </c>
      <c r="D22" s="97">
        <f>'Balance Sheet'!D16-'Balance Sheet'!C16</f>
        <v>-0.39999999999997726</v>
      </c>
      <c r="E22" s="97">
        <f>'Balance Sheet'!E16-'Balance Sheet'!D16</f>
        <v>20</v>
      </c>
      <c r="F22" s="97">
        <f>'Balance Sheet'!F16-'Balance Sheet'!E16</f>
        <v>48</v>
      </c>
      <c r="G22" s="97">
        <f>'Balance Sheet'!G16-'Balance Sheet'!F16</f>
        <v>-153</v>
      </c>
      <c r="H22" s="97">
        <f>'Balance Sheet'!H16-'Balance Sheet'!G16</f>
        <v>-100</v>
      </c>
      <c r="I22" s="97">
        <f>'Balance Sheet'!I16-'Balance Sheet'!H16</f>
        <v>-1</v>
      </c>
      <c r="J22" s="97">
        <f>'Balance Sheet'!J16-'Balance Sheet'!I16</f>
        <v>0</v>
      </c>
      <c r="K22" s="97">
        <f>'Balance Sheet'!K16-'Balance Sheet'!J16</f>
        <v>2</v>
      </c>
      <c r="L22" s="71"/>
      <c r="M22" s="98"/>
      <c r="N22" s="98"/>
      <c r="O22" s="98"/>
      <c r="P22" s="98"/>
      <c r="Q22" s="98"/>
      <c r="R22" s="169"/>
      <c r="S22" s="231"/>
    </row>
    <row r="23" spans="1:19" outlineLevel="1">
      <c r="A23" s="73" t="s">
        <v>184</v>
      </c>
      <c r="B23" s="74">
        <f>-('Income Statement'!B43)</f>
        <v>-303.60000000000002</v>
      </c>
      <c r="C23" s="74">
        <f>-('Income Statement'!C43)</f>
        <v>-335</v>
      </c>
      <c r="D23" s="74">
        <f>-('Income Statement'!D43)</f>
        <v>-323.7</v>
      </c>
      <c r="E23" s="74">
        <f>-('Income Statement'!E43)</f>
        <v>-335</v>
      </c>
      <c r="F23" s="74">
        <f>-('Income Statement'!F43)</f>
        <v>-373</v>
      </c>
      <c r="G23" s="74">
        <f>-('Income Statement'!G43)</f>
        <v>-438</v>
      </c>
      <c r="H23" s="74">
        <f>-('Income Statement'!H43)</f>
        <v>-518</v>
      </c>
      <c r="I23" s="74">
        <f>-('Income Statement'!I43)</f>
        <v>-606</v>
      </c>
      <c r="J23" s="74">
        <f>-('Income Statement'!J43)</f>
        <v>-649</v>
      </c>
      <c r="K23" s="74">
        <f>-('Income Statement'!K43)</f>
        <v>-706</v>
      </c>
      <c r="L23" s="71"/>
      <c r="M23" s="72">
        <f>M15</f>
        <v>-757.57585344087306</v>
      </c>
      <c r="N23" s="72">
        <f t="shared" ref="N23:P23" si="23">N15</f>
        <v>-824.14155520845748</v>
      </c>
      <c r="O23" s="72">
        <f t="shared" si="23"/>
        <v>-896.55616653629988</v>
      </c>
      <c r="P23" s="72">
        <f t="shared" si="23"/>
        <v>-975.33361189504626</v>
      </c>
      <c r="Q23" s="72">
        <f>Q15</f>
        <v>-1061.0329726104464</v>
      </c>
      <c r="R23" s="169"/>
    </row>
    <row r="24" spans="1:19" s="10" customFormat="1">
      <c r="A24" s="270" t="s">
        <v>164</v>
      </c>
      <c r="B24" s="271">
        <f>'Income Statement'!B15</f>
        <v>2425.7999999999997</v>
      </c>
      <c r="C24" s="271">
        <f>'Income Statement'!C15</f>
        <v>1946.9999999999991</v>
      </c>
      <c r="D24" s="271">
        <f>'Income Statement'!D15</f>
        <v>2523.1999999999998</v>
      </c>
      <c r="E24" s="271">
        <f>'Income Statement'!E15</f>
        <v>2848</v>
      </c>
      <c r="F24" s="271">
        <f>'Income Statement'!F15</f>
        <v>2986</v>
      </c>
      <c r="G24" s="271">
        <f>'Income Statement'!G15</f>
        <v>3269</v>
      </c>
      <c r="H24" s="271">
        <f>'Income Statement'!H15</f>
        <v>3577</v>
      </c>
      <c r="I24" s="271">
        <f>'Income Statement'!I15</f>
        <v>4233</v>
      </c>
      <c r="J24" s="271">
        <f>'Income Statement'!J15</f>
        <v>4642</v>
      </c>
      <c r="K24" s="271">
        <f>'Income Statement'!K15</f>
        <v>4945</v>
      </c>
      <c r="M24" s="271">
        <f>M12+M15</f>
        <v>5336.3816617271023</v>
      </c>
      <c r="N24" s="271">
        <f t="shared" ref="N24:Q24" si="24">N12+N15</f>
        <v>5747.4950041035654</v>
      </c>
      <c r="O24" s="271">
        <f t="shared" si="24"/>
        <v>6190.2026367856115</v>
      </c>
      <c r="P24" s="271">
        <f t="shared" si="24"/>
        <v>6666.9256462338462</v>
      </c>
      <c r="Q24" s="271">
        <f t="shared" si="24"/>
        <v>7180.2700249008958</v>
      </c>
    </row>
    <row r="25" spans="1:19">
      <c r="A25" s="67" t="s">
        <v>172</v>
      </c>
      <c r="B25" s="78"/>
      <c r="C25" s="68">
        <f>(C24/B24)-1</f>
        <v>-0.19737818451644851</v>
      </c>
      <c r="D25" s="68">
        <f t="shared" ref="D25:K25" si="25">(D24/C24)-1</f>
        <v>0.29594247560349296</v>
      </c>
      <c r="E25" s="68">
        <f t="shared" si="25"/>
        <v>0.1287254280279011</v>
      </c>
      <c r="F25" s="68">
        <f t="shared" si="25"/>
        <v>4.8455056179775191E-2</v>
      </c>
      <c r="G25" s="68">
        <f t="shared" si="25"/>
        <v>9.4775619557937008E-2</v>
      </c>
      <c r="H25" s="68">
        <f t="shared" si="25"/>
        <v>9.4218415417558932E-2</v>
      </c>
      <c r="I25" s="68">
        <f t="shared" si="25"/>
        <v>0.18339390550740853</v>
      </c>
      <c r="J25" s="68">
        <f t="shared" si="25"/>
        <v>9.6621781242617555E-2</v>
      </c>
      <c r="K25" s="68">
        <f t="shared" si="25"/>
        <v>6.5273588970271357E-2</v>
      </c>
      <c r="L25" s="68"/>
      <c r="M25" s="69">
        <f>(M24/K24)-1</f>
        <v>7.9146948782022664E-2</v>
      </c>
      <c r="N25" s="69">
        <f>(N24/M24)-1</f>
        <v>7.7039718752689001E-2</v>
      </c>
      <c r="O25" s="69">
        <f t="shared" ref="O25:P25" si="26">(O24/N24)-1</f>
        <v>7.7026188342219415E-2</v>
      </c>
      <c r="P25" s="69">
        <f t="shared" si="26"/>
        <v>7.7012504665886494E-2</v>
      </c>
      <c r="Q25" s="69">
        <f>(Q24/P24)-1</f>
        <v>7.6998665637892483E-2</v>
      </c>
      <c r="R25" s="169"/>
    </row>
    <row r="26" spans="1:19">
      <c r="A26" s="240" t="s">
        <v>173</v>
      </c>
      <c r="B26" s="241">
        <v>-920.1</v>
      </c>
      <c r="C26" s="242">
        <v>-469.8</v>
      </c>
      <c r="D26" s="242">
        <v>-610.20000000000005</v>
      </c>
      <c r="E26" s="242">
        <v>-711</v>
      </c>
      <c r="F26" s="242">
        <v>-760</v>
      </c>
      <c r="G26" s="242">
        <v>-808</v>
      </c>
      <c r="H26" s="242">
        <v>-851</v>
      </c>
      <c r="I26" s="242">
        <v>-932</v>
      </c>
      <c r="J26" s="242">
        <v>-863</v>
      </c>
      <c r="K26" s="242">
        <v>-646</v>
      </c>
      <c r="L26" s="71"/>
      <c r="M26" s="243">
        <f>-(M24*$M$34)</f>
        <v>-1145.958315291108</v>
      </c>
      <c r="N26" s="243">
        <f>-(N24*$M$34)</f>
        <v>-1234.2426216034403</v>
      </c>
      <c r="O26" s="243">
        <f>-(O24*$M$34)</f>
        <v>-1329.3116262350613</v>
      </c>
      <c r="P26" s="243">
        <f>-(P24*$M$34)</f>
        <v>-1431.6852440529062</v>
      </c>
      <c r="Q26" s="243">
        <f>-(Q24*$M$34)</f>
        <v>-1541.9230974584402</v>
      </c>
      <c r="R26" s="169"/>
    </row>
    <row r="27" spans="1:19" s="38" customFormat="1" ht="6" customHeight="1">
      <c r="A27" s="40"/>
      <c r="B27" s="41"/>
      <c r="C27" s="41"/>
      <c r="D27" s="41"/>
      <c r="E27" s="41"/>
      <c r="F27" s="41"/>
      <c r="G27" s="41"/>
      <c r="H27" s="41"/>
      <c r="I27" s="41"/>
      <c r="J27" s="41"/>
    </row>
    <row r="28" spans="1:19">
      <c r="A28" s="244" t="s">
        <v>163</v>
      </c>
      <c r="B28" s="245"/>
      <c r="C28" s="246">
        <f>SUM('Income Statement'!C42:C43)</f>
        <v>346.9</v>
      </c>
      <c r="D28" s="246">
        <f>SUM('Income Statement'!D42:D43)</f>
        <v>337.2</v>
      </c>
      <c r="E28" s="246">
        <f>SUM('Income Statement'!E42:E43)</f>
        <v>351</v>
      </c>
      <c r="F28" s="246">
        <f>SUM('Income Statement'!F42:F43)</f>
        <v>387</v>
      </c>
      <c r="G28" s="246">
        <f>SUM('Income Statement'!G42:G43)</f>
        <v>452</v>
      </c>
      <c r="H28" s="246">
        <f>SUM('Income Statement'!H42:H43)</f>
        <v>529</v>
      </c>
      <c r="I28" s="246">
        <f>SUM('Income Statement'!I42:I43)</f>
        <v>606</v>
      </c>
      <c r="J28" s="246">
        <f>SUM('Income Statement'!J42:J43)</f>
        <v>649</v>
      </c>
      <c r="K28" s="246">
        <f>SUM('Income Statement'!K42:K43)</f>
        <v>706</v>
      </c>
      <c r="L28" s="247"/>
      <c r="M28" s="246">
        <f>-M15</f>
        <v>757.57585344087306</v>
      </c>
      <c r="N28" s="246">
        <f t="shared" ref="N28:Q28" si="27">-N15</f>
        <v>824.14155520845748</v>
      </c>
      <c r="O28" s="246">
        <f t="shared" si="27"/>
        <v>896.55616653629988</v>
      </c>
      <c r="P28" s="246">
        <f t="shared" si="27"/>
        <v>975.33361189504626</v>
      </c>
      <c r="Q28" s="246">
        <f t="shared" si="27"/>
        <v>1061.0329726104464</v>
      </c>
      <c r="R28" s="169"/>
    </row>
    <row r="29" spans="1:19">
      <c r="A29" s="80" t="s">
        <v>134</v>
      </c>
      <c r="B29" s="77"/>
      <c r="C29" s="79">
        <f>'Free Cash Flows'!C13</f>
        <v>-80.000000000000796</v>
      </c>
      <c r="D29" s="79">
        <f>'Free Cash Flows'!D13</f>
        <v>-911.49999999999966</v>
      </c>
      <c r="E29" s="79">
        <f>'Free Cash Flows'!E13</f>
        <v>760.89999999999964</v>
      </c>
      <c r="F29" s="79">
        <f>'Free Cash Flows'!F13</f>
        <v>550</v>
      </c>
      <c r="G29" s="79">
        <f>'Free Cash Flows'!G13</f>
        <v>-208</v>
      </c>
      <c r="H29" s="79">
        <f>'Free Cash Flows'!H13</f>
        <v>329</v>
      </c>
      <c r="I29" s="79">
        <f>'Free Cash Flows'!I13</f>
        <v>39</v>
      </c>
      <c r="J29" s="79">
        <f>'Free Cash Flows'!J13</f>
        <v>323</v>
      </c>
      <c r="K29" s="79">
        <f>'Free Cash Flows'!K13</f>
        <v>471</v>
      </c>
      <c r="L29" s="79"/>
      <c r="M29" s="79">
        <f>M30-K30</f>
        <v>392.86189980793097</v>
      </c>
      <c r="N29" s="79">
        <f>N30-M30</f>
        <v>417.13308589390363</v>
      </c>
      <c r="O29" s="79">
        <f t="shared" ref="O29:Q29" si="28">O30-N30</f>
        <v>442.90375684798801</v>
      </c>
      <c r="P29" s="79">
        <f t="shared" si="28"/>
        <v>470.26655152441072</v>
      </c>
      <c r="Q29" s="79">
        <f t="shared" si="28"/>
        <v>499.31983204776407</v>
      </c>
      <c r="R29" s="169"/>
    </row>
    <row r="30" spans="1:19" outlineLevel="1">
      <c r="A30" s="80" t="s">
        <v>179</v>
      </c>
      <c r="B30" s="77"/>
      <c r="C30" s="79">
        <f>('Balance Sheet'!C10+'Balance Sheet'!C11-'Balance Sheet'!C25)-'Balance Sheet'!C24</f>
        <v>3866.1</v>
      </c>
      <c r="D30" s="79">
        <f>('Balance Sheet'!D10+'Balance Sheet'!D11-'Balance Sheet'!D25)-'Balance Sheet'!D24</f>
        <v>3297.5000000000005</v>
      </c>
      <c r="E30" s="79">
        <f>('Balance Sheet'!E10+'Balance Sheet'!E11-'Balance Sheet'!E25)-'Balance Sheet'!E24</f>
        <v>4197</v>
      </c>
      <c r="F30" s="79">
        <f>('Balance Sheet'!F10+'Balance Sheet'!F11-'Balance Sheet'!F25)-'Balance Sheet'!F24</f>
        <v>4934</v>
      </c>
      <c r="G30" s="79">
        <f>('Balance Sheet'!G10+'Balance Sheet'!G11-'Balance Sheet'!G25)-'Balance Sheet'!G24</f>
        <v>4834</v>
      </c>
      <c r="H30" s="79">
        <f>('Balance Sheet'!H10+'Balance Sheet'!H11-'Balance Sheet'!H25)-'Balance Sheet'!H24</f>
        <v>5284</v>
      </c>
      <c r="I30" s="79">
        <f>('Balance Sheet'!I10+'Balance Sheet'!I11-'Balance Sheet'!I25)-'Balance Sheet'!I24</f>
        <v>5490</v>
      </c>
      <c r="J30" s="79">
        <f>('Balance Sheet'!J10+'Balance Sheet'!J11-'Balance Sheet'!J25)-'Balance Sheet'!J24</f>
        <v>5887</v>
      </c>
      <c r="K30" s="79">
        <f>('Balance Sheet'!K10+'Balance Sheet'!K11-'Balance Sheet'!K25)-'Balance Sheet'!K24</f>
        <v>6359</v>
      </c>
      <c r="L30" s="79"/>
      <c r="M30" s="79">
        <f>K30*(1+M31)</f>
        <v>6751.861899807931</v>
      </c>
      <c r="N30" s="79">
        <f>M30*(1+N31)</f>
        <v>7168.9949857018346</v>
      </c>
      <c r="O30" s="79">
        <f t="shared" ref="O30:Q30" si="29">N30*(1+O31)</f>
        <v>7611.8987425498226</v>
      </c>
      <c r="P30" s="79">
        <f t="shared" si="29"/>
        <v>8082.1652940742333</v>
      </c>
      <c r="Q30" s="79">
        <f t="shared" si="29"/>
        <v>8581.4851261219974</v>
      </c>
      <c r="R30" s="169"/>
    </row>
    <row r="31" spans="1:19" outlineLevel="1">
      <c r="A31" s="80" t="s">
        <v>180</v>
      </c>
      <c r="B31" s="77"/>
      <c r="C31" s="79"/>
      <c r="D31" s="69">
        <f>(D30/C30)-1</f>
        <v>-0.14707327798039349</v>
      </c>
      <c r="E31" s="69">
        <f t="shared" ref="E31:K31" si="30">(E30/D30)-1</f>
        <v>0.27278241091736155</v>
      </c>
      <c r="F31" s="69">
        <f t="shared" si="30"/>
        <v>0.17560162020490822</v>
      </c>
      <c r="G31" s="69">
        <f t="shared" si="30"/>
        <v>-2.0267531414673745E-2</v>
      </c>
      <c r="H31" s="69">
        <f t="shared" si="30"/>
        <v>9.3090608191973567E-2</v>
      </c>
      <c r="I31" s="69">
        <f t="shared" si="30"/>
        <v>3.8985616956850766E-2</v>
      </c>
      <c r="J31" s="69">
        <f t="shared" si="30"/>
        <v>7.2313296903460778E-2</v>
      </c>
      <c r="K31" s="69">
        <f t="shared" si="30"/>
        <v>8.0176660438253888E-2</v>
      </c>
      <c r="L31" s="79"/>
      <c r="M31" s="69">
        <f>(AVERAGE(G31:K31)+AVERAGE(D31:K31))/2</f>
        <v>6.1780452871195372E-2</v>
      </c>
      <c r="N31" s="69">
        <f>$M$31</f>
        <v>6.1780452871195372E-2</v>
      </c>
      <c r="O31" s="69">
        <f t="shared" ref="O31:Q31" si="31">$M$31</f>
        <v>6.1780452871195372E-2</v>
      </c>
      <c r="P31" s="69">
        <f t="shared" si="31"/>
        <v>6.1780452871195372E-2</v>
      </c>
      <c r="Q31" s="69">
        <f t="shared" si="31"/>
        <v>6.1780452871195372E-2</v>
      </c>
      <c r="R31" s="169"/>
    </row>
    <row r="32" spans="1:19">
      <c r="A32" s="248" t="s">
        <v>133</v>
      </c>
      <c r="B32" s="243"/>
      <c r="C32" s="249">
        <f>'Free Cash Flows'!C11</f>
        <v>-455.7</v>
      </c>
      <c r="D32" s="249">
        <f>'Free Cash Flows'!D11</f>
        <v>-335.1</v>
      </c>
      <c r="E32" s="249">
        <f>'Free Cash Flows'!E11</f>
        <v>-432</v>
      </c>
      <c r="F32" s="249">
        <f>'Free Cash Flows'!F11</f>
        <v>-597</v>
      </c>
      <c r="G32" s="249">
        <f>'Free Cash Flows'!G11</f>
        <v>-598</v>
      </c>
      <c r="H32" s="249">
        <f>'Free Cash Flows'!H11</f>
        <v>-880</v>
      </c>
      <c r="I32" s="249">
        <f>'Free Cash Flows'!I11</f>
        <v>-963</v>
      </c>
      <c r="J32" s="249">
        <f>'Free Cash Flows'!J11</f>
        <v>-1143</v>
      </c>
      <c r="K32" s="249">
        <f>'Free Cash Flows'!K11</f>
        <v>-1105</v>
      </c>
      <c r="L32" s="249"/>
      <c r="M32" s="249">
        <f>-(M20-M23)</f>
        <v>-1108.0761804310575</v>
      </c>
      <c r="N32" s="249">
        <f t="shared" ref="N32:Q32" si="32">-(N20-N23)</f>
        <v>-1205.4391946128374</v>
      </c>
      <c r="O32" s="249">
        <f t="shared" si="32"/>
        <v>-1311.3571770341418</v>
      </c>
      <c r="P32" s="249">
        <f t="shared" si="32"/>
        <v>-1426.5818246529423</v>
      </c>
      <c r="Q32" s="249">
        <f t="shared" si="32"/>
        <v>-1551.9308835697411</v>
      </c>
      <c r="R32" s="169"/>
    </row>
    <row r="33" spans="1:19" s="38" customFormat="1" ht="6" customHeight="1">
      <c r="A33" s="40"/>
      <c r="B33" s="41"/>
      <c r="C33" s="41"/>
      <c r="D33" s="41"/>
      <c r="E33" s="41"/>
      <c r="F33" s="41"/>
      <c r="G33" s="41"/>
      <c r="H33" s="41"/>
      <c r="I33" s="41"/>
      <c r="J33" s="41"/>
    </row>
    <row r="34" spans="1:19" s="232" customFormat="1" outlineLevel="1">
      <c r="A34" s="250" t="s">
        <v>170</v>
      </c>
      <c r="B34" s="251">
        <v>0.248</v>
      </c>
      <c r="C34" s="251">
        <v>0.24</v>
      </c>
      <c r="D34" s="251">
        <v>0.24199999999999999</v>
      </c>
      <c r="E34" s="251">
        <v>0.25</v>
      </c>
      <c r="F34" s="251">
        <v>0.255</v>
      </c>
      <c r="G34" s="251">
        <v>0.247</v>
      </c>
      <c r="H34" s="251">
        <v>0.24</v>
      </c>
      <c r="I34" s="251">
        <v>0.222</v>
      </c>
      <c r="J34" s="251">
        <v>0.187</v>
      </c>
      <c r="K34" s="251">
        <v>0.13200000000000001</v>
      </c>
      <c r="L34" s="251"/>
      <c r="M34" s="664">
        <f>(AVERAGE(G34:K34)+AVERAGE(C34:K34))/2</f>
        <v>0.21474444444444446</v>
      </c>
      <c r="N34" s="664"/>
      <c r="O34" s="664"/>
      <c r="P34" s="664"/>
      <c r="Q34" s="664"/>
      <c r="R34" s="169"/>
      <c r="S34" s="226"/>
    </row>
    <row r="35" spans="1:19" s="38" customFormat="1" ht="6" customHeight="1">
      <c r="A35" s="40"/>
      <c r="B35" s="41"/>
      <c r="C35" s="41"/>
      <c r="D35" s="41"/>
      <c r="E35" s="41"/>
      <c r="F35" s="41"/>
      <c r="G35" s="41"/>
      <c r="H35" s="41"/>
      <c r="I35" s="41"/>
      <c r="J35" s="41"/>
    </row>
    <row r="36" spans="1:19" s="232" customFormat="1" outlineLevel="1">
      <c r="A36" s="250" t="s">
        <v>346</v>
      </c>
      <c r="B36" s="251"/>
      <c r="C36" s="297">
        <f>'Balance Sheet'!C24</f>
        <v>342.9</v>
      </c>
      <c r="D36" s="297">
        <f>'Balance Sheet'!D24</f>
        <v>138.6</v>
      </c>
      <c r="E36" s="297">
        <f>'Balance Sheet'!E24</f>
        <v>187</v>
      </c>
      <c r="F36" s="297">
        <f>'Balance Sheet'!F24</f>
        <v>108</v>
      </c>
      <c r="G36" s="297">
        <f>'Balance Sheet'!G24</f>
        <v>121</v>
      </c>
      <c r="H36" s="297">
        <f>'Balance Sheet'!H24</f>
        <v>167</v>
      </c>
      <c r="I36" s="297">
        <f>'Balance Sheet'!I24</f>
        <v>74</v>
      </c>
      <c r="J36" s="297">
        <f>'Balance Sheet'!J24</f>
        <v>1</v>
      </c>
      <c r="K36" s="297">
        <f>'Balance Sheet'!K24</f>
        <v>325</v>
      </c>
      <c r="L36" s="251"/>
      <c r="M36" s="297">
        <f>(AVERAGE(C36:K36)+AVERAGE(G36:K36))/2</f>
        <v>150.1611111111111</v>
      </c>
      <c r="N36" s="297">
        <f>$M$36</f>
        <v>150.1611111111111</v>
      </c>
      <c r="O36" s="297">
        <f t="shared" ref="O36:Q36" si="33">$M$36</f>
        <v>150.1611111111111</v>
      </c>
      <c r="P36" s="297">
        <f t="shared" si="33"/>
        <v>150.1611111111111</v>
      </c>
      <c r="Q36" s="297">
        <f t="shared" si="33"/>
        <v>150.1611111111111</v>
      </c>
      <c r="R36" s="169"/>
      <c r="S36" s="226"/>
    </row>
    <row r="37" spans="1:19">
      <c r="A37" s="8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169"/>
    </row>
    <row r="38" spans="1:19" ht="16" thickBot="1">
      <c r="A38" s="225" t="s">
        <v>310</v>
      </c>
      <c r="B38" s="222"/>
      <c r="C38" s="233" t="s">
        <v>319</v>
      </c>
      <c r="D38" s="234"/>
      <c r="E38" s="235">
        <v>0.03</v>
      </c>
      <c r="F38" s="222"/>
      <c r="G38" s="222"/>
      <c r="H38" s="222"/>
      <c r="I38" s="222"/>
      <c r="J38" s="222"/>
      <c r="K38" s="223"/>
      <c r="L38" s="62"/>
      <c r="M38" s="224"/>
      <c r="N38" s="224"/>
      <c r="O38" s="224"/>
      <c r="P38" s="224"/>
      <c r="Q38" s="224"/>
      <c r="R38" s="169"/>
    </row>
    <row r="39" spans="1:19" s="38" customFormat="1" ht="6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</row>
    <row r="40" spans="1:19">
      <c r="A40" s="236" t="str">
        <f>A10</f>
        <v>Sales</v>
      </c>
      <c r="B40" s="237">
        <v>18627</v>
      </c>
      <c r="C40" s="237">
        <f t="shared" ref="C40:K40" si="34">C10</f>
        <v>19176</v>
      </c>
      <c r="D40" s="237">
        <f t="shared" si="34"/>
        <v>19014</v>
      </c>
      <c r="E40" s="237">
        <f t="shared" si="34"/>
        <v>20862</v>
      </c>
      <c r="F40" s="237">
        <f t="shared" si="34"/>
        <v>24128</v>
      </c>
      <c r="G40" s="237">
        <f t="shared" si="34"/>
        <v>25313</v>
      </c>
      <c r="H40" s="237">
        <f t="shared" si="34"/>
        <v>27799</v>
      </c>
      <c r="I40" s="237">
        <f t="shared" si="34"/>
        <v>30601</v>
      </c>
      <c r="J40" s="237">
        <f t="shared" si="34"/>
        <v>32376</v>
      </c>
      <c r="K40" s="237">
        <f t="shared" si="34"/>
        <v>34350</v>
      </c>
      <c r="L40" s="238"/>
      <c r="M40" s="239">
        <f>K40*(1+M41)</f>
        <v>37866.358260475412</v>
      </c>
      <c r="N40" s="239">
        <f>M40*(1+N41)</f>
        <v>41742.680870761993</v>
      </c>
      <c r="O40" s="239">
        <f t="shared" ref="O40:Q40" si="35">N40*(1+O41)</f>
        <v>46015.816844394976</v>
      </c>
      <c r="P40" s="239">
        <f t="shared" si="35"/>
        <v>50726.38737345791</v>
      </c>
      <c r="Q40" s="239">
        <f t="shared" si="35"/>
        <v>55919.171980873762</v>
      </c>
    </row>
    <row r="41" spans="1:19">
      <c r="A41" s="641" t="str">
        <f>A11</f>
        <v xml:space="preserve"> Growth (y-o-y)</v>
      </c>
      <c r="B41" s="68"/>
      <c r="C41" s="68">
        <f t="shared" ref="C41:K41" si="36">C11</f>
        <v>2.9473345144145568E-2</v>
      </c>
      <c r="D41" s="68">
        <f t="shared" si="36"/>
        <v>-8.4480600750939105E-3</v>
      </c>
      <c r="E41" s="68">
        <f t="shared" si="36"/>
        <v>9.7191543073524844E-2</v>
      </c>
      <c r="F41" s="68">
        <f t="shared" si="36"/>
        <v>0.15655258364490465</v>
      </c>
      <c r="G41" s="68">
        <f t="shared" si="36"/>
        <v>4.9113063660477518E-2</v>
      </c>
      <c r="H41" s="68">
        <f t="shared" si="36"/>
        <v>9.8210405720380756E-2</v>
      </c>
      <c r="I41" s="68">
        <f t="shared" si="36"/>
        <v>0.10079499262563396</v>
      </c>
      <c r="J41" s="68">
        <f t="shared" si="36"/>
        <v>5.8004640371229765E-2</v>
      </c>
      <c r="K41" s="68">
        <f t="shared" si="36"/>
        <v>6.0971089696071123E-2</v>
      </c>
      <c r="L41" s="68"/>
      <c r="M41" s="639">
        <f>M11+$E$38</f>
        <v>0.10236850831078344</v>
      </c>
      <c r="N41" s="639">
        <f>N11+$E$38</f>
        <v>0.10236850831078344</v>
      </c>
      <c r="O41" s="639">
        <f>O11+$E$38</f>
        <v>0.10236850831078344</v>
      </c>
      <c r="P41" s="639">
        <f>P11+$E$38</f>
        <v>0.10236850831078344</v>
      </c>
      <c r="Q41" s="639">
        <f>Q11+$E$38</f>
        <v>0.10236850831078344</v>
      </c>
    </row>
    <row r="42" spans="1:19" s="10" customFormat="1">
      <c r="A42" s="270" t="str">
        <f>A12</f>
        <v>EBITDA</v>
      </c>
      <c r="B42" s="271"/>
      <c r="C42" s="271">
        <f t="shared" ref="C42:K42" si="37">C12</f>
        <v>2293.8999999999992</v>
      </c>
      <c r="D42" s="271">
        <f t="shared" si="37"/>
        <v>2860.3999999999996</v>
      </c>
      <c r="E42" s="271">
        <f t="shared" si="37"/>
        <v>3199</v>
      </c>
      <c r="F42" s="271">
        <f t="shared" si="37"/>
        <v>3373</v>
      </c>
      <c r="G42" s="271">
        <f t="shared" si="37"/>
        <v>3721</v>
      </c>
      <c r="H42" s="271">
        <f t="shared" si="37"/>
        <v>4106</v>
      </c>
      <c r="I42" s="271">
        <f t="shared" si="37"/>
        <v>4839</v>
      </c>
      <c r="J42" s="271">
        <f t="shared" si="37"/>
        <v>5291</v>
      </c>
      <c r="K42" s="271">
        <f t="shared" si="37"/>
        <v>5651</v>
      </c>
      <c r="M42" s="271">
        <f>M40*$M$43</f>
        <v>6264.4387667509964</v>
      </c>
      <c r="N42" s="271">
        <f t="shared" ref="N42:Q42" si="38">N40*$M$43</f>
        <v>6905.7200187075396</v>
      </c>
      <c r="O42" s="271">
        <f t="shared" si="38"/>
        <v>7612.6482758345464</v>
      </c>
      <c r="P42" s="271">
        <f t="shared" si="38"/>
        <v>8391.9437241263859</v>
      </c>
      <c r="Q42" s="271">
        <f t="shared" si="38"/>
        <v>9251.0144849932458</v>
      </c>
    </row>
    <row r="43" spans="1:19">
      <c r="A43" s="67" t="str">
        <f>A13</f>
        <v xml:space="preserve"> EBITDA margin</v>
      </c>
      <c r="B43" s="70"/>
      <c r="C43" s="68">
        <f t="shared" ref="C43:K43" si="39">C13</f>
        <v>0.11962348769294948</v>
      </c>
      <c r="D43" s="68">
        <f t="shared" si="39"/>
        <v>0.15043652045860942</v>
      </c>
      <c r="E43" s="68">
        <f t="shared" si="39"/>
        <v>0.15334100278017448</v>
      </c>
      <c r="F43" s="68">
        <f t="shared" si="39"/>
        <v>0.1397960875331565</v>
      </c>
      <c r="G43" s="68">
        <f t="shared" si="39"/>
        <v>0.14699956544068266</v>
      </c>
      <c r="H43" s="68">
        <f t="shared" si="39"/>
        <v>0.14770315478974064</v>
      </c>
      <c r="I43" s="68">
        <f t="shared" si="39"/>
        <v>0.15813208718669325</v>
      </c>
      <c r="J43" s="68">
        <f t="shared" si="39"/>
        <v>0.16342352359772672</v>
      </c>
      <c r="K43" s="68">
        <f t="shared" si="39"/>
        <v>0.16451237263464338</v>
      </c>
      <c r="L43" s="68"/>
      <c r="M43" s="69">
        <f>M13</f>
        <v>0.16543546975547857</v>
      </c>
      <c r="N43" s="69">
        <f>N13</f>
        <v>0.16636374647636964</v>
      </c>
      <c r="O43" s="69">
        <f>O13</f>
        <v>0.16729723186062551</v>
      </c>
      <c r="P43" s="69">
        <f>P13</f>
        <v>0.16823595513463244</v>
      </c>
      <c r="Q43" s="69">
        <f>Q13</f>
        <v>0.16917994568876923</v>
      </c>
    </row>
    <row r="44" spans="1:19">
      <c r="A44" s="67" t="s">
        <v>188</v>
      </c>
      <c r="B44" s="70"/>
      <c r="C44" s="68"/>
      <c r="D44" s="68">
        <f>D43-C43</f>
        <v>3.0813032765659942E-2</v>
      </c>
      <c r="E44" s="68">
        <f t="shared" ref="E44:K44" si="40">E43-D43</f>
        <v>2.9044823215650661E-3</v>
      </c>
      <c r="F44" s="68">
        <f t="shared" si="40"/>
        <v>-1.354491524701798E-2</v>
      </c>
      <c r="G44" s="68">
        <f t="shared" si="40"/>
        <v>7.2034779075261512E-3</v>
      </c>
      <c r="H44" s="68">
        <f t="shared" si="40"/>
        <v>7.0358934905798143E-4</v>
      </c>
      <c r="I44" s="68">
        <f t="shared" si="40"/>
        <v>1.0428932396952612E-2</v>
      </c>
      <c r="J44" s="68">
        <f t="shared" si="40"/>
        <v>5.2914364110334677E-3</v>
      </c>
      <c r="K44" s="68">
        <f t="shared" si="40"/>
        <v>1.088849036916667E-3</v>
      </c>
      <c r="L44" s="68"/>
      <c r="M44" s="69"/>
      <c r="N44" s="69"/>
      <c r="O44" s="69"/>
      <c r="P44" s="69"/>
      <c r="Q44" s="69"/>
    </row>
    <row r="45" spans="1:19" ht="29">
      <c r="A45" s="73" t="s">
        <v>186</v>
      </c>
      <c r="B45" s="71"/>
      <c r="C45" s="74">
        <f t="shared" ref="C45:K45" si="41">C15</f>
        <v>-346.9</v>
      </c>
      <c r="D45" s="74">
        <f t="shared" si="41"/>
        <v>-337.2</v>
      </c>
      <c r="E45" s="74">
        <f t="shared" si="41"/>
        <v>-351</v>
      </c>
      <c r="F45" s="74">
        <f t="shared" si="41"/>
        <v>-387</v>
      </c>
      <c r="G45" s="74">
        <f t="shared" si="41"/>
        <v>-452</v>
      </c>
      <c r="H45" s="74">
        <f t="shared" si="41"/>
        <v>-529</v>
      </c>
      <c r="I45" s="74">
        <f t="shared" si="41"/>
        <v>-606</v>
      </c>
      <c r="J45" s="74">
        <f t="shared" si="41"/>
        <v>-649</v>
      </c>
      <c r="K45" s="74">
        <f t="shared" si="41"/>
        <v>-706</v>
      </c>
      <c r="L45" s="71"/>
      <c r="M45" s="72">
        <f>-(M46*M48)</f>
        <v>-778.46745283018549</v>
      </c>
      <c r="N45" s="72">
        <f t="shared" ref="N45:P45" si="42">-(N46*N48)</f>
        <v>-870.22285439658924</v>
      </c>
      <c r="O45" s="72">
        <f t="shared" si="42"/>
        <v>-972.79316374880193</v>
      </c>
      <c r="P45" s="72">
        <f t="shared" si="42"/>
        <v>-1087.4530985428833</v>
      </c>
      <c r="Q45" s="72">
        <f>-(Q46*Q48)</f>
        <v>-1215.6276232178386</v>
      </c>
    </row>
    <row r="46" spans="1:19" ht="14.5" hidden="1" customHeight="1">
      <c r="A46" s="73" t="str">
        <f t="shared" ref="A46:A56" si="43">A16</f>
        <v>PPE &amp; Intangible Assets</v>
      </c>
      <c r="B46" s="70">
        <v>2425.7999999999997</v>
      </c>
      <c r="C46" s="70">
        <f t="shared" ref="C46:K46" si="44">C16</f>
        <v>2425.1</v>
      </c>
      <c r="D46" s="70">
        <f t="shared" si="44"/>
        <v>2398.9</v>
      </c>
      <c r="E46" s="70">
        <f t="shared" si="44"/>
        <v>2602</v>
      </c>
      <c r="F46" s="70">
        <f t="shared" si="44"/>
        <v>2814</v>
      </c>
      <c r="G46" s="70">
        <f t="shared" si="44"/>
        <v>2834</v>
      </c>
      <c r="H46" s="70">
        <f t="shared" si="44"/>
        <v>3116</v>
      </c>
      <c r="I46" s="70">
        <f t="shared" si="44"/>
        <v>3292</v>
      </c>
      <c r="J46" s="70">
        <f t="shared" si="44"/>
        <v>3801</v>
      </c>
      <c r="K46" s="70">
        <f t="shared" si="44"/>
        <v>4272</v>
      </c>
      <c r="L46" s="71"/>
      <c r="M46" s="72">
        <f>K46*(1+M47)</f>
        <v>4775.5266073958555</v>
      </c>
      <c r="N46" s="72">
        <f>M46*(1+N47)</f>
        <v>5338.4022420285046</v>
      </c>
      <c r="O46" s="72">
        <f t="shared" ref="O46:P46" si="45">N46*(1+O47)</f>
        <v>5967.6221787895165</v>
      </c>
      <c r="P46" s="72">
        <f t="shared" si="45"/>
        <v>6671.0062026439527</v>
      </c>
      <c r="Q46" s="72">
        <f>P46*(1+Q47)</f>
        <v>7457.2957909243887</v>
      </c>
    </row>
    <row r="47" spans="1:19" outlineLevel="3">
      <c r="A47" s="73" t="str">
        <f t="shared" si="43"/>
        <v>Change in PPE &amp; Intangible Assets</v>
      </c>
      <c r="B47" s="70"/>
      <c r="C47" s="68">
        <f t="shared" ref="C47:K47" si="46">C17</f>
        <v>-7.9378938577177149E-2</v>
      </c>
      <c r="D47" s="68">
        <f t="shared" si="46"/>
        <v>-1.0803678198837097E-2</v>
      </c>
      <c r="E47" s="68">
        <f t="shared" si="46"/>
        <v>8.466380424361164E-2</v>
      </c>
      <c r="F47" s="68">
        <f t="shared" si="46"/>
        <v>8.1475787855495696E-2</v>
      </c>
      <c r="G47" s="68">
        <f t="shared" si="46"/>
        <v>7.1073205401563921E-3</v>
      </c>
      <c r="H47" s="68">
        <f t="shared" si="46"/>
        <v>9.9505998588567346E-2</v>
      </c>
      <c r="I47" s="68">
        <f t="shared" si="46"/>
        <v>5.6482670089858855E-2</v>
      </c>
      <c r="J47" s="68">
        <f t="shared" si="46"/>
        <v>0.15461725394896719</v>
      </c>
      <c r="K47" s="68">
        <f t="shared" si="46"/>
        <v>0.12391475927387519</v>
      </c>
      <c r="L47" s="71"/>
      <c r="M47" s="69">
        <f>M17+$E$38</f>
        <v>0.11786671521438574</v>
      </c>
      <c r="N47" s="69">
        <f>N17+$E$38</f>
        <v>0.11786671521438574</v>
      </c>
      <c r="O47" s="69">
        <f>O17+$E$38</f>
        <v>0.11786671521438574</v>
      </c>
      <c r="P47" s="69">
        <f>P17+$E$38</f>
        <v>0.11786671521438574</v>
      </c>
      <c r="Q47" s="69">
        <f>Q17+$E$38</f>
        <v>0.11786671521438574</v>
      </c>
    </row>
    <row r="48" spans="1:19" outlineLevel="2">
      <c r="A48" s="73" t="str">
        <f t="shared" si="43"/>
        <v>Average Depreciation &amp; Amortization Rate</v>
      </c>
      <c r="B48" s="68">
        <v>-920.1</v>
      </c>
      <c r="C48" s="68">
        <f t="shared" ref="C48:K48" si="47">C18</f>
        <v>0.14304564760216074</v>
      </c>
      <c r="D48" s="68">
        <f t="shared" si="47"/>
        <v>0.14056442536162406</v>
      </c>
      <c r="E48" s="68">
        <f t="shared" si="47"/>
        <v>0.13489623366641046</v>
      </c>
      <c r="F48" s="68">
        <f t="shared" si="47"/>
        <v>0.13752665245202558</v>
      </c>
      <c r="G48" s="68">
        <f t="shared" si="47"/>
        <v>0.15949188426252647</v>
      </c>
      <c r="H48" s="68">
        <f t="shared" si="47"/>
        <v>0.16976893453145059</v>
      </c>
      <c r="I48" s="68">
        <f t="shared" si="47"/>
        <v>0.18408262454434993</v>
      </c>
      <c r="J48" s="68">
        <f t="shared" si="47"/>
        <v>0.17074454091028676</v>
      </c>
      <c r="K48" s="68">
        <f t="shared" si="47"/>
        <v>0.16526217228464418</v>
      </c>
      <c r="L48" s="71"/>
      <c r="M48" s="69">
        <f>M18</f>
        <v>0.16301185540974128</v>
      </c>
      <c r="N48" s="69">
        <f>N18</f>
        <v>0.16301185540974128</v>
      </c>
      <c r="O48" s="69">
        <f>O18</f>
        <v>0.16301185540974128</v>
      </c>
      <c r="P48" s="69">
        <f>P18</f>
        <v>0.16301185540974128</v>
      </c>
      <c r="Q48" s="69">
        <f>Q18</f>
        <v>0.16301185540974128</v>
      </c>
    </row>
    <row r="49" spans="1:19" outlineLevel="2">
      <c r="A49" s="75" t="str">
        <f t="shared" si="43"/>
        <v>PPE</v>
      </c>
      <c r="B49" s="74">
        <v>1505.6999999999998</v>
      </c>
      <c r="C49" s="74">
        <f t="shared" ref="C49:K49" si="48">C19</f>
        <v>1957.7</v>
      </c>
      <c r="D49" s="74">
        <f t="shared" si="48"/>
        <v>1931.9</v>
      </c>
      <c r="E49" s="74">
        <f t="shared" si="48"/>
        <v>2115</v>
      </c>
      <c r="F49" s="74">
        <f t="shared" si="48"/>
        <v>2279</v>
      </c>
      <c r="G49" s="74">
        <f t="shared" si="48"/>
        <v>2452</v>
      </c>
      <c r="H49" s="74">
        <f t="shared" si="48"/>
        <v>2834</v>
      </c>
      <c r="I49" s="74">
        <f t="shared" si="48"/>
        <v>3011</v>
      </c>
      <c r="J49" s="74">
        <f t="shared" si="48"/>
        <v>3520</v>
      </c>
      <c r="K49" s="74">
        <f t="shared" si="48"/>
        <v>3989</v>
      </c>
      <c r="L49" s="70"/>
      <c r="M49" s="72">
        <f>K49*(1+M51)</f>
        <v>4459.1703269901845</v>
      </c>
      <c r="N49" s="72">
        <f>M49*(1+N51)</f>
        <v>4984.758086013976</v>
      </c>
      <c r="O49" s="72">
        <f t="shared" ref="O49:P49" si="49">N49*(1+O51)</f>
        <v>5572.2951477507922</v>
      </c>
      <c r="P49" s="72">
        <f t="shared" si="49"/>
        <v>6229.0832730212387</v>
      </c>
      <c r="Q49" s="72">
        <f>P49*(1+Q51)</f>
        <v>6963.284857209127</v>
      </c>
    </row>
    <row r="50" spans="1:19" outlineLevel="2">
      <c r="A50" s="73" t="str">
        <f t="shared" si="43"/>
        <v>Change in PPE</v>
      </c>
      <c r="B50" s="74"/>
      <c r="C50" s="74">
        <f t="shared" ref="C50:K50" si="50">C20</f>
        <v>66.600000000000136</v>
      </c>
      <c r="D50" s="74">
        <f t="shared" si="50"/>
        <v>-25.799999999999955</v>
      </c>
      <c r="E50" s="74">
        <f t="shared" si="50"/>
        <v>183.09999999999991</v>
      </c>
      <c r="F50" s="74">
        <f t="shared" si="50"/>
        <v>164</v>
      </c>
      <c r="G50" s="74">
        <f t="shared" si="50"/>
        <v>173</v>
      </c>
      <c r="H50" s="74">
        <f t="shared" si="50"/>
        <v>382</v>
      </c>
      <c r="I50" s="74">
        <f t="shared" si="50"/>
        <v>177</v>
      </c>
      <c r="J50" s="74">
        <f t="shared" si="50"/>
        <v>509</v>
      </c>
      <c r="K50" s="74">
        <f t="shared" si="50"/>
        <v>469</v>
      </c>
      <c r="L50" s="71"/>
      <c r="M50" s="72">
        <f>M49-K49</f>
        <v>470.17032699018455</v>
      </c>
      <c r="N50" s="72">
        <f>N49-M49</f>
        <v>525.58775902379148</v>
      </c>
      <c r="O50" s="72">
        <f t="shared" ref="O50:P50" si="51">O49-N49</f>
        <v>587.53706173681621</v>
      </c>
      <c r="P50" s="72">
        <f t="shared" si="51"/>
        <v>656.78812527044647</v>
      </c>
      <c r="Q50" s="72">
        <f>Q49-P49</f>
        <v>734.20158418788833</v>
      </c>
    </row>
    <row r="51" spans="1:19" outlineLevel="2">
      <c r="A51" s="73" t="str">
        <f t="shared" si="43"/>
        <v>% Change in PPE</v>
      </c>
      <c r="B51" s="74"/>
      <c r="C51" s="76">
        <f t="shared" ref="C51:K51" si="52">C21</f>
        <v>3.5217598223256319E-2</v>
      </c>
      <c r="D51" s="76">
        <f t="shared" si="52"/>
        <v>-1.3178730142514139E-2</v>
      </c>
      <c r="E51" s="76">
        <f t="shared" si="52"/>
        <v>9.477716237900502E-2</v>
      </c>
      <c r="F51" s="76">
        <f t="shared" si="52"/>
        <v>7.7541371158392325E-2</v>
      </c>
      <c r="G51" s="76">
        <f t="shared" si="52"/>
        <v>7.5910487055726117E-2</v>
      </c>
      <c r="H51" s="76">
        <f t="shared" si="52"/>
        <v>0.15579119086460036</v>
      </c>
      <c r="I51" s="76">
        <f t="shared" si="52"/>
        <v>6.2455892731122065E-2</v>
      </c>
      <c r="J51" s="76">
        <f t="shared" si="52"/>
        <v>0.16904682829624718</v>
      </c>
      <c r="K51" s="76">
        <f t="shared" si="52"/>
        <v>0.13323863636363642</v>
      </c>
      <c r="L51" s="71"/>
      <c r="M51" s="69">
        <f>M21+$E$38</f>
        <v>0.11786671521438574</v>
      </c>
      <c r="N51" s="69">
        <f>N21+$E$38</f>
        <v>0.11786671521438574</v>
      </c>
      <c r="O51" s="69">
        <f>O21+$E$38</f>
        <v>0.11786671521438574</v>
      </c>
      <c r="P51" s="69">
        <f>P21+$E$38</f>
        <v>0.11786671521438574</v>
      </c>
      <c r="Q51" s="69">
        <f>Q21+$E$38</f>
        <v>0.11786671521438574</v>
      </c>
      <c r="S51" s="227"/>
    </row>
    <row r="52" spans="1:19" outlineLevel="2">
      <c r="A52" s="96" t="str">
        <f t="shared" si="43"/>
        <v>Change in Intangible Assets</v>
      </c>
      <c r="B52" s="82"/>
      <c r="C52" s="97">
        <f t="shared" ref="C52:K52" si="53">C22</f>
        <v>-275.70000000000005</v>
      </c>
      <c r="D52" s="97">
        <f t="shared" si="53"/>
        <v>-0.39999999999997726</v>
      </c>
      <c r="E52" s="97">
        <f t="shared" si="53"/>
        <v>20</v>
      </c>
      <c r="F52" s="97">
        <f t="shared" si="53"/>
        <v>48</v>
      </c>
      <c r="G52" s="97">
        <f t="shared" si="53"/>
        <v>-153</v>
      </c>
      <c r="H52" s="97">
        <f t="shared" si="53"/>
        <v>-100</v>
      </c>
      <c r="I52" s="97">
        <f t="shared" si="53"/>
        <v>-1</v>
      </c>
      <c r="J52" s="97">
        <f t="shared" si="53"/>
        <v>0</v>
      </c>
      <c r="K52" s="97">
        <f t="shared" si="53"/>
        <v>2</v>
      </c>
      <c r="L52" s="71"/>
      <c r="M52" s="98"/>
      <c r="N52" s="98"/>
      <c r="O52" s="98"/>
      <c r="P52" s="98"/>
      <c r="Q52" s="98"/>
      <c r="S52" s="227"/>
    </row>
    <row r="53" spans="1:19" outlineLevel="2">
      <c r="A53" s="73" t="str">
        <f t="shared" si="43"/>
        <v>Average Depreciation</v>
      </c>
      <c r="B53" s="74">
        <v>1505.6999999999998</v>
      </c>
      <c r="C53" s="74">
        <f t="shared" ref="C53:K53" si="54">C23</f>
        <v>-335</v>
      </c>
      <c r="D53" s="74">
        <f t="shared" si="54"/>
        <v>-323.7</v>
      </c>
      <c r="E53" s="74">
        <f t="shared" si="54"/>
        <v>-335</v>
      </c>
      <c r="F53" s="74">
        <f t="shared" si="54"/>
        <v>-373</v>
      </c>
      <c r="G53" s="74">
        <f t="shared" si="54"/>
        <v>-438</v>
      </c>
      <c r="H53" s="74">
        <f t="shared" si="54"/>
        <v>-518</v>
      </c>
      <c r="I53" s="74">
        <f t="shared" si="54"/>
        <v>-606</v>
      </c>
      <c r="J53" s="74">
        <f t="shared" si="54"/>
        <v>-649</v>
      </c>
      <c r="K53" s="74">
        <f t="shared" si="54"/>
        <v>-706</v>
      </c>
      <c r="L53" s="71"/>
      <c r="M53" s="72">
        <f>M45</f>
        <v>-778.46745283018549</v>
      </c>
      <c r="N53" s="72">
        <f t="shared" ref="N53:Q53" si="55">N45</f>
        <v>-870.22285439658924</v>
      </c>
      <c r="O53" s="72">
        <f t="shared" si="55"/>
        <v>-972.79316374880193</v>
      </c>
      <c r="P53" s="72">
        <f t="shared" si="55"/>
        <v>-1087.4530985428833</v>
      </c>
      <c r="Q53" s="72">
        <f t="shared" si="55"/>
        <v>-1215.6276232178386</v>
      </c>
      <c r="S53" s="227"/>
    </row>
    <row r="54" spans="1:19" s="10" customFormat="1">
      <c r="A54" s="270" t="str">
        <f t="shared" si="43"/>
        <v>EBIT</v>
      </c>
      <c r="B54" s="271"/>
      <c r="C54" s="271">
        <f t="shared" ref="C54:K54" si="56">C24</f>
        <v>1946.9999999999991</v>
      </c>
      <c r="D54" s="271">
        <f t="shared" si="56"/>
        <v>2523.1999999999998</v>
      </c>
      <c r="E54" s="271">
        <f t="shared" si="56"/>
        <v>2848</v>
      </c>
      <c r="F54" s="271">
        <f t="shared" si="56"/>
        <v>2986</v>
      </c>
      <c r="G54" s="271">
        <f t="shared" si="56"/>
        <v>3269</v>
      </c>
      <c r="H54" s="271">
        <f t="shared" si="56"/>
        <v>3577</v>
      </c>
      <c r="I54" s="271">
        <f t="shared" si="56"/>
        <v>4233</v>
      </c>
      <c r="J54" s="271">
        <f t="shared" si="56"/>
        <v>4642</v>
      </c>
      <c r="K54" s="271">
        <f t="shared" si="56"/>
        <v>4945</v>
      </c>
      <c r="M54" s="271">
        <f>M42+M45</f>
        <v>5485.9713139208106</v>
      </c>
      <c r="N54" s="271">
        <f t="shared" ref="N54:Q54" si="57">N42+N45</f>
        <v>6035.4971643109502</v>
      </c>
      <c r="O54" s="271">
        <f t="shared" si="57"/>
        <v>6639.8551120857446</v>
      </c>
      <c r="P54" s="271">
        <f t="shared" si="57"/>
        <v>7304.4906255835031</v>
      </c>
      <c r="Q54" s="271">
        <f t="shared" si="57"/>
        <v>8035.3868617754069</v>
      </c>
    </row>
    <row r="55" spans="1:19" outlineLevel="2">
      <c r="A55" s="67" t="str">
        <f t="shared" si="43"/>
        <v xml:space="preserve"> EBIT Growth</v>
      </c>
      <c r="B55" s="78"/>
      <c r="C55" s="68">
        <f t="shared" ref="C55:K55" si="58">C25</f>
        <v>-0.19737818451644851</v>
      </c>
      <c r="D55" s="68">
        <f t="shared" si="58"/>
        <v>0.29594247560349296</v>
      </c>
      <c r="E55" s="68">
        <f t="shared" si="58"/>
        <v>0.1287254280279011</v>
      </c>
      <c r="F55" s="68">
        <f t="shared" si="58"/>
        <v>4.8455056179775191E-2</v>
      </c>
      <c r="G55" s="68">
        <f t="shared" si="58"/>
        <v>9.4775619557937008E-2</v>
      </c>
      <c r="H55" s="68">
        <f t="shared" si="58"/>
        <v>9.4218415417558932E-2</v>
      </c>
      <c r="I55" s="68">
        <f t="shared" si="58"/>
        <v>0.18339390550740853</v>
      </c>
      <c r="J55" s="68">
        <f t="shared" si="58"/>
        <v>9.6621781242617555E-2</v>
      </c>
      <c r="K55" s="68">
        <f t="shared" si="58"/>
        <v>6.5273588970271357E-2</v>
      </c>
      <c r="L55" s="68"/>
      <c r="M55" s="69">
        <f>(M54/K54)-1</f>
        <v>0.1093976367888394</v>
      </c>
      <c r="N55" s="69">
        <f>(N54/M54)-1</f>
        <v>0.10016928980209983</v>
      </c>
      <c r="O55" s="69">
        <f t="shared" ref="O55:Q55" si="59">(O54/N54)-1</f>
        <v>0.10013391296884011</v>
      </c>
      <c r="P55" s="69">
        <f t="shared" si="59"/>
        <v>0.10009789404711578</v>
      </c>
      <c r="Q55" s="69">
        <f t="shared" si="59"/>
        <v>0.10006121900300435</v>
      </c>
      <c r="S55" s="227"/>
    </row>
    <row r="56" spans="1:19">
      <c r="A56" s="240" t="str">
        <f t="shared" si="43"/>
        <v xml:space="preserve"> Taxes</v>
      </c>
      <c r="B56" s="241"/>
      <c r="C56" s="242">
        <f t="shared" ref="C56:K56" si="60">C26</f>
        <v>-469.8</v>
      </c>
      <c r="D56" s="242">
        <f t="shared" si="60"/>
        <v>-610.20000000000005</v>
      </c>
      <c r="E56" s="242">
        <f t="shared" si="60"/>
        <v>-711</v>
      </c>
      <c r="F56" s="242">
        <f t="shared" si="60"/>
        <v>-760</v>
      </c>
      <c r="G56" s="242">
        <f t="shared" si="60"/>
        <v>-808</v>
      </c>
      <c r="H56" s="242">
        <f t="shared" si="60"/>
        <v>-851</v>
      </c>
      <c r="I56" s="242">
        <f t="shared" si="60"/>
        <v>-932</v>
      </c>
      <c r="J56" s="242">
        <f t="shared" si="60"/>
        <v>-863</v>
      </c>
      <c r="K56" s="242">
        <f t="shared" si="60"/>
        <v>-646</v>
      </c>
      <c r="L56" s="242"/>
      <c r="M56" s="243">
        <f>-(M54*$M$64)</f>
        <v>-1178.0818620460834</v>
      </c>
      <c r="N56" s="243">
        <f t="shared" ref="N56:Q56" si="61">-(N54*$M$64)</f>
        <v>-1296.0894854959749</v>
      </c>
      <c r="O56" s="243">
        <f t="shared" si="61"/>
        <v>-1425.8719972364577</v>
      </c>
      <c r="P56" s="243">
        <f t="shared" si="61"/>
        <v>-1568.598781340582</v>
      </c>
      <c r="Q56" s="243">
        <f t="shared" si="61"/>
        <v>-1725.5546875281477</v>
      </c>
      <c r="S56" s="227"/>
    </row>
    <row r="57" spans="1:19" s="38" customFormat="1" ht="6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</row>
    <row r="58" spans="1:19">
      <c r="A58" s="244" t="str">
        <f>A28</f>
        <v>Depreciation &amp; Amortization</v>
      </c>
      <c r="B58" s="245"/>
      <c r="C58" s="246">
        <f t="shared" ref="C58:K58" si="62">C28</f>
        <v>346.9</v>
      </c>
      <c r="D58" s="246">
        <f t="shared" si="62"/>
        <v>337.2</v>
      </c>
      <c r="E58" s="246">
        <f t="shared" si="62"/>
        <v>351</v>
      </c>
      <c r="F58" s="246">
        <f t="shared" si="62"/>
        <v>387</v>
      </c>
      <c r="G58" s="246">
        <f t="shared" si="62"/>
        <v>452</v>
      </c>
      <c r="H58" s="246">
        <f t="shared" si="62"/>
        <v>529</v>
      </c>
      <c r="I58" s="246">
        <f t="shared" si="62"/>
        <v>606</v>
      </c>
      <c r="J58" s="246">
        <f t="shared" si="62"/>
        <v>649</v>
      </c>
      <c r="K58" s="246">
        <f t="shared" si="62"/>
        <v>706</v>
      </c>
      <c r="L58" s="247"/>
      <c r="M58" s="246">
        <f>-(M45)</f>
        <v>778.46745283018549</v>
      </c>
      <c r="N58" s="246">
        <f t="shared" ref="N58:Q58" si="63">-(N45)</f>
        <v>870.22285439658924</v>
      </c>
      <c r="O58" s="246">
        <f t="shared" si="63"/>
        <v>972.79316374880193</v>
      </c>
      <c r="P58" s="246">
        <f t="shared" si="63"/>
        <v>1087.4530985428833</v>
      </c>
      <c r="Q58" s="246">
        <f t="shared" si="63"/>
        <v>1215.6276232178386</v>
      </c>
      <c r="S58" s="227"/>
    </row>
    <row r="59" spans="1:19">
      <c r="A59" s="80" t="str">
        <f>A29</f>
        <v>Change in Net Working Capital</v>
      </c>
      <c r="B59" s="77"/>
      <c r="C59" s="79">
        <f t="shared" ref="C59:K59" si="64">C29</f>
        <v>-80.000000000000796</v>
      </c>
      <c r="D59" s="79">
        <f t="shared" si="64"/>
        <v>-911.49999999999966</v>
      </c>
      <c r="E59" s="79">
        <f t="shared" si="64"/>
        <v>760.89999999999964</v>
      </c>
      <c r="F59" s="79">
        <f t="shared" si="64"/>
        <v>550</v>
      </c>
      <c r="G59" s="79">
        <f t="shared" si="64"/>
        <v>-208</v>
      </c>
      <c r="H59" s="79">
        <f t="shared" si="64"/>
        <v>329</v>
      </c>
      <c r="I59" s="79">
        <f t="shared" si="64"/>
        <v>39</v>
      </c>
      <c r="J59" s="79">
        <f t="shared" si="64"/>
        <v>323</v>
      </c>
      <c r="K59" s="79">
        <f t="shared" si="64"/>
        <v>471</v>
      </c>
      <c r="L59" s="79"/>
      <c r="M59" s="79">
        <f>M60-K60</f>
        <v>583.6318998079314</v>
      </c>
      <c r="N59" s="79">
        <f>N60-M60</f>
        <v>637.19789988237972</v>
      </c>
      <c r="O59" s="79">
        <f t="shared" ref="O59:Q59" si="65">O60-N60</f>
        <v>695.6802117021598</v>
      </c>
      <c r="P59" s="79">
        <f t="shared" si="65"/>
        <v>759.53005658571237</v>
      </c>
      <c r="Q59" s="79">
        <f t="shared" si="65"/>
        <v>829.24006914843449</v>
      </c>
      <c r="S59" s="227"/>
    </row>
    <row r="60" spans="1:19">
      <c r="A60" s="80" t="str">
        <f>A30</f>
        <v>Net Working Capital</v>
      </c>
      <c r="B60" s="77"/>
      <c r="C60" s="79">
        <f t="shared" ref="C60:K60" si="66">C30</f>
        <v>3866.1</v>
      </c>
      <c r="D60" s="79">
        <f t="shared" si="66"/>
        <v>3297.5000000000005</v>
      </c>
      <c r="E60" s="79">
        <f t="shared" si="66"/>
        <v>4197</v>
      </c>
      <c r="F60" s="79">
        <f t="shared" si="66"/>
        <v>4934</v>
      </c>
      <c r="G60" s="79">
        <f t="shared" si="66"/>
        <v>4834</v>
      </c>
      <c r="H60" s="79">
        <f t="shared" si="66"/>
        <v>5284</v>
      </c>
      <c r="I60" s="79">
        <f t="shared" si="66"/>
        <v>5490</v>
      </c>
      <c r="J60" s="79">
        <f t="shared" si="66"/>
        <v>5887</v>
      </c>
      <c r="K60" s="79">
        <f t="shared" si="66"/>
        <v>6359</v>
      </c>
      <c r="L60" s="79"/>
      <c r="M60" s="79">
        <f>K60*(1+M61)</f>
        <v>6942.6318998079314</v>
      </c>
      <c r="N60" s="79">
        <f>M60*(1+N61)</f>
        <v>7579.8297996903111</v>
      </c>
      <c r="O60" s="79">
        <f t="shared" ref="O60:Q60" si="67">N60*(1+O61)</f>
        <v>8275.5100113924709</v>
      </c>
      <c r="P60" s="79">
        <f t="shared" si="67"/>
        <v>9035.0400679781833</v>
      </c>
      <c r="Q60" s="79">
        <f t="shared" si="67"/>
        <v>9864.2801371266178</v>
      </c>
      <c r="S60" s="227"/>
    </row>
    <row r="61" spans="1:19">
      <c r="A61" s="80" t="str">
        <f>A31</f>
        <v>% Change in Net Working Capital</v>
      </c>
      <c r="B61" s="77"/>
      <c r="C61" s="79"/>
      <c r="D61" s="69">
        <f t="shared" ref="D61:K62" si="68">D31</f>
        <v>-0.14707327798039349</v>
      </c>
      <c r="E61" s="69">
        <f t="shared" si="68"/>
        <v>0.27278241091736155</v>
      </c>
      <c r="F61" s="69">
        <f t="shared" si="68"/>
        <v>0.17560162020490822</v>
      </c>
      <c r="G61" s="69">
        <f t="shared" si="68"/>
        <v>-2.0267531414673745E-2</v>
      </c>
      <c r="H61" s="69">
        <f t="shared" si="68"/>
        <v>9.3090608191973567E-2</v>
      </c>
      <c r="I61" s="69">
        <f t="shared" si="68"/>
        <v>3.8985616956850766E-2</v>
      </c>
      <c r="J61" s="69">
        <f t="shared" si="68"/>
        <v>7.2313296903460778E-2</v>
      </c>
      <c r="K61" s="69">
        <f t="shared" si="68"/>
        <v>8.0176660438253888E-2</v>
      </c>
      <c r="L61" s="79"/>
      <c r="M61" s="69">
        <f>M31+$E$38</f>
        <v>9.1780452871195378E-2</v>
      </c>
      <c r="N61" s="69">
        <f>N31+$E$38</f>
        <v>9.1780452871195378E-2</v>
      </c>
      <c r="O61" s="69">
        <f>O31+$E$38</f>
        <v>9.1780452871195378E-2</v>
      </c>
      <c r="P61" s="69">
        <f>P31+$E$38</f>
        <v>9.1780452871195378E-2</v>
      </c>
      <c r="Q61" s="69">
        <f>Q31+$E$38</f>
        <v>9.1780452871195378E-2</v>
      </c>
      <c r="S61" s="227"/>
    </row>
    <row r="62" spans="1:19" outlineLevel="1">
      <c r="A62" s="248" t="str">
        <f>A32</f>
        <v>CAPEX</v>
      </c>
      <c r="B62" s="243"/>
      <c r="C62" s="249">
        <f>C32</f>
        <v>-455.7</v>
      </c>
      <c r="D62" s="249">
        <f t="shared" si="68"/>
        <v>-335.1</v>
      </c>
      <c r="E62" s="249">
        <f t="shared" si="68"/>
        <v>-432</v>
      </c>
      <c r="F62" s="249">
        <f t="shared" si="68"/>
        <v>-597</v>
      </c>
      <c r="G62" s="249">
        <f t="shared" si="68"/>
        <v>-598</v>
      </c>
      <c r="H62" s="249">
        <f t="shared" si="68"/>
        <v>-880</v>
      </c>
      <c r="I62" s="249">
        <f t="shared" si="68"/>
        <v>-963</v>
      </c>
      <c r="J62" s="249">
        <f t="shared" si="68"/>
        <v>-1143</v>
      </c>
      <c r="K62" s="249">
        <f t="shared" si="68"/>
        <v>-1105</v>
      </c>
      <c r="L62" s="249"/>
      <c r="M62" s="249">
        <f>-(M50-M53)</f>
        <v>-1248.63777982037</v>
      </c>
      <c r="N62" s="249">
        <f t="shared" ref="N62:Q62" si="69">-(N50-N53)</f>
        <v>-1395.8106134203808</v>
      </c>
      <c r="O62" s="249">
        <f t="shared" si="69"/>
        <v>-1560.330225485618</v>
      </c>
      <c r="P62" s="249">
        <f t="shared" si="69"/>
        <v>-1744.2412238133297</v>
      </c>
      <c r="Q62" s="249">
        <f t="shared" si="69"/>
        <v>-1949.8292074057269</v>
      </c>
      <c r="S62" s="227"/>
    </row>
    <row r="63" spans="1:19" s="38" customFormat="1" ht="6" customHeight="1">
      <c r="A63" s="40"/>
      <c r="B63" s="41"/>
      <c r="C63" s="41"/>
      <c r="D63" s="41"/>
      <c r="E63" s="41"/>
      <c r="F63" s="41"/>
      <c r="G63" s="41"/>
      <c r="H63" s="41"/>
      <c r="I63" s="41"/>
      <c r="J63" s="41"/>
    </row>
    <row r="64" spans="1:19" outlineLevel="1" collapsed="1">
      <c r="A64" s="250" t="s">
        <v>170</v>
      </c>
      <c r="B64" s="251">
        <v>0.248</v>
      </c>
      <c r="C64" s="251">
        <v>0.24</v>
      </c>
      <c r="D64" s="251">
        <v>0.24199999999999999</v>
      </c>
      <c r="E64" s="251">
        <v>0.25</v>
      </c>
      <c r="F64" s="251">
        <v>0.255</v>
      </c>
      <c r="G64" s="251">
        <v>0.247</v>
      </c>
      <c r="H64" s="251">
        <v>0.24</v>
      </c>
      <c r="I64" s="251">
        <v>0.222</v>
      </c>
      <c r="J64" s="251">
        <v>0.187</v>
      </c>
      <c r="K64" s="251">
        <v>0.13200000000000001</v>
      </c>
      <c r="L64" s="251"/>
      <c r="M64" s="664">
        <f>(AVERAGE(G64:K64)+AVERAGE(C64:K64))/2</f>
        <v>0.21474444444444446</v>
      </c>
      <c r="N64" s="664"/>
      <c r="O64" s="664"/>
      <c r="P64" s="664"/>
      <c r="Q64" s="664"/>
      <c r="S64" s="227"/>
    </row>
    <row r="65" spans="1:19" s="38" customFormat="1" ht="6" customHeight="1">
      <c r="A65" s="40"/>
      <c r="B65" s="41"/>
      <c r="C65" s="41"/>
      <c r="D65" s="41"/>
      <c r="E65" s="41"/>
      <c r="F65" s="41"/>
      <c r="G65" s="41"/>
      <c r="H65" s="41"/>
      <c r="I65" s="41"/>
      <c r="J65" s="41"/>
    </row>
    <row r="66" spans="1:19" s="232" customFormat="1" outlineLevel="1">
      <c r="A66" s="250" t="s">
        <v>346</v>
      </c>
      <c r="B66" s="251"/>
      <c r="C66" s="297">
        <f>'Balance Sheet'!C24</f>
        <v>342.9</v>
      </c>
      <c r="D66" s="297">
        <f>'Balance Sheet'!D24</f>
        <v>138.6</v>
      </c>
      <c r="E66" s="297">
        <f>'Balance Sheet'!E24</f>
        <v>187</v>
      </c>
      <c r="F66" s="297">
        <f>'Balance Sheet'!F24</f>
        <v>108</v>
      </c>
      <c r="G66" s="297">
        <f>'Balance Sheet'!G24</f>
        <v>121</v>
      </c>
      <c r="H66" s="297">
        <f>'Balance Sheet'!H24</f>
        <v>167</v>
      </c>
      <c r="I66" s="297">
        <f>'Balance Sheet'!I24</f>
        <v>74</v>
      </c>
      <c r="J66" s="297">
        <f>'Balance Sheet'!J24</f>
        <v>1</v>
      </c>
      <c r="K66" s="297">
        <f>'Balance Sheet'!K24</f>
        <v>325</v>
      </c>
      <c r="L66" s="251"/>
      <c r="M66" s="297">
        <f>(AVERAGE(C66:K66)+AVERAGE(G66:K66))/2</f>
        <v>150.1611111111111</v>
      </c>
      <c r="N66" s="297">
        <f>$M$66</f>
        <v>150.1611111111111</v>
      </c>
      <c r="O66" s="297">
        <f t="shared" ref="O66:Q66" si="70">$M$66</f>
        <v>150.1611111111111</v>
      </c>
      <c r="P66" s="297">
        <f t="shared" si="70"/>
        <v>150.1611111111111</v>
      </c>
      <c r="Q66" s="297">
        <f t="shared" si="70"/>
        <v>150.1611111111111</v>
      </c>
      <c r="R66" s="169"/>
      <c r="S66" s="226"/>
    </row>
    <row r="67" spans="1:19">
      <c r="A67" s="81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169"/>
    </row>
    <row r="68" spans="1:19" ht="16" thickBot="1">
      <c r="A68" s="225" t="s">
        <v>311</v>
      </c>
      <c r="B68" s="222"/>
      <c r="C68" s="233" t="s">
        <v>319</v>
      </c>
      <c r="D68" s="234"/>
      <c r="E68" s="235">
        <v>-0.03</v>
      </c>
      <c r="F68" s="222"/>
      <c r="G68" s="222"/>
      <c r="H68" s="222"/>
      <c r="I68" s="222"/>
      <c r="J68" s="222"/>
      <c r="K68" s="223"/>
      <c r="L68" s="62"/>
      <c r="M68" s="224"/>
      <c r="N68" s="224"/>
      <c r="O68" s="224"/>
      <c r="P68" s="224"/>
      <c r="Q68" s="224"/>
      <c r="R68" s="169"/>
      <c r="S68" s="227"/>
    </row>
    <row r="69" spans="1:19" s="38" customFormat="1" ht="6" customHeight="1">
      <c r="A69" s="40"/>
      <c r="B69" s="41"/>
      <c r="C69" s="41"/>
      <c r="D69" s="41"/>
      <c r="E69" s="41"/>
      <c r="F69" s="41"/>
      <c r="G69" s="41"/>
      <c r="H69" s="41"/>
      <c r="I69" s="41"/>
      <c r="J69" s="41"/>
    </row>
    <row r="70" spans="1:19">
      <c r="A70" s="236" t="s">
        <v>161</v>
      </c>
      <c r="B70" s="237">
        <f t="shared" ref="B70:K70" si="71">B10</f>
        <v>18627</v>
      </c>
      <c r="C70" s="237">
        <f t="shared" si="71"/>
        <v>19176</v>
      </c>
      <c r="D70" s="237">
        <f t="shared" si="71"/>
        <v>19014</v>
      </c>
      <c r="E70" s="237">
        <f t="shared" si="71"/>
        <v>20862</v>
      </c>
      <c r="F70" s="237">
        <f t="shared" si="71"/>
        <v>24128</v>
      </c>
      <c r="G70" s="237">
        <f t="shared" si="71"/>
        <v>25313</v>
      </c>
      <c r="H70" s="237">
        <f t="shared" si="71"/>
        <v>27799</v>
      </c>
      <c r="I70" s="237">
        <f t="shared" si="71"/>
        <v>30601</v>
      </c>
      <c r="J70" s="237">
        <f t="shared" si="71"/>
        <v>32376</v>
      </c>
      <c r="K70" s="237">
        <f t="shared" si="71"/>
        <v>34350</v>
      </c>
      <c r="L70" s="238"/>
      <c r="M70" s="239">
        <f>K70*(1+M71)</f>
        <v>35805.358260475412</v>
      </c>
      <c r="N70" s="239">
        <f>M70*(1+N71)</f>
        <v>37322.377879504944</v>
      </c>
      <c r="O70" s="239">
        <f t="shared" ref="O70:Q70" si="72">N70*(1+O71)</f>
        <v>38903.671356870946</v>
      </c>
      <c r="P70" s="239">
        <f t="shared" si="72"/>
        <v>40551.961880074523</v>
      </c>
      <c r="Q70" s="239">
        <f t="shared" si="72"/>
        <v>42270.08801400903</v>
      </c>
      <c r="R70" s="227"/>
      <c r="S70" s="227"/>
    </row>
    <row r="71" spans="1:19">
      <c r="A71" s="640" t="s">
        <v>187</v>
      </c>
      <c r="B71" s="68">
        <f t="shared" ref="B71:K71" si="73">B11</f>
        <v>0</v>
      </c>
      <c r="C71" s="68">
        <f t="shared" si="73"/>
        <v>2.9473345144145568E-2</v>
      </c>
      <c r="D71" s="68">
        <f t="shared" si="73"/>
        <v>-8.4480600750939105E-3</v>
      </c>
      <c r="E71" s="68">
        <f t="shared" si="73"/>
        <v>9.7191543073524844E-2</v>
      </c>
      <c r="F71" s="68">
        <f t="shared" si="73"/>
        <v>0.15655258364490465</v>
      </c>
      <c r="G71" s="68">
        <f t="shared" si="73"/>
        <v>4.9113063660477518E-2</v>
      </c>
      <c r="H71" s="68">
        <f t="shared" si="73"/>
        <v>9.8210405720380756E-2</v>
      </c>
      <c r="I71" s="68">
        <f t="shared" si="73"/>
        <v>0.10079499262563396</v>
      </c>
      <c r="J71" s="68">
        <f t="shared" si="73"/>
        <v>5.8004640371229765E-2</v>
      </c>
      <c r="K71" s="68">
        <f t="shared" si="73"/>
        <v>6.0971089696071123E-2</v>
      </c>
      <c r="L71" s="68"/>
      <c r="M71" s="639">
        <f>M11+$E$68</f>
        <v>4.236850831078344E-2</v>
      </c>
      <c r="N71" s="639">
        <f>N11+$E$68</f>
        <v>4.236850831078344E-2</v>
      </c>
      <c r="O71" s="639">
        <f>O11+$E$68</f>
        <v>4.236850831078344E-2</v>
      </c>
      <c r="P71" s="639">
        <f>P11+$E$68</f>
        <v>4.236850831078344E-2</v>
      </c>
      <c r="Q71" s="639">
        <f>Q11+$E$68</f>
        <v>4.236850831078344E-2</v>
      </c>
      <c r="R71" s="227"/>
      <c r="S71" s="227"/>
    </row>
    <row r="72" spans="1:19" s="10" customFormat="1">
      <c r="A72" s="270" t="s">
        <v>162</v>
      </c>
      <c r="B72" s="271">
        <f t="shared" ref="B72:K72" si="74">B12</f>
        <v>0</v>
      </c>
      <c r="C72" s="271">
        <f t="shared" si="74"/>
        <v>2293.8999999999992</v>
      </c>
      <c r="D72" s="271">
        <f t="shared" si="74"/>
        <v>2860.3999999999996</v>
      </c>
      <c r="E72" s="271">
        <f t="shared" si="74"/>
        <v>3199</v>
      </c>
      <c r="F72" s="271">
        <f t="shared" si="74"/>
        <v>3373</v>
      </c>
      <c r="G72" s="271">
        <f t="shared" si="74"/>
        <v>3721</v>
      </c>
      <c r="H72" s="271">
        <f t="shared" si="74"/>
        <v>4106</v>
      </c>
      <c r="I72" s="271">
        <f t="shared" si="74"/>
        <v>4839</v>
      </c>
      <c r="J72" s="271">
        <f t="shared" si="74"/>
        <v>5291</v>
      </c>
      <c r="K72" s="271">
        <f t="shared" si="74"/>
        <v>5651</v>
      </c>
      <c r="M72" s="271">
        <f>M70*$M$73</f>
        <v>5923.4762635849547</v>
      </c>
      <c r="N72" s="271">
        <f>N70*$M$73</f>
        <v>6174.4451168873829</v>
      </c>
      <c r="O72" s="271">
        <f>O70*$M$73</f>
        <v>6436.0471461367015</v>
      </c>
      <c r="P72" s="271">
        <f t="shared" ref="P72:Q72" si="75">P70*$M$73</f>
        <v>6708.7328631363889</v>
      </c>
      <c r="Q72" s="271">
        <f t="shared" si="75"/>
        <v>6992.9718672030085</v>
      </c>
    </row>
    <row r="73" spans="1:19">
      <c r="A73" s="67" t="s">
        <v>171</v>
      </c>
      <c r="B73" s="70">
        <f t="shared" ref="B73:K73" si="76">B13</f>
        <v>0</v>
      </c>
      <c r="C73" s="68">
        <f t="shared" si="76"/>
        <v>0.11962348769294948</v>
      </c>
      <c r="D73" s="68">
        <f t="shared" si="76"/>
        <v>0.15043652045860942</v>
      </c>
      <c r="E73" s="68">
        <f t="shared" si="76"/>
        <v>0.15334100278017448</v>
      </c>
      <c r="F73" s="68">
        <f t="shared" si="76"/>
        <v>0.1397960875331565</v>
      </c>
      <c r="G73" s="68">
        <f t="shared" si="76"/>
        <v>0.14699956544068266</v>
      </c>
      <c r="H73" s="68">
        <f t="shared" si="76"/>
        <v>0.14770315478974064</v>
      </c>
      <c r="I73" s="68">
        <f t="shared" si="76"/>
        <v>0.15813208718669325</v>
      </c>
      <c r="J73" s="68">
        <f t="shared" si="76"/>
        <v>0.16342352359772672</v>
      </c>
      <c r="K73" s="68">
        <f t="shared" si="76"/>
        <v>0.16451237263464338</v>
      </c>
      <c r="L73" s="68"/>
      <c r="M73" s="69">
        <f>M13</f>
        <v>0.16543546975547857</v>
      </c>
      <c r="N73" s="69">
        <f>N13</f>
        <v>0.16636374647636964</v>
      </c>
      <c r="O73" s="69">
        <f>O13</f>
        <v>0.16729723186062551</v>
      </c>
      <c r="P73" s="69">
        <f>P13</f>
        <v>0.16823595513463244</v>
      </c>
      <c r="Q73" s="69">
        <f>Q13</f>
        <v>0.16917994568876923</v>
      </c>
      <c r="R73" s="227"/>
      <c r="S73" s="227"/>
    </row>
    <row r="74" spans="1:19">
      <c r="A74" s="67" t="s">
        <v>188</v>
      </c>
      <c r="B74" s="70">
        <f t="shared" ref="B74:B86" si="77">B14</f>
        <v>0</v>
      </c>
      <c r="C74" s="68"/>
      <c r="D74" s="68">
        <f t="shared" ref="D74:K86" si="78">D14</f>
        <v>3.0813032765659942E-2</v>
      </c>
      <c r="E74" s="68">
        <f t="shared" si="78"/>
        <v>2.9044823215650661E-3</v>
      </c>
      <c r="F74" s="68">
        <f t="shared" si="78"/>
        <v>-1.354491524701798E-2</v>
      </c>
      <c r="G74" s="68">
        <f t="shared" si="78"/>
        <v>7.2034779075261512E-3</v>
      </c>
      <c r="H74" s="68">
        <f t="shared" si="78"/>
        <v>7.0358934905798143E-4</v>
      </c>
      <c r="I74" s="68">
        <f t="shared" si="78"/>
        <v>1.0428932396952612E-2</v>
      </c>
      <c r="J74" s="68">
        <f t="shared" si="78"/>
        <v>5.2914364110334677E-3</v>
      </c>
      <c r="K74" s="68">
        <f t="shared" si="78"/>
        <v>1.088849036916667E-3</v>
      </c>
      <c r="L74" s="68"/>
      <c r="M74" s="69"/>
      <c r="N74" s="69"/>
      <c r="O74" s="69"/>
      <c r="P74" s="69"/>
      <c r="Q74" s="69"/>
      <c r="R74" s="227"/>
      <c r="S74" s="227"/>
    </row>
    <row r="75" spans="1:19" ht="29">
      <c r="A75" s="73" t="s">
        <v>186</v>
      </c>
      <c r="B75" s="71">
        <f t="shared" si="77"/>
        <v>-312.8</v>
      </c>
      <c r="C75" s="74">
        <f t="shared" ref="C75:C86" si="79">C15</f>
        <v>-346.9</v>
      </c>
      <c r="D75" s="74">
        <f t="shared" si="78"/>
        <v>-337.2</v>
      </c>
      <c r="E75" s="74">
        <f t="shared" si="78"/>
        <v>-351</v>
      </c>
      <c r="F75" s="74">
        <f t="shared" si="78"/>
        <v>-387</v>
      </c>
      <c r="G75" s="74">
        <f t="shared" si="78"/>
        <v>-452</v>
      </c>
      <c r="H75" s="74">
        <f t="shared" si="78"/>
        <v>-529</v>
      </c>
      <c r="I75" s="74">
        <f t="shared" si="78"/>
        <v>-606</v>
      </c>
      <c r="J75" s="74">
        <f t="shared" si="78"/>
        <v>-649</v>
      </c>
      <c r="K75" s="74">
        <f t="shared" si="78"/>
        <v>-706</v>
      </c>
      <c r="L75" s="71"/>
      <c r="M75" s="72">
        <f>-(M76*M78)</f>
        <v>-736.68425405156063</v>
      </c>
      <c r="N75" s="72">
        <f>-(N76*N78)</f>
        <v>-779.31375198368448</v>
      </c>
      <c r="O75" s="72">
        <f t="shared" ref="O75:Q75" si="80">-(O76*O78)</f>
        <v>-824.41007893237884</v>
      </c>
      <c r="P75" s="72">
        <f t="shared" si="80"/>
        <v>-872.11598218982806</v>
      </c>
      <c r="Q75" s="72">
        <f t="shared" si="80"/>
        <v>-922.58246936512114</v>
      </c>
      <c r="R75" s="227"/>
      <c r="S75" s="227"/>
    </row>
    <row r="76" spans="1:19" ht="14.5" hidden="1" customHeight="1">
      <c r="A76" s="73" t="s">
        <v>177</v>
      </c>
      <c r="B76" s="70">
        <f t="shared" si="77"/>
        <v>2634.2</v>
      </c>
      <c r="C76" s="70">
        <f t="shared" si="79"/>
        <v>2425.1</v>
      </c>
      <c r="D76" s="70">
        <f t="shared" si="78"/>
        <v>2398.9</v>
      </c>
      <c r="E76" s="70">
        <f t="shared" si="78"/>
        <v>2602</v>
      </c>
      <c r="F76" s="70">
        <f t="shared" si="78"/>
        <v>2814</v>
      </c>
      <c r="G76" s="70">
        <f t="shared" si="78"/>
        <v>2834</v>
      </c>
      <c r="H76" s="70">
        <f t="shared" si="78"/>
        <v>3116</v>
      </c>
      <c r="I76" s="70">
        <f t="shared" si="78"/>
        <v>3292</v>
      </c>
      <c r="J76" s="70">
        <f t="shared" si="78"/>
        <v>3801</v>
      </c>
      <c r="K76" s="70">
        <f t="shared" si="78"/>
        <v>4272</v>
      </c>
      <c r="L76" s="71"/>
      <c r="M76" s="72">
        <f>K76*(1+M77)</f>
        <v>4519.2066073958558</v>
      </c>
      <c r="N76" s="72">
        <f>M76*(1+N77)</f>
        <v>4780.7182491410022</v>
      </c>
      <c r="O76" s="72">
        <f t="shared" ref="O76:Q76" si="81">N76*(1+O77)</f>
        <v>5057.3627105842615</v>
      </c>
      <c r="P76" s="72">
        <f t="shared" si="81"/>
        <v>5350.0156782934946</v>
      </c>
      <c r="Q76" s="72">
        <f t="shared" si="81"/>
        <v>5659.6035119418029</v>
      </c>
      <c r="R76" s="227"/>
      <c r="S76" s="227"/>
    </row>
    <row r="77" spans="1:19" outlineLevel="1">
      <c r="A77" s="73" t="s">
        <v>176</v>
      </c>
      <c r="B77" s="70">
        <f t="shared" si="77"/>
        <v>0</v>
      </c>
      <c r="C77" s="68">
        <f t="shared" si="79"/>
        <v>-7.9378938577177149E-2</v>
      </c>
      <c r="D77" s="68">
        <f t="shared" si="78"/>
        <v>-1.0803678198837097E-2</v>
      </c>
      <c r="E77" s="68">
        <f t="shared" si="78"/>
        <v>8.466380424361164E-2</v>
      </c>
      <c r="F77" s="68">
        <f t="shared" si="78"/>
        <v>8.1475787855495696E-2</v>
      </c>
      <c r="G77" s="68">
        <f t="shared" si="78"/>
        <v>7.1073205401563921E-3</v>
      </c>
      <c r="H77" s="68">
        <f t="shared" si="78"/>
        <v>9.9505998588567346E-2</v>
      </c>
      <c r="I77" s="68">
        <f t="shared" si="78"/>
        <v>5.6482670089858855E-2</v>
      </c>
      <c r="J77" s="68">
        <f t="shared" si="78"/>
        <v>0.15461725394896719</v>
      </c>
      <c r="K77" s="68">
        <f t="shared" si="78"/>
        <v>0.12391475927387519</v>
      </c>
      <c r="L77" s="71"/>
      <c r="M77" s="69">
        <f>M17+$E$68</f>
        <v>5.7866715214385744E-2</v>
      </c>
      <c r="N77" s="69">
        <f>N17+$E$68</f>
        <v>5.7866715214385744E-2</v>
      </c>
      <c r="O77" s="69">
        <f>O17+$E$68</f>
        <v>5.7866715214385744E-2</v>
      </c>
      <c r="P77" s="69">
        <f>P17+$E$68</f>
        <v>5.7866715214385744E-2</v>
      </c>
      <c r="Q77" s="69">
        <f>Q17+$E$68</f>
        <v>5.7866715214385744E-2</v>
      </c>
      <c r="R77" s="227"/>
      <c r="S77" s="227"/>
    </row>
    <row r="78" spans="1:19" outlineLevel="1">
      <c r="A78" s="73" t="s">
        <v>178</v>
      </c>
      <c r="B78" s="68">
        <f t="shared" si="77"/>
        <v>0</v>
      </c>
      <c r="C78" s="68">
        <f t="shared" si="79"/>
        <v>0.14304564760216074</v>
      </c>
      <c r="D78" s="68">
        <f t="shared" si="78"/>
        <v>0.14056442536162406</v>
      </c>
      <c r="E78" s="68">
        <f t="shared" si="78"/>
        <v>0.13489623366641046</v>
      </c>
      <c r="F78" s="68">
        <f t="shared" si="78"/>
        <v>0.13752665245202558</v>
      </c>
      <c r="G78" s="68">
        <f t="shared" si="78"/>
        <v>0.15949188426252647</v>
      </c>
      <c r="H78" s="68">
        <f t="shared" si="78"/>
        <v>0.16976893453145059</v>
      </c>
      <c r="I78" s="68">
        <f t="shared" si="78"/>
        <v>0.18408262454434993</v>
      </c>
      <c r="J78" s="68">
        <f t="shared" si="78"/>
        <v>0.17074454091028676</v>
      </c>
      <c r="K78" s="68">
        <f t="shared" si="78"/>
        <v>0.16526217228464418</v>
      </c>
      <c r="L78" s="71"/>
      <c r="M78" s="69">
        <f>M18</f>
        <v>0.16301185540974128</v>
      </c>
      <c r="N78" s="69">
        <f>N18</f>
        <v>0.16301185540974128</v>
      </c>
      <c r="O78" s="69">
        <f>O18</f>
        <v>0.16301185540974128</v>
      </c>
      <c r="P78" s="69">
        <f>P18</f>
        <v>0.16301185540974128</v>
      </c>
      <c r="Q78" s="69">
        <f>Q18</f>
        <v>0.16301185540974128</v>
      </c>
      <c r="R78" s="227"/>
      <c r="S78" s="227"/>
    </row>
    <row r="79" spans="1:19" outlineLevel="1">
      <c r="A79" s="75" t="s">
        <v>181</v>
      </c>
      <c r="B79" s="74">
        <f t="shared" si="77"/>
        <v>1891.1</v>
      </c>
      <c r="C79" s="74">
        <f t="shared" si="79"/>
        <v>1957.7</v>
      </c>
      <c r="D79" s="74">
        <f t="shared" si="78"/>
        <v>1931.9</v>
      </c>
      <c r="E79" s="74">
        <f t="shared" si="78"/>
        <v>2115</v>
      </c>
      <c r="F79" s="74">
        <f t="shared" si="78"/>
        <v>2279</v>
      </c>
      <c r="G79" s="74">
        <f t="shared" si="78"/>
        <v>2452</v>
      </c>
      <c r="H79" s="74">
        <f t="shared" si="78"/>
        <v>2834</v>
      </c>
      <c r="I79" s="74">
        <f t="shared" si="78"/>
        <v>3011</v>
      </c>
      <c r="J79" s="74">
        <f t="shared" si="78"/>
        <v>3520</v>
      </c>
      <c r="K79" s="74">
        <f t="shared" si="78"/>
        <v>3989</v>
      </c>
      <c r="L79" s="70"/>
      <c r="M79" s="72">
        <f>K79*(1+M81)</f>
        <v>4219.8303269901844</v>
      </c>
      <c r="N79" s="72">
        <f>M79*(1+N81)</f>
        <v>4464.0180467751534</v>
      </c>
      <c r="O79" s="72">
        <f t="shared" ref="O79:Q79" si="82">N79*(1+O81)</f>
        <v>4722.3361077997697</v>
      </c>
      <c r="P79" s="72">
        <f t="shared" si="82"/>
        <v>4995.6021864964296</v>
      </c>
      <c r="Q79" s="72">
        <f t="shared" si="82"/>
        <v>5284.6812755467809</v>
      </c>
      <c r="R79" s="227"/>
      <c r="S79" s="227"/>
    </row>
    <row r="80" spans="1:19" outlineLevel="1">
      <c r="A80" s="73" t="s">
        <v>182</v>
      </c>
      <c r="B80" s="74">
        <f t="shared" si="77"/>
        <v>0</v>
      </c>
      <c r="C80" s="74">
        <f t="shared" si="79"/>
        <v>66.600000000000136</v>
      </c>
      <c r="D80" s="74">
        <f t="shared" si="78"/>
        <v>-25.799999999999955</v>
      </c>
      <c r="E80" s="74">
        <f t="shared" si="78"/>
        <v>183.09999999999991</v>
      </c>
      <c r="F80" s="74">
        <f t="shared" si="78"/>
        <v>164</v>
      </c>
      <c r="G80" s="74">
        <f t="shared" si="78"/>
        <v>173</v>
      </c>
      <c r="H80" s="74">
        <f t="shared" si="78"/>
        <v>382</v>
      </c>
      <c r="I80" s="74">
        <f t="shared" si="78"/>
        <v>177</v>
      </c>
      <c r="J80" s="74">
        <f t="shared" si="78"/>
        <v>509</v>
      </c>
      <c r="K80" s="74">
        <f t="shared" si="78"/>
        <v>469</v>
      </c>
      <c r="L80" s="71"/>
      <c r="M80" s="72">
        <f>M79-K79</f>
        <v>230.8303269901844</v>
      </c>
      <c r="N80" s="72">
        <f>N79-M79</f>
        <v>244.18771978496898</v>
      </c>
      <c r="O80" s="72">
        <f t="shared" ref="O80:Q80" si="83">O79-N79</f>
        <v>258.31806102461633</v>
      </c>
      <c r="P80" s="72">
        <f t="shared" si="83"/>
        <v>273.26607869665986</v>
      </c>
      <c r="Q80" s="72">
        <f t="shared" si="83"/>
        <v>289.07908905035129</v>
      </c>
      <c r="R80" s="227"/>
      <c r="S80" s="227"/>
    </row>
    <row r="81" spans="1:19" outlineLevel="1">
      <c r="A81" s="73" t="s">
        <v>185</v>
      </c>
      <c r="B81" s="74">
        <f t="shared" si="77"/>
        <v>0</v>
      </c>
      <c r="C81" s="76">
        <f t="shared" si="79"/>
        <v>3.5217598223256319E-2</v>
      </c>
      <c r="D81" s="76">
        <f t="shared" si="78"/>
        <v>-1.3178730142514139E-2</v>
      </c>
      <c r="E81" s="76">
        <f t="shared" si="78"/>
        <v>9.477716237900502E-2</v>
      </c>
      <c r="F81" s="76">
        <f t="shared" si="78"/>
        <v>7.7541371158392325E-2</v>
      </c>
      <c r="G81" s="76">
        <f t="shared" si="78"/>
        <v>7.5910487055726117E-2</v>
      </c>
      <c r="H81" s="76">
        <f t="shared" si="78"/>
        <v>0.15579119086460036</v>
      </c>
      <c r="I81" s="76">
        <f t="shared" si="78"/>
        <v>6.2455892731122065E-2</v>
      </c>
      <c r="J81" s="76">
        <f t="shared" si="78"/>
        <v>0.16904682829624718</v>
      </c>
      <c r="K81" s="76">
        <f t="shared" si="78"/>
        <v>0.13323863636363642</v>
      </c>
      <c r="L81" s="71"/>
      <c r="M81" s="69">
        <f>M21+$E$68</f>
        <v>5.7866715214385744E-2</v>
      </c>
      <c r="N81" s="69">
        <f>N21+$E$68</f>
        <v>5.7866715214385744E-2</v>
      </c>
      <c r="O81" s="69">
        <f>O21+$E$68</f>
        <v>5.7866715214385744E-2</v>
      </c>
      <c r="P81" s="69">
        <f>P21+$E$68</f>
        <v>5.7866715214385744E-2</v>
      </c>
      <c r="Q81" s="69">
        <f>Q21+$E$68</f>
        <v>5.7866715214385744E-2</v>
      </c>
      <c r="R81" s="227"/>
      <c r="S81" s="227"/>
    </row>
    <row r="82" spans="1:19" outlineLevel="1">
      <c r="A82" s="96" t="s">
        <v>183</v>
      </c>
      <c r="B82" s="82">
        <f t="shared" si="77"/>
        <v>0</v>
      </c>
      <c r="C82" s="97">
        <f t="shared" si="79"/>
        <v>-275.70000000000005</v>
      </c>
      <c r="D82" s="97">
        <f t="shared" si="78"/>
        <v>-0.39999999999997726</v>
      </c>
      <c r="E82" s="97">
        <f t="shared" si="78"/>
        <v>20</v>
      </c>
      <c r="F82" s="97">
        <f t="shared" si="78"/>
        <v>48</v>
      </c>
      <c r="G82" s="97">
        <f t="shared" si="78"/>
        <v>-153</v>
      </c>
      <c r="H82" s="97">
        <f t="shared" si="78"/>
        <v>-100</v>
      </c>
      <c r="I82" s="97">
        <f t="shared" si="78"/>
        <v>-1</v>
      </c>
      <c r="J82" s="97">
        <f t="shared" si="78"/>
        <v>0</v>
      </c>
      <c r="K82" s="97">
        <f t="shared" si="78"/>
        <v>2</v>
      </c>
      <c r="L82" s="71"/>
      <c r="M82" s="98"/>
      <c r="N82" s="98"/>
      <c r="O82" s="98"/>
      <c r="P82" s="98"/>
      <c r="Q82" s="98"/>
      <c r="R82" s="227"/>
      <c r="S82" s="227"/>
    </row>
    <row r="83" spans="1:19" outlineLevel="1">
      <c r="A83" s="73" t="s">
        <v>184</v>
      </c>
      <c r="B83" s="74">
        <f t="shared" si="77"/>
        <v>-303.60000000000002</v>
      </c>
      <c r="C83" s="74">
        <f t="shared" si="79"/>
        <v>-335</v>
      </c>
      <c r="D83" s="74">
        <f t="shared" si="78"/>
        <v>-323.7</v>
      </c>
      <c r="E83" s="74">
        <f t="shared" si="78"/>
        <v>-335</v>
      </c>
      <c r="F83" s="74">
        <f t="shared" si="78"/>
        <v>-373</v>
      </c>
      <c r="G83" s="74">
        <f t="shared" si="78"/>
        <v>-438</v>
      </c>
      <c r="H83" s="74">
        <f t="shared" si="78"/>
        <v>-518</v>
      </c>
      <c r="I83" s="74">
        <f t="shared" si="78"/>
        <v>-606</v>
      </c>
      <c r="J83" s="74">
        <f t="shared" si="78"/>
        <v>-649</v>
      </c>
      <c r="K83" s="74">
        <f t="shared" si="78"/>
        <v>-706</v>
      </c>
      <c r="L83" s="71"/>
      <c r="M83" s="72">
        <f>M75</f>
        <v>-736.68425405156063</v>
      </c>
      <c r="N83" s="72">
        <f t="shared" ref="N83:Q83" si="84">N75</f>
        <v>-779.31375198368448</v>
      </c>
      <c r="O83" s="72">
        <f t="shared" si="84"/>
        <v>-824.41007893237884</v>
      </c>
      <c r="P83" s="72">
        <f t="shared" si="84"/>
        <v>-872.11598218982806</v>
      </c>
      <c r="Q83" s="72">
        <f t="shared" si="84"/>
        <v>-922.58246936512114</v>
      </c>
      <c r="R83" s="227"/>
      <c r="S83" s="227"/>
    </row>
    <row r="84" spans="1:19" s="10" customFormat="1">
      <c r="A84" s="270" t="s">
        <v>164</v>
      </c>
      <c r="B84" s="271">
        <f t="shared" si="77"/>
        <v>2425.7999999999997</v>
      </c>
      <c r="C84" s="271">
        <f t="shared" si="79"/>
        <v>1946.9999999999991</v>
      </c>
      <c r="D84" s="271">
        <f t="shared" si="78"/>
        <v>2523.1999999999998</v>
      </c>
      <c r="E84" s="271">
        <f t="shared" si="78"/>
        <v>2848</v>
      </c>
      <c r="F84" s="271">
        <f t="shared" si="78"/>
        <v>2986</v>
      </c>
      <c r="G84" s="271">
        <f t="shared" si="78"/>
        <v>3269</v>
      </c>
      <c r="H84" s="271">
        <f t="shared" si="78"/>
        <v>3577</v>
      </c>
      <c r="I84" s="271">
        <f t="shared" si="78"/>
        <v>4233</v>
      </c>
      <c r="J84" s="271">
        <f t="shared" si="78"/>
        <v>4642</v>
      </c>
      <c r="K84" s="271">
        <f t="shared" si="78"/>
        <v>4945</v>
      </c>
      <c r="M84" s="271">
        <f>M72+M75</f>
        <v>5186.7920095333939</v>
      </c>
      <c r="N84" s="271">
        <f t="shared" ref="N84:Q84" si="85">N72+N75</f>
        <v>5395.1313649036983</v>
      </c>
      <c r="O84" s="271">
        <f t="shared" si="85"/>
        <v>5611.6370672043231</v>
      </c>
      <c r="P84" s="271">
        <f t="shared" si="85"/>
        <v>5836.6168809465607</v>
      </c>
      <c r="Q84" s="271">
        <f t="shared" si="85"/>
        <v>6070.3893978378874</v>
      </c>
    </row>
    <row r="85" spans="1:19" outlineLevel="1">
      <c r="A85" s="67" t="s">
        <v>172</v>
      </c>
      <c r="B85" s="78">
        <f t="shared" si="77"/>
        <v>0</v>
      </c>
      <c r="C85" s="68">
        <f t="shared" si="79"/>
        <v>-0.19737818451644851</v>
      </c>
      <c r="D85" s="68">
        <f t="shared" si="78"/>
        <v>0.29594247560349296</v>
      </c>
      <c r="E85" s="68">
        <f t="shared" si="78"/>
        <v>0.1287254280279011</v>
      </c>
      <c r="F85" s="68">
        <f t="shared" si="78"/>
        <v>4.8455056179775191E-2</v>
      </c>
      <c r="G85" s="68">
        <f t="shared" si="78"/>
        <v>9.4775619557937008E-2</v>
      </c>
      <c r="H85" s="68">
        <f t="shared" si="78"/>
        <v>9.4218415417558932E-2</v>
      </c>
      <c r="I85" s="68">
        <f t="shared" si="78"/>
        <v>0.18339390550740853</v>
      </c>
      <c r="J85" s="68">
        <f t="shared" si="78"/>
        <v>9.6621781242617555E-2</v>
      </c>
      <c r="K85" s="68">
        <f t="shared" si="78"/>
        <v>6.5273588970271357E-2</v>
      </c>
      <c r="L85" s="68"/>
      <c r="M85" s="69">
        <f>(M84/K84)-1</f>
        <v>4.8896260775206146E-2</v>
      </c>
      <c r="N85" s="69">
        <f>(N84/M84)-1</f>
        <v>4.0167285479613124E-2</v>
      </c>
      <c r="O85" s="69">
        <f t="shared" ref="O85:Q85" si="86">(O84/N84)-1</f>
        <v>4.0129829592108424E-2</v>
      </c>
      <c r="P85" s="69">
        <f t="shared" si="86"/>
        <v>4.009165436893114E-2</v>
      </c>
      <c r="Q85" s="69">
        <f t="shared" si="86"/>
        <v>4.0052743166074434E-2</v>
      </c>
      <c r="R85" s="227"/>
      <c r="S85" s="227"/>
    </row>
    <row r="86" spans="1:19">
      <c r="A86" s="240" t="s">
        <v>173</v>
      </c>
      <c r="B86" s="241">
        <f t="shared" si="77"/>
        <v>-920.1</v>
      </c>
      <c r="C86" s="242">
        <f t="shared" si="79"/>
        <v>-469.8</v>
      </c>
      <c r="D86" s="242">
        <f t="shared" si="78"/>
        <v>-610.20000000000005</v>
      </c>
      <c r="E86" s="242">
        <f t="shared" si="78"/>
        <v>-711</v>
      </c>
      <c r="F86" s="242">
        <f t="shared" si="78"/>
        <v>-760</v>
      </c>
      <c r="G86" s="242">
        <f t="shared" si="78"/>
        <v>-808</v>
      </c>
      <c r="H86" s="242">
        <f t="shared" si="78"/>
        <v>-851</v>
      </c>
      <c r="I86" s="242">
        <f t="shared" si="78"/>
        <v>-932</v>
      </c>
      <c r="J86" s="242">
        <f t="shared" si="78"/>
        <v>-863</v>
      </c>
      <c r="K86" s="242">
        <f t="shared" si="78"/>
        <v>-646</v>
      </c>
      <c r="L86" s="242"/>
      <c r="M86" s="243">
        <f>-(M84*$M$94)</f>
        <v>-1113.8347685361323</v>
      </c>
      <c r="N86" s="243">
        <f t="shared" ref="N86:Q86" si="87">-(N84*$M$94)</f>
        <v>-1158.574487661042</v>
      </c>
      <c r="O86" s="243">
        <f t="shared" si="87"/>
        <v>-1205.0678844206441</v>
      </c>
      <c r="P86" s="243">
        <f t="shared" si="87"/>
        <v>-1253.3810495339353</v>
      </c>
      <c r="Q86" s="243">
        <f t="shared" si="87"/>
        <v>-1303.5823988001428</v>
      </c>
      <c r="R86" s="227"/>
      <c r="S86" s="227"/>
    </row>
    <row r="87" spans="1:19" s="38" customFormat="1" ht="6" customHeight="1">
      <c r="A87" s="40"/>
      <c r="B87" s="41"/>
      <c r="C87" s="41"/>
      <c r="D87" s="41"/>
      <c r="E87" s="41"/>
      <c r="F87" s="41"/>
      <c r="G87" s="41"/>
      <c r="H87" s="41"/>
      <c r="I87" s="41"/>
      <c r="J87" s="41"/>
    </row>
    <row r="88" spans="1:19">
      <c r="A88" s="244" t="s">
        <v>163</v>
      </c>
      <c r="B88" s="245">
        <f t="shared" ref="B88:K88" si="88">B28</f>
        <v>0</v>
      </c>
      <c r="C88" s="246">
        <f t="shared" si="88"/>
        <v>346.9</v>
      </c>
      <c r="D88" s="246">
        <f t="shared" si="88"/>
        <v>337.2</v>
      </c>
      <c r="E88" s="246">
        <f t="shared" si="88"/>
        <v>351</v>
      </c>
      <c r="F88" s="246">
        <f t="shared" si="88"/>
        <v>387</v>
      </c>
      <c r="G88" s="246">
        <f t="shared" si="88"/>
        <v>452</v>
      </c>
      <c r="H88" s="246">
        <f t="shared" si="88"/>
        <v>529</v>
      </c>
      <c r="I88" s="246">
        <f t="shared" si="88"/>
        <v>606</v>
      </c>
      <c r="J88" s="246">
        <f t="shared" si="88"/>
        <v>649</v>
      </c>
      <c r="K88" s="246">
        <f t="shared" si="88"/>
        <v>706</v>
      </c>
      <c r="L88" s="247"/>
      <c r="M88" s="246">
        <f>-(M83)</f>
        <v>736.68425405156063</v>
      </c>
      <c r="N88" s="246">
        <f t="shared" ref="N88:Q88" si="89">-(N83)</f>
        <v>779.31375198368448</v>
      </c>
      <c r="O88" s="246">
        <f t="shared" si="89"/>
        <v>824.41007893237884</v>
      </c>
      <c r="P88" s="246">
        <f t="shared" si="89"/>
        <v>872.11598218982806</v>
      </c>
      <c r="Q88" s="246">
        <f t="shared" si="89"/>
        <v>922.58246936512114</v>
      </c>
      <c r="R88" s="227"/>
      <c r="S88" s="227"/>
    </row>
    <row r="89" spans="1:19">
      <c r="A89" s="80" t="s">
        <v>134</v>
      </c>
      <c r="B89" s="77">
        <f t="shared" ref="B89:K89" si="90">B29</f>
        <v>0</v>
      </c>
      <c r="C89" s="79">
        <f t="shared" si="90"/>
        <v>-80.000000000000796</v>
      </c>
      <c r="D89" s="79">
        <f t="shared" si="90"/>
        <v>-911.49999999999966</v>
      </c>
      <c r="E89" s="79">
        <f t="shared" si="90"/>
        <v>760.89999999999964</v>
      </c>
      <c r="F89" s="79">
        <f t="shared" si="90"/>
        <v>550</v>
      </c>
      <c r="G89" s="79">
        <f t="shared" si="90"/>
        <v>-208</v>
      </c>
      <c r="H89" s="79">
        <f t="shared" si="90"/>
        <v>329</v>
      </c>
      <c r="I89" s="79">
        <f t="shared" si="90"/>
        <v>39</v>
      </c>
      <c r="J89" s="79">
        <f t="shared" si="90"/>
        <v>323</v>
      </c>
      <c r="K89" s="79">
        <f t="shared" si="90"/>
        <v>471</v>
      </c>
      <c r="L89" s="79"/>
      <c r="M89" s="79">
        <f>M90-K90</f>
        <v>202.09189980793144</v>
      </c>
      <c r="N89" s="79">
        <f>N90-M90</f>
        <v>208.51447190542785</v>
      </c>
      <c r="O89" s="79">
        <f t="shared" ref="O89:Q89" si="91">O90-N90</f>
        <v>215.14115625278009</v>
      </c>
      <c r="P89" s="79">
        <f t="shared" si="91"/>
        <v>221.97843962972638</v>
      </c>
      <c r="Q89" s="79">
        <f t="shared" si="91"/>
        <v>229.03301496879976</v>
      </c>
      <c r="R89" s="227"/>
      <c r="S89" s="227"/>
    </row>
    <row r="90" spans="1:19">
      <c r="A90" s="80" t="s">
        <v>179</v>
      </c>
      <c r="B90" s="77">
        <f t="shared" ref="B90:K90" si="92">B30</f>
        <v>0</v>
      </c>
      <c r="C90" s="79">
        <f t="shared" si="92"/>
        <v>3866.1</v>
      </c>
      <c r="D90" s="79">
        <f t="shared" si="92"/>
        <v>3297.5000000000005</v>
      </c>
      <c r="E90" s="79">
        <f t="shared" si="92"/>
        <v>4197</v>
      </c>
      <c r="F90" s="79">
        <f t="shared" si="92"/>
        <v>4934</v>
      </c>
      <c r="G90" s="79">
        <f t="shared" si="92"/>
        <v>4834</v>
      </c>
      <c r="H90" s="79">
        <f t="shared" si="92"/>
        <v>5284</v>
      </c>
      <c r="I90" s="79">
        <f t="shared" si="92"/>
        <v>5490</v>
      </c>
      <c r="J90" s="79">
        <f t="shared" si="92"/>
        <v>5887</v>
      </c>
      <c r="K90" s="79">
        <f t="shared" si="92"/>
        <v>6359</v>
      </c>
      <c r="L90" s="79"/>
      <c r="M90" s="79">
        <f>K90*(1+M91)</f>
        <v>6561.0918998079314</v>
      </c>
      <c r="N90" s="79">
        <f>M90*(1+N91)</f>
        <v>6769.6063717133593</v>
      </c>
      <c r="O90" s="79">
        <f t="shared" ref="O90:Q90" si="93">N90*(1+O91)</f>
        <v>6984.7475279661394</v>
      </c>
      <c r="P90" s="79">
        <f t="shared" si="93"/>
        <v>7206.7259675958658</v>
      </c>
      <c r="Q90" s="79">
        <f t="shared" si="93"/>
        <v>7435.7589825646655</v>
      </c>
      <c r="R90" s="227"/>
      <c r="S90" s="227"/>
    </row>
    <row r="91" spans="1:19">
      <c r="A91" s="80" t="s">
        <v>180</v>
      </c>
      <c r="B91" s="77">
        <f>B31</f>
        <v>0</v>
      </c>
      <c r="C91" s="79"/>
      <c r="D91" s="69">
        <f t="shared" ref="D91:K92" si="94">D31</f>
        <v>-0.14707327798039349</v>
      </c>
      <c r="E91" s="69">
        <f t="shared" si="94"/>
        <v>0.27278241091736155</v>
      </c>
      <c r="F91" s="69">
        <f t="shared" si="94"/>
        <v>0.17560162020490822</v>
      </c>
      <c r="G91" s="69">
        <f t="shared" si="94"/>
        <v>-2.0267531414673745E-2</v>
      </c>
      <c r="H91" s="69">
        <f t="shared" si="94"/>
        <v>9.3090608191973567E-2</v>
      </c>
      <c r="I91" s="69">
        <f t="shared" si="94"/>
        <v>3.8985616956850766E-2</v>
      </c>
      <c r="J91" s="69">
        <f t="shared" si="94"/>
        <v>7.2313296903460778E-2</v>
      </c>
      <c r="K91" s="69">
        <f t="shared" si="94"/>
        <v>8.0176660438253888E-2</v>
      </c>
      <c r="L91" s="79"/>
      <c r="M91" s="69">
        <f>M31+$E$68</f>
        <v>3.1780452871195373E-2</v>
      </c>
      <c r="N91" s="69">
        <f>N31+$E$68</f>
        <v>3.1780452871195373E-2</v>
      </c>
      <c r="O91" s="69">
        <f>O31+$E$68</f>
        <v>3.1780452871195373E-2</v>
      </c>
      <c r="P91" s="69">
        <f>P31+$E$68</f>
        <v>3.1780452871195373E-2</v>
      </c>
      <c r="Q91" s="69">
        <f>Q31+$E$68</f>
        <v>3.1780452871195373E-2</v>
      </c>
      <c r="R91" s="227"/>
      <c r="S91" s="227"/>
    </row>
    <row r="92" spans="1:19" outlineLevel="1">
      <c r="A92" s="248" t="s">
        <v>133</v>
      </c>
      <c r="B92" s="243">
        <f>B32</f>
        <v>0</v>
      </c>
      <c r="C92" s="249">
        <f>C32</f>
        <v>-455.7</v>
      </c>
      <c r="D92" s="249">
        <f t="shared" si="94"/>
        <v>-335.1</v>
      </c>
      <c r="E92" s="249">
        <f t="shared" si="94"/>
        <v>-432</v>
      </c>
      <c r="F92" s="249">
        <f t="shared" si="94"/>
        <v>-597</v>
      </c>
      <c r="G92" s="249">
        <f t="shared" si="94"/>
        <v>-598</v>
      </c>
      <c r="H92" s="249">
        <f t="shared" si="94"/>
        <v>-880</v>
      </c>
      <c r="I92" s="249">
        <f t="shared" si="94"/>
        <v>-963</v>
      </c>
      <c r="J92" s="249">
        <f t="shared" si="94"/>
        <v>-1143</v>
      </c>
      <c r="K92" s="249">
        <f t="shared" si="94"/>
        <v>-1105</v>
      </c>
      <c r="L92" s="249"/>
      <c r="M92" s="249">
        <f>-(M80-M83)</f>
        <v>-967.51458104174503</v>
      </c>
      <c r="N92" s="249">
        <f t="shared" ref="N92:Q92" si="95">-(N80-N83)</f>
        <v>-1023.5014717686535</v>
      </c>
      <c r="O92" s="249">
        <f t="shared" si="95"/>
        <v>-1082.7281399569952</v>
      </c>
      <c r="P92" s="249">
        <f t="shared" si="95"/>
        <v>-1145.382060886488</v>
      </c>
      <c r="Q92" s="249">
        <f t="shared" si="95"/>
        <v>-1211.6615584154724</v>
      </c>
      <c r="R92" s="227"/>
      <c r="S92" s="227"/>
    </row>
    <row r="93" spans="1:19" s="38" customFormat="1" ht="6" customHeight="1">
      <c r="A93" s="40"/>
      <c r="B93" s="41"/>
      <c r="C93" s="41"/>
      <c r="D93" s="41"/>
      <c r="E93" s="41"/>
      <c r="F93" s="41"/>
      <c r="G93" s="41"/>
      <c r="H93" s="41"/>
      <c r="I93" s="41"/>
      <c r="J93" s="41"/>
    </row>
    <row r="94" spans="1:19" outlineLevel="1" collapsed="1">
      <c r="A94" s="250" t="s">
        <v>170</v>
      </c>
      <c r="B94" s="251">
        <v>0.248</v>
      </c>
      <c r="C94" s="251">
        <v>0.24</v>
      </c>
      <c r="D94" s="251">
        <v>0.24199999999999999</v>
      </c>
      <c r="E94" s="251">
        <v>0.25</v>
      </c>
      <c r="F94" s="251">
        <v>0.255</v>
      </c>
      <c r="G94" s="251">
        <v>0.247</v>
      </c>
      <c r="H94" s="251">
        <v>0.24</v>
      </c>
      <c r="I94" s="251">
        <v>0.222</v>
      </c>
      <c r="J94" s="251">
        <v>0.187</v>
      </c>
      <c r="K94" s="251">
        <v>0.13200000000000001</v>
      </c>
      <c r="L94" s="251"/>
      <c r="M94" s="664">
        <f>(AVERAGE(G94:K94)+AVERAGE(C94:K94))/2</f>
        <v>0.21474444444444446</v>
      </c>
      <c r="N94" s="664"/>
      <c r="O94" s="664"/>
      <c r="P94" s="664"/>
      <c r="Q94" s="664"/>
      <c r="R94" s="227"/>
      <c r="S94" s="227"/>
    </row>
    <row r="95" spans="1:19" s="38" customFormat="1" ht="6" customHeight="1">
      <c r="A95" s="40"/>
      <c r="B95" s="41"/>
      <c r="C95" s="41"/>
      <c r="D95" s="41"/>
      <c r="E95" s="41"/>
      <c r="F95" s="41"/>
      <c r="G95" s="41"/>
      <c r="H95" s="41"/>
      <c r="I95" s="41"/>
      <c r="J95" s="41"/>
    </row>
    <row r="96" spans="1:19" s="232" customFormat="1" outlineLevel="1">
      <c r="A96" s="250" t="s">
        <v>346</v>
      </c>
      <c r="B96" s="251"/>
      <c r="C96" s="297">
        <f>'Balance Sheet'!C24</f>
        <v>342.9</v>
      </c>
      <c r="D96" s="297">
        <f>'Balance Sheet'!D24</f>
        <v>138.6</v>
      </c>
      <c r="E96" s="297">
        <f>'Balance Sheet'!E24</f>
        <v>187</v>
      </c>
      <c r="F96" s="297">
        <f>'Balance Sheet'!F24</f>
        <v>108</v>
      </c>
      <c r="G96" s="297">
        <f>'Balance Sheet'!G24</f>
        <v>121</v>
      </c>
      <c r="H96" s="297">
        <f>'Balance Sheet'!H24</f>
        <v>167</v>
      </c>
      <c r="I96" s="297">
        <f>'Balance Sheet'!I24</f>
        <v>74</v>
      </c>
      <c r="J96" s="297">
        <f>'Balance Sheet'!J24</f>
        <v>1</v>
      </c>
      <c r="K96" s="297">
        <f>'Balance Sheet'!K24</f>
        <v>325</v>
      </c>
      <c r="L96" s="251"/>
      <c r="M96" s="297">
        <f>(AVERAGE(C96:K96)+AVERAGE(G96:K96))/2</f>
        <v>150.1611111111111</v>
      </c>
      <c r="N96" s="297">
        <f>$M$96</f>
        <v>150.1611111111111</v>
      </c>
      <c r="O96" s="297">
        <f t="shared" ref="O96:Q96" si="96">$M$96</f>
        <v>150.1611111111111</v>
      </c>
      <c r="P96" s="297">
        <f t="shared" si="96"/>
        <v>150.1611111111111</v>
      </c>
      <c r="Q96" s="297">
        <f t="shared" si="96"/>
        <v>150.1611111111111</v>
      </c>
      <c r="R96" s="169"/>
      <c r="S96" s="226"/>
    </row>
    <row r="97" spans="1:19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4"/>
      <c r="M97" s="83"/>
      <c r="N97" s="83"/>
      <c r="O97" s="83"/>
      <c r="P97" s="83"/>
      <c r="Q97" s="83"/>
      <c r="R97" s="227"/>
      <c r="S97" s="227"/>
    </row>
    <row r="98" spans="1:19">
      <c r="A98" s="1" t="s">
        <v>608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227"/>
      <c r="S98" s="227"/>
    </row>
    <row r="99" spans="1:1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4"/>
      <c r="M99" s="83"/>
      <c r="N99" s="83"/>
      <c r="O99" s="83"/>
      <c r="P99" s="83"/>
      <c r="Q99" s="83"/>
      <c r="R99" s="227"/>
      <c r="S99" s="227"/>
    </row>
    <row r="100" spans="1:19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4"/>
      <c r="M100" s="83"/>
      <c r="N100" s="83"/>
      <c r="O100" s="83"/>
      <c r="P100" s="83"/>
      <c r="Q100" s="83"/>
      <c r="R100" s="227"/>
      <c r="S100" s="227"/>
    </row>
    <row r="101" spans="1:19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4"/>
      <c r="M101" s="83"/>
      <c r="N101" s="83"/>
      <c r="O101" s="83"/>
      <c r="P101" s="83"/>
      <c r="Q101" s="83"/>
      <c r="R101" s="227"/>
      <c r="S101" s="227"/>
    </row>
    <row r="102" spans="1:19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4"/>
      <c r="M102" s="83"/>
      <c r="N102" s="83"/>
      <c r="O102" s="83"/>
      <c r="P102" s="83"/>
      <c r="Q102" s="83"/>
      <c r="R102" s="227"/>
      <c r="S102" s="227"/>
    </row>
    <row r="103" spans="1:19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4"/>
      <c r="M103" s="83"/>
      <c r="N103" s="83"/>
      <c r="O103" s="83"/>
      <c r="P103" s="83"/>
      <c r="Q103" s="83"/>
      <c r="R103" s="227"/>
      <c r="S103" s="227"/>
    </row>
    <row r="104" spans="1:19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4"/>
      <c r="M104" s="83"/>
      <c r="N104" s="83"/>
      <c r="O104" s="83"/>
      <c r="P104" s="83"/>
      <c r="Q104" s="83"/>
      <c r="R104" s="227"/>
      <c r="S104" s="227"/>
    </row>
    <row r="105" spans="1:19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4"/>
      <c r="M105" s="83"/>
      <c r="N105" s="83"/>
      <c r="O105" s="83"/>
      <c r="P105" s="83"/>
      <c r="Q105" s="83"/>
      <c r="R105" s="227"/>
      <c r="S105" s="227"/>
    </row>
    <row r="106" spans="1:19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4"/>
      <c r="M106" s="83"/>
      <c r="N106" s="83"/>
      <c r="O106" s="83"/>
      <c r="P106" s="83"/>
      <c r="Q106" s="83"/>
      <c r="R106" s="227"/>
      <c r="S106" s="227"/>
    </row>
    <row r="107" spans="1:19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4"/>
      <c r="M107" s="83"/>
      <c r="N107" s="83"/>
      <c r="O107" s="83"/>
      <c r="P107" s="83"/>
      <c r="Q107" s="83"/>
      <c r="R107" s="227"/>
      <c r="S107" s="227"/>
    </row>
    <row r="108" spans="1:19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4"/>
      <c r="M108" s="83"/>
      <c r="N108" s="83"/>
      <c r="O108" s="83"/>
      <c r="P108" s="83"/>
      <c r="Q108" s="83"/>
      <c r="R108" s="227"/>
      <c r="S108" s="227"/>
    </row>
    <row r="109" spans="1:1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4"/>
      <c r="M109" s="83"/>
      <c r="N109" s="83"/>
      <c r="O109" s="83"/>
      <c r="P109" s="83"/>
      <c r="Q109" s="83"/>
      <c r="R109" s="227"/>
      <c r="S109" s="227"/>
    </row>
  </sheetData>
  <mergeCells count="5">
    <mergeCell ref="M94:Q94"/>
    <mergeCell ref="B4:K4"/>
    <mergeCell ref="M4:Q4"/>
    <mergeCell ref="M34:Q34"/>
    <mergeCell ref="M64:Q6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/>
  </sheetPr>
  <dimension ref="A1:X26"/>
  <sheetViews>
    <sheetView showGridLines="0" workbookViewId="0">
      <pane ySplit="3" topLeftCell="A4" activePane="bottomLeft" state="frozen"/>
      <selection pane="bottomLeft" activeCell="N19" sqref="N19"/>
    </sheetView>
  </sheetViews>
  <sheetFormatPr baseColWidth="10" defaultColWidth="8.83203125" defaultRowHeight="15"/>
  <cols>
    <col min="1" max="1" width="47.5" style="192" customWidth="1"/>
    <col min="2" max="2" width="10.1640625" style="192" hidden="1" customWidth="1"/>
    <col min="3" max="11" width="10.1640625" style="192" bestFit="1" customWidth="1"/>
    <col min="12" max="12" width="2.83203125" style="197" customWidth="1"/>
    <col min="13" max="13" width="27.1640625" style="192" bestFit="1" customWidth="1"/>
    <col min="14" max="17" width="8.83203125" style="203"/>
    <col min="18" max="18" width="2.83203125" style="197" customWidth="1"/>
    <col min="19" max="23" width="8.83203125" style="203"/>
    <col min="24" max="24" width="2.83203125" style="197" customWidth="1"/>
    <col min="25" max="16384" width="8.83203125" style="203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4" ht="21.5" customHeight="1">
      <c r="A2" s="6" t="s">
        <v>321</v>
      </c>
      <c r="B2" s="7"/>
      <c r="C2" s="7"/>
      <c r="D2" s="7"/>
      <c r="E2" s="7"/>
      <c r="F2" s="7"/>
      <c r="G2" s="7"/>
      <c r="H2" s="7"/>
      <c r="I2" s="7"/>
      <c r="J2" s="7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  <c r="R3" s="203"/>
      <c r="X3" s="203"/>
    </row>
    <row r="4" spans="1:24" s="183" customFormat="1" ht="16" thickBot="1">
      <c r="A4" s="123" t="s">
        <v>322</v>
      </c>
      <c r="B4" s="184"/>
      <c r="C4" s="184"/>
      <c r="D4" s="184"/>
      <c r="E4" s="184"/>
      <c r="F4" s="184"/>
      <c r="G4" s="123"/>
      <c r="H4" s="123"/>
      <c r="I4" s="184"/>
      <c r="J4" s="184"/>
      <c r="K4" s="184"/>
      <c r="L4" s="192"/>
      <c r="M4" s="192"/>
    </row>
    <row r="5" spans="1:24" ht="6.5" customHeight="1">
      <c r="A5" s="193"/>
      <c r="B5" s="18"/>
      <c r="C5" s="18"/>
      <c r="D5" s="18"/>
      <c r="E5" s="18"/>
      <c r="F5" s="18"/>
      <c r="G5" s="18"/>
      <c r="H5" s="18"/>
      <c r="I5" s="18"/>
      <c r="J5" s="18"/>
      <c r="K5" s="18"/>
      <c r="L5" s="192"/>
    </row>
    <row r="6" spans="1:24" ht="16" thickBot="1">
      <c r="A6" s="13" t="s">
        <v>136</v>
      </c>
      <c r="B6" s="14" t="s">
        <v>51</v>
      </c>
      <c r="C6" s="14" t="s">
        <v>50</v>
      </c>
      <c r="D6" s="14" t="s">
        <v>49</v>
      </c>
      <c r="E6" s="14" t="s">
        <v>48</v>
      </c>
      <c r="F6" s="14" t="s">
        <v>47</v>
      </c>
      <c r="G6" s="14" t="s">
        <v>46</v>
      </c>
      <c r="H6" s="14" t="s">
        <v>45</v>
      </c>
      <c r="I6" s="14" t="s">
        <v>44</v>
      </c>
      <c r="J6" s="14" t="s">
        <v>43</v>
      </c>
      <c r="K6" s="15" t="s">
        <v>42</v>
      </c>
      <c r="L6" s="192"/>
      <c r="M6" s="123" t="s">
        <v>308</v>
      </c>
    </row>
    <row r="7" spans="1:24" ht="6.5" customHeight="1">
      <c r="A7" s="193"/>
      <c r="B7" s="18"/>
      <c r="C7" s="18"/>
      <c r="D7" s="18"/>
      <c r="E7" s="18"/>
      <c r="F7" s="18"/>
      <c r="G7" s="18"/>
      <c r="H7" s="18"/>
      <c r="I7" s="18"/>
      <c r="J7" s="18"/>
      <c r="K7" s="18"/>
      <c r="L7" s="192"/>
    </row>
    <row r="8" spans="1:24" ht="17">
      <c r="A8" s="260" t="s">
        <v>137</v>
      </c>
      <c r="B8" s="261" t="s">
        <v>144</v>
      </c>
      <c r="C8" s="261" t="s">
        <v>309</v>
      </c>
      <c r="D8" s="261">
        <v>6696</v>
      </c>
      <c r="E8" s="261">
        <v>7578</v>
      </c>
      <c r="F8" s="261">
        <v>8839</v>
      </c>
      <c r="G8" s="261">
        <v>10387</v>
      </c>
      <c r="H8" s="261">
        <v>12299</v>
      </c>
      <c r="I8" s="261">
        <v>13740</v>
      </c>
      <c r="J8" s="261">
        <v>14764</v>
      </c>
      <c r="K8" s="261">
        <v>15216</v>
      </c>
      <c r="L8" s="192"/>
      <c r="M8" s="484">
        <v>0.35</v>
      </c>
      <c r="N8" s="481" t="s">
        <v>572</v>
      </c>
    </row>
    <row r="9" spans="1:24" ht="17">
      <c r="A9" s="194" t="s">
        <v>138</v>
      </c>
      <c r="B9" s="259" t="s">
        <v>144</v>
      </c>
      <c r="C9" s="259" t="s">
        <v>309</v>
      </c>
      <c r="D9" s="259">
        <v>3892</v>
      </c>
      <c r="E9" s="259">
        <v>3810</v>
      </c>
      <c r="F9" s="259">
        <v>4144</v>
      </c>
      <c r="G9" s="259">
        <v>4128</v>
      </c>
      <c r="H9" s="259">
        <v>4979</v>
      </c>
      <c r="I9" s="259">
        <v>5709</v>
      </c>
      <c r="J9" s="259">
        <v>5884</v>
      </c>
      <c r="K9" s="259">
        <v>6211</v>
      </c>
      <c r="L9" s="192"/>
      <c r="M9" s="485">
        <f>(0.3399+0.22+0.2+0.3333+0.2979+0.2708+0.2+0.125+0.24+0.3333+0.25+0.24+0.21+0.25+0.22+0.1777+0.19)/17</f>
        <v>0.24105294117647058</v>
      </c>
      <c r="N9" s="481" t="s">
        <v>573</v>
      </c>
    </row>
    <row r="10" spans="1:24" ht="17">
      <c r="A10" s="194" t="s">
        <v>139</v>
      </c>
      <c r="B10" s="259" t="s">
        <v>144</v>
      </c>
      <c r="C10" s="259" t="s">
        <v>309</v>
      </c>
      <c r="D10" s="259">
        <v>1150</v>
      </c>
      <c r="E10" s="259">
        <v>1031</v>
      </c>
      <c r="F10" s="259">
        <v>1200</v>
      </c>
      <c r="G10" s="259">
        <v>1287</v>
      </c>
      <c r="H10" s="259">
        <v>1387</v>
      </c>
      <c r="I10" s="259">
        <v>1417</v>
      </c>
      <c r="J10" s="259">
        <v>1431</v>
      </c>
      <c r="K10" s="259">
        <v>1487</v>
      </c>
      <c r="L10" s="192"/>
      <c r="M10" s="485">
        <f>(0.25+0.2+0.19+0.09+0.125+0.19+0.21+0.19+0.2+0.15+0.15+0.15+0.2+0.2+0.2+0.2+0.18+0.18+0.12+0.15+0.1+0.1+0.29+0.1+0.09+0.16+0.15+0.2)/28</f>
        <v>0.16839285714285718</v>
      </c>
      <c r="N10" s="481" t="s">
        <v>574</v>
      </c>
    </row>
    <row r="11" spans="1:24" ht="17">
      <c r="A11" s="194" t="s">
        <v>140</v>
      </c>
      <c r="B11" s="259" t="s">
        <v>144</v>
      </c>
      <c r="C11" s="259" t="s">
        <v>309</v>
      </c>
      <c r="D11" s="259">
        <v>1742</v>
      </c>
      <c r="E11" s="259">
        <v>2060</v>
      </c>
      <c r="F11" s="259">
        <v>2539</v>
      </c>
      <c r="G11" s="259">
        <v>2453</v>
      </c>
      <c r="H11" s="259">
        <v>2602</v>
      </c>
      <c r="I11" s="259">
        <v>3067</v>
      </c>
      <c r="J11" s="259">
        <v>3785</v>
      </c>
      <c r="K11" s="259">
        <v>4237</v>
      </c>
      <c r="L11" s="192"/>
      <c r="M11" s="485">
        <f>(0.25+0.165+0.12+0.17)/4</f>
        <v>0.17625000000000002</v>
      </c>
      <c r="N11" s="481" t="s">
        <v>575</v>
      </c>
    </row>
    <row r="12" spans="1:24" ht="17">
      <c r="A12" s="194" t="s">
        <v>141</v>
      </c>
      <c r="B12" s="259" t="s">
        <v>144</v>
      </c>
      <c r="C12" s="259" t="s">
        <v>309</v>
      </c>
      <c r="D12" s="259">
        <v>882</v>
      </c>
      <c r="E12" s="259">
        <v>766</v>
      </c>
      <c r="F12" s="259">
        <v>829</v>
      </c>
      <c r="G12" s="259">
        <v>791</v>
      </c>
      <c r="H12" s="259">
        <v>771</v>
      </c>
      <c r="I12" s="259">
        <v>755</v>
      </c>
      <c r="J12" s="259">
        <v>869</v>
      </c>
      <c r="K12" s="259">
        <v>1014</v>
      </c>
      <c r="L12" s="192"/>
      <c r="M12" s="485">
        <v>0.30859999999999999</v>
      </c>
      <c r="N12" s="481"/>
    </row>
    <row r="13" spans="1:24" ht="17">
      <c r="A13" s="194" t="s">
        <v>142</v>
      </c>
      <c r="B13" s="259" t="s">
        <v>144</v>
      </c>
      <c r="C13" s="259" t="s">
        <v>309</v>
      </c>
      <c r="D13" s="259">
        <v>2042</v>
      </c>
      <c r="E13" s="259">
        <v>2736</v>
      </c>
      <c r="F13" s="259">
        <v>3410</v>
      </c>
      <c r="G13" s="259">
        <v>3718</v>
      </c>
      <c r="H13" s="259">
        <v>3949</v>
      </c>
      <c r="I13" s="259">
        <v>3898</v>
      </c>
      <c r="J13" s="259">
        <v>3701</v>
      </c>
      <c r="K13" s="259">
        <v>3995</v>
      </c>
      <c r="L13" s="192"/>
      <c r="M13" s="485">
        <f>(0.34+0.255+0.3+0.295+0.225+0.1+0.28+0.55+0.3+0.25+0.22+0.24+0.31+0.3+0.2)/15</f>
        <v>0.27766666666666667</v>
      </c>
      <c r="N13" s="481" t="s">
        <v>576</v>
      </c>
    </row>
    <row r="14" spans="1:24" ht="17">
      <c r="A14" s="262" t="s">
        <v>143</v>
      </c>
      <c r="B14" s="263" t="s">
        <v>144</v>
      </c>
      <c r="C14" s="263" t="s">
        <v>309</v>
      </c>
      <c r="D14" s="263">
        <f>105+2529-24</f>
        <v>2610</v>
      </c>
      <c r="E14" s="263">
        <f>123+2747+11</f>
        <v>2881</v>
      </c>
      <c r="F14" s="263">
        <f>111+3095-39</f>
        <v>3167</v>
      </c>
      <c r="G14" s="263">
        <f>117+2500-68</f>
        <v>2549</v>
      </c>
      <c r="H14" s="263">
        <f>125+1684+3</f>
        <v>1812</v>
      </c>
      <c r="I14" s="263">
        <f>115+1982-82</f>
        <v>2015</v>
      </c>
      <c r="J14" s="263">
        <f>73+1955-86</f>
        <v>1942</v>
      </c>
      <c r="K14" s="263">
        <f>73+2042+75</f>
        <v>2190</v>
      </c>
      <c r="L14" s="192"/>
      <c r="M14" s="486">
        <v>0.35</v>
      </c>
      <c r="N14" s="481" t="s">
        <v>577</v>
      </c>
    </row>
    <row r="15" spans="1:24" ht="6.5" customHeight="1">
      <c r="A15" s="193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2"/>
    </row>
    <row r="16" spans="1:24">
      <c r="A16" s="275" t="s">
        <v>323</v>
      </c>
      <c r="B16" s="276" t="s">
        <v>144</v>
      </c>
      <c r="C16" s="276" t="s">
        <v>309</v>
      </c>
      <c r="D16" s="276">
        <f t="shared" ref="D16:K16" si="0">D8+D9+D10+D11+D12+D13+D14</f>
        <v>19014</v>
      </c>
      <c r="E16" s="276">
        <f t="shared" si="0"/>
        <v>20862</v>
      </c>
      <c r="F16" s="276">
        <f t="shared" si="0"/>
        <v>24128</v>
      </c>
      <c r="G16" s="276">
        <f t="shared" si="0"/>
        <v>25313</v>
      </c>
      <c r="H16" s="276">
        <f t="shared" si="0"/>
        <v>27799</v>
      </c>
      <c r="I16" s="276">
        <f t="shared" si="0"/>
        <v>30601</v>
      </c>
      <c r="J16" s="276">
        <f t="shared" si="0"/>
        <v>32376</v>
      </c>
      <c r="K16" s="276">
        <f t="shared" si="0"/>
        <v>34350</v>
      </c>
      <c r="L16" s="192"/>
    </row>
    <row r="17" spans="1:13" ht="6.5" customHeight="1" thickBot="1">
      <c r="A17" s="193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2"/>
    </row>
    <row r="18" spans="1:13">
      <c r="A18" s="277" t="s">
        <v>307</v>
      </c>
      <c r="B18" s="257"/>
      <c r="C18" s="278">
        <f>D18</f>
        <v>0.29110854455172208</v>
      </c>
      <c r="D18" s="278">
        <f t="shared" ref="D18:K18" si="1">((D8/(D16))*$M$8)+((D9/(D16))*$M$9)+((D10/(D16))*$M$10)+((D11/(D16))*$M$11)+((D12/(D16))*$M$12)+((D13/(D16))*$M$13)+(D14/D16)*$M$14</f>
        <v>0.29110854455172208</v>
      </c>
      <c r="E18" s="278">
        <f t="shared" si="1"/>
        <v>0.29296488072076687</v>
      </c>
      <c r="F18" s="278">
        <f t="shared" si="1"/>
        <v>0.29232701840766145</v>
      </c>
      <c r="G18" s="278">
        <f t="shared" si="1"/>
        <v>0.29424393256374165</v>
      </c>
      <c r="H18" s="278">
        <f t="shared" si="1"/>
        <v>0.29373906448582521</v>
      </c>
      <c r="I18" s="278">
        <f t="shared" si="1"/>
        <v>0.29361557911226971</v>
      </c>
      <c r="J18" s="278">
        <f t="shared" si="1"/>
        <v>0.29248053088050141</v>
      </c>
      <c r="K18" s="278">
        <f t="shared" si="1"/>
        <v>0.29137263404808794</v>
      </c>
      <c r="L18" s="192"/>
    </row>
    <row r="19" spans="1:13">
      <c r="A19" s="1" t="s">
        <v>320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92"/>
    </row>
    <row r="20" spans="1:13">
      <c r="L20" s="192"/>
    </row>
    <row r="21" spans="1:13" s="212" customFormat="1" ht="15.5" customHeight="1">
      <c r="A21" s="667" t="s">
        <v>578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</row>
    <row r="22" spans="1:13" s="212" customFormat="1">
      <c r="A22" s="665" t="s">
        <v>579</v>
      </c>
      <c r="B22" s="665"/>
      <c r="C22" s="665"/>
      <c r="D22" s="665"/>
      <c r="E22" s="665"/>
      <c r="F22" s="665"/>
      <c r="G22" s="665"/>
      <c r="H22" s="665"/>
      <c r="I22" s="665"/>
      <c r="J22" s="665"/>
      <c r="K22" s="665"/>
      <c r="L22" s="665"/>
      <c r="M22" s="665"/>
    </row>
    <row r="23" spans="1:13" s="183" customFormat="1" ht="34.25" customHeight="1">
      <c r="A23" s="665" t="s">
        <v>580</v>
      </c>
      <c r="B23" s="665"/>
      <c r="C23" s="665"/>
      <c r="D23" s="665"/>
      <c r="E23" s="665"/>
      <c r="F23" s="665"/>
      <c r="G23" s="665"/>
      <c r="H23" s="665"/>
      <c r="I23" s="665"/>
      <c r="J23" s="665"/>
      <c r="K23" s="665"/>
      <c r="L23" s="665"/>
      <c r="M23" s="665"/>
    </row>
    <row r="24" spans="1:13" s="183" customFormat="1" ht="16">
      <c r="A24" s="483" t="s">
        <v>581</v>
      </c>
      <c r="B24" s="482"/>
      <c r="C24" s="482"/>
      <c r="D24" s="482"/>
      <c r="E24" s="482"/>
      <c r="F24" s="482"/>
      <c r="G24" s="482"/>
      <c r="H24" s="482"/>
      <c r="I24" s="482"/>
      <c r="J24" s="482"/>
      <c r="K24" s="482"/>
      <c r="L24" s="482"/>
      <c r="M24" s="482"/>
    </row>
    <row r="25" spans="1:13" ht="32.5" customHeight="1">
      <c r="A25" s="665" t="s">
        <v>582</v>
      </c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</row>
    <row r="26" spans="1:13">
      <c r="A26" s="666" t="s">
        <v>583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</row>
  </sheetData>
  <mergeCells count="5">
    <mergeCell ref="A25:M25"/>
    <mergeCell ref="A26:M26"/>
    <mergeCell ref="A21:M21"/>
    <mergeCell ref="A22:M22"/>
    <mergeCell ref="A23:M23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/>
  </sheetPr>
  <dimension ref="A1:X23"/>
  <sheetViews>
    <sheetView showGridLines="0" zoomScaleNormal="100" zoomScalePageLayoutView="140" workbookViewId="0">
      <pane ySplit="3" topLeftCell="A4" activePane="bottomLeft" state="frozen"/>
      <selection pane="bottomLeft" activeCell="A23" sqref="A23:XFD23"/>
    </sheetView>
  </sheetViews>
  <sheetFormatPr baseColWidth="10" defaultColWidth="10.83203125" defaultRowHeight="15"/>
  <cols>
    <col min="1" max="1" width="15.1640625" customWidth="1"/>
    <col min="2" max="2" width="15.1640625" bestFit="1" customWidth="1"/>
    <col min="3" max="3" width="12.5" bestFit="1" customWidth="1"/>
    <col min="4" max="4" width="15" bestFit="1" customWidth="1"/>
    <col min="5" max="5" width="14.33203125" bestFit="1" customWidth="1"/>
    <col min="6" max="6" width="12.33203125" bestFit="1" customWidth="1"/>
    <col min="7" max="8" width="18.6640625" bestFit="1" customWidth="1"/>
    <col min="9" max="9" width="20.83203125" bestFit="1" customWidth="1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4" ht="21.5" customHeight="1">
      <c r="A2" s="6" t="s">
        <v>585</v>
      </c>
      <c r="B2" s="7"/>
      <c r="C2" s="7"/>
      <c r="D2" s="7"/>
      <c r="E2" s="7"/>
      <c r="F2" s="7"/>
      <c r="G2" s="7"/>
      <c r="H2" s="7"/>
      <c r="I2" s="7"/>
      <c r="J2" s="7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s="490" customFormat="1">
      <c r="A4" s="490" t="s">
        <v>265</v>
      </c>
      <c r="B4" s="490" t="s">
        <v>252</v>
      </c>
      <c r="C4" s="490" t="s">
        <v>251</v>
      </c>
      <c r="D4" s="490" t="s">
        <v>264</v>
      </c>
      <c r="E4" s="490" t="s">
        <v>263</v>
      </c>
      <c r="F4" s="490" t="s">
        <v>262</v>
      </c>
      <c r="G4" s="490" t="s">
        <v>261</v>
      </c>
      <c r="H4" s="490" t="s">
        <v>260</v>
      </c>
      <c r="I4" s="490" t="s">
        <v>266</v>
      </c>
    </row>
    <row r="5" spans="1:24">
      <c r="A5" s="491" t="s">
        <v>258</v>
      </c>
      <c r="B5" s="491">
        <v>500000000</v>
      </c>
      <c r="C5" s="491">
        <v>2.2499999999999999E-2</v>
      </c>
      <c r="D5" s="491" t="s">
        <v>253</v>
      </c>
      <c r="E5" s="491">
        <v>41579</v>
      </c>
      <c r="F5" s="491">
        <v>1000</v>
      </c>
      <c r="G5" s="491">
        <v>0.99787000000000003</v>
      </c>
      <c r="H5" s="491">
        <f>G5*F5</f>
        <v>997.87</v>
      </c>
      <c r="I5" s="491"/>
      <c r="J5" s="12"/>
      <c r="K5" s="12"/>
    </row>
    <row r="6" spans="1:24" s="203" customFormat="1" ht="6.5" customHeight="1">
      <c r="A6" s="193"/>
      <c r="B6" s="18"/>
      <c r="C6" s="18"/>
      <c r="D6" s="18"/>
      <c r="E6" s="18"/>
      <c r="F6" s="18"/>
      <c r="G6" s="18"/>
      <c r="H6" s="18"/>
      <c r="I6" s="18"/>
      <c r="J6" s="18"/>
      <c r="K6" s="18"/>
      <c r="L6" s="192"/>
      <c r="M6" s="192"/>
      <c r="R6" s="197"/>
      <c r="X6" s="197"/>
    </row>
    <row r="7" spans="1:24">
      <c r="A7" s="487" t="s">
        <v>5</v>
      </c>
      <c r="B7" s="488" t="s">
        <v>268</v>
      </c>
      <c r="C7" s="488" t="s">
        <v>269</v>
      </c>
      <c r="D7" s="488" t="s">
        <v>270</v>
      </c>
      <c r="E7" s="488" t="s">
        <v>271</v>
      </c>
      <c r="F7" s="488" t="s">
        <v>272</v>
      </c>
      <c r="G7" s="488" t="s">
        <v>273</v>
      </c>
      <c r="H7" s="488" t="s">
        <v>274</v>
      </c>
      <c r="I7" s="488" t="s">
        <v>275</v>
      </c>
    </row>
    <row r="8" spans="1:24">
      <c r="A8" s="2">
        <v>43040</v>
      </c>
      <c r="B8">
        <v>1</v>
      </c>
      <c r="C8" s="160">
        <f>$F$5*$C$5/2</f>
        <v>11.25</v>
      </c>
      <c r="D8" s="161">
        <f t="shared" ref="D8:D19" si="0">1/(1+$G$8/2)^B8</f>
        <v>0.98868844003240342</v>
      </c>
      <c r="E8">
        <f>C8*D8</f>
        <v>11.122744950364538</v>
      </c>
      <c r="F8" s="151">
        <f>F5</f>
        <v>1000</v>
      </c>
      <c r="G8" s="147">
        <v>2.2881950490340242E-2</v>
      </c>
      <c r="H8" s="160">
        <f>H5</f>
        <v>997.87</v>
      </c>
      <c r="I8">
        <f>SUM(E8:E19)</f>
        <v>997.86999993553991</v>
      </c>
    </row>
    <row r="9" spans="1:24">
      <c r="A9" s="2">
        <v>43221</v>
      </c>
      <c r="B9">
        <v>2</v>
      </c>
      <c r="C9" s="160">
        <f t="shared" ref="C9:C18" si="1">$F$5*$C$5/2</f>
        <v>11.25</v>
      </c>
      <c r="D9" s="161">
        <f t="shared" si="0"/>
        <v>0.97750483145370759</v>
      </c>
      <c r="E9">
        <f t="shared" ref="E9:E19" si="2">C9*D9</f>
        <v>10.99692935385421</v>
      </c>
    </row>
    <row r="10" spans="1:24">
      <c r="A10" s="2">
        <v>43405</v>
      </c>
      <c r="B10">
        <v>3</v>
      </c>
      <c r="C10" s="160">
        <f t="shared" si="1"/>
        <v>11.25</v>
      </c>
      <c r="D10" s="161">
        <f t="shared" si="0"/>
        <v>0.96644772693410352</v>
      </c>
      <c r="E10">
        <f t="shared" si="2"/>
        <v>10.872536928008664</v>
      </c>
    </row>
    <row r="11" spans="1:24">
      <c r="A11" s="2">
        <v>43586</v>
      </c>
      <c r="B11">
        <v>4</v>
      </c>
      <c r="C11" s="160">
        <f t="shared" si="1"/>
        <v>11.25</v>
      </c>
      <c r="D11" s="161">
        <f t="shared" si="0"/>
        <v>0.95551569551534132</v>
      </c>
      <c r="E11">
        <f t="shared" si="2"/>
        <v>10.74955157454759</v>
      </c>
    </row>
    <row r="12" spans="1:24">
      <c r="A12" s="2">
        <v>43770</v>
      </c>
      <c r="B12">
        <v>5</v>
      </c>
      <c r="C12" s="160">
        <f t="shared" si="1"/>
        <v>11.25</v>
      </c>
      <c r="D12" s="161">
        <f t="shared" si="0"/>
        <v>0.94470732242553979</v>
      </c>
      <c r="E12">
        <f t="shared" si="2"/>
        <v>10.627957377287323</v>
      </c>
    </row>
    <row r="13" spans="1:24">
      <c r="A13" s="2">
        <v>43952</v>
      </c>
      <c r="B13">
        <v>6</v>
      </c>
      <c r="C13" s="160">
        <f t="shared" si="1"/>
        <v>11.25</v>
      </c>
      <c r="D13" s="161">
        <f t="shared" si="0"/>
        <v>0.93402120889609574</v>
      </c>
      <c r="E13">
        <f t="shared" si="2"/>
        <v>10.507738600081078</v>
      </c>
    </row>
    <row r="14" spans="1:24">
      <c r="A14" s="2">
        <v>44136</v>
      </c>
      <c r="B14">
        <v>7</v>
      </c>
      <c r="C14" s="160">
        <f t="shared" si="1"/>
        <v>11.25</v>
      </c>
      <c r="D14" s="161">
        <f t="shared" si="0"/>
        <v>0.92345597198066054</v>
      </c>
      <c r="E14">
        <f t="shared" si="2"/>
        <v>10.388879684782431</v>
      </c>
    </row>
    <row r="15" spans="1:24">
      <c r="A15" s="2">
        <v>44317</v>
      </c>
      <c r="B15">
        <v>8</v>
      </c>
      <c r="C15" s="160">
        <f t="shared" si="1"/>
        <v>11.25</v>
      </c>
      <c r="D15" s="161">
        <f t="shared" si="0"/>
        <v>0.9130102443761664</v>
      </c>
      <c r="E15">
        <f t="shared" si="2"/>
        <v>10.271365249231872</v>
      </c>
    </row>
    <row r="16" spans="1:24">
      <c r="A16" s="2">
        <v>44501</v>
      </c>
      <c r="B16">
        <v>9</v>
      </c>
      <c r="C16" s="160">
        <f t="shared" si="1"/>
        <v>11.25</v>
      </c>
      <c r="D16" s="161">
        <f t="shared" si="0"/>
        <v>0.90268267424587545</v>
      </c>
      <c r="E16">
        <f t="shared" si="2"/>
        <v>10.1551800852661</v>
      </c>
    </row>
    <row r="17" spans="1:9">
      <c r="A17" s="2">
        <v>44682</v>
      </c>
      <c r="B17">
        <v>10</v>
      </c>
      <c r="C17" s="160">
        <f t="shared" si="1"/>
        <v>11.25</v>
      </c>
      <c r="D17" s="161">
        <f t="shared" si="0"/>
        <v>0.89247192504443296</v>
      </c>
      <c r="E17">
        <f t="shared" si="2"/>
        <v>10.040309156749871</v>
      </c>
    </row>
    <row r="18" spans="1:9">
      <c r="A18" s="2">
        <v>44866</v>
      </c>
      <c r="B18">
        <v>11</v>
      </c>
      <c r="C18" s="160">
        <f t="shared" si="1"/>
        <v>11.25</v>
      </c>
      <c r="D18" s="161">
        <f t="shared" si="0"/>
        <v>0.88237667534489628</v>
      </c>
      <c r="E18">
        <f t="shared" si="2"/>
        <v>9.9267375976300833</v>
      </c>
    </row>
    <row r="19" spans="1:9">
      <c r="A19" s="2">
        <v>45047</v>
      </c>
      <c r="B19">
        <v>12</v>
      </c>
      <c r="C19" s="160">
        <f>$F$5*$C$5/2+F5</f>
        <v>1011.25</v>
      </c>
      <c r="D19" s="161">
        <f t="shared" si="0"/>
        <v>0.8723956186677243</v>
      </c>
      <c r="E19">
        <f t="shared" si="2"/>
        <v>882.2100693777362</v>
      </c>
    </row>
    <row r="20" spans="1:9" ht="16" thickBot="1"/>
    <row r="21" spans="1:9" ht="17">
      <c r="A21" s="489" t="s">
        <v>584</v>
      </c>
      <c r="B21" s="408">
        <f>(1+G8/2)^2-1</f>
        <v>2.3012846404900644E-2</v>
      </c>
    </row>
    <row r="23" spans="1:9">
      <c r="A23" s="1" t="s">
        <v>608</v>
      </c>
      <c r="B23" s="1"/>
      <c r="C23" s="1"/>
      <c r="D23" s="1"/>
      <c r="E23" s="1"/>
      <c r="F23" s="1"/>
      <c r="G23" s="1"/>
      <c r="H23" s="1"/>
      <c r="I23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/>
  </sheetPr>
  <dimension ref="A1:X30"/>
  <sheetViews>
    <sheetView showGridLines="0" zoomScaleNormal="100" workbookViewId="0">
      <pane ySplit="3" topLeftCell="A10" activePane="bottomLeft" state="frozen"/>
      <selection pane="bottomLeft" activeCell="A30" sqref="A30:XFD30"/>
    </sheetView>
  </sheetViews>
  <sheetFormatPr baseColWidth="10" defaultColWidth="10.83203125" defaultRowHeight="15"/>
  <cols>
    <col min="1" max="2" width="15.1640625" customWidth="1"/>
    <col min="3" max="3" width="12.5" bestFit="1" customWidth="1"/>
    <col min="4" max="4" width="15.5" bestFit="1" customWidth="1"/>
    <col min="5" max="5" width="14.6640625" bestFit="1" customWidth="1"/>
    <col min="6" max="6" width="12.33203125" bestFit="1" customWidth="1"/>
    <col min="7" max="7" width="18.6640625" bestFit="1" customWidth="1"/>
    <col min="8" max="8" width="17.1640625" bestFit="1" customWidth="1"/>
    <col min="9" max="9" width="19" bestFit="1" customWidth="1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4" ht="21.5" customHeight="1">
      <c r="A2" s="6" t="s">
        <v>586</v>
      </c>
      <c r="B2" s="7"/>
      <c r="C2" s="7"/>
      <c r="D2" s="7"/>
      <c r="E2" s="7"/>
      <c r="F2" s="7"/>
      <c r="G2" s="7"/>
      <c r="H2" s="7"/>
      <c r="I2" s="7"/>
      <c r="J2" s="7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s="490" customFormat="1">
      <c r="A4" s="490" t="s">
        <v>265</v>
      </c>
      <c r="B4" s="490" t="s">
        <v>252</v>
      </c>
      <c r="C4" s="490" t="s">
        <v>251</v>
      </c>
      <c r="D4" s="490" t="s">
        <v>264</v>
      </c>
      <c r="E4" s="490" t="s">
        <v>263</v>
      </c>
      <c r="F4" s="490" t="s">
        <v>262</v>
      </c>
      <c r="G4" s="490" t="s">
        <v>261</v>
      </c>
      <c r="H4" s="490" t="s">
        <v>260</v>
      </c>
      <c r="I4" s="490" t="s">
        <v>266</v>
      </c>
    </row>
    <row r="5" spans="1:24">
      <c r="A5" s="491" t="s">
        <v>257</v>
      </c>
      <c r="B5" s="491">
        <v>1000000000</v>
      </c>
      <c r="C5" s="491">
        <v>2.3800000000000002E-2</v>
      </c>
      <c r="D5" s="491" t="s">
        <v>253</v>
      </c>
      <c r="E5" s="491">
        <v>42856</v>
      </c>
      <c r="F5" s="491">
        <v>1000</v>
      </c>
      <c r="G5" s="491">
        <v>0.95348999999999995</v>
      </c>
      <c r="H5" s="491">
        <f>G5*F5</f>
        <v>953.4899999999999</v>
      </c>
      <c r="I5" s="491"/>
      <c r="J5" s="12"/>
      <c r="K5" s="12"/>
    </row>
    <row r="6" spans="1:24" s="203" customFormat="1" ht="6.5" customHeight="1">
      <c r="A6" s="193"/>
      <c r="B6" s="18"/>
      <c r="C6" s="18"/>
      <c r="D6" s="18"/>
      <c r="E6" s="18"/>
      <c r="F6" s="18"/>
      <c r="G6" s="18"/>
      <c r="H6" s="18"/>
      <c r="I6" s="18"/>
      <c r="J6" s="18"/>
      <c r="K6" s="18"/>
      <c r="L6" s="192"/>
      <c r="M6" s="192"/>
      <c r="R6" s="197"/>
      <c r="X6" s="197"/>
    </row>
    <row r="7" spans="1:24">
      <c r="A7" s="487" t="s">
        <v>5</v>
      </c>
      <c r="B7" s="488" t="s">
        <v>268</v>
      </c>
      <c r="C7" s="488" t="s">
        <v>269</v>
      </c>
      <c r="D7" s="488" t="s">
        <v>270</v>
      </c>
      <c r="E7" s="488" t="s">
        <v>271</v>
      </c>
      <c r="F7" s="488" t="s">
        <v>272</v>
      </c>
      <c r="G7" s="488" t="s">
        <v>273</v>
      </c>
      <c r="H7" s="488" t="s">
        <v>274</v>
      </c>
      <c r="I7" s="488" t="s">
        <v>275</v>
      </c>
    </row>
    <row r="8" spans="1:24">
      <c r="A8" s="2">
        <v>43040</v>
      </c>
      <c r="B8">
        <v>1</v>
      </c>
      <c r="C8" s="160">
        <f t="shared" ref="C8:C25" si="0">$F$5*$C$5/2</f>
        <v>11.9</v>
      </c>
      <c r="D8" s="161">
        <f t="shared" ref="D8:D26" si="1">1/(1+$G$8/2)^B8</f>
        <v>0.9854889729250712</v>
      </c>
      <c r="E8">
        <f t="shared" ref="E8:E26" si="2">C8*D8</f>
        <v>11.727318777808348</v>
      </c>
      <c r="F8">
        <f>F5</f>
        <v>1000</v>
      </c>
      <c r="G8">
        <v>2.9449395119780925E-2</v>
      </c>
      <c r="H8">
        <f>H5</f>
        <v>953.4899999999999</v>
      </c>
      <c r="I8">
        <f>SUM(E8:E26)</f>
        <v>953.48058283932335</v>
      </c>
    </row>
    <row r="9" spans="1:24">
      <c r="A9" s="2">
        <v>43221</v>
      </c>
      <c r="B9">
        <v>2</v>
      </c>
      <c r="C9" s="160">
        <f t="shared" si="0"/>
        <v>11.9</v>
      </c>
      <c r="D9" s="161">
        <f t="shared" si="1"/>
        <v>0.9711885157569119</v>
      </c>
      <c r="E9">
        <f t="shared" si="2"/>
        <v>11.557143337507252</v>
      </c>
    </row>
    <row r="10" spans="1:24">
      <c r="A10" s="2">
        <v>43405</v>
      </c>
      <c r="B10">
        <v>3</v>
      </c>
      <c r="C10" s="160">
        <f t="shared" si="0"/>
        <v>11.9</v>
      </c>
      <c r="D10" s="161">
        <f t="shared" si="1"/>
        <v>0.95709557290990344</v>
      </c>
      <c r="E10">
        <f t="shared" si="2"/>
        <v>11.389437317627852</v>
      </c>
    </row>
    <row r="11" spans="1:24">
      <c r="A11" s="2">
        <v>43586</v>
      </c>
      <c r="B11">
        <v>4</v>
      </c>
      <c r="C11" s="160">
        <f t="shared" si="0"/>
        <v>11.9</v>
      </c>
      <c r="D11" s="161">
        <f t="shared" si="1"/>
        <v>0.94320713313811344</v>
      </c>
      <c r="E11">
        <f t="shared" si="2"/>
        <v>11.22416488434355</v>
      </c>
    </row>
    <row r="12" spans="1:24">
      <c r="A12" s="2">
        <v>43770</v>
      </c>
      <c r="B12">
        <v>5</v>
      </c>
      <c r="C12" s="160">
        <f t="shared" si="0"/>
        <v>11.9</v>
      </c>
      <c r="D12" s="161">
        <f t="shared" si="1"/>
        <v>0.92952022889188035</v>
      </c>
      <c r="E12">
        <f t="shared" si="2"/>
        <v>11.061290723813377</v>
      </c>
    </row>
    <row r="13" spans="1:24">
      <c r="A13" s="2">
        <v>43952</v>
      </c>
      <c r="B13">
        <v>6</v>
      </c>
      <c r="C13" s="160">
        <f t="shared" si="0"/>
        <v>11.9</v>
      </c>
      <c r="D13" s="161">
        <f t="shared" si="1"/>
        <v>0.91603193568373631</v>
      </c>
      <c r="E13">
        <f t="shared" si="2"/>
        <v>10.900780034636462</v>
      </c>
    </row>
    <row r="14" spans="1:24">
      <c r="A14" s="2">
        <v>44136</v>
      </c>
      <c r="B14">
        <v>7</v>
      </c>
      <c r="C14" s="160">
        <f t="shared" si="0"/>
        <v>11.9</v>
      </c>
      <c r="D14" s="161">
        <f t="shared" si="1"/>
        <v>0.90273937146353034</v>
      </c>
      <c r="E14">
        <f t="shared" si="2"/>
        <v>10.742598520416012</v>
      </c>
    </row>
    <row r="15" spans="1:24">
      <c r="A15" s="2">
        <v>44317</v>
      </c>
      <c r="B15">
        <v>8</v>
      </c>
      <c r="C15" s="160">
        <f t="shared" si="0"/>
        <v>11.9</v>
      </c>
      <c r="D15" s="161">
        <f t="shared" si="1"/>
        <v>0.88963969600261883</v>
      </c>
      <c r="E15">
        <f t="shared" si="2"/>
        <v>10.586712382431164</v>
      </c>
    </row>
    <row r="16" spans="1:24">
      <c r="A16" s="2">
        <v>44501</v>
      </c>
      <c r="B16">
        <v>9</v>
      </c>
      <c r="C16" s="160">
        <f t="shared" si="0"/>
        <v>11.9</v>
      </c>
      <c r="D16" s="161">
        <f t="shared" si="1"/>
        <v>0.87673011028699355</v>
      </c>
      <c r="E16">
        <f t="shared" si="2"/>
        <v>10.433088312415224</v>
      </c>
    </row>
    <row r="17" spans="1:9">
      <c r="A17" s="2">
        <v>44682</v>
      </c>
      <c r="B17">
        <v>10</v>
      </c>
      <c r="C17" s="160">
        <f t="shared" si="0"/>
        <v>11.9</v>
      </c>
      <c r="D17" s="161">
        <f t="shared" si="1"/>
        <v>0.8640078559192137</v>
      </c>
      <c r="E17">
        <f t="shared" si="2"/>
        <v>10.281693485438643</v>
      </c>
    </row>
    <row r="18" spans="1:9">
      <c r="A18" s="2">
        <v>44866</v>
      </c>
      <c r="B18">
        <v>11</v>
      </c>
      <c r="C18" s="160">
        <f t="shared" si="0"/>
        <v>11.9</v>
      </c>
      <c r="D18" s="161">
        <f t="shared" si="1"/>
        <v>0.85147021452901872</v>
      </c>
      <c r="E18">
        <f t="shared" si="2"/>
        <v>10.132495552895323</v>
      </c>
    </row>
    <row r="19" spans="1:9">
      <c r="A19" s="2">
        <v>45047</v>
      </c>
      <c r="B19">
        <v>12</v>
      </c>
      <c r="C19" s="160">
        <f t="shared" si="0"/>
        <v>11.9</v>
      </c>
      <c r="D19" s="161">
        <f t="shared" si="1"/>
        <v>0.83911450719249292</v>
      </c>
      <c r="E19">
        <f t="shared" si="2"/>
        <v>9.9854626355906664</v>
      </c>
    </row>
    <row r="20" spans="1:9">
      <c r="A20" s="2">
        <v>45231</v>
      </c>
      <c r="B20">
        <v>13</v>
      </c>
      <c r="C20" s="160">
        <f t="shared" si="0"/>
        <v>11.9</v>
      </c>
      <c r="D20" s="161">
        <f t="shared" si="1"/>
        <v>0.82693809385965722</v>
      </c>
      <c r="E20">
        <f t="shared" si="2"/>
        <v>9.8405633169299218</v>
      </c>
    </row>
    <row r="21" spans="1:9">
      <c r="A21" s="2">
        <v>45413</v>
      </c>
      <c r="B21">
        <v>14</v>
      </c>
      <c r="C21" s="160">
        <f t="shared" si="0"/>
        <v>11.9</v>
      </c>
      <c r="D21" s="161">
        <f t="shared" si="1"/>
        <v>0.81493837279036963</v>
      </c>
      <c r="E21">
        <f t="shared" si="2"/>
        <v>9.6977666362053991</v>
      </c>
    </row>
    <row r="22" spans="1:9">
      <c r="A22" s="2">
        <v>45597</v>
      </c>
      <c r="B22">
        <v>15</v>
      </c>
      <c r="C22" s="160">
        <f t="shared" si="0"/>
        <v>11.9</v>
      </c>
      <c r="D22" s="161">
        <f t="shared" si="1"/>
        <v>0.80311277999841024</v>
      </c>
      <c r="E22">
        <f t="shared" si="2"/>
        <v>9.5570420819810824</v>
      </c>
    </row>
    <row r="23" spans="1:9">
      <c r="A23" s="2">
        <v>45778</v>
      </c>
      <c r="B23">
        <v>16</v>
      </c>
      <c r="C23" s="160">
        <f t="shared" si="0"/>
        <v>11.9</v>
      </c>
      <c r="D23" s="161">
        <f t="shared" si="1"/>
        <v>0.79145878870363207</v>
      </c>
      <c r="E23">
        <f t="shared" si="2"/>
        <v>9.4183595855732225</v>
      </c>
    </row>
    <row r="24" spans="1:9">
      <c r="A24" s="2">
        <v>45962</v>
      </c>
      <c r="B24">
        <v>17</v>
      </c>
      <c r="C24" s="160">
        <f t="shared" si="0"/>
        <v>11.9</v>
      </c>
      <c r="D24" s="161">
        <f t="shared" si="1"/>
        <v>0.7799739087920633</v>
      </c>
      <c r="E24">
        <f t="shared" si="2"/>
        <v>9.2816895146255529</v>
      </c>
    </row>
    <row r="25" spans="1:9">
      <c r="A25" s="2">
        <v>46143</v>
      </c>
      <c r="B25">
        <v>18</v>
      </c>
      <c r="C25" s="160">
        <f t="shared" si="0"/>
        <v>11.9</v>
      </c>
      <c r="D25" s="161">
        <f t="shared" si="1"/>
        <v>0.76865568628384373</v>
      </c>
      <c r="E25">
        <f t="shared" si="2"/>
        <v>9.1470026667777411</v>
      </c>
    </row>
    <row r="26" spans="1:9">
      <c r="A26" s="2">
        <v>46327</v>
      </c>
      <c r="B26">
        <v>19</v>
      </c>
      <c r="C26" s="160">
        <f>$F$5*$C$5/2+F5</f>
        <v>1011.9</v>
      </c>
      <c r="D26" s="161">
        <f t="shared" si="1"/>
        <v>0.75750170280888085</v>
      </c>
      <c r="E26">
        <f t="shared" si="2"/>
        <v>766.51597307230656</v>
      </c>
    </row>
    <row r="27" spans="1:9" ht="16" thickBot="1"/>
    <row r="28" spans="1:9" ht="17">
      <c r="A28" s="489" t="s">
        <v>584</v>
      </c>
      <c r="B28" s="408">
        <f>(1+'Corporate Bond 2'!G8/2)^2-1</f>
        <v>2.9666211838011103E-2</v>
      </c>
    </row>
    <row r="30" spans="1:9">
      <c r="A30" s="1" t="s">
        <v>608</v>
      </c>
      <c r="B30" s="1"/>
      <c r="C30" s="1"/>
      <c r="D30" s="1"/>
      <c r="E30" s="1"/>
      <c r="F30" s="1"/>
      <c r="G30" s="1"/>
      <c r="H30" s="1"/>
      <c r="I30" s="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/>
  </sheetPr>
  <dimension ref="A1:X63"/>
  <sheetViews>
    <sheetView showGridLines="0" zoomScaleNormal="100" workbookViewId="0">
      <pane ySplit="3" topLeftCell="A55" activePane="bottomLeft" state="frozen"/>
      <selection pane="bottomLeft" activeCell="A63" sqref="A63:XFD63"/>
    </sheetView>
  </sheetViews>
  <sheetFormatPr baseColWidth="10" defaultColWidth="10.83203125" defaultRowHeight="15"/>
  <cols>
    <col min="1" max="2" width="15.1640625" customWidth="1"/>
    <col min="3" max="3" width="12.5" bestFit="1" customWidth="1"/>
    <col min="4" max="4" width="15.5" bestFit="1" customWidth="1"/>
    <col min="5" max="5" width="14.6640625" bestFit="1" customWidth="1"/>
    <col min="6" max="6" width="12.33203125" bestFit="1" customWidth="1"/>
    <col min="7" max="7" width="20.6640625" bestFit="1" customWidth="1"/>
    <col min="8" max="8" width="17.1640625" bestFit="1" customWidth="1"/>
    <col min="9" max="9" width="19" bestFit="1" customWidth="1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4" ht="21.5" customHeight="1">
      <c r="A2" s="6" t="s">
        <v>587</v>
      </c>
      <c r="B2" s="7"/>
      <c r="C2" s="7"/>
      <c r="D2" s="7"/>
      <c r="E2" s="7"/>
      <c r="F2" s="7"/>
      <c r="G2" s="7"/>
      <c r="H2" s="7"/>
      <c r="I2" s="7"/>
      <c r="J2" s="7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s="490" customFormat="1">
      <c r="A4" s="490" t="s">
        <v>265</v>
      </c>
      <c r="B4" s="490" t="s">
        <v>252</v>
      </c>
      <c r="C4" s="490" t="s">
        <v>251</v>
      </c>
      <c r="D4" s="490" t="s">
        <v>264</v>
      </c>
      <c r="E4" s="490" t="s">
        <v>263</v>
      </c>
      <c r="F4" s="490" t="s">
        <v>262</v>
      </c>
      <c r="G4" s="490" t="s">
        <v>261</v>
      </c>
      <c r="H4" s="490" t="s">
        <v>260</v>
      </c>
      <c r="I4" s="490" t="s">
        <v>266</v>
      </c>
    </row>
    <row r="5" spans="1:24">
      <c r="A5" s="491" t="s">
        <v>256</v>
      </c>
      <c r="B5" s="491">
        <v>500000000</v>
      </c>
      <c r="C5" s="491">
        <v>3.6299999999999999E-2</v>
      </c>
      <c r="D5" s="491" t="s">
        <v>253</v>
      </c>
      <c r="E5" s="491">
        <v>41579</v>
      </c>
      <c r="F5" s="491">
        <v>1000</v>
      </c>
      <c r="G5" s="491">
        <v>0.97935000000000005</v>
      </c>
      <c r="H5" s="491">
        <f>G5*F5</f>
        <v>979.35</v>
      </c>
      <c r="I5" s="491"/>
      <c r="J5" s="12"/>
      <c r="K5" s="12"/>
    </row>
    <row r="6" spans="1:24" s="203" customFormat="1" ht="6.5" customHeight="1">
      <c r="A6" s="193"/>
      <c r="B6" s="18"/>
      <c r="C6" s="18"/>
      <c r="D6" s="18"/>
      <c r="E6" s="18"/>
      <c r="F6" s="18"/>
      <c r="G6" s="18"/>
      <c r="H6" s="18"/>
      <c r="I6" s="18"/>
      <c r="J6" s="18"/>
      <c r="K6" s="18"/>
      <c r="L6" s="192"/>
      <c r="M6" s="192"/>
      <c r="R6" s="197"/>
      <c r="X6" s="197"/>
    </row>
    <row r="7" spans="1:24">
      <c r="A7" s="487" t="s">
        <v>5</v>
      </c>
      <c r="B7" s="488" t="s">
        <v>268</v>
      </c>
      <c r="C7" s="488" t="s">
        <v>269</v>
      </c>
      <c r="D7" s="488" t="s">
        <v>270</v>
      </c>
      <c r="E7" s="488" t="s">
        <v>271</v>
      </c>
      <c r="F7" s="488" t="s">
        <v>272</v>
      </c>
      <c r="G7" s="488" t="s">
        <v>273</v>
      </c>
      <c r="H7" s="488" t="s">
        <v>274</v>
      </c>
      <c r="I7" s="488" t="s">
        <v>275</v>
      </c>
    </row>
    <row r="8" spans="1:24">
      <c r="A8" s="2">
        <v>43040</v>
      </c>
      <c r="B8">
        <v>1</v>
      </c>
      <c r="C8" s="160">
        <f>$F$5*$C$5/2</f>
        <v>18.149999999999999</v>
      </c>
      <c r="D8" s="161">
        <f>1/(1+$G$8/2)^B8</f>
        <v>0.98157054234943786</v>
      </c>
      <c r="E8">
        <f>C8*D8</f>
        <v>17.815505343642297</v>
      </c>
      <c r="F8">
        <f>F5</f>
        <v>1000</v>
      </c>
      <c r="G8">
        <v>3.7550959111813415E-2</v>
      </c>
      <c r="H8">
        <f>H5</f>
        <v>979.35</v>
      </c>
      <c r="I8">
        <f>SUM(E8:E59)</f>
        <v>979.34948676288673</v>
      </c>
    </row>
    <row r="9" spans="1:24">
      <c r="A9" s="2">
        <v>43221</v>
      </c>
      <c r="B9">
        <v>2</v>
      </c>
      <c r="C9" s="160">
        <f t="shared" ref="C9:C58" si="0">$F$5*$C$5/2</f>
        <v>18.149999999999999</v>
      </c>
      <c r="D9" s="161">
        <f t="shared" ref="D9:D59" si="1">1/(1+$G$8/2)^B9</f>
        <v>0.96348072960816944</v>
      </c>
      <c r="E9">
        <f t="shared" ref="E9:E59" si="2">C9*D9</f>
        <v>17.487175242388275</v>
      </c>
    </row>
    <row r="10" spans="1:24">
      <c r="A10" s="2">
        <v>43405</v>
      </c>
      <c r="B10">
        <v>3</v>
      </c>
      <c r="C10" s="160">
        <f t="shared" si="0"/>
        <v>18.149999999999999</v>
      </c>
      <c r="D10" s="161">
        <f t="shared" si="1"/>
        <v>0.94572430230472304</v>
      </c>
      <c r="E10">
        <f t="shared" si="2"/>
        <v>17.164896086830723</v>
      </c>
    </row>
    <row r="11" spans="1:24">
      <c r="A11" s="2">
        <v>43586</v>
      </c>
      <c r="B11">
        <v>4</v>
      </c>
      <c r="C11" s="160">
        <f t="shared" si="0"/>
        <v>18.149999999999999</v>
      </c>
      <c r="D11" s="161">
        <f t="shared" si="1"/>
        <v>0.92829511632629058</v>
      </c>
      <c r="E11">
        <f t="shared" si="2"/>
        <v>16.848556361322174</v>
      </c>
    </row>
    <row r="12" spans="1:24">
      <c r="A12" s="2">
        <v>43770</v>
      </c>
      <c r="B12">
        <v>5</v>
      </c>
      <c r="C12" s="160">
        <f t="shared" si="0"/>
        <v>18.149999999999999</v>
      </c>
      <c r="D12" s="161">
        <f t="shared" si="1"/>
        <v>0.91118714079273155</v>
      </c>
      <c r="E12">
        <f t="shared" si="2"/>
        <v>16.538046605388075</v>
      </c>
    </row>
    <row r="13" spans="1:24">
      <c r="A13" s="2">
        <v>43952</v>
      </c>
      <c r="B13">
        <v>6</v>
      </c>
      <c r="C13" s="160">
        <f t="shared" si="0"/>
        <v>18.149999999999999</v>
      </c>
      <c r="D13" s="161">
        <f t="shared" si="1"/>
        <v>0.89439445596975498</v>
      </c>
      <c r="E13">
        <f t="shared" si="2"/>
        <v>16.233259375851052</v>
      </c>
    </row>
    <row r="14" spans="1:24">
      <c r="A14" s="2">
        <v>44136</v>
      </c>
      <c r="B14">
        <v>7</v>
      </c>
      <c r="C14" s="160">
        <f t="shared" si="0"/>
        <v>18.149999999999999</v>
      </c>
      <c r="D14" s="161">
        <f t="shared" si="1"/>
        <v>0.8779112512205629</v>
      </c>
      <c r="E14">
        <f t="shared" si="2"/>
        <v>15.934089209653216</v>
      </c>
    </row>
    <row r="15" spans="1:24">
      <c r="A15" s="2">
        <v>44317</v>
      </c>
      <c r="B15">
        <v>8</v>
      </c>
      <c r="C15" s="160">
        <f t="shared" si="0"/>
        <v>18.149999999999999</v>
      </c>
      <c r="D15" s="161">
        <f t="shared" si="1"/>
        <v>0.86173182299524131</v>
      </c>
      <c r="E15">
        <f t="shared" si="2"/>
        <v>15.640432587363629</v>
      </c>
    </row>
    <row r="16" spans="1:24">
      <c r="A16" s="2">
        <v>44501</v>
      </c>
      <c r="B16">
        <v>9</v>
      </c>
      <c r="C16" s="160">
        <f t="shared" si="0"/>
        <v>18.149999999999999</v>
      </c>
      <c r="D16" s="161">
        <f t="shared" si="1"/>
        <v>0.84585057285720877</v>
      </c>
      <c r="E16">
        <f t="shared" si="2"/>
        <v>15.352187897358338</v>
      </c>
    </row>
    <row r="17" spans="1:5">
      <c r="A17" s="2">
        <v>44682</v>
      </c>
      <c r="B17">
        <v>10</v>
      </c>
      <c r="C17" s="160">
        <f t="shared" si="0"/>
        <v>18.149999999999999</v>
      </c>
      <c r="D17" s="161">
        <f t="shared" si="1"/>
        <v>0.83026200554603302</v>
      </c>
      <c r="E17">
        <f t="shared" si="2"/>
        <v>15.069255400660499</v>
      </c>
    </row>
    <row r="18" spans="1:5">
      <c r="A18" s="2">
        <v>44866</v>
      </c>
      <c r="B18">
        <v>11</v>
      </c>
      <c r="C18" s="160">
        <f t="shared" si="0"/>
        <v>18.149999999999999</v>
      </c>
      <c r="D18" s="161">
        <f t="shared" si="1"/>
        <v>0.81496072707595169</v>
      </c>
      <c r="E18">
        <f t="shared" si="2"/>
        <v>14.791537196428521</v>
      </c>
    </row>
    <row r="19" spans="1:5">
      <c r="A19" s="2">
        <v>45047</v>
      </c>
      <c r="B19">
        <v>12</v>
      </c>
      <c r="C19" s="160">
        <f t="shared" si="0"/>
        <v>18.149999999999999</v>
      </c>
      <c r="D19" s="161">
        <f t="shared" si="1"/>
        <v>0.79994144286943403</v>
      </c>
      <c r="E19">
        <f t="shared" si="2"/>
        <v>14.518937188080226</v>
      </c>
    </row>
    <row r="20" spans="1:5">
      <c r="A20" s="2">
        <v>45231</v>
      </c>
      <c r="B20">
        <v>13</v>
      </c>
      <c r="C20" s="160">
        <f t="shared" si="0"/>
        <v>18.149999999999999</v>
      </c>
      <c r="D20" s="161">
        <f>1/(1+$G$8/2)^B20</f>
        <v>0.78519895592514233</v>
      </c>
      <c r="E20">
        <f t="shared" si="2"/>
        <v>14.251361050041332</v>
      </c>
    </row>
    <row r="21" spans="1:5">
      <c r="A21" s="2">
        <v>45413</v>
      </c>
      <c r="B21">
        <v>14</v>
      </c>
      <c r="C21" s="160">
        <f t="shared" si="0"/>
        <v>18.149999999999999</v>
      </c>
      <c r="D21" s="161">
        <f t="shared" si="1"/>
        <v>0.77072816501965402</v>
      </c>
      <c r="E21">
        <f t="shared" si="2"/>
        <v>13.98871619510672</v>
      </c>
    </row>
    <row r="22" spans="1:5">
      <c r="A22" s="2">
        <v>45597</v>
      </c>
      <c r="B22">
        <v>15</v>
      </c>
      <c r="C22" s="160">
        <f t="shared" si="0"/>
        <v>18.149999999999999</v>
      </c>
      <c r="D22" s="161">
        <f t="shared" si="1"/>
        <v>0.75652406294232899</v>
      </c>
      <c r="E22">
        <f t="shared" si="2"/>
        <v>13.73091174240327</v>
      </c>
    </row>
    <row r="23" spans="1:5">
      <c r="A23" s="2">
        <v>45778</v>
      </c>
      <c r="B23">
        <v>16</v>
      </c>
      <c r="C23" s="160">
        <f t="shared" si="0"/>
        <v>18.149999999999999</v>
      </c>
      <c r="D23" s="161">
        <f t="shared" si="1"/>
        <v>0.74258173476270195</v>
      </c>
      <c r="E23">
        <f t="shared" si="2"/>
        <v>13.47785848594304</v>
      </c>
    </row>
    <row r="24" spans="1:5">
      <c r="A24" s="2">
        <v>45962</v>
      </c>
      <c r="B24">
        <v>17</v>
      </c>
      <c r="C24" s="160">
        <f t="shared" si="0"/>
        <v>18.149999999999999</v>
      </c>
      <c r="D24" s="161">
        <f t="shared" si="1"/>
        <v>0.72889635612981174</v>
      </c>
      <c r="E24">
        <f t="shared" si="2"/>
        <v>13.229468863756082</v>
      </c>
    </row>
    <row r="25" spans="1:5">
      <c r="A25" s="2">
        <v>46143</v>
      </c>
      <c r="B25">
        <v>18</v>
      </c>
      <c r="C25" s="160">
        <f t="shared" si="0"/>
        <v>18.149999999999999</v>
      </c>
      <c r="D25" s="161">
        <f t="shared" si="1"/>
        <v>0.7154631916028682</v>
      </c>
      <c r="E25">
        <f t="shared" si="2"/>
        <v>12.985656927592057</v>
      </c>
    </row>
    <row r="26" spans="1:5">
      <c r="A26" s="2">
        <v>46327</v>
      </c>
      <c r="B26">
        <v>19</v>
      </c>
      <c r="C26" s="160">
        <f t="shared" si="0"/>
        <v>18.149999999999999</v>
      </c>
      <c r="D26" s="161">
        <f t="shared" si="1"/>
        <v>0.70227759301268722</v>
      </c>
      <c r="E26">
        <f t="shared" si="2"/>
        <v>12.746338313180273</v>
      </c>
    </row>
    <row r="27" spans="1:5">
      <c r="A27" s="2">
        <v>46508</v>
      </c>
      <c r="B27">
        <v>20</v>
      </c>
      <c r="C27" s="160">
        <f t="shared" si="0"/>
        <v>18.149999999999999</v>
      </c>
      <c r="D27" s="161">
        <f t="shared" si="1"/>
        <v>0.6893349978533212</v>
      </c>
      <c r="E27">
        <f t="shared" si="2"/>
        <v>12.511430211037778</v>
      </c>
    </row>
    <row r="28" spans="1:5">
      <c r="A28" s="2">
        <v>46692</v>
      </c>
      <c r="B28">
        <v>21</v>
      </c>
      <c r="C28" s="160">
        <f t="shared" si="0"/>
        <v>18.149999999999999</v>
      </c>
      <c r="D28" s="161">
        <f t="shared" si="1"/>
        <v>0.676630927703333</v>
      </c>
      <c r="E28">
        <f t="shared" si="2"/>
        <v>12.280851337815493</v>
      </c>
    </row>
    <row r="29" spans="1:5">
      <c r="A29" s="2">
        <v>46874</v>
      </c>
      <c r="B29">
        <v>22</v>
      </c>
      <c r="C29" s="160">
        <f t="shared" si="0"/>
        <v>18.149999999999999</v>
      </c>
      <c r="D29" s="161">
        <f t="shared" si="1"/>
        <v>0.66416098667616374</v>
      </c>
      <c r="E29">
        <f t="shared" si="2"/>
        <v>12.05452190817237</v>
      </c>
    </row>
    <row r="30" spans="1:5">
      <c r="A30" s="2">
        <v>47058</v>
      </c>
      <c r="B30">
        <v>23</v>
      </c>
      <c r="C30" s="160">
        <f t="shared" si="0"/>
        <v>18.149999999999999</v>
      </c>
      <c r="D30" s="161">
        <f t="shared" si="1"/>
        <v>0.65192085989905979</v>
      </c>
      <c r="E30">
        <f t="shared" si="2"/>
        <v>11.832363607167935</v>
      </c>
    </row>
    <row r="31" spans="1:5">
      <c r="A31" s="2">
        <v>47239</v>
      </c>
      <c r="B31">
        <v>24</v>
      </c>
      <c r="C31" s="160">
        <f t="shared" si="0"/>
        <v>18.149999999999999</v>
      </c>
      <c r="D31" s="161">
        <f t="shared" si="1"/>
        <v>0.63990631202003201</v>
      </c>
      <c r="E31">
        <f t="shared" si="2"/>
        <v>11.614299563163581</v>
      </c>
    </row>
    <row r="32" spans="1:5">
      <c r="A32" s="2">
        <v>47423</v>
      </c>
      <c r="B32">
        <v>25</v>
      </c>
      <c r="C32" s="160">
        <f t="shared" si="0"/>
        <v>18.149999999999999</v>
      </c>
      <c r="D32" s="161">
        <f t="shared" si="1"/>
        <v>0.62811318574233133</v>
      </c>
      <c r="E32">
        <f t="shared" si="2"/>
        <v>11.400254321223313</v>
      </c>
    </row>
    <row r="33" spans="1:5">
      <c r="A33" s="2">
        <v>47604</v>
      </c>
      <c r="B33">
        <v>26</v>
      </c>
      <c r="C33" s="160">
        <f t="shared" si="0"/>
        <v>18.149999999999999</v>
      </c>
      <c r="D33" s="161">
        <f t="shared" si="1"/>
        <v>0.6165374003859333</v>
      </c>
      <c r="E33">
        <f t="shared" si="2"/>
        <v>11.190153817004688</v>
      </c>
    </row>
    <row r="34" spans="1:5">
      <c r="A34" s="2">
        <v>47788</v>
      </c>
      <c r="B34">
        <v>27</v>
      </c>
      <c r="C34" s="160">
        <f t="shared" si="0"/>
        <v>18.149999999999999</v>
      </c>
      <c r="D34" s="161">
        <f t="shared" si="1"/>
        <v>0.60517495047553316</v>
      </c>
      <c r="E34">
        <f t="shared" si="2"/>
        <v>10.983925351130926</v>
      </c>
    </row>
    <row r="35" spans="1:5">
      <c r="A35" s="2">
        <v>47969</v>
      </c>
      <c r="B35">
        <v>28</v>
      </c>
      <c r="C35" s="160">
        <f t="shared" si="0"/>
        <v>18.149999999999999</v>
      </c>
      <c r="D35" s="161">
        <f t="shared" si="1"/>
        <v>0.59402190435456326</v>
      </c>
      <c r="E35">
        <f t="shared" si="2"/>
        <v>10.781497564035321</v>
      </c>
    </row>
    <row r="36" spans="1:5">
      <c r="A36" s="2">
        <v>48153</v>
      </c>
      <c r="B36">
        <v>29</v>
      </c>
      <c r="C36" s="160">
        <f t="shared" si="0"/>
        <v>18.149999999999999</v>
      </c>
      <c r="D36" s="161">
        <f t="shared" si="1"/>
        <v>0.58307440282475453</v>
      </c>
      <c r="E36">
        <f t="shared" si="2"/>
        <v>10.582800411269295</v>
      </c>
    </row>
    <row r="37" spans="1:5">
      <c r="A37" s="2">
        <v>48335</v>
      </c>
      <c r="B37">
        <v>30</v>
      </c>
      <c r="C37" s="160">
        <f t="shared" si="0"/>
        <v>18.149999999999999</v>
      </c>
      <c r="D37" s="161">
        <f t="shared" si="1"/>
        <v>0.57232865781076869</v>
      </c>
      <c r="E37">
        <f t="shared" si="2"/>
        <v>10.387765139265451</v>
      </c>
    </row>
    <row r="38" spans="1:5">
      <c r="A38" s="2">
        <v>48519</v>
      </c>
      <c r="B38">
        <v>31</v>
      </c>
      <c r="C38" s="160">
        <f t="shared" si="0"/>
        <v>18.149999999999999</v>
      </c>
      <c r="D38" s="161">
        <f t="shared" si="1"/>
        <v>0.56178095104944215</v>
      </c>
      <c r="E38">
        <f t="shared" si="2"/>
        <v>10.196324261547375</v>
      </c>
    </row>
    <row r="39" spans="1:5">
      <c r="A39" s="2">
        <v>48700</v>
      </c>
      <c r="B39">
        <v>32</v>
      </c>
      <c r="C39" s="160">
        <f t="shared" si="0"/>
        <v>18.149999999999999</v>
      </c>
      <c r="D39" s="161">
        <f t="shared" si="1"/>
        <v>0.55142763280318385</v>
      </c>
      <c r="E39">
        <f t="shared" si="2"/>
        <v>10.008411535377785</v>
      </c>
    </row>
    <row r="40" spans="1:5">
      <c r="A40" s="2">
        <v>48884</v>
      </c>
      <c r="B40">
        <v>33</v>
      </c>
      <c r="C40" s="160">
        <f t="shared" si="0"/>
        <v>18.149999999999999</v>
      </c>
      <c r="D40" s="161">
        <f t="shared" si="1"/>
        <v>0.54126512059708787</v>
      </c>
      <c r="E40">
        <f t="shared" si="2"/>
        <v>9.8239619388371437</v>
      </c>
    </row>
    <row r="41" spans="1:5">
      <c r="A41" s="2">
        <v>49065</v>
      </c>
      <c r="B41">
        <v>34</v>
      </c>
      <c r="C41" s="160">
        <f t="shared" si="0"/>
        <v>18.149999999999999</v>
      </c>
      <c r="D41" s="161">
        <f t="shared" si="1"/>
        <v>0.53128989797931725</v>
      </c>
      <c r="E41">
        <f t="shared" si="2"/>
        <v>9.642911648324608</v>
      </c>
    </row>
    <row r="42" spans="1:5">
      <c r="A42" s="2">
        <v>49249</v>
      </c>
      <c r="B42">
        <v>35</v>
      </c>
      <c r="C42" s="160">
        <f t="shared" si="0"/>
        <v>18.149999999999999</v>
      </c>
      <c r="D42" s="161">
        <f t="shared" si="1"/>
        <v>0.52149851330433605</v>
      </c>
      <c r="E42">
        <f t="shared" si="2"/>
        <v>9.465198016473698</v>
      </c>
    </row>
    <row r="43" spans="1:5">
      <c r="A43" s="2">
        <v>49430</v>
      </c>
      <c r="B43">
        <v>36</v>
      </c>
      <c r="C43" s="160">
        <f t="shared" si="0"/>
        <v>18.149999999999999</v>
      </c>
      <c r="D43" s="161">
        <f t="shared" si="1"/>
        <v>0.51188757853856259</v>
      </c>
      <c r="E43">
        <f t="shared" si="2"/>
        <v>9.2907595504749096</v>
      </c>
    </row>
    <row r="44" spans="1:5">
      <c r="A44" s="2">
        <v>49614</v>
      </c>
      <c r="B44">
        <v>37</v>
      </c>
      <c r="C44" s="160">
        <f t="shared" si="0"/>
        <v>18.149999999999999</v>
      </c>
      <c r="D44" s="161">
        <f t="shared" si="1"/>
        <v>0.50245376808803743</v>
      </c>
      <c r="E44">
        <f t="shared" si="2"/>
        <v>9.119535890797879</v>
      </c>
    </row>
    <row r="45" spans="1:5">
      <c r="A45" s="2">
        <v>49796</v>
      </c>
      <c r="B45">
        <v>38</v>
      </c>
      <c r="C45" s="160">
        <f t="shared" si="0"/>
        <v>18.149999999999999</v>
      </c>
      <c r="D45" s="161">
        <f t="shared" si="1"/>
        <v>0.49319381764769343</v>
      </c>
      <c r="E45">
        <f t="shared" si="2"/>
        <v>8.9514677903056352</v>
      </c>
    </row>
    <row r="46" spans="1:5">
      <c r="A46" s="2">
        <v>49980</v>
      </c>
      <c r="B46">
        <v>39</v>
      </c>
      <c r="C46" s="160">
        <f t="shared" si="0"/>
        <v>18.149999999999999</v>
      </c>
      <c r="D46" s="161">
        <f t="shared" si="1"/>
        <v>0.48410452307183627</v>
      </c>
      <c r="E46">
        <f t="shared" si="2"/>
        <v>8.7864970937538267</v>
      </c>
    </row>
    <row r="47" spans="1:5">
      <c r="A47" s="2">
        <v>50161</v>
      </c>
      <c r="B47">
        <v>40</v>
      </c>
      <c r="C47" s="160">
        <f t="shared" si="0"/>
        <v>18.149999999999999</v>
      </c>
      <c r="D47" s="161">
        <f t="shared" si="1"/>
        <v>0.47518273926543819</v>
      </c>
      <c r="E47">
        <f t="shared" si="2"/>
        <v>8.6245667176677028</v>
      </c>
    </row>
    <row r="48" spans="1:5">
      <c r="A48" s="2">
        <v>50345</v>
      </c>
      <c r="B48">
        <v>41</v>
      </c>
      <c r="C48" s="160">
        <f t="shared" si="0"/>
        <v>18.149999999999999</v>
      </c>
      <c r="D48" s="161">
        <f t="shared" si="1"/>
        <v>0.46642537909586762</v>
      </c>
      <c r="E48">
        <f t="shared" si="2"/>
        <v>8.4656206305899975</v>
      </c>
    </row>
    <row r="49" spans="1:9">
      <c r="A49" s="2">
        <v>50526</v>
      </c>
      <c r="B49">
        <v>42</v>
      </c>
      <c r="C49" s="160">
        <f t="shared" si="0"/>
        <v>18.149999999999999</v>
      </c>
      <c r="D49" s="161">
        <f t="shared" si="1"/>
        <v>0.45782941232467289</v>
      </c>
      <c r="E49">
        <f t="shared" si="2"/>
        <v>8.3096038336928117</v>
      </c>
    </row>
    <row r="50" spans="1:9">
      <c r="A50" s="2">
        <v>50710</v>
      </c>
      <c r="B50">
        <v>43</v>
      </c>
      <c r="C50" s="160">
        <f t="shared" si="0"/>
        <v>18.149999999999999</v>
      </c>
      <c r="D50" s="161">
        <f t="shared" si="1"/>
        <v>0.44939186455905367</v>
      </c>
      <c r="E50">
        <f t="shared" si="2"/>
        <v>8.1564623417468241</v>
      </c>
    </row>
    <row r="51" spans="1:9">
      <c r="A51" s="2">
        <v>50891</v>
      </c>
      <c r="B51">
        <v>44</v>
      </c>
      <c r="C51" s="160">
        <f t="shared" si="0"/>
        <v>18.149999999999999</v>
      </c>
      <c r="D51" s="161">
        <f t="shared" si="1"/>
        <v>0.44110981622265533</v>
      </c>
      <c r="E51">
        <f t="shared" si="2"/>
        <v>8.0061431644411929</v>
      </c>
    </row>
    <row r="52" spans="1:9">
      <c r="A52" s="2">
        <v>51075</v>
      </c>
      <c r="B52">
        <v>45</v>
      </c>
      <c r="C52" s="160">
        <f t="shared" si="0"/>
        <v>18.149999999999999</v>
      </c>
      <c r="D52" s="161">
        <f t="shared" si="1"/>
        <v>0.43298040154533268</v>
      </c>
      <c r="E52">
        <f t="shared" si="2"/>
        <v>7.8585942880477875</v>
      </c>
    </row>
    <row r="53" spans="1:9">
      <c r="A53" s="2">
        <v>51257</v>
      </c>
      <c r="B53">
        <v>46</v>
      </c>
      <c r="C53" s="160">
        <f t="shared" si="0"/>
        <v>18.149999999999999</v>
      </c>
      <c r="D53" s="161">
        <f t="shared" si="1"/>
        <v>0.42500080757152942</v>
      </c>
      <c r="E53">
        <f t="shared" si="2"/>
        <v>7.7137646574232583</v>
      </c>
    </row>
    <row r="54" spans="1:9">
      <c r="A54" s="2">
        <v>51441</v>
      </c>
      <c r="B54">
        <v>47</v>
      </c>
      <c r="C54" s="160">
        <f t="shared" si="0"/>
        <v>18.149999999999999</v>
      </c>
      <c r="D54" s="161">
        <f t="shared" si="1"/>
        <v>0.41716827318693539</v>
      </c>
      <c r="E54">
        <f t="shared" si="2"/>
        <v>7.5716041583428764</v>
      </c>
    </row>
    <row r="55" spans="1:9">
      <c r="A55" s="2">
        <v>51622</v>
      </c>
      <c r="B55">
        <v>48</v>
      </c>
      <c r="C55" s="160">
        <f t="shared" si="0"/>
        <v>18.149999999999999</v>
      </c>
      <c r="D55" s="161">
        <f t="shared" si="1"/>
        <v>0.40948008816307851</v>
      </c>
      <c r="E55">
        <f t="shared" si="2"/>
        <v>7.4320636001598741</v>
      </c>
    </row>
    <row r="56" spans="1:9">
      <c r="A56" s="2">
        <v>51806</v>
      </c>
      <c r="B56">
        <v>49</v>
      </c>
      <c r="C56" s="160">
        <f t="shared" si="0"/>
        <v>18.149999999999999</v>
      </c>
      <c r="D56" s="161">
        <f t="shared" si="1"/>
        <v>0.40193359221952857</v>
      </c>
      <c r="E56">
        <f t="shared" si="2"/>
        <v>7.2950946987844425</v>
      </c>
    </row>
    <row r="57" spans="1:9">
      <c r="A57" s="2">
        <v>51987</v>
      </c>
      <c r="B57">
        <v>50</v>
      </c>
      <c r="C57" s="160">
        <f t="shared" si="0"/>
        <v>18.149999999999999</v>
      </c>
      <c r="D57" s="161">
        <f t="shared" si="1"/>
        <v>0.39452617410338042</v>
      </c>
      <c r="E57">
        <f t="shared" si="2"/>
        <v>7.1606500599763541</v>
      </c>
    </row>
    <row r="58" spans="1:9">
      <c r="A58" s="2">
        <v>52171</v>
      </c>
      <c r="B58">
        <v>51</v>
      </c>
      <c r="C58" s="160">
        <f t="shared" si="0"/>
        <v>18.149999999999999</v>
      </c>
      <c r="D58" s="161">
        <f t="shared" si="1"/>
        <v>0.38725527068570392</v>
      </c>
      <c r="E58">
        <f t="shared" si="2"/>
        <v>7.0286831629455255</v>
      </c>
    </row>
    <row r="59" spans="1:9">
      <c r="A59" s="2">
        <v>52352</v>
      </c>
      <c r="B59">
        <v>52</v>
      </c>
      <c r="C59" s="160">
        <f>$F$5*$C$5/2+F5</f>
        <v>1018.15</v>
      </c>
      <c r="D59" s="161">
        <f t="shared" si="1"/>
        <v>0.38011836607464466</v>
      </c>
      <c r="E59">
        <f t="shared" si="2"/>
        <v>387.01751441889945</v>
      </c>
    </row>
    <row r="60" spans="1:9" ht="16" thickBot="1">
      <c r="A60" s="2"/>
    </row>
    <row r="61" spans="1:9" ht="17">
      <c r="A61" s="489" t="s">
        <v>267</v>
      </c>
      <c r="B61" s="408">
        <f>(1+G8/2)^2-1</f>
        <v>3.7903477744367864E-2</v>
      </c>
    </row>
    <row r="63" spans="1:9">
      <c r="A63" s="1" t="s">
        <v>608</v>
      </c>
      <c r="B63" s="1"/>
      <c r="C63" s="1"/>
      <c r="D63" s="1"/>
      <c r="E63" s="1"/>
      <c r="F63" s="1"/>
      <c r="G63" s="1"/>
      <c r="H63" s="1"/>
      <c r="I63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/>
  </sheetPr>
  <dimension ref="A1:X68"/>
  <sheetViews>
    <sheetView showGridLines="0" zoomScaleNormal="100" workbookViewId="0">
      <pane ySplit="3" topLeftCell="A67" activePane="bottomLeft" state="frozen"/>
      <selection pane="bottomLeft" activeCell="A68" sqref="A68:XFD68"/>
    </sheetView>
  </sheetViews>
  <sheetFormatPr baseColWidth="10" defaultColWidth="10.83203125" defaultRowHeight="15"/>
  <cols>
    <col min="1" max="2" width="15.1640625" customWidth="1"/>
    <col min="3" max="3" width="12.5" bestFit="1" customWidth="1"/>
    <col min="4" max="4" width="15.5" bestFit="1" customWidth="1"/>
    <col min="5" max="5" width="14.6640625" bestFit="1" customWidth="1"/>
    <col min="6" max="6" width="12.33203125" bestFit="1" customWidth="1"/>
    <col min="7" max="7" width="20.6640625" bestFit="1" customWidth="1"/>
    <col min="8" max="9" width="19" bestFit="1" customWidth="1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4" ht="21.5" customHeight="1">
      <c r="A2" s="6" t="s">
        <v>587</v>
      </c>
      <c r="B2" s="7"/>
      <c r="C2" s="7"/>
      <c r="D2" s="7"/>
      <c r="E2" s="7"/>
      <c r="F2" s="7"/>
      <c r="G2" s="7"/>
      <c r="H2" s="7"/>
      <c r="I2" s="7"/>
      <c r="J2" s="7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s="490" customFormat="1">
      <c r="A4" s="490" t="s">
        <v>265</v>
      </c>
      <c r="B4" s="490" t="s">
        <v>252</v>
      </c>
      <c r="C4" s="490" t="s">
        <v>251</v>
      </c>
      <c r="D4" s="490" t="s">
        <v>264</v>
      </c>
      <c r="E4" s="490" t="s">
        <v>263</v>
      </c>
      <c r="F4" s="490" t="s">
        <v>262</v>
      </c>
      <c r="G4" s="490" t="s">
        <v>261</v>
      </c>
      <c r="H4" s="490" t="s">
        <v>260</v>
      </c>
      <c r="I4" s="490" t="s">
        <v>266</v>
      </c>
    </row>
    <row r="5" spans="1:24">
      <c r="A5" s="491" t="s">
        <v>255</v>
      </c>
      <c r="B5" s="491">
        <v>1000000000</v>
      </c>
      <c r="C5" s="491">
        <v>3.8800000000000001E-2</v>
      </c>
      <c r="D5" s="491" t="s">
        <v>253</v>
      </c>
      <c r="E5" s="491">
        <v>42491</v>
      </c>
      <c r="F5" s="491">
        <v>1000</v>
      </c>
      <c r="G5" s="491">
        <v>1.01553</v>
      </c>
      <c r="H5" s="491">
        <f>G5*F5</f>
        <v>1015.5300000000001</v>
      </c>
      <c r="I5" s="491"/>
      <c r="J5" s="12"/>
      <c r="K5" s="12"/>
    </row>
    <row r="6" spans="1:24" s="203" customFormat="1" ht="6.5" customHeight="1">
      <c r="A6" s="193"/>
      <c r="B6" s="18"/>
      <c r="C6" s="18"/>
      <c r="D6" s="18"/>
      <c r="E6" s="18"/>
      <c r="F6" s="18"/>
      <c r="G6" s="18"/>
      <c r="H6" s="18"/>
      <c r="I6" s="18"/>
      <c r="J6" s="18"/>
      <c r="K6" s="18"/>
      <c r="L6" s="192"/>
      <c r="M6" s="192"/>
      <c r="R6" s="197"/>
      <c r="X6" s="197"/>
    </row>
    <row r="7" spans="1:24">
      <c r="A7" s="487" t="s">
        <v>5</v>
      </c>
      <c r="B7" s="488" t="s">
        <v>268</v>
      </c>
      <c r="C7" s="488" t="s">
        <v>269</v>
      </c>
      <c r="D7" s="488" t="s">
        <v>270</v>
      </c>
      <c r="E7" s="488" t="s">
        <v>271</v>
      </c>
      <c r="F7" s="488" t="s">
        <v>272</v>
      </c>
      <c r="G7" s="488" t="s">
        <v>273</v>
      </c>
      <c r="H7" s="488" t="s">
        <v>274</v>
      </c>
      <c r="I7" s="488" t="s">
        <v>275</v>
      </c>
    </row>
    <row r="8" spans="1:24">
      <c r="A8" s="2">
        <v>43040</v>
      </c>
      <c r="B8">
        <v>1</v>
      </c>
      <c r="C8" s="160">
        <f>$F$5*$C$5/2</f>
        <v>19.400000000000002</v>
      </c>
      <c r="D8" s="161">
        <f>1/(1+$G$8/2)^B8</f>
        <v>0.98140041307719805</v>
      </c>
      <c r="E8">
        <f>C8*D8</f>
        <v>19.039168013697644</v>
      </c>
      <c r="F8">
        <f>F5</f>
        <v>1000</v>
      </c>
      <c r="G8">
        <v>3.7904175859234703E-2</v>
      </c>
      <c r="H8">
        <f>H5</f>
        <v>1015.5300000000001</v>
      </c>
      <c r="I8">
        <f>SUM(E8:E64)</f>
        <v>1015.5285779136022</v>
      </c>
    </row>
    <row r="9" spans="1:24">
      <c r="A9" s="2">
        <v>43221</v>
      </c>
      <c r="B9">
        <v>2</v>
      </c>
      <c r="C9" s="160">
        <f t="shared" ref="C9:C63" si="0">$F$5*$C$5/2</f>
        <v>19.400000000000002</v>
      </c>
      <c r="D9" s="161">
        <f t="shared" ref="D9:D64" si="1">1/(1+$G$8/2)^B9</f>
        <v>0.96314677078809496</v>
      </c>
      <c r="E9">
        <f t="shared" ref="E9:E64" si="2">C9*D9</f>
        <v>18.685047353289043</v>
      </c>
    </row>
    <row r="10" spans="1:24">
      <c r="A10" s="2">
        <v>43405</v>
      </c>
      <c r="B10">
        <v>3</v>
      </c>
      <c r="C10" s="160">
        <f t="shared" si="0"/>
        <v>19.400000000000002</v>
      </c>
      <c r="D10" s="161">
        <f t="shared" si="1"/>
        <v>0.94523263870540586</v>
      </c>
      <c r="E10">
        <f t="shared" si="2"/>
        <v>18.337513190884877</v>
      </c>
    </row>
    <row r="11" spans="1:24">
      <c r="A11" s="2">
        <v>43586</v>
      </c>
      <c r="B11">
        <v>4</v>
      </c>
      <c r="C11" s="160">
        <f t="shared" si="0"/>
        <v>19.400000000000002</v>
      </c>
      <c r="D11" s="161">
        <f t="shared" si="1"/>
        <v>0.92765170207953529</v>
      </c>
      <c r="E11">
        <f t="shared" si="2"/>
        <v>17.996443020342987</v>
      </c>
    </row>
    <row r="12" spans="1:24">
      <c r="A12" s="2">
        <v>43770</v>
      </c>
      <c r="B12">
        <v>5</v>
      </c>
      <c r="C12" s="160">
        <f t="shared" si="0"/>
        <v>19.400000000000002</v>
      </c>
      <c r="D12" s="161">
        <f t="shared" si="1"/>
        <v>0.91039776361262181</v>
      </c>
      <c r="E12">
        <f t="shared" si="2"/>
        <v>17.661716614084867</v>
      </c>
    </row>
    <row r="13" spans="1:24">
      <c r="A13" s="2">
        <v>43952</v>
      </c>
      <c r="B13">
        <v>6</v>
      </c>
      <c r="C13" s="160">
        <f t="shared" si="0"/>
        <v>19.400000000000002</v>
      </c>
      <c r="D13" s="161">
        <f t="shared" si="1"/>
        <v>0.89346474127398423</v>
      </c>
      <c r="E13">
        <f t="shared" si="2"/>
        <v>17.333215980715295</v>
      </c>
    </row>
    <row r="14" spans="1:24">
      <c r="A14" s="2">
        <v>44136</v>
      </c>
      <c r="B14">
        <v>7</v>
      </c>
      <c r="C14" s="160">
        <f t="shared" si="0"/>
        <v>19.400000000000002</v>
      </c>
      <c r="D14" s="161">
        <f t="shared" si="1"/>
        <v>0.87684666615620011</v>
      </c>
      <c r="E14">
        <f t="shared" si="2"/>
        <v>17.010825323430282</v>
      </c>
    </row>
    <row r="15" spans="1:24">
      <c r="A15" s="2">
        <v>44317</v>
      </c>
      <c r="B15">
        <v>8</v>
      </c>
      <c r="C15" s="160">
        <f t="shared" si="0"/>
        <v>19.400000000000002</v>
      </c>
      <c r="D15" s="161">
        <f t="shared" si="1"/>
        <v>0.86053768037105871</v>
      </c>
      <c r="E15">
        <f t="shared" si="2"/>
        <v>16.694430999198541</v>
      </c>
    </row>
    <row r="16" spans="1:24">
      <c r="A16" s="2">
        <v>44501</v>
      </c>
      <c r="B16">
        <v>9</v>
      </c>
      <c r="C16" s="160">
        <f t="shared" si="0"/>
        <v>19.400000000000002</v>
      </c>
      <c r="D16" s="161">
        <f t="shared" si="1"/>
        <v>0.84453203498465101</v>
      </c>
      <c r="E16">
        <f t="shared" si="2"/>
        <v>16.383921478702231</v>
      </c>
    </row>
    <row r="17" spans="1:5">
      <c r="A17" s="2">
        <v>44682</v>
      </c>
      <c r="B17">
        <v>10</v>
      </c>
      <c r="C17" s="160">
        <f t="shared" si="0"/>
        <v>19.400000000000002</v>
      </c>
      <c r="D17" s="161">
        <f t="shared" si="1"/>
        <v>0.82882408799086305</v>
      </c>
      <c r="E17">
        <f t="shared" si="2"/>
        <v>16.079187307022746</v>
      </c>
    </row>
    <row r="18" spans="1:5">
      <c r="A18" s="2">
        <v>44866</v>
      </c>
      <c r="B18">
        <v>11</v>
      </c>
      <c r="C18" s="160">
        <f t="shared" si="0"/>
        <v>19.400000000000002</v>
      </c>
      <c r="D18" s="161">
        <f t="shared" si="1"/>
        <v>0.813408302322565</v>
      </c>
      <c r="E18">
        <f t="shared" si="2"/>
        <v>15.780121065057763</v>
      </c>
    </row>
    <row r="19" spans="1:5">
      <c r="A19" s="2">
        <v>45047</v>
      </c>
      <c r="B19">
        <v>12</v>
      </c>
      <c r="C19" s="160">
        <f t="shared" si="0"/>
        <v>19.400000000000002</v>
      </c>
      <c r="D19" s="161">
        <f t="shared" si="1"/>
        <v>0.79827924389978777</v>
      </c>
      <c r="E19">
        <f t="shared" si="2"/>
        <v>15.486617331655884</v>
      </c>
    </row>
    <row r="20" spans="1:5">
      <c r="A20" s="2">
        <v>45231</v>
      </c>
      <c r="B20">
        <v>13</v>
      </c>
      <c r="C20" s="160">
        <f t="shared" si="0"/>
        <v>19.400000000000002</v>
      </c>
      <c r="D20" s="161">
        <f>1/(1+$G$8/2)^B20</f>
        <v>0.78343157971420496</v>
      </c>
      <c r="E20">
        <f t="shared" si="2"/>
        <v>15.198572646455577</v>
      </c>
    </row>
    <row r="21" spans="1:5">
      <c r="A21" s="2">
        <v>45413</v>
      </c>
      <c r="B21">
        <v>14</v>
      </c>
      <c r="C21" s="160">
        <f t="shared" si="0"/>
        <v>19.400000000000002</v>
      </c>
      <c r="D21" s="161">
        <f t="shared" si="1"/>
        <v>0.76886007594924255</v>
      </c>
      <c r="E21">
        <f t="shared" si="2"/>
        <v>14.915885473415306</v>
      </c>
    </row>
    <row r="22" spans="1:5">
      <c r="A22" s="2">
        <v>45597</v>
      </c>
      <c r="B22">
        <v>15</v>
      </c>
      <c r="C22" s="160">
        <f t="shared" si="0"/>
        <v>19.400000000000002</v>
      </c>
      <c r="D22" s="161">
        <f t="shared" si="1"/>
        <v>0.75455959613515267</v>
      </c>
      <c r="E22">
        <f t="shared" si="2"/>
        <v>14.638456165021964</v>
      </c>
    </row>
    <row r="23" spans="1:5">
      <c r="A23" s="2">
        <v>45778</v>
      </c>
      <c r="B23">
        <v>16</v>
      </c>
      <c r="C23" s="160">
        <f t="shared" si="0"/>
        <v>19.400000000000002</v>
      </c>
      <c r="D23" s="161">
        <f t="shared" si="1"/>
        <v>0.74052509933840249</v>
      </c>
      <c r="E23">
        <f t="shared" si="2"/>
        <v>14.36618692716501</v>
      </c>
    </row>
    <row r="24" spans="1:5">
      <c r="A24" s="2">
        <v>45962</v>
      </c>
      <c r="B24">
        <v>17</v>
      </c>
      <c r="C24" s="160">
        <f t="shared" si="0"/>
        <v>19.400000000000002</v>
      </c>
      <c r="D24" s="161">
        <f t="shared" si="1"/>
        <v>0.72675163838474133</v>
      </c>
      <c r="E24">
        <f t="shared" si="2"/>
        <v>14.098981784663984</v>
      </c>
    </row>
    <row r="25" spans="1:5">
      <c r="A25" s="2">
        <v>46143</v>
      </c>
      <c r="B25">
        <v>18</v>
      </c>
      <c r="C25" s="160">
        <f t="shared" si="0"/>
        <v>19.400000000000002</v>
      </c>
      <c r="D25" s="161">
        <f t="shared" si="1"/>
        <v>0.71323435811531555</v>
      </c>
      <c r="E25">
        <f t="shared" si="2"/>
        <v>13.836746547437123</v>
      </c>
    </row>
    <row r="26" spans="1:5">
      <c r="A26" s="2">
        <v>46327</v>
      </c>
      <c r="B26">
        <v>19</v>
      </c>
      <c r="C26" s="160">
        <f t="shared" si="0"/>
        <v>19.400000000000002</v>
      </c>
      <c r="D26" s="161">
        <f t="shared" si="1"/>
        <v>0.69996849367522096</v>
      </c>
      <c r="E26">
        <f t="shared" si="2"/>
        <v>13.579388777299288</v>
      </c>
    </row>
    <row r="27" spans="1:5">
      <c r="A27" s="2">
        <v>46508</v>
      </c>
      <c r="B27">
        <v>20</v>
      </c>
      <c r="C27" s="160">
        <f t="shared" si="0"/>
        <v>19.400000000000002</v>
      </c>
      <c r="D27" s="161">
        <f t="shared" si="1"/>
        <v>0.68694936883388602</v>
      </c>
      <c r="E27">
        <f t="shared" si="2"/>
        <v>13.326817755377391</v>
      </c>
    </row>
    <row r="28" spans="1:5">
      <c r="A28" s="2">
        <v>46692</v>
      </c>
      <c r="B28">
        <v>21</v>
      </c>
      <c r="C28" s="160">
        <f t="shared" si="0"/>
        <v>19.400000000000002</v>
      </c>
      <c r="D28" s="161">
        <f t="shared" si="1"/>
        <v>0.67417239433669618</v>
      </c>
      <c r="E28">
        <f t="shared" si="2"/>
        <v>13.078944450131907</v>
      </c>
    </row>
    <row r="29" spans="1:5">
      <c r="A29" s="2">
        <v>46874</v>
      </c>
      <c r="B29">
        <v>22</v>
      </c>
      <c r="C29" s="160">
        <f t="shared" si="0"/>
        <v>19.400000000000002</v>
      </c>
      <c r="D29" s="161">
        <f t="shared" si="1"/>
        <v>0.66163306628727725</v>
      </c>
      <c r="E29">
        <f t="shared" si="2"/>
        <v>12.835681485973181</v>
      </c>
    </row>
    <row r="30" spans="1:5">
      <c r="A30" s="2">
        <v>47058</v>
      </c>
      <c r="B30">
        <v>23</v>
      </c>
      <c r="C30" s="160">
        <f t="shared" si="0"/>
        <v>19.400000000000002</v>
      </c>
      <c r="D30" s="161">
        <f t="shared" si="1"/>
        <v>0.64932696455986716</v>
      </c>
      <c r="E30">
        <f t="shared" si="2"/>
        <v>12.596943112461425</v>
      </c>
    </row>
    <row r="31" spans="1:5">
      <c r="A31" s="2">
        <v>47239</v>
      </c>
      <c r="B31">
        <v>24</v>
      </c>
      <c r="C31" s="160">
        <f t="shared" si="0"/>
        <v>19.400000000000002</v>
      </c>
      <c r="D31" s="161">
        <f t="shared" si="1"/>
        <v>0.63724975124121674</v>
      </c>
      <c r="E31">
        <f t="shared" si="2"/>
        <v>12.362645174079606</v>
      </c>
    </row>
    <row r="32" spans="1:5">
      <c r="A32" s="2">
        <v>47423</v>
      </c>
      <c r="B32">
        <v>25</v>
      </c>
      <c r="C32" s="160">
        <f t="shared" si="0"/>
        <v>19.400000000000002</v>
      </c>
      <c r="D32" s="161">
        <f t="shared" si="1"/>
        <v>0.62539716910147192</v>
      </c>
      <c r="E32">
        <f t="shared" si="2"/>
        <v>12.132705080568556</v>
      </c>
    </row>
    <row r="33" spans="1:5">
      <c r="A33" s="2">
        <v>47604</v>
      </c>
      <c r="B33">
        <v>26</v>
      </c>
      <c r="C33" s="160">
        <f t="shared" si="0"/>
        <v>19.400000000000002</v>
      </c>
      <c r="D33" s="161">
        <f t="shared" si="1"/>
        <v>0.61376504009349475</v>
      </c>
      <c r="E33">
        <f t="shared" si="2"/>
        <v>11.907041777813799</v>
      </c>
    </row>
    <row r="34" spans="1:5">
      <c r="A34" s="2">
        <v>47788</v>
      </c>
      <c r="B34">
        <v>27</v>
      </c>
      <c r="C34" s="160">
        <f t="shared" si="0"/>
        <v>19.400000000000002</v>
      </c>
      <c r="D34" s="161">
        <f t="shared" si="1"/>
        <v>0.6023492638800988</v>
      </c>
      <c r="E34">
        <f t="shared" si="2"/>
        <v>11.685575719273919</v>
      </c>
    </row>
    <row r="35" spans="1:5">
      <c r="A35" s="2">
        <v>47969</v>
      </c>
      <c r="B35">
        <v>28</v>
      </c>
      <c r="C35" s="160">
        <f t="shared" si="0"/>
        <v>19.400000000000002</v>
      </c>
      <c r="D35" s="161">
        <f t="shared" si="1"/>
        <v>0.59114581638867514</v>
      </c>
      <c r="E35">
        <f t="shared" si="2"/>
        <v>11.468228837940298</v>
      </c>
    </row>
    <row r="36" spans="1:5">
      <c r="A36" s="2">
        <v>48153</v>
      </c>
      <c r="B36">
        <v>29</v>
      </c>
      <c r="C36" s="160">
        <f t="shared" si="0"/>
        <v>19.400000000000002</v>
      </c>
      <c r="D36" s="161">
        <f t="shared" si="1"/>
        <v>0.5801507483927032</v>
      </c>
      <c r="E36">
        <f t="shared" si="2"/>
        <v>11.254924518818443</v>
      </c>
    </row>
    <row r="37" spans="1:5">
      <c r="A37" s="2">
        <v>48335</v>
      </c>
      <c r="B37">
        <v>30</v>
      </c>
      <c r="C37" s="160">
        <f t="shared" si="0"/>
        <v>19.400000000000002</v>
      </c>
      <c r="D37" s="161">
        <f t="shared" si="1"/>
        <v>0.56936018411964451</v>
      </c>
      <c r="E37">
        <f t="shared" si="2"/>
        <v>11.045587571921105</v>
      </c>
    </row>
    <row r="38" spans="1:5">
      <c r="A38" s="2">
        <v>48519</v>
      </c>
      <c r="B38">
        <v>31</v>
      </c>
      <c r="C38" s="160">
        <f t="shared" si="0"/>
        <v>19.400000000000002</v>
      </c>
      <c r="D38" s="161">
        <f t="shared" si="1"/>
        <v>0.55877031988472881</v>
      </c>
      <c r="E38">
        <f t="shared" si="2"/>
        <v>10.840144205763741</v>
      </c>
    </row>
    <row r="39" spans="1:5">
      <c r="A39" s="2">
        <v>48700</v>
      </c>
      <c r="B39">
        <v>32</v>
      </c>
      <c r="C39" s="160">
        <f t="shared" si="0"/>
        <v>19.400000000000002</v>
      </c>
      <c r="D39" s="161">
        <f t="shared" si="1"/>
        <v>0.54837742275015089</v>
      </c>
      <c r="E39">
        <f t="shared" si="2"/>
        <v>10.638522001352928</v>
      </c>
    </row>
    <row r="40" spans="1:5">
      <c r="A40" s="2">
        <v>48884</v>
      </c>
      <c r="B40">
        <v>33</v>
      </c>
      <c r="C40" s="160">
        <f t="shared" si="0"/>
        <v>19.400000000000002</v>
      </c>
      <c r="D40" s="161">
        <f t="shared" si="1"/>
        <v>0.53817782920920731</v>
      </c>
      <c r="E40">
        <f t="shared" si="2"/>
        <v>10.440649886658623</v>
      </c>
    </row>
    <row r="41" spans="1:5">
      <c r="A41" s="2">
        <v>49065</v>
      </c>
      <c r="B41">
        <v>34</v>
      </c>
      <c r="C41" s="160">
        <f t="shared" si="0"/>
        <v>19.400000000000002</v>
      </c>
      <c r="D41" s="161">
        <f t="shared" si="1"/>
        <v>0.52816794389490573</v>
      </c>
      <c r="E41">
        <f t="shared" si="2"/>
        <v>10.246458111561171</v>
      </c>
    </row>
    <row r="42" spans="1:5">
      <c r="A42" s="2">
        <v>49249</v>
      </c>
      <c r="B42">
        <v>35</v>
      </c>
      <c r="C42" s="160">
        <f t="shared" si="0"/>
        <v>19.400000000000002</v>
      </c>
      <c r="D42" s="161">
        <f t="shared" si="1"/>
        <v>0.51834423831259502</v>
      </c>
      <c r="E42">
        <f t="shared" si="2"/>
        <v>10.055878223264344</v>
      </c>
    </row>
    <row r="43" spans="1:5">
      <c r="A43" s="2">
        <v>49430</v>
      </c>
      <c r="B43">
        <v>36</v>
      </c>
      <c r="C43" s="160">
        <f t="shared" si="0"/>
        <v>19.400000000000002</v>
      </c>
      <c r="D43" s="161">
        <f t="shared" si="1"/>
        <v>0.50870324959616631</v>
      </c>
      <c r="E43">
        <f t="shared" si="2"/>
        <v>9.8688430421656275</v>
      </c>
    </row>
    <row r="44" spans="1:5">
      <c r="A44" s="2">
        <v>49614</v>
      </c>
      <c r="B44">
        <v>37</v>
      </c>
      <c r="C44" s="160">
        <f t="shared" si="0"/>
        <v>19.400000000000002</v>
      </c>
      <c r="D44" s="161">
        <f t="shared" si="1"/>
        <v>0.4992415792873906</v>
      </c>
      <c r="E44">
        <f t="shared" si="2"/>
        <v>9.6852866381753788</v>
      </c>
    </row>
    <row r="45" spans="1:5">
      <c r="A45" s="2">
        <v>49796</v>
      </c>
      <c r="B45">
        <v>38</v>
      </c>
      <c r="C45" s="160">
        <f t="shared" si="0"/>
        <v>19.400000000000002</v>
      </c>
      <c r="D45" s="161">
        <f t="shared" si="1"/>
        <v>0.48995589213795782</v>
      </c>
      <c r="E45">
        <f t="shared" si="2"/>
        <v>9.5051443074763835</v>
      </c>
    </row>
    <row r="46" spans="1:5">
      <c r="A46" s="2">
        <v>49980</v>
      </c>
      <c r="B46">
        <v>39</v>
      </c>
      <c r="C46" s="160">
        <f t="shared" si="0"/>
        <v>19.400000000000002</v>
      </c>
      <c r="D46" s="161">
        <f t="shared" si="1"/>
        <v>0.48084291493379899</v>
      </c>
      <c r="E46">
        <f t="shared" si="2"/>
        <v>9.3283525497157012</v>
      </c>
    </row>
    <row r="47" spans="1:5">
      <c r="A47" s="2">
        <v>50161</v>
      </c>
      <c r="B47">
        <v>40</v>
      </c>
      <c r="C47" s="160">
        <f t="shared" si="0"/>
        <v>19.400000000000002</v>
      </c>
      <c r="D47" s="161">
        <f t="shared" si="1"/>
        <v>0.47189943534127426</v>
      </c>
      <c r="E47">
        <f t="shared" si="2"/>
        <v>9.1548490456207219</v>
      </c>
    </row>
    <row r="48" spans="1:5">
      <c r="A48" s="2">
        <v>50345</v>
      </c>
      <c r="B48">
        <v>41</v>
      </c>
      <c r="C48" s="160">
        <f t="shared" si="0"/>
        <v>19.400000000000002</v>
      </c>
      <c r="D48" s="161">
        <f t="shared" si="1"/>
        <v>0.46312230077482314</v>
      </c>
      <c r="E48">
        <f t="shared" si="2"/>
        <v>8.9845726350315704</v>
      </c>
    </row>
    <row r="49" spans="1:5">
      <c r="A49" s="2">
        <v>50526</v>
      </c>
      <c r="B49">
        <v>42</v>
      </c>
      <c r="C49" s="160">
        <f t="shared" si="0"/>
        <v>19.400000000000002</v>
      </c>
      <c r="D49" s="161">
        <f t="shared" si="1"/>
        <v>0.45450841728567376</v>
      </c>
      <c r="E49">
        <f t="shared" si="2"/>
        <v>8.8174632953420726</v>
      </c>
    </row>
    <row r="50" spans="1:5">
      <c r="A50" s="2">
        <v>50710</v>
      </c>
      <c r="B50">
        <v>43</v>
      </c>
      <c r="C50" s="160">
        <f t="shared" si="0"/>
        <v>19.400000000000002</v>
      </c>
      <c r="D50" s="161">
        <f t="shared" si="1"/>
        <v>0.44605474847122373</v>
      </c>
      <c r="E50">
        <f t="shared" si="2"/>
        <v>8.6534621203417412</v>
      </c>
    </row>
    <row r="51" spans="1:5">
      <c r="A51" s="2">
        <v>50891</v>
      </c>
      <c r="B51">
        <v>44</v>
      </c>
      <c r="C51" s="160">
        <f t="shared" si="0"/>
        <v>19.400000000000002</v>
      </c>
      <c r="D51" s="161">
        <f t="shared" si="1"/>
        <v>0.4377583144047047</v>
      </c>
      <c r="E51">
        <f t="shared" si="2"/>
        <v>8.4925112994512713</v>
      </c>
    </row>
    <row r="52" spans="1:5">
      <c r="A52" s="2">
        <v>51075</v>
      </c>
      <c r="B52">
        <v>45</v>
      </c>
      <c r="C52" s="160">
        <f t="shared" si="0"/>
        <v>19.400000000000002</v>
      </c>
      <c r="D52" s="161">
        <f t="shared" si="1"/>
        <v>0.42961619058475509</v>
      </c>
      <c r="E52">
        <f t="shared" si="2"/>
        <v>8.3345540973442489</v>
      </c>
    </row>
    <row r="53" spans="1:5">
      <c r="A53" s="2">
        <v>51257</v>
      </c>
      <c r="B53">
        <v>46</v>
      </c>
      <c r="C53" s="160">
        <f t="shared" si="0"/>
        <v>19.400000000000002</v>
      </c>
      <c r="D53" s="161">
        <f t="shared" si="1"/>
        <v>0.42162550690453093</v>
      </c>
      <c r="E53">
        <f t="shared" si="2"/>
        <v>8.1795348339479013</v>
      </c>
    </row>
    <row r="54" spans="1:5">
      <c r="A54" s="2">
        <v>51441</v>
      </c>
      <c r="B54">
        <v>47</v>
      </c>
      <c r="C54" s="160">
        <f t="shared" si="0"/>
        <v>19.400000000000002</v>
      </c>
      <c r="D54" s="161">
        <f t="shared" si="1"/>
        <v>0.41378344663998967</v>
      </c>
      <c r="E54">
        <f t="shared" si="2"/>
        <v>8.027398864815801</v>
      </c>
    </row>
    <row r="55" spans="1:5">
      <c r="A55" s="2">
        <v>51622</v>
      </c>
      <c r="B55">
        <v>48</v>
      </c>
      <c r="C55" s="160">
        <f t="shared" si="0"/>
        <v>19.400000000000002</v>
      </c>
      <c r="D55" s="161">
        <f t="shared" si="1"/>
        <v>0.4060872454569926</v>
      </c>
      <c r="E55">
        <f t="shared" si="2"/>
        <v>7.8780925618656577</v>
      </c>
    </row>
    <row r="56" spans="1:5">
      <c r="A56" s="2">
        <v>51806</v>
      </c>
      <c r="B56">
        <v>49</v>
      </c>
      <c r="C56" s="160">
        <f t="shared" si="0"/>
        <v>19.400000000000002</v>
      </c>
      <c r="D56" s="161">
        <f t="shared" si="1"/>
        <v>0.39853419043687405</v>
      </c>
      <c r="E56">
        <f t="shared" si="2"/>
        <v>7.7315632944753574</v>
      </c>
    </row>
    <row r="57" spans="1:5">
      <c r="A57" s="2">
        <v>51987</v>
      </c>
      <c r="B57">
        <v>50</v>
      </c>
      <c r="C57" s="160">
        <f t="shared" si="0"/>
        <v>19.400000000000002</v>
      </c>
      <c r="D57" s="161">
        <f t="shared" si="1"/>
        <v>0.39112161912013493</v>
      </c>
      <c r="E57">
        <f t="shared" si="2"/>
        <v>7.5877594109306186</v>
      </c>
    </row>
    <row r="58" spans="1:5">
      <c r="A58" s="2">
        <v>52171</v>
      </c>
      <c r="B58">
        <v>51</v>
      </c>
      <c r="C58" s="160">
        <f t="shared" si="0"/>
        <v>19.400000000000002</v>
      </c>
      <c r="D58" s="161">
        <f t="shared" si="1"/>
        <v>0.38384691856792297</v>
      </c>
      <c r="E58">
        <f t="shared" si="2"/>
        <v>7.4466302202177062</v>
      </c>
    </row>
    <row r="59" spans="1:5">
      <c r="A59" s="2">
        <v>52352</v>
      </c>
      <c r="B59">
        <v>52</v>
      </c>
      <c r="C59" s="160">
        <f t="shared" si="0"/>
        <v>19.400000000000002</v>
      </c>
      <c r="D59" s="161">
        <f t="shared" si="1"/>
        <v>0.37670752444096917</v>
      </c>
      <c r="E59">
        <f t="shared" si="2"/>
        <v>7.3081259741548026</v>
      </c>
    </row>
    <row r="60" spans="1:5">
      <c r="A60" s="2">
        <v>52536</v>
      </c>
      <c r="B60">
        <v>53</v>
      </c>
      <c r="C60" s="160">
        <f t="shared" si="0"/>
        <v>19.400000000000002</v>
      </c>
      <c r="D60" s="161">
        <f t="shared" si="1"/>
        <v>0.36970092009565586</v>
      </c>
      <c r="E60">
        <f t="shared" si="2"/>
        <v>7.1721978498557242</v>
      </c>
    </row>
    <row r="61" spans="1:5">
      <c r="A61" s="2">
        <v>52718</v>
      </c>
      <c r="B61">
        <v>54</v>
      </c>
      <c r="C61" s="160">
        <f t="shared" si="0"/>
        <v>19.400000000000002</v>
      </c>
      <c r="D61" s="161">
        <f t="shared" si="1"/>
        <v>0.36282463569689682</v>
      </c>
      <c r="E61">
        <f t="shared" si="2"/>
        <v>7.0387979325197989</v>
      </c>
    </row>
    <row r="62" spans="1:5">
      <c r="A62" s="2">
        <v>52902</v>
      </c>
      <c r="B62">
        <v>55</v>
      </c>
      <c r="C62" s="160">
        <f t="shared" si="0"/>
        <v>19.400000000000002</v>
      </c>
      <c r="D62" s="161">
        <f t="shared" si="1"/>
        <v>0.35607624734751847</v>
      </c>
      <c r="E62">
        <f t="shared" si="2"/>
        <v>6.9078791985418588</v>
      </c>
    </row>
    <row r="63" spans="1:5">
      <c r="A63" s="2">
        <v>53083</v>
      </c>
      <c r="B63">
        <v>56</v>
      </c>
      <c r="C63" s="160">
        <f t="shared" si="0"/>
        <v>19.400000000000002</v>
      </c>
      <c r="D63" s="161">
        <f t="shared" si="1"/>
        <v>0.34945337623383321</v>
      </c>
      <c r="E63">
        <f t="shared" si="2"/>
        <v>6.7793954989363652</v>
      </c>
    </row>
    <row r="64" spans="1:5">
      <c r="A64" s="2">
        <v>53267</v>
      </c>
      <c r="B64">
        <v>57</v>
      </c>
      <c r="C64" s="160">
        <f>$F$5*$C$5/2+F5</f>
        <v>1019.4</v>
      </c>
      <c r="D64" s="161">
        <f t="shared" si="1"/>
        <v>0.34295368778710544</v>
      </c>
      <c r="E64">
        <f t="shared" si="2"/>
        <v>349.60698933017528</v>
      </c>
    </row>
    <row r="65" spans="1:9" ht="16" thickBot="1"/>
    <row r="66" spans="1:9" ht="17">
      <c r="A66" s="489" t="s">
        <v>584</v>
      </c>
      <c r="B66" s="408">
        <f>(1+G8/2)^2-1</f>
        <v>3.826335749612686E-2</v>
      </c>
    </row>
    <row r="68" spans="1:9">
      <c r="A68" s="1" t="s">
        <v>608</v>
      </c>
      <c r="B68" s="1"/>
      <c r="C68" s="1"/>
      <c r="D68" s="1"/>
      <c r="E68" s="1"/>
      <c r="F68" s="1"/>
      <c r="G68" s="1"/>
      <c r="H68" s="1"/>
      <c r="I68" s="1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/>
  </sheetPr>
  <dimension ref="A1:X70"/>
  <sheetViews>
    <sheetView showGridLines="0" zoomScaleNormal="100" workbookViewId="0">
      <pane ySplit="3" topLeftCell="A58" activePane="bottomLeft" state="frozen"/>
      <selection pane="bottomLeft" activeCell="A70" sqref="A70:XFD70"/>
    </sheetView>
  </sheetViews>
  <sheetFormatPr baseColWidth="10" defaultColWidth="10.83203125" defaultRowHeight="15"/>
  <cols>
    <col min="1" max="2" width="15.1640625" customWidth="1"/>
    <col min="3" max="3" width="12.5" bestFit="1" customWidth="1"/>
    <col min="4" max="4" width="15.5" bestFit="1" customWidth="1"/>
    <col min="5" max="5" width="14.6640625" bestFit="1" customWidth="1"/>
    <col min="6" max="6" width="12.33203125" bestFit="1" customWidth="1"/>
    <col min="7" max="7" width="20.6640625" bestFit="1" customWidth="1"/>
    <col min="8" max="9" width="19" bestFit="1" customWidth="1"/>
  </cols>
  <sheetData>
    <row r="1" spans="1:24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4" ht="21.5" customHeight="1">
      <c r="A2" s="6" t="s">
        <v>587</v>
      </c>
      <c r="B2" s="7"/>
      <c r="C2" s="7"/>
      <c r="D2" s="7"/>
      <c r="E2" s="7"/>
      <c r="F2" s="7"/>
      <c r="G2" s="7"/>
      <c r="H2" s="7"/>
      <c r="I2" s="7"/>
      <c r="J2" s="7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s="490" customFormat="1">
      <c r="A4" s="490" t="s">
        <v>265</v>
      </c>
      <c r="B4" s="490" t="s">
        <v>252</v>
      </c>
      <c r="C4" s="490" t="s">
        <v>251</v>
      </c>
      <c r="D4" s="490" t="s">
        <v>264</v>
      </c>
      <c r="E4" s="490" t="s">
        <v>263</v>
      </c>
      <c r="F4" s="490" t="s">
        <v>262</v>
      </c>
      <c r="G4" s="490" t="s">
        <v>261</v>
      </c>
      <c r="H4" s="490" t="s">
        <v>260</v>
      </c>
      <c r="I4" s="490" t="s">
        <v>266</v>
      </c>
    </row>
    <row r="5" spans="1:24">
      <c r="A5" s="491" t="s">
        <v>254</v>
      </c>
      <c r="B5" s="491">
        <v>500000000</v>
      </c>
      <c r="C5" s="491">
        <v>3.8800000000000001E-2</v>
      </c>
      <c r="D5" s="491" t="s">
        <v>253</v>
      </c>
      <c r="E5" s="491">
        <v>42856</v>
      </c>
      <c r="F5" s="491">
        <v>1000</v>
      </c>
      <c r="G5" s="491">
        <v>0.93484999999999996</v>
      </c>
      <c r="H5" s="491">
        <f>G5*F5</f>
        <v>934.84999999999991</v>
      </c>
      <c r="I5" s="491"/>
      <c r="J5" s="12"/>
      <c r="K5" s="12"/>
    </row>
    <row r="6" spans="1:24" s="203" customFormat="1" ht="6.5" customHeight="1">
      <c r="A6" s="193"/>
      <c r="B6" s="18"/>
      <c r="C6" s="18"/>
      <c r="D6" s="18"/>
      <c r="E6" s="18"/>
      <c r="F6" s="18"/>
      <c r="G6" s="18"/>
      <c r="H6" s="18"/>
      <c r="I6" s="18"/>
      <c r="J6" s="18"/>
      <c r="K6" s="18"/>
      <c r="L6" s="192"/>
      <c r="M6" s="192"/>
      <c r="R6" s="197"/>
      <c r="X6" s="197"/>
    </row>
    <row r="7" spans="1:24">
      <c r="A7" s="487" t="s">
        <v>5</v>
      </c>
      <c r="B7" s="488" t="s">
        <v>268</v>
      </c>
      <c r="C7" s="488" t="s">
        <v>269</v>
      </c>
      <c r="D7" s="488" t="s">
        <v>270</v>
      </c>
      <c r="E7" s="488" t="s">
        <v>271</v>
      </c>
      <c r="F7" s="488" t="s">
        <v>272</v>
      </c>
      <c r="G7" s="488" t="s">
        <v>273</v>
      </c>
      <c r="H7" s="488" t="s">
        <v>274</v>
      </c>
      <c r="I7" s="488" t="s">
        <v>275</v>
      </c>
    </row>
    <row r="8" spans="1:24">
      <c r="A8" s="2">
        <v>43040</v>
      </c>
      <c r="B8">
        <v>1</v>
      </c>
      <c r="C8" s="160">
        <f>$F$5*$C$5/2</f>
        <v>19.400000000000002</v>
      </c>
      <c r="D8" s="161">
        <f t="shared" ref="D8:D66" si="0">1/(1+$G$8/2)^B8</f>
        <v>0.98139236033876232</v>
      </c>
      <c r="E8">
        <f t="shared" ref="E8:E66" si="1">C8*D8</f>
        <v>19.03901179057199</v>
      </c>
      <c r="F8">
        <f>F5</f>
        <v>1000</v>
      </c>
      <c r="G8">
        <v>3.7920897722934596E-2</v>
      </c>
      <c r="H8">
        <f>H5</f>
        <v>934.84999999999991</v>
      </c>
      <c r="I8">
        <f>SUM(E8:E66)</f>
        <v>1015.5287036804712</v>
      </c>
    </row>
    <row r="9" spans="1:24">
      <c r="A9" s="2">
        <v>43221</v>
      </c>
      <c r="B9">
        <v>2</v>
      </c>
      <c r="C9" s="160">
        <f t="shared" ref="C9:C65" si="2">$F$5*$C$5/2</f>
        <v>19.400000000000002</v>
      </c>
      <c r="D9" s="161">
        <f t="shared" si="0"/>
        <v>0.96313096493128714</v>
      </c>
      <c r="E9">
        <f t="shared" si="1"/>
        <v>18.684740719666973</v>
      </c>
    </row>
    <row r="10" spans="1:24">
      <c r="A10" s="2">
        <v>43405</v>
      </c>
      <c r="B10">
        <v>3</v>
      </c>
      <c r="C10" s="160">
        <f t="shared" si="2"/>
        <v>19.400000000000002</v>
      </c>
      <c r="D10" s="161">
        <f t="shared" si="0"/>
        <v>0.94520937098926572</v>
      </c>
      <c r="E10">
        <f t="shared" si="1"/>
        <v>18.337061797191758</v>
      </c>
    </row>
    <row r="11" spans="1:24">
      <c r="A11" s="2">
        <v>43586</v>
      </c>
      <c r="B11">
        <v>4</v>
      </c>
      <c r="C11" s="160">
        <f t="shared" si="2"/>
        <v>19.400000000000002</v>
      </c>
      <c r="D11" s="161">
        <f t="shared" si="0"/>
        <v>0.92762125560947228</v>
      </c>
      <c r="E11">
        <f t="shared" si="1"/>
        <v>17.995852358823765</v>
      </c>
    </row>
    <row r="12" spans="1:24">
      <c r="A12" s="2">
        <v>43770</v>
      </c>
      <c r="B12">
        <v>5</v>
      </c>
      <c r="C12" s="160">
        <f t="shared" si="2"/>
        <v>19.400000000000002</v>
      </c>
      <c r="D12" s="161">
        <f t="shared" si="0"/>
        <v>0.91036041354298636</v>
      </c>
      <c r="E12">
        <f t="shared" si="1"/>
        <v>17.660992022733936</v>
      </c>
    </row>
    <row r="13" spans="1:24">
      <c r="A13" s="2">
        <v>43952</v>
      </c>
      <c r="B13">
        <v>6</v>
      </c>
      <c r="C13" s="160">
        <f t="shared" si="2"/>
        <v>19.400000000000002</v>
      </c>
      <c r="D13" s="161">
        <f t="shared" si="0"/>
        <v>0.89342075500592322</v>
      </c>
      <c r="E13">
        <f t="shared" si="1"/>
        <v>17.332362647114913</v>
      </c>
    </row>
    <row r="14" spans="1:24">
      <c r="A14" s="2">
        <v>44136</v>
      </c>
      <c r="B14">
        <v>7</v>
      </c>
      <c r="C14" s="160">
        <f t="shared" si="2"/>
        <v>19.400000000000002</v>
      </c>
      <c r="D14" s="161">
        <f t="shared" si="0"/>
        <v>0.8767963035309021</v>
      </c>
      <c r="E14">
        <f t="shared" si="1"/>
        <v>17.009848288499501</v>
      </c>
    </row>
    <row r="15" spans="1:24">
      <c r="A15" s="2">
        <v>44317</v>
      </c>
      <c r="B15">
        <v>8</v>
      </c>
      <c r="C15" s="160">
        <f t="shared" si="2"/>
        <v>19.400000000000002</v>
      </c>
      <c r="D15" s="161">
        <f t="shared" si="0"/>
        <v>0.86048119385849398</v>
      </c>
      <c r="E15">
        <f t="shared" si="1"/>
        <v>16.693335160854787</v>
      </c>
    </row>
    <row r="16" spans="1:24">
      <c r="A16" s="2">
        <v>44501</v>
      </c>
      <c r="B16">
        <v>9</v>
      </c>
      <c r="C16" s="160">
        <f t="shared" si="2"/>
        <v>19.400000000000002</v>
      </c>
      <c r="D16" s="161">
        <f t="shared" si="0"/>
        <v>0.84446966986790339</v>
      </c>
      <c r="E16">
        <f t="shared" si="1"/>
        <v>16.382711595437328</v>
      </c>
    </row>
    <row r="17" spans="1:5">
      <c r="A17" s="2">
        <v>44682</v>
      </c>
      <c r="B17">
        <v>10</v>
      </c>
      <c r="C17" s="160">
        <f t="shared" si="2"/>
        <v>19.400000000000002</v>
      </c>
      <c r="D17" s="161">
        <f t="shared" si="0"/>
        <v>0.82875608254615729</v>
      </c>
      <c r="E17">
        <f t="shared" si="1"/>
        <v>16.077868001395455</v>
      </c>
    </row>
    <row r="18" spans="1:5">
      <c r="A18" s="2">
        <v>44866</v>
      </c>
      <c r="B18">
        <v>11</v>
      </c>
      <c r="C18" s="160">
        <f t="shared" si="2"/>
        <v>19.400000000000002</v>
      </c>
      <c r="D18" s="161">
        <f t="shared" si="0"/>
        <v>0.81333488799507947</v>
      </c>
      <c r="E18">
        <f t="shared" si="1"/>
        <v>15.778696827104543</v>
      </c>
    </row>
    <row r="19" spans="1:5">
      <c r="A19" s="2">
        <v>45047</v>
      </c>
      <c r="B19">
        <v>12</v>
      </c>
      <c r="C19" s="160">
        <f t="shared" si="2"/>
        <v>19.400000000000002</v>
      </c>
      <c r="D19" s="161">
        <f t="shared" si="0"/>
        <v>0.79820064547535385</v>
      </c>
      <c r="E19">
        <f t="shared" si="1"/>
        <v>15.485092522221866</v>
      </c>
    </row>
    <row r="20" spans="1:5">
      <c r="A20" s="2">
        <v>45231</v>
      </c>
      <c r="B20">
        <v>13</v>
      </c>
      <c r="C20" s="160">
        <f t="shared" si="2"/>
        <v>19.400000000000002</v>
      </c>
      <c r="D20" s="161">
        <f t="shared" si="0"/>
        <v>0.78334801548698119</v>
      </c>
      <c r="E20">
        <f t="shared" si="1"/>
        <v>15.196951500447437</v>
      </c>
    </row>
    <row r="21" spans="1:5">
      <c r="A21" s="2">
        <v>45413</v>
      </c>
      <c r="B21">
        <v>14</v>
      </c>
      <c r="C21" s="160">
        <f t="shared" si="2"/>
        <v>19.400000000000002</v>
      </c>
      <c r="D21" s="161">
        <f t="shared" si="0"/>
        <v>0.76877175788545382</v>
      </c>
      <c r="E21">
        <f t="shared" si="1"/>
        <v>14.914172102977806</v>
      </c>
    </row>
    <row r="22" spans="1:5">
      <c r="A22" s="2">
        <v>45597</v>
      </c>
      <c r="B22">
        <v>15</v>
      </c>
      <c r="C22" s="160">
        <f t="shared" si="2"/>
        <v>19.400000000000002</v>
      </c>
      <c r="D22" s="161">
        <f t="shared" si="0"/>
        <v>0.75446673003298503</v>
      </c>
      <c r="E22">
        <f t="shared" si="1"/>
        <v>14.636654562639912</v>
      </c>
    </row>
    <row r="23" spans="1:5">
      <c r="A23" s="2">
        <v>45778</v>
      </c>
      <c r="B23">
        <v>16</v>
      </c>
      <c r="C23" s="160">
        <f t="shared" si="2"/>
        <v>19.400000000000002</v>
      </c>
      <c r="D23" s="161">
        <f t="shared" si="0"/>
        <v>0.74042788498413903</v>
      </c>
      <c r="E23">
        <f t="shared" si="1"/>
        <v>14.364300968692298</v>
      </c>
    </row>
    <row r="24" spans="1:5">
      <c r="A24" s="2">
        <v>45962</v>
      </c>
      <c r="B24">
        <v>17</v>
      </c>
      <c r="C24" s="160">
        <f t="shared" si="2"/>
        <v>19.400000000000002</v>
      </c>
      <c r="D24" s="161">
        <f t="shared" si="0"/>
        <v>0.72665026970522173</v>
      </c>
      <c r="E24">
        <f t="shared" si="1"/>
        <v>14.097015232281302</v>
      </c>
    </row>
    <row r="25" spans="1:5">
      <c r="A25" s="2">
        <v>46143</v>
      </c>
      <c r="B25">
        <v>18</v>
      </c>
      <c r="C25" s="160">
        <f t="shared" si="2"/>
        <v>19.400000000000002</v>
      </c>
      <c r="D25" s="161">
        <f t="shared" si="0"/>
        <v>0.71312902332680583</v>
      </c>
      <c r="E25">
        <f t="shared" si="1"/>
        <v>13.834703052540034</v>
      </c>
    </row>
    <row r="26" spans="1:5">
      <c r="A26" s="2">
        <v>46327</v>
      </c>
      <c r="B26">
        <v>19</v>
      </c>
      <c r="C26" s="160">
        <f t="shared" si="2"/>
        <v>19.400000000000002</v>
      </c>
      <c r="D26" s="161">
        <f t="shared" si="0"/>
        <v>0.6998593754287703</v>
      </c>
      <c r="E26">
        <f t="shared" si="1"/>
        <v>13.577271883318145</v>
      </c>
    </row>
    <row r="27" spans="1:5">
      <c r="A27" s="2">
        <v>46508</v>
      </c>
      <c r="B27">
        <v>20</v>
      </c>
      <c r="C27" s="160">
        <f t="shared" si="2"/>
        <v>19.400000000000002</v>
      </c>
      <c r="D27" s="161">
        <f t="shared" si="0"/>
        <v>0.686836644357253</v>
      </c>
      <c r="E27">
        <f t="shared" si="1"/>
        <v>13.32463090053071</v>
      </c>
    </row>
    <row r="28" spans="1:5">
      <c r="A28" s="2">
        <v>46692</v>
      </c>
      <c r="B28">
        <v>21</v>
      </c>
      <c r="C28" s="160">
        <f t="shared" si="2"/>
        <v>19.400000000000002</v>
      </c>
      <c r="D28" s="161">
        <f t="shared" si="0"/>
        <v>0.67405623557291949</v>
      </c>
      <c r="E28">
        <f t="shared" si="1"/>
        <v>13.07669097011464</v>
      </c>
    </row>
    <row r="29" spans="1:5">
      <c r="A29" s="2">
        <v>46874</v>
      </c>
      <c r="B29">
        <v>22</v>
      </c>
      <c r="C29" s="160">
        <f t="shared" si="2"/>
        <v>19.400000000000002</v>
      </c>
      <c r="D29" s="161">
        <f t="shared" si="0"/>
        <v>0.66151364002996826</v>
      </c>
      <c r="E29">
        <f t="shared" si="1"/>
        <v>12.833364616581386</v>
      </c>
    </row>
    <row r="30" spans="1:5">
      <c r="A30" s="2">
        <v>47058</v>
      </c>
      <c r="B30">
        <v>23</v>
      </c>
      <c r="C30" s="160">
        <f t="shared" si="2"/>
        <v>19.400000000000002</v>
      </c>
      <c r="D30" s="161">
        <f t="shared" si="0"/>
        <v>0.64920443258529703</v>
      </c>
      <c r="E30">
        <f t="shared" si="1"/>
        <v>12.594565992154763</v>
      </c>
    </row>
    <row r="31" spans="1:5">
      <c r="A31" s="2">
        <v>47239</v>
      </c>
      <c r="B31">
        <v>24</v>
      </c>
      <c r="C31" s="160">
        <f t="shared" si="2"/>
        <v>19.400000000000002</v>
      </c>
      <c r="D31" s="161">
        <f t="shared" si="0"/>
        <v>0.63712427043727149</v>
      </c>
      <c r="E31">
        <f t="shared" si="1"/>
        <v>12.360210846483069</v>
      </c>
    </row>
    <row r="32" spans="1:5">
      <c r="A32" s="2">
        <v>47423</v>
      </c>
      <c r="B32">
        <v>25</v>
      </c>
      <c r="C32" s="160">
        <f t="shared" si="2"/>
        <v>19.400000000000002</v>
      </c>
      <c r="D32" s="161">
        <f t="shared" si="0"/>
        <v>0.62526889159354582</v>
      </c>
      <c r="E32">
        <f t="shared" si="1"/>
        <v>12.130216496914791</v>
      </c>
    </row>
    <row r="33" spans="1:5">
      <c r="A33" s="2">
        <v>47604</v>
      </c>
      <c r="B33">
        <v>26</v>
      </c>
      <c r="C33" s="160">
        <f t="shared" si="2"/>
        <v>19.400000000000002</v>
      </c>
      <c r="D33" s="161">
        <f t="shared" si="0"/>
        <v>0.61363411336739171</v>
      </c>
      <c r="E33">
        <f t="shared" si="1"/>
        <v>11.9045017993274</v>
      </c>
    </row>
    <row r="34" spans="1:5">
      <c r="A34" s="2">
        <v>47788</v>
      </c>
      <c r="B34">
        <v>27</v>
      </c>
      <c r="C34" s="160">
        <f t="shared" si="2"/>
        <v>19.400000000000002</v>
      </c>
      <c r="D34" s="161">
        <f t="shared" si="0"/>
        <v>0.60221583090200825</v>
      </c>
      <c r="E34">
        <f t="shared" si="1"/>
        <v>11.682987119498961</v>
      </c>
    </row>
    <row r="35" spans="1:5">
      <c r="A35" s="2">
        <v>47969</v>
      </c>
      <c r="B35">
        <v>28</v>
      </c>
      <c r="C35" s="160">
        <f t="shared" si="2"/>
        <v>19.400000000000002</v>
      </c>
      <c r="D35" s="161">
        <f t="shared" si="0"/>
        <v>0.59101001572229084</v>
      </c>
      <c r="E35">
        <f t="shared" si="1"/>
        <v>11.465594305012443</v>
      </c>
    </row>
    <row r="36" spans="1:5">
      <c r="A36" s="2">
        <v>48153</v>
      </c>
      <c r="B36">
        <v>29</v>
      </c>
      <c r="C36" s="160">
        <f t="shared" si="2"/>
        <v>19.400000000000002</v>
      </c>
      <c r="D36" s="161">
        <f t="shared" si="0"/>
        <v>0.58001271431354795</v>
      </c>
      <c r="E36">
        <f t="shared" si="1"/>
        <v>11.252246657682832</v>
      </c>
    </row>
    <row r="37" spans="1:5">
      <c r="A37" s="2">
        <v>48335</v>
      </c>
      <c r="B37">
        <v>30</v>
      </c>
      <c r="C37" s="160">
        <f t="shared" si="2"/>
        <v>19.400000000000002</v>
      </c>
      <c r="D37" s="161">
        <f t="shared" si="0"/>
        <v>0.56922004672666515</v>
      </c>
      <c r="E37">
        <f t="shared" si="1"/>
        <v>11.042868906497306</v>
      </c>
    </row>
    <row r="38" spans="1:5">
      <c r="A38" s="2">
        <v>48519</v>
      </c>
      <c r="B38">
        <v>31</v>
      </c>
      <c r="C38" s="160">
        <f t="shared" si="2"/>
        <v>19.400000000000002</v>
      </c>
      <c r="D38" s="161">
        <f t="shared" si="0"/>
        <v>0.55862820520922252</v>
      </c>
      <c r="E38">
        <f t="shared" si="1"/>
        <v>10.837387181058919</v>
      </c>
    </row>
    <row r="39" spans="1:5">
      <c r="A39" s="2">
        <v>48700</v>
      </c>
      <c r="B39">
        <v>32</v>
      </c>
      <c r="C39" s="160">
        <f t="shared" si="2"/>
        <v>19.400000000000002</v>
      </c>
      <c r="D39" s="161">
        <f t="shared" si="0"/>
        <v>0.54823345286208536</v>
      </c>
      <c r="E39">
        <f t="shared" si="1"/>
        <v>10.635728985524457</v>
      </c>
    </row>
    <row r="40" spans="1:5">
      <c r="A40" s="2">
        <v>48884</v>
      </c>
      <c r="B40">
        <v>33</v>
      </c>
      <c r="C40" s="160">
        <f t="shared" si="2"/>
        <v>19.400000000000002</v>
      </c>
      <c r="D40" s="161">
        <f t="shared" si="0"/>
        <v>0.53803212232099162</v>
      </c>
      <c r="E40">
        <f t="shared" si="1"/>
        <v>10.437823173027239</v>
      </c>
    </row>
    <row r="41" spans="1:5">
      <c r="A41" s="2">
        <v>49065</v>
      </c>
      <c r="B41">
        <v>34</v>
      </c>
      <c r="C41" s="160">
        <f t="shared" si="2"/>
        <v>19.400000000000002</v>
      </c>
      <c r="D41" s="161">
        <f t="shared" si="0"/>
        <v>0.52802061446267168</v>
      </c>
      <c r="E41">
        <f t="shared" si="1"/>
        <v>10.243599920575832</v>
      </c>
    </row>
    <row r="42" spans="1:5">
      <c r="A42" s="2">
        <v>49249</v>
      </c>
      <c r="B42">
        <v>35</v>
      </c>
      <c r="C42" s="160">
        <f t="shared" si="2"/>
        <v>19.400000000000002</v>
      </c>
      <c r="D42" s="161">
        <f t="shared" si="0"/>
        <v>0.51819539713504492</v>
      </c>
      <c r="E42">
        <f t="shared" si="1"/>
        <v>10.052990704419873</v>
      </c>
    </row>
    <row r="43" spans="1:5">
      <c r="A43" s="2">
        <v>49430</v>
      </c>
      <c r="B43">
        <v>36</v>
      </c>
      <c r="C43" s="160">
        <f t="shared" si="2"/>
        <v>19.400000000000002</v>
      </c>
      <c r="D43" s="161">
        <f t="shared" si="0"/>
        <v>0.50855300391104408</v>
      </c>
      <c r="E43">
        <f t="shared" si="1"/>
        <v>9.865928275874257</v>
      </c>
    </row>
    <row r="44" spans="1:5">
      <c r="A44" s="2">
        <v>49614</v>
      </c>
      <c r="B44">
        <v>37</v>
      </c>
      <c r="C44" s="160">
        <f t="shared" si="2"/>
        <v>19.400000000000002</v>
      </c>
      <c r="D44" s="161">
        <f t="shared" si="0"/>
        <v>0.49909003286562731</v>
      </c>
      <c r="E44">
        <f t="shared" si="1"/>
        <v>9.6823466375931702</v>
      </c>
    </row>
    <row r="45" spans="1:5">
      <c r="A45" s="2">
        <v>49796</v>
      </c>
      <c r="B45">
        <v>38</v>
      </c>
      <c r="C45" s="160">
        <f t="shared" si="2"/>
        <v>19.400000000000002</v>
      </c>
      <c r="D45" s="161">
        <f t="shared" si="0"/>
        <v>0.48980314537554859</v>
      </c>
      <c r="E45">
        <f t="shared" si="1"/>
        <v>9.5021810202856436</v>
      </c>
    </row>
    <row r="46" spans="1:5">
      <c r="A46" s="2">
        <v>49980</v>
      </c>
      <c r="B46">
        <v>39</v>
      </c>
      <c r="C46" s="160">
        <f t="shared" si="2"/>
        <v>19.400000000000002</v>
      </c>
      <c r="D46" s="161">
        <f t="shared" si="0"/>
        <v>0.48068906494145947</v>
      </c>
      <c r="E46">
        <f t="shared" si="1"/>
        <v>9.3253678598643148</v>
      </c>
    </row>
    <row r="47" spans="1:5">
      <c r="A47" s="2">
        <v>50161</v>
      </c>
      <c r="B47">
        <v>40</v>
      </c>
      <c r="C47" s="160">
        <f t="shared" si="2"/>
        <v>19.400000000000002</v>
      </c>
      <c r="D47" s="161">
        <f t="shared" si="0"/>
        <v>0.47174457603193154</v>
      </c>
      <c r="E47">
        <f t="shared" si="1"/>
        <v>9.1518447750194731</v>
      </c>
    </row>
    <row r="48" spans="1:5">
      <c r="A48" s="2">
        <v>50345</v>
      </c>
      <c r="B48">
        <v>41</v>
      </c>
      <c r="C48" s="160">
        <f t="shared" si="2"/>
        <v>19.400000000000002</v>
      </c>
      <c r="D48" s="161">
        <f t="shared" si="0"/>
        <v>0.46296652294898605</v>
      </c>
      <c r="E48">
        <f t="shared" si="1"/>
        <v>8.9815505452103306</v>
      </c>
    </row>
    <row r="49" spans="1:5">
      <c r="A49" s="2">
        <v>50526</v>
      </c>
      <c r="B49">
        <v>42</v>
      </c>
      <c r="C49" s="160">
        <f t="shared" si="2"/>
        <v>19.400000000000002</v>
      </c>
      <c r="D49" s="161">
        <f t="shared" si="0"/>
        <v>0.45435180871473518</v>
      </c>
      <c r="E49">
        <f t="shared" si="1"/>
        <v>8.814425089065864</v>
      </c>
    </row>
    <row r="50" spans="1:5">
      <c r="A50" s="2">
        <v>50710</v>
      </c>
      <c r="B50">
        <v>43</v>
      </c>
      <c r="C50" s="160">
        <f t="shared" si="2"/>
        <v>19.400000000000002</v>
      </c>
      <c r="D50" s="161">
        <f t="shared" si="0"/>
        <v>0.4458973939787399</v>
      </c>
      <c r="E50">
        <f t="shared" si="1"/>
        <v>8.6504094431875558</v>
      </c>
    </row>
    <row r="51" spans="1:5">
      <c r="A51" s="2">
        <v>50891</v>
      </c>
      <c r="B51">
        <v>44</v>
      </c>
      <c r="C51" s="160">
        <f t="shared" si="2"/>
        <v>19.400000000000002</v>
      </c>
      <c r="D51" s="161">
        <f t="shared" si="0"/>
        <v>0.43760029594569855</v>
      </c>
      <c r="E51">
        <f t="shared" si="1"/>
        <v>8.4894457413465521</v>
      </c>
    </row>
    <row r="52" spans="1:5">
      <c r="A52" s="2">
        <v>51075</v>
      </c>
      <c r="B52">
        <v>45</v>
      </c>
      <c r="C52" s="160">
        <f t="shared" si="2"/>
        <v>19.400000000000002</v>
      </c>
      <c r="D52" s="161">
        <f t="shared" si="0"/>
        <v>0.42945758732309003</v>
      </c>
      <c r="E52">
        <f t="shared" si="1"/>
        <v>8.3314771940679471</v>
      </c>
    </row>
    <row r="53" spans="1:5">
      <c r="A53" s="2">
        <v>51257</v>
      </c>
      <c r="B53">
        <v>46</v>
      </c>
      <c r="C53" s="160">
        <f t="shared" si="2"/>
        <v>19.400000000000002</v>
      </c>
      <c r="D53" s="161">
        <f t="shared" si="0"/>
        <v>0.42146639528839741</v>
      </c>
      <c r="E53">
        <f t="shared" si="1"/>
        <v>8.1764480685949099</v>
      </c>
    </row>
    <row r="54" spans="1:5">
      <c r="A54" s="2">
        <v>51441</v>
      </c>
      <c r="B54">
        <v>47</v>
      </c>
      <c r="C54" s="160">
        <f t="shared" si="2"/>
        <v>19.400000000000002</v>
      </c>
      <c r="D54" s="161">
        <f t="shared" si="0"/>
        <v>0.4136239004755502</v>
      </c>
      <c r="E54">
        <f t="shared" si="1"/>
        <v>8.0243036692256755</v>
      </c>
    </row>
    <row r="55" spans="1:5">
      <c r="A55" s="2">
        <v>51622</v>
      </c>
      <c r="B55">
        <v>48</v>
      </c>
      <c r="C55" s="160">
        <f t="shared" si="2"/>
        <v>19.400000000000002</v>
      </c>
      <c r="D55" s="161">
        <f t="shared" si="0"/>
        <v>0.40592733598022557</v>
      </c>
      <c r="E55">
        <f t="shared" si="1"/>
        <v>7.8749903180163772</v>
      </c>
    </row>
    <row r="56" spans="1:5">
      <c r="A56" s="2">
        <v>51806</v>
      </c>
      <c r="B56">
        <v>49</v>
      </c>
      <c r="C56" s="160">
        <f t="shared" si="2"/>
        <v>19.400000000000002</v>
      </c>
      <c r="D56" s="161">
        <f t="shared" si="0"/>
        <v>0.39837398638365934</v>
      </c>
      <c r="E56">
        <f t="shared" si="1"/>
        <v>7.7284553358429919</v>
      </c>
    </row>
    <row r="57" spans="1:5">
      <c r="A57" s="2">
        <v>51987</v>
      </c>
      <c r="B57">
        <v>50</v>
      </c>
      <c r="C57" s="160">
        <f t="shared" si="2"/>
        <v>19.400000000000002</v>
      </c>
      <c r="D57" s="161">
        <f t="shared" si="0"/>
        <v>0.39096118679462138</v>
      </c>
      <c r="E57">
        <f t="shared" si="1"/>
        <v>7.5846470238156556</v>
      </c>
    </row>
    <row r="58" spans="1:5">
      <c r="A58" s="2">
        <v>52171</v>
      </c>
      <c r="B58">
        <v>51</v>
      </c>
      <c r="C58" s="160">
        <f t="shared" si="2"/>
        <v>19.400000000000002</v>
      </c>
      <c r="D58" s="161">
        <f t="shared" si="0"/>
        <v>0.38368632190921725</v>
      </c>
      <c r="E58">
        <f t="shared" si="1"/>
        <v>7.4435146450388157</v>
      </c>
    </row>
    <row r="59" spans="1:5">
      <c r="A59" s="2">
        <v>52352</v>
      </c>
      <c r="B59">
        <v>52</v>
      </c>
      <c r="C59" s="160">
        <f t="shared" si="2"/>
        <v>19.400000000000002</v>
      </c>
      <c r="D59" s="161">
        <f t="shared" si="0"/>
        <v>0.37654682508818493</v>
      </c>
      <c r="E59">
        <f t="shared" si="1"/>
        <v>7.3050084067107885</v>
      </c>
    </row>
    <row r="60" spans="1:5">
      <c r="A60" s="2">
        <v>52536</v>
      </c>
      <c r="B60">
        <v>53</v>
      </c>
      <c r="C60" s="160">
        <f t="shared" si="2"/>
        <v>19.400000000000002</v>
      </c>
      <c r="D60" s="161">
        <f t="shared" si="0"/>
        <v>0.36954017745136086</v>
      </c>
      <c r="E60">
        <f t="shared" si="1"/>
        <v>7.1690794425564013</v>
      </c>
    </row>
    <row r="61" spans="1:5">
      <c r="A61" s="2">
        <v>52718</v>
      </c>
      <c r="B61">
        <v>54</v>
      </c>
      <c r="C61" s="160">
        <f t="shared" si="2"/>
        <v>19.400000000000002</v>
      </c>
      <c r="D61" s="161">
        <f t="shared" si="0"/>
        <v>0.36266390698899614</v>
      </c>
      <c r="E61">
        <f t="shared" si="1"/>
        <v>7.0356797955865256</v>
      </c>
    </row>
    <row r="62" spans="1:5">
      <c r="A62" s="2">
        <v>52902</v>
      </c>
      <c r="B62">
        <v>55</v>
      </c>
      <c r="C62" s="160">
        <f t="shared" si="2"/>
        <v>19.400000000000002</v>
      </c>
      <c r="D62" s="161">
        <f t="shared" si="0"/>
        <v>0.35591558768960835</v>
      </c>
      <c r="E62">
        <f t="shared" si="1"/>
        <v>6.9047624011784023</v>
      </c>
    </row>
    <row r="63" spans="1:5">
      <c r="A63" s="2">
        <v>53083</v>
      </c>
      <c r="B63">
        <v>56</v>
      </c>
      <c r="C63" s="160">
        <f t="shared" si="2"/>
        <v>19.400000000000002</v>
      </c>
      <c r="D63" s="161">
        <f t="shared" si="0"/>
        <v>0.34929283868406241</v>
      </c>
      <c r="E63">
        <f t="shared" si="1"/>
        <v>6.7762810704708114</v>
      </c>
    </row>
    <row r="64" spans="1:5">
      <c r="A64" s="2">
        <v>53267</v>
      </c>
      <c r="B64">
        <v>57</v>
      </c>
      <c r="C64" s="160">
        <f t="shared" si="2"/>
        <v>19.400000000000002</v>
      </c>
      <c r="D64" s="161">
        <f t="shared" si="0"/>
        <v>0.34279332340557855</v>
      </c>
      <c r="E64">
        <f t="shared" si="1"/>
        <v>6.6501904740682249</v>
      </c>
    </row>
    <row r="65" spans="1:9">
      <c r="A65" s="2">
        <v>53448</v>
      </c>
      <c r="B65">
        <v>58</v>
      </c>
      <c r="C65" s="160">
        <f t="shared" si="2"/>
        <v>19.400000000000002</v>
      </c>
      <c r="D65" s="161">
        <f t="shared" si="0"/>
        <v>0.33641474876536953</v>
      </c>
      <c r="E65">
        <f t="shared" si="1"/>
        <v>6.5264461260481692</v>
      </c>
    </row>
    <row r="66" spans="1:9">
      <c r="A66" s="2">
        <v>53632</v>
      </c>
      <c r="B66">
        <v>59</v>
      </c>
      <c r="C66" s="160">
        <f>$F$5*$C$5/2+F5</f>
        <v>1019.4</v>
      </c>
      <c r="D66" s="161">
        <f t="shared" si="0"/>
        <v>0.33015486434361774</v>
      </c>
      <c r="E66">
        <f t="shared" si="1"/>
        <v>336.55986871188389</v>
      </c>
    </row>
    <row r="67" spans="1:9" ht="16" thickBot="1"/>
    <row r="68" spans="1:9" ht="17">
      <c r="A68" s="489" t="s">
        <v>584</v>
      </c>
      <c r="B68" s="408">
        <f>(1+G8/2)^2-1</f>
        <v>3.828039634396263E-2</v>
      </c>
    </row>
    <row r="70" spans="1:9">
      <c r="A70" s="1" t="s">
        <v>608</v>
      </c>
      <c r="B70" s="1"/>
      <c r="C70" s="1"/>
      <c r="D70" s="1"/>
      <c r="E70" s="1"/>
      <c r="F70" s="1"/>
      <c r="G70" s="1"/>
      <c r="H70" s="1"/>
      <c r="I70" s="1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L44"/>
  <sheetViews>
    <sheetView showGridLines="0" workbookViewId="0">
      <pane xSplit="1" ySplit="5" topLeftCell="B9" activePane="bottomRight" state="frozen"/>
      <selection activeCell="M12" sqref="M12"/>
      <selection pane="topRight" activeCell="M12" sqref="M12"/>
      <selection pane="bottomLeft" activeCell="M12" sqref="M12"/>
      <selection pane="bottomRight" activeCell="A25" sqref="A25:XFD25"/>
    </sheetView>
  </sheetViews>
  <sheetFormatPr baseColWidth="10" defaultColWidth="8.83203125" defaultRowHeight="15"/>
  <cols>
    <col min="1" max="1" width="41.83203125" customWidth="1"/>
    <col min="2" max="9" width="11.83203125" customWidth="1"/>
    <col min="10" max="10" width="10.1640625" customWidth="1"/>
    <col min="11" max="11" width="11.83203125" customWidth="1"/>
  </cols>
  <sheetData>
    <row r="1" spans="1:11" ht="30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11" ht="21.5" customHeight="1">
      <c r="A2" s="6" t="s">
        <v>118</v>
      </c>
      <c r="B2" s="7"/>
      <c r="C2" s="7"/>
      <c r="D2" s="7"/>
      <c r="E2" s="7"/>
      <c r="F2" s="7"/>
      <c r="G2" s="7"/>
      <c r="H2" s="7"/>
      <c r="I2" s="7"/>
      <c r="J2" s="7"/>
    </row>
    <row r="3" spans="1:11">
      <c r="A3" s="8"/>
      <c r="B3" s="8"/>
      <c r="C3" s="8"/>
      <c r="D3" s="8"/>
      <c r="E3" s="8"/>
      <c r="F3" s="8"/>
      <c r="G3" s="8"/>
      <c r="H3" s="8"/>
      <c r="I3" s="8"/>
      <c r="J3" s="8"/>
    </row>
    <row r="4" spans="1:11">
      <c r="A4" s="13" t="s">
        <v>52</v>
      </c>
      <c r="B4" s="14" t="s">
        <v>51</v>
      </c>
      <c r="C4" s="14" t="s">
        <v>50</v>
      </c>
      <c r="D4" s="14" t="s">
        <v>49</v>
      </c>
      <c r="E4" s="14" t="s">
        <v>48</v>
      </c>
      <c r="F4" s="14" t="s">
        <v>47</v>
      </c>
      <c r="G4" s="14" t="s">
        <v>46</v>
      </c>
      <c r="H4" s="14" t="s">
        <v>45</v>
      </c>
      <c r="I4" s="14" t="s">
        <v>44</v>
      </c>
      <c r="J4" s="14" t="s">
        <v>43</v>
      </c>
      <c r="K4" s="15" t="s">
        <v>42</v>
      </c>
    </row>
    <row r="5" spans="1:11">
      <c r="A5" s="16" t="s">
        <v>41</v>
      </c>
      <c r="B5" s="15" t="s">
        <v>40</v>
      </c>
      <c r="C5" s="15" t="s">
        <v>39</v>
      </c>
      <c r="D5" s="15" t="s">
        <v>38</v>
      </c>
      <c r="E5" s="15" t="s">
        <v>37</v>
      </c>
      <c r="F5" s="15" t="s">
        <v>36</v>
      </c>
      <c r="G5" s="15" t="s">
        <v>35</v>
      </c>
      <c r="H5" s="15" t="s">
        <v>34</v>
      </c>
      <c r="I5" s="15" t="s">
        <v>33</v>
      </c>
      <c r="J5" s="15" t="s">
        <v>32</v>
      </c>
      <c r="K5" s="15" t="s">
        <v>31</v>
      </c>
    </row>
    <row r="6" spans="1:11" ht="6.5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>
      <c r="A7" s="28" t="s">
        <v>119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s="12" customFormat="1">
      <c r="A8" s="19" t="s">
        <v>72</v>
      </c>
      <c r="B8" s="259">
        <v>2133.9</v>
      </c>
      <c r="C8" s="259">
        <v>2291.1</v>
      </c>
      <c r="D8" s="259">
        <v>3079.1</v>
      </c>
      <c r="E8" s="259">
        <v>1955</v>
      </c>
      <c r="F8" s="259">
        <v>2317</v>
      </c>
      <c r="G8" s="259">
        <v>3337</v>
      </c>
      <c r="H8" s="259">
        <v>2220</v>
      </c>
      <c r="I8" s="259">
        <v>3852</v>
      </c>
      <c r="J8" s="259">
        <v>3138</v>
      </c>
      <c r="K8" s="259">
        <v>3808</v>
      </c>
    </row>
    <row r="9" spans="1:11" s="12" customFormat="1">
      <c r="A9" s="19" t="s">
        <v>53</v>
      </c>
      <c r="B9" s="259">
        <v>642.20000000000005</v>
      </c>
      <c r="C9" s="259">
        <v>1164</v>
      </c>
      <c r="D9" s="259">
        <v>2066.8000000000002</v>
      </c>
      <c r="E9" s="259">
        <v>2583</v>
      </c>
      <c r="F9" s="259">
        <v>1440</v>
      </c>
      <c r="G9" s="259">
        <v>2628</v>
      </c>
      <c r="H9" s="259">
        <v>2922</v>
      </c>
      <c r="I9" s="259">
        <v>2072</v>
      </c>
      <c r="J9" s="259">
        <v>2319</v>
      </c>
      <c r="K9" s="259">
        <v>2371</v>
      </c>
    </row>
    <row r="10" spans="1:11" s="12" customFormat="1">
      <c r="A10" s="19" t="s">
        <v>120</v>
      </c>
      <c r="B10" s="259">
        <v>2795.3</v>
      </c>
      <c r="C10" s="259">
        <v>2883.9</v>
      </c>
      <c r="D10" s="259">
        <v>2649.8</v>
      </c>
      <c r="E10" s="259">
        <v>3138</v>
      </c>
      <c r="F10" s="259">
        <v>3280</v>
      </c>
      <c r="G10" s="259">
        <v>3117</v>
      </c>
      <c r="H10" s="259">
        <v>3434</v>
      </c>
      <c r="I10" s="259">
        <v>3358</v>
      </c>
      <c r="J10" s="259">
        <v>3241</v>
      </c>
      <c r="K10" s="259">
        <v>3677</v>
      </c>
    </row>
    <row r="11" spans="1:11" s="12" customFormat="1">
      <c r="A11" s="19" t="s">
        <v>62</v>
      </c>
      <c r="B11" s="259">
        <v>2438.4</v>
      </c>
      <c r="C11" s="259">
        <v>2357</v>
      </c>
      <c r="D11" s="259">
        <v>2040.8</v>
      </c>
      <c r="E11" s="259">
        <v>2715</v>
      </c>
      <c r="F11" s="259">
        <v>3350</v>
      </c>
      <c r="G11" s="259">
        <v>3484</v>
      </c>
      <c r="H11" s="259">
        <v>3947</v>
      </c>
      <c r="I11" s="259">
        <v>4337</v>
      </c>
      <c r="J11" s="259">
        <v>4838</v>
      </c>
      <c r="K11" s="259">
        <v>5055</v>
      </c>
    </row>
    <row r="12" spans="1:11" s="12" customFormat="1">
      <c r="A12" s="19" t="s">
        <v>71</v>
      </c>
      <c r="B12" s="259">
        <v>227.2</v>
      </c>
      <c r="C12" s="259">
        <v>272.39999999999998</v>
      </c>
      <c r="D12" s="259">
        <v>248.8</v>
      </c>
      <c r="E12" s="259">
        <v>312</v>
      </c>
      <c r="F12" s="259">
        <v>274</v>
      </c>
      <c r="G12" s="259">
        <v>308</v>
      </c>
      <c r="H12" s="259">
        <v>355</v>
      </c>
      <c r="I12" s="259">
        <v>389</v>
      </c>
      <c r="J12" s="259">
        <v>0</v>
      </c>
      <c r="K12" s="259">
        <v>0</v>
      </c>
    </row>
    <row r="13" spans="1:11" s="12" customFormat="1">
      <c r="A13" s="19" t="s">
        <v>121</v>
      </c>
      <c r="B13" s="259">
        <v>602.29999999999995</v>
      </c>
      <c r="C13" s="259">
        <v>765.6</v>
      </c>
      <c r="D13" s="259">
        <v>873.9</v>
      </c>
      <c r="E13" s="259">
        <v>594</v>
      </c>
      <c r="F13" s="259">
        <v>870</v>
      </c>
      <c r="G13" s="259">
        <v>802</v>
      </c>
      <c r="H13" s="259">
        <v>818</v>
      </c>
      <c r="I13" s="259">
        <v>1968</v>
      </c>
      <c r="J13" s="259">
        <v>1489</v>
      </c>
      <c r="K13" s="259">
        <v>1150</v>
      </c>
    </row>
    <row r="14" spans="1:11" s="12" customFormat="1">
      <c r="A14" s="492" t="s">
        <v>70</v>
      </c>
      <c r="B14" s="493">
        <v>8839.2999999999993</v>
      </c>
      <c r="C14" s="493">
        <v>9734</v>
      </c>
      <c r="D14" s="493">
        <v>10959.2</v>
      </c>
      <c r="E14" s="493">
        <v>11297</v>
      </c>
      <c r="F14" s="493">
        <v>11531</v>
      </c>
      <c r="G14" s="493">
        <v>13626</v>
      </c>
      <c r="H14" s="493">
        <v>13696</v>
      </c>
      <c r="I14" s="493">
        <v>15976</v>
      </c>
      <c r="J14" s="493">
        <v>15025</v>
      </c>
      <c r="K14" s="493">
        <v>16061</v>
      </c>
    </row>
    <row r="15" spans="1:11" s="12" customFormat="1">
      <c r="A15" s="19" t="s">
        <v>61</v>
      </c>
      <c r="B15" s="259">
        <v>1891.1</v>
      </c>
      <c r="C15" s="259">
        <v>1957.7</v>
      </c>
      <c r="D15" s="259">
        <v>1931.9</v>
      </c>
      <c r="E15" s="259">
        <v>2115</v>
      </c>
      <c r="F15" s="259">
        <v>2279</v>
      </c>
      <c r="G15" s="259">
        <v>2452</v>
      </c>
      <c r="H15" s="259">
        <v>2834</v>
      </c>
      <c r="I15" s="259">
        <v>3011</v>
      </c>
      <c r="J15" s="259">
        <v>3520</v>
      </c>
      <c r="K15" s="259">
        <v>3989</v>
      </c>
    </row>
    <row r="16" spans="1:11" s="12" customFormat="1">
      <c r="A16" s="19" t="s">
        <v>130</v>
      </c>
      <c r="B16" s="259">
        <v>743.1</v>
      </c>
      <c r="C16" s="259">
        <v>467.4</v>
      </c>
      <c r="D16" s="259">
        <v>467</v>
      </c>
      <c r="E16" s="259">
        <v>487</v>
      </c>
      <c r="F16" s="259">
        <v>535</v>
      </c>
      <c r="G16" s="259">
        <v>382</v>
      </c>
      <c r="H16" s="259">
        <v>282</v>
      </c>
      <c r="I16" s="259">
        <v>281</v>
      </c>
      <c r="J16" s="259">
        <v>281</v>
      </c>
      <c r="K16" s="259">
        <v>283</v>
      </c>
    </row>
    <row r="17" spans="1:11" s="12" customFormat="1">
      <c r="A17" s="19" t="s">
        <v>60</v>
      </c>
      <c r="B17" s="259">
        <v>448.8</v>
      </c>
      <c r="C17" s="259">
        <v>193.5</v>
      </c>
      <c r="D17" s="259">
        <v>187.6</v>
      </c>
      <c r="E17" s="259">
        <v>205</v>
      </c>
      <c r="F17" s="259">
        <v>201</v>
      </c>
      <c r="G17" s="259">
        <v>131</v>
      </c>
      <c r="H17" s="259">
        <v>131</v>
      </c>
      <c r="I17" s="259">
        <v>131</v>
      </c>
      <c r="J17" s="259">
        <v>131</v>
      </c>
      <c r="K17" s="259">
        <v>139</v>
      </c>
    </row>
    <row r="18" spans="1:11" s="12" customFormat="1">
      <c r="A18" s="19" t="s">
        <v>69</v>
      </c>
      <c r="B18" s="259">
        <v>520.4</v>
      </c>
      <c r="C18" s="259">
        <v>897</v>
      </c>
      <c r="D18" s="259">
        <v>873.6</v>
      </c>
      <c r="E18" s="259">
        <v>894</v>
      </c>
      <c r="F18" s="259">
        <v>919</v>
      </c>
      <c r="G18" s="259">
        <v>993</v>
      </c>
      <c r="H18" s="259">
        <v>1651</v>
      </c>
      <c r="I18" s="259">
        <v>2201</v>
      </c>
      <c r="J18" s="259">
        <v>2439</v>
      </c>
      <c r="K18" s="259">
        <v>2787</v>
      </c>
    </row>
    <row r="19" spans="1:11" s="12" customFormat="1" ht="16" thickBot="1">
      <c r="A19" s="494" t="s">
        <v>122</v>
      </c>
      <c r="B19" s="495">
        <v>3603.4</v>
      </c>
      <c r="C19" s="495">
        <v>3515.6</v>
      </c>
      <c r="D19" s="495">
        <v>3460.1</v>
      </c>
      <c r="E19" s="495">
        <v>3701</v>
      </c>
      <c r="F19" s="495">
        <v>3934</v>
      </c>
      <c r="G19" s="495">
        <f>SUM(G15:G18)</f>
        <v>3958</v>
      </c>
      <c r="H19" s="495">
        <v>6549</v>
      </c>
      <c r="I19" s="495">
        <v>5624</v>
      </c>
      <c r="J19" s="495">
        <v>6371</v>
      </c>
      <c r="K19" s="495">
        <v>7198</v>
      </c>
    </row>
    <row r="20" spans="1:11">
      <c r="A20" s="277" t="s">
        <v>68</v>
      </c>
      <c r="B20" s="257">
        <v>12442.7</v>
      </c>
      <c r="C20" s="257">
        <v>13249.6</v>
      </c>
      <c r="D20" s="257">
        <v>14419.3</v>
      </c>
      <c r="E20" s="257">
        <v>14998</v>
      </c>
      <c r="F20" s="257">
        <v>15465</v>
      </c>
      <c r="G20" s="257">
        <v>17584</v>
      </c>
      <c r="H20" s="257">
        <v>18594</v>
      </c>
      <c r="I20" s="257">
        <v>21600</v>
      </c>
      <c r="J20" s="257">
        <v>21396</v>
      </c>
      <c r="K20" s="257">
        <v>23259</v>
      </c>
    </row>
    <row r="21" spans="1:11" ht="6.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>
      <c r="A22" s="28" t="s">
        <v>146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s="12" customFormat="1">
      <c r="A23" s="19" t="s">
        <v>59</v>
      </c>
      <c r="B23" s="259">
        <v>6.3</v>
      </c>
      <c r="C23" s="259">
        <v>32</v>
      </c>
      <c r="D23" s="259">
        <v>7.4</v>
      </c>
      <c r="E23" s="259">
        <v>200</v>
      </c>
      <c r="F23" s="259">
        <v>49</v>
      </c>
      <c r="G23" s="259">
        <v>57</v>
      </c>
      <c r="H23" s="259">
        <v>7</v>
      </c>
      <c r="I23" s="259">
        <v>107</v>
      </c>
      <c r="J23" s="259">
        <v>44</v>
      </c>
      <c r="K23" s="259">
        <v>6</v>
      </c>
    </row>
    <row r="24" spans="1:11" s="12" customFormat="1">
      <c r="A24" s="19" t="s">
        <v>67</v>
      </c>
      <c r="B24" s="259">
        <v>177.7</v>
      </c>
      <c r="C24" s="259">
        <v>342.9</v>
      </c>
      <c r="D24" s="259">
        <v>138.6</v>
      </c>
      <c r="E24" s="259">
        <v>187</v>
      </c>
      <c r="F24" s="259">
        <v>108</v>
      </c>
      <c r="G24" s="259">
        <v>121</v>
      </c>
      <c r="H24" s="259">
        <v>167</v>
      </c>
      <c r="I24" s="259">
        <v>74</v>
      </c>
      <c r="J24" s="259">
        <v>1</v>
      </c>
      <c r="K24" s="259">
        <v>325</v>
      </c>
    </row>
    <row r="25" spans="1:11" s="12" customFormat="1">
      <c r="A25" s="19" t="s">
        <v>124</v>
      </c>
      <c r="B25" s="259">
        <v>1287.5999999999999</v>
      </c>
      <c r="C25" s="259">
        <v>1031.9000000000001</v>
      </c>
      <c r="D25" s="259">
        <v>1254.5</v>
      </c>
      <c r="E25" s="259">
        <v>1469</v>
      </c>
      <c r="F25" s="259">
        <v>1588</v>
      </c>
      <c r="G25" s="259">
        <v>1646</v>
      </c>
      <c r="H25" s="259">
        <v>1930</v>
      </c>
      <c r="I25" s="259">
        <v>2131</v>
      </c>
      <c r="J25" s="259">
        <v>2191</v>
      </c>
      <c r="K25" s="259">
        <v>2048</v>
      </c>
    </row>
    <row r="26" spans="1:11" s="12" customFormat="1">
      <c r="A26" s="19" t="s">
        <v>125</v>
      </c>
      <c r="B26" s="259">
        <v>1761.9</v>
      </c>
      <c r="C26" s="259">
        <v>1783.9</v>
      </c>
      <c r="D26" s="259">
        <v>1904.4</v>
      </c>
      <c r="E26" s="259">
        <v>1985</v>
      </c>
      <c r="F26" s="259">
        <v>2053</v>
      </c>
      <c r="G26" s="259">
        <v>1986</v>
      </c>
      <c r="H26" s="259">
        <v>2491</v>
      </c>
      <c r="I26" s="259">
        <v>3951</v>
      </c>
      <c r="J26" s="259">
        <v>3037</v>
      </c>
      <c r="K26" s="259">
        <v>3011</v>
      </c>
    </row>
    <row r="27" spans="1:11" s="12" customFormat="1">
      <c r="A27" s="19" t="s">
        <v>66</v>
      </c>
      <c r="B27" s="259">
        <v>88</v>
      </c>
      <c r="C27" s="259">
        <v>86.3</v>
      </c>
      <c r="D27" s="259">
        <v>59.3</v>
      </c>
      <c r="E27" s="259">
        <v>117</v>
      </c>
      <c r="F27" s="259">
        <v>67</v>
      </c>
      <c r="G27" s="259">
        <v>98</v>
      </c>
      <c r="H27" s="259">
        <v>432</v>
      </c>
      <c r="I27" s="259">
        <v>71</v>
      </c>
      <c r="J27" s="259">
        <v>85</v>
      </c>
      <c r="K27" s="259">
        <v>84</v>
      </c>
    </row>
    <row r="28" spans="1:11" s="12" customFormat="1">
      <c r="A28" s="19" t="s">
        <v>129</v>
      </c>
      <c r="B28" s="259">
        <v>0</v>
      </c>
      <c r="C28" s="259">
        <v>0</v>
      </c>
      <c r="D28" s="259">
        <v>0</v>
      </c>
      <c r="E28" s="259">
        <v>0</v>
      </c>
      <c r="F28" s="259">
        <v>0</v>
      </c>
      <c r="G28" s="259">
        <v>18</v>
      </c>
      <c r="H28" s="259">
        <v>0</v>
      </c>
      <c r="I28" s="259">
        <v>0</v>
      </c>
      <c r="J28" s="259">
        <v>0</v>
      </c>
      <c r="K28" s="259">
        <v>0</v>
      </c>
    </row>
    <row r="29" spans="1:11" s="12" customFormat="1">
      <c r="A29" s="492" t="s">
        <v>65</v>
      </c>
      <c r="B29" s="493">
        <v>3321.5</v>
      </c>
      <c r="C29" s="493">
        <v>3277</v>
      </c>
      <c r="D29" s="493">
        <v>3364.2</v>
      </c>
      <c r="E29" s="493">
        <v>3958</v>
      </c>
      <c r="F29" s="493">
        <v>3865</v>
      </c>
      <c r="G29" s="493">
        <v>3962</v>
      </c>
      <c r="H29" s="493">
        <v>5027</v>
      </c>
      <c r="I29" s="493">
        <v>6334</v>
      </c>
      <c r="J29" s="493">
        <v>5358</v>
      </c>
      <c r="K29" s="493">
        <v>5474</v>
      </c>
    </row>
    <row r="30" spans="1:11" s="12" customFormat="1">
      <c r="A30" s="19" t="s">
        <v>64</v>
      </c>
      <c r="B30" s="259">
        <v>441.1</v>
      </c>
      <c r="C30" s="259">
        <v>437.2</v>
      </c>
      <c r="D30" s="259">
        <v>445.8</v>
      </c>
      <c r="E30" s="259">
        <v>276</v>
      </c>
      <c r="F30" s="259">
        <v>228</v>
      </c>
      <c r="G30" s="259">
        <v>1210</v>
      </c>
      <c r="H30" s="259">
        <v>1199</v>
      </c>
      <c r="I30" s="259">
        <v>1079</v>
      </c>
      <c r="J30" s="259">
        <v>2010</v>
      </c>
      <c r="K30" s="259">
        <v>3471</v>
      </c>
    </row>
    <row r="31" spans="1:11" s="12" customFormat="1">
      <c r="A31" s="19" t="s">
        <v>58</v>
      </c>
      <c r="B31" s="259">
        <v>854.5</v>
      </c>
      <c r="C31" s="259">
        <v>842</v>
      </c>
      <c r="D31" s="259">
        <v>855.3</v>
      </c>
      <c r="E31" s="259">
        <v>921</v>
      </c>
      <c r="F31" s="259">
        <v>991</v>
      </c>
      <c r="G31" s="259">
        <v>1292</v>
      </c>
      <c r="H31" s="259">
        <v>1544</v>
      </c>
      <c r="I31" s="259">
        <v>1480</v>
      </c>
      <c r="J31" s="259">
        <v>1770</v>
      </c>
      <c r="K31" s="259">
        <v>1907</v>
      </c>
    </row>
    <row r="32" spans="1:11" s="12" customFormat="1">
      <c r="A32" s="492" t="s">
        <v>123</v>
      </c>
      <c r="B32" s="493">
        <v>1295.5999999999999</v>
      </c>
      <c r="C32" s="493">
        <v>1279.2</v>
      </c>
      <c r="D32" s="493">
        <v>1301.0999999999999</v>
      </c>
      <c r="E32" s="493">
        <v>1197</v>
      </c>
      <c r="F32" s="493">
        <v>1219</v>
      </c>
      <c r="G32" s="493">
        <v>2502</v>
      </c>
      <c r="H32" s="493">
        <v>4287</v>
      </c>
      <c r="I32" s="493">
        <v>2559</v>
      </c>
      <c r="J32" s="493">
        <v>3780</v>
      </c>
      <c r="K32" s="493">
        <v>5378</v>
      </c>
    </row>
    <row r="33" spans="1:12" s="12" customFormat="1">
      <c r="A33" s="19" t="s">
        <v>126</v>
      </c>
      <c r="B33" s="259">
        <v>0.1</v>
      </c>
      <c r="C33" s="259">
        <v>0.1</v>
      </c>
      <c r="D33" s="259">
        <v>0.1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</row>
    <row r="34" spans="1:12" s="12" customFormat="1">
      <c r="A34" s="19" t="s">
        <v>127</v>
      </c>
      <c r="B34" s="259">
        <v>2.7</v>
      </c>
      <c r="C34" s="259">
        <v>2.7</v>
      </c>
      <c r="D34" s="259">
        <v>2.7</v>
      </c>
      <c r="E34" s="259">
        <v>3</v>
      </c>
      <c r="F34" s="259">
        <v>3</v>
      </c>
      <c r="G34" s="259">
        <v>3</v>
      </c>
      <c r="H34" s="259">
        <v>3</v>
      </c>
      <c r="I34" s="259">
        <v>3</v>
      </c>
      <c r="J34" s="259">
        <v>3</v>
      </c>
      <c r="K34" s="259">
        <v>3</v>
      </c>
    </row>
    <row r="35" spans="1:12" s="12" customFormat="1">
      <c r="A35" s="19" t="s">
        <v>128</v>
      </c>
      <c r="B35" s="259">
        <v>2497.8000000000002</v>
      </c>
      <c r="C35" s="259">
        <v>2871.4</v>
      </c>
      <c r="D35" s="259">
        <v>3440.6</v>
      </c>
      <c r="E35" s="259">
        <v>3944</v>
      </c>
      <c r="F35" s="259">
        <v>4641</v>
      </c>
      <c r="G35" s="259">
        <v>5184</v>
      </c>
      <c r="H35" s="259">
        <v>5865</v>
      </c>
      <c r="I35" s="259">
        <v>6773</v>
      </c>
      <c r="J35" s="259">
        <v>7786</v>
      </c>
      <c r="K35" s="259">
        <v>8638</v>
      </c>
    </row>
    <row r="36" spans="1:12" s="12" customFormat="1">
      <c r="A36" s="19" t="s">
        <v>57</v>
      </c>
      <c r="B36" s="259">
        <v>251.4</v>
      </c>
      <c r="C36" s="259">
        <v>367.5</v>
      </c>
      <c r="D36" s="259">
        <v>214.8</v>
      </c>
      <c r="E36" s="259">
        <v>95</v>
      </c>
      <c r="F36" s="259">
        <v>149</v>
      </c>
      <c r="G36" s="259">
        <v>274</v>
      </c>
      <c r="H36" s="259">
        <v>85</v>
      </c>
      <c r="I36" s="259">
        <v>1246</v>
      </c>
      <c r="J36" s="259">
        <v>318</v>
      </c>
      <c r="K36" s="259">
        <v>-213</v>
      </c>
    </row>
    <row r="37" spans="1:12" s="12" customFormat="1">
      <c r="A37" s="19" t="s">
        <v>56</v>
      </c>
      <c r="B37" s="259">
        <v>5073.3</v>
      </c>
      <c r="C37" s="259">
        <v>5451.4</v>
      </c>
      <c r="D37" s="259">
        <v>6095.5</v>
      </c>
      <c r="E37" s="259">
        <v>5801</v>
      </c>
      <c r="F37" s="259">
        <v>5588</v>
      </c>
      <c r="G37" s="259">
        <v>5695</v>
      </c>
      <c r="H37" s="259">
        <v>4871</v>
      </c>
      <c r="I37" s="259">
        <v>4685</v>
      </c>
      <c r="J37" s="259">
        <v>4151</v>
      </c>
      <c r="K37" s="259">
        <v>3979</v>
      </c>
    </row>
    <row r="38" spans="1:12" s="12" customFormat="1" ht="16" thickBot="1">
      <c r="A38" s="492" t="s">
        <v>54</v>
      </c>
      <c r="B38" s="493">
        <v>7825.3</v>
      </c>
      <c r="C38" s="493">
        <v>8693.1</v>
      </c>
      <c r="D38" s="493">
        <v>9753.7000000000007</v>
      </c>
      <c r="E38" s="493">
        <v>9843</v>
      </c>
      <c r="F38" s="493">
        <v>10381</v>
      </c>
      <c r="G38" s="493">
        <v>11156</v>
      </c>
      <c r="H38" s="493">
        <v>10824</v>
      </c>
      <c r="I38" s="493">
        <v>12707</v>
      </c>
      <c r="J38" s="493">
        <v>12258</v>
      </c>
      <c r="K38" s="493">
        <v>12407</v>
      </c>
    </row>
    <row r="39" spans="1:12">
      <c r="A39" s="277" t="s">
        <v>63</v>
      </c>
      <c r="B39" s="257">
        <v>12442.7</v>
      </c>
      <c r="C39" s="257">
        <v>13249.6</v>
      </c>
      <c r="D39" s="257">
        <v>14419.3</v>
      </c>
      <c r="E39" s="257">
        <v>14998</v>
      </c>
      <c r="F39" s="257">
        <v>15465</v>
      </c>
      <c r="G39" s="257">
        <v>17584</v>
      </c>
      <c r="H39" s="257">
        <v>18594</v>
      </c>
      <c r="I39" s="257">
        <v>21600</v>
      </c>
      <c r="J39" s="257">
        <v>21396</v>
      </c>
      <c r="K39" s="257">
        <v>23259</v>
      </c>
    </row>
    <row r="40" spans="1:12" ht="16" thickBot="1">
      <c r="A40" s="497"/>
      <c r="B40" s="261"/>
      <c r="C40" s="261"/>
      <c r="D40" s="261"/>
      <c r="E40" s="261"/>
      <c r="F40" s="261"/>
      <c r="G40" s="261"/>
      <c r="H40" s="261"/>
      <c r="I40" s="261"/>
      <c r="J40" s="261"/>
      <c r="K40" s="12"/>
      <c r="L40" s="12"/>
    </row>
    <row r="41" spans="1:12">
      <c r="A41" s="277" t="s">
        <v>55</v>
      </c>
      <c r="B41" s="257">
        <v>491.1</v>
      </c>
      <c r="C41" s="257">
        <v>485.5</v>
      </c>
      <c r="D41" s="257">
        <v>483.01949999999999</v>
      </c>
      <c r="E41" s="257">
        <v>468</v>
      </c>
      <c r="F41" s="257">
        <v>916</v>
      </c>
      <c r="G41" s="257">
        <v>894</v>
      </c>
      <c r="H41" s="257">
        <v>870</v>
      </c>
      <c r="I41" s="257">
        <v>857</v>
      </c>
      <c r="J41" s="257">
        <v>1682</v>
      </c>
      <c r="K41" s="257">
        <v>1643</v>
      </c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2">
      <c r="A43" s="1" t="s">
        <v>11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</sheetData>
  <dataConsolidate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M47"/>
  <sheetViews>
    <sheetView showGridLines="0" zoomScaleNormal="100" workbookViewId="0">
      <pane xSplit="1" ySplit="5" topLeftCell="B9" activePane="bottomRight" state="frozen"/>
      <selection activeCell="M12" sqref="M12"/>
      <selection pane="topRight" activeCell="M12" sqref="M12"/>
      <selection pane="bottomLeft" activeCell="M12" sqref="M12"/>
      <selection pane="bottomRight" activeCell="K45" sqref="K45"/>
    </sheetView>
  </sheetViews>
  <sheetFormatPr baseColWidth="10" defaultColWidth="8.83203125" defaultRowHeight="15"/>
  <cols>
    <col min="1" max="1" width="42.83203125" customWidth="1"/>
    <col min="2" max="11" width="11.83203125" customWidth="1"/>
    <col min="12" max="13" width="11.83203125" style="9" customWidth="1"/>
    <col min="14" max="16384" width="8.83203125" style="9"/>
  </cols>
  <sheetData>
    <row r="1" spans="1:13" s="12" customFormat="1" ht="3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s="12" customFormat="1" ht="20">
      <c r="A2" s="6" t="s">
        <v>108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12" customForma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3" s="12" customFormat="1">
      <c r="A4" s="13" t="s">
        <v>52</v>
      </c>
      <c r="B4" s="14" t="s">
        <v>51</v>
      </c>
      <c r="C4" s="14" t="s">
        <v>50</v>
      </c>
      <c r="D4" s="14" t="s">
        <v>49</v>
      </c>
      <c r="E4" s="14" t="s">
        <v>48</v>
      </c>
      <c r="F4" s="14" t="s">
        <v>47</v>
      </c>
      <c r="G4" s="14" t="s">
        <v>46</v>
      </c>
      <c r="H4" s="14" t="s">
        <v>45</v>
      </c>
      <c r="I4" s="14" t="s">
        <v>44</v>
      </c>
      <c r="J4" s="14" t="s">
        <v>43</v>
      </c>
      <c r="K4" s="15" t="s">
        <v>42</v>
      </c>
      <c r="L4" s="9"/>
    </row>
    <row r="5" spans="1:13">
      <c r="A5" s="16" t="s">
        <v>41</v>
      </c>
      <c r="B5" s="15" t="s">
        <v>40</v>
      </c>
      <c r="C5" s="15" t="s">
        <v>39</v>
      </c>
      <c r="D5" s="15" t="s">
        <v>38</v>
      </c>
      <c r="E5" s="15" t="s">
        <v>37</v>
      </c>
      <c r="F5" s="15" t="s">
        <v>36</v>
      </c>
      <c r="G5" s="15" t="s">
        <v>35</v>
      </c>
      <c r="H5" s="15" t="s">
        <v>34</v>
      </c>
      <c r="I5" s="15" t="s">
        <v>33</v>
      </c>
      <c r="J5" s="15" t="s">
        <v>32</v>
      </c>
      <c r="K5" s="15" t="s">
        <v>31</v>
      </c>
    </row>
    <row r="6" spans="1:13" ht="5.5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3" s="12" customFormat="1">
      <c r="A7" s="492" t="s">
        <v>24</v>
      </c>
      <c r="B7" s="493">
        <v>18627</v>
      </c>
      <c r="C7" s="493">
        <v>19176.099999999999</v>
      </c>
      <c r="D7" s="493">
        <v>19014</v>
      </c>
      <c r="E7" s="493">
        <v>20862</v>
      </c>
      <c r="F7" s="493">
        <v>24128</v>
      </c>
      <c r="G7" s="493">
        <v>25313</v>
      </c>
      <c r="H7" s="493">
        <v>27799</v>
      </c>
      <c r="I7" s="493">
        <v>30601</v>
      </c>
      <c r="J7" s="493">
        <v>32376</v>
      </c>
      <c r="K7" s="493">
        <v>34350</v>
      </c>
    </row>
    <row r="8" spans="1:13" s="12" customFormat="1">
      <c r="A8" s="19" t="s">
        <v>30</v>
      </c>
      <c r="B8" s="259">
        <v>10239.6</v>
      </c>
      <c r="C8" s="259">
        <v>10571.7</v>
      </c>
      <c r="D8" s="259">
        <v>10213.6</v>
      </c>
      <c r="E8" s="259">
        <v>11354</v>
      </c>
      <c r="F8" s="259">
        <v>13657</v>
      </c>
      <c r="G8" s="259">
        <v>14279</v>
      </c>
      <c r="H8" s="259">
        <v>15353</v>
      </c>
      <c r="I8" s="259">
        <v>16534</v>
      </c>
      <c r="J8" s="259">
        <v>17405</v>
      </c>
      <c r="K8" s="259">
        <v>19038</v>
      </c>
    </row>
    <row r="9" spans="1:13" s="12" customFormat="1">
      <c r="A9" s="492" t="s">
        <v>0</v>
      </c>
      <c r="B9" s="493">
        <v>8387.4</v>
      </c>
      <c r="C9" s="493">
        <v>8604.4</v>
      </c>
      <c r="D9" s="493">
        <v>8800.4</v>
      </c>
      <c r="E9" s="493">
        <v>9508</v>
      </c>
      <c r="F9" s="493">
        <v>10471</v>
      </c>
      <c r="G9" s="493">
        <v>11034</v>
      </c>
      <c r="H9" s="493">
        <v>12446</v>
      </c>
      <c r="I9" s="493">
        <v>14067</v>
      </c>
      <c r="J9" s="493">
        <v>14971</v>
      </c>
      <c r="K9" s="493">
        <v>15312</v>
      </c>
    </row>
    <row r="10" spans="1:13" s="24" customFormat="1" ht="11">
      <c r="A10" s="499" t="s">
        <v>116</v>
      </c>
      <c r="B10" s="500">
        <v>0.45028184892897405</v>
      </c>
      <c r="C10" s="500">
        <v>0.44870437680237379</v>
      </c>
      <c r="D10" s="500">
        <v>0.46283790890922477</v>
      </c>
      <c r="E10" s="500">
        <v>0.45575687853513563</v>
      </c>
      <c r="F10" s="500">
        <v>0.4339771220159151</v>
      </c>
      <c r="G10" s="500">
        <v>0.43590250069134434</v>
      </c>
      <c r="H10" s="500">
        <v>0.44771394654483976</v>
      </c>
      <c r="I10" s="500">
        <v>0.4596908597758243</v>
      </c>
      <c r="J10" s="500">
        <v>0.46241042747714356</v>
      </c>
      <c r="K10" s="500">
        <v>0.445764192139738</v>
      </c>
      <c r="L10" s="23"/>
      <c r="M10" s="23"/>
    </row>
    <row r="11" spans="1:13" s="12" customFormat="1">
      <c r="A11" s="19" t="s">
        <v>109</v>
      </c>
      <c r="B11" s="259">
        <v>5953.7</v>
      </c>
      <c r="C11" s="259">
        <v>6745.9000000000005</v>
      </c>
      <c r="D11" s="259">
        <v>6326.4</v>
      </c>
      <c r="E11" s="259">
        <v>6693</v>
      </c>
      <c r="F11" s="259">
        <v>7431</v>
      </c>
      <c r="G11" s="259">
        <v>7780</v>
      </c>
      <c r="H11" s="259">
        <v>8766</v>
      </c>
      <c r="I11" s="259">
        <v>9892</v>
      </c>
      <c r="J11" s="259">
        <v>10469</v>
      </c>
      <c r="K11" s="259">
        <v>10563</v>
      </c>
    </row>
    <row r="12" spans="1:13" s="12" customFormat="1">
      <c r="A12" s="492" t="s">
        <v>113</v>
      </c>
      <c r="B12" s="493">
        <v>2433.6999999999998</v>
      </c>
      <c r="C12" s="493">
        <v>1858.4999999999991</v>
      </c>
      <c r="D12" s="493">
        <v>2474</v>
      </c>
      <c r="E12" s="493">
        <v>2815</v>
      </c>
      <c r="F12" s="493">
        <v>3040</v>
      </c>
      <c r="G12" s="493">
        <v>3254</v>
      </c>
      <c r="H12" s="493">
        <v>3680</v>
      </c>
      <c r="I12" s="493">
        <v>4175</v>
      </c>
      <c r="J12" s="493">
        <v>4502</v>
      </c>
      <c r="K12" s="493">
        <v>4749</v>
      </c>
    </row>
    <row r="13" spans="1:13" s="24" customFormat="1" ht="11">
      <c r="A13" s="499" t="s">
        <v>116</v>
      </c>
      <c r="B13" s="500">
        <v>0.13065442637032265</v>
      </c>
      <c r="C13" s="500">
        <v>9.6917517117662055E-2</v>
      </c>
      <c r="D13" s="500">
        <v>0.13011465236141789</v>
      </c>
      <c r="E13" s="500">
        <v>0.13493433036142269</v>
      </c>
      <c r="F13" s="500">
        <v>0.12599469496021221</v>
      </c>
      <c r="G13" s="500">
        <v>0.12855054714968595</v>
      </c>
      <c r="H13" s="500">
        <v>0.13237886254901254</v>
      </c>
      <c r="I13" s="500">
        <v>0.13643344988725858</v>
      </c>
      <c r="J13" s="500">
        <v>0.13905361996540647</v>
      </c>
      <c r="K13" s="500">
        <v>0.13825327510917029</v>
      </c>
      <c r="L13" s="23"/>
      <c r="M13" s="23"/>
    </row>
    <row r="14" spans="1:13" s="12" customFormat="1">
      <c r="A14" s="19" t="s">
        <v>112</v>
      </c>
      <c r="B14" s="259">
        <v>-7.9</v>
      </c>
      <c r="C14" s="259">
        <v>88.5</v>
      </c>
      <c r="D14" s="259">
        <v>49.2</v>
      </c>
      <c r="E14" s="259">
        <v>33</v>
      </c>
      <c r="F14" s="259">
        <v>-54</v>
      </c>
      <c r="G14" s="259">
        <v>15</v>
      </c>
      <c r="H14" s="259">
        <v>-103</v>
      </c>
      <c r="I14" s="259">
        <v>58</v>
      </c>
      <c r="J14" s="259">
        <v>140</v>
      </c>
      <c r="K14" s="259">
        <v>196</v>
      </c>
    </row>
    <row r="15" spans="1:13" s="12" customFormat="1">
      <c r="A15" s="492" t="s">
        <v>111</v>
      </c>
      <c r="B15" s="493">
        <v>2425.7999999999997</v>
      </c>
      <c r="C15" s="493">
        <v>1946.9999999999991</v>
      </c>
      <c r="D15" s="493">
        <v>2523.1999999999998</v>
      </c>
      <c r="E15" s="493">
        <v>2848</v>
      </c>
      <c r="F15" s="493">
        <v>2986</v>
      </c>
      <c r="G15" s="493">
        <v>3269</v>
      </c>
      <c r="H15" s="493">
        <v>3577</v>
      </c>
      <c r="I15" s="493">
        <v>4233</v>
      </c>
      <c r="J15" s="493">
        <v>4642</v>
      </c>
      <c r="K15" s="493">
        <v>4945</v>
      </c>
    </row>
    <row r="16" spans="1:13" s="24" customFormat="1" ht="11">
      <c r="A16" s="499" t="s">
        <v>116</v>
      </c>
      <c r="B16" s="500">
        <v>0.13023031083910452</v>
      </c>
      <c r="C16" s="500">
        <v>0.10153263698040786</v>
      </c>
      <c r="D16" s="500">
        <v>0.13270221941727148</v>
      </c>
      <c r="E16" s="500">
        <v>0.13651615377240917</v>
      </c>
      <c r="F16" s="500">
        <v>0.12375663129973474</v>
      </c>
      <c r="G16" s="500">
        <v>0.12914312803697706</v>
      </c>
      <c r="H16" s="500">
        <v>0.1286736932983201</v>
      </c>
      <c r="I16" s="500">
        <v>0.13832881278389594</v>
      </c>
      <c r="J16" s="500">
        <v>0.14337781072399308</v>
      </c>
      <c r="K16" s="500">
        <v>0.14395924308588065</v>
      </c>
      <c r="L16" s="23"/>
      <c r="M16" s="23"/>
    </row>
    <row r="17" spans="1:13" s="12" customFormat="1">
      <c r="A17" s="19" t="s">
        <v>29</v>
      </c>
      <c r="B17" s="259">
        <v>-77.099999999999994</v>
      </c>
      <c r="C17" s="259">
        <v>-9.5</v>
      </c>
      <c r="D17" s="259">
        <v>0</v>
      </c>
      <c r="E17" s="259">
        <v>0</v>
      </c>
      <c r="F17" s="259">
        <v>0</v>
      </c>
      <c r="G17" s="259">
        <v>3</v>
      </c>
      <c r="H17" s="259">
        <v>0</v>
      </c>
      <c r="I17" s="259">
        <v>0</v>
      </c>
      <c r="J17" s="259">
        <v>0</v>
      </c>
      <c r="K17" s="259">
        <v>0</v>
      </c>
    </row>
    <row r="18" spans="1:13" s="12" customFormat="1">
      <c r="A18" s="19" t="s">
        <v>21</v>
      </c>
      <c r="B18" s="259">
        <v>0</v>
      </c>
      <c r="C18" s="259">
        <v>0</v>
      </c>
      <c r="D18" s="259">
        <v>6.3</v>
      </c>
      <c r="E18" s="259">
        <v>4</v>
      </c>
      <c r="F18" s="259">
        <v>3</v>
      </c>
      <c r="G18" s="259">
        <v>0</v>
      </c>
      <c r="H18" s="259">
        <v>33</v>
      </c>
      <c r="I18" s="259">
        <v>28</v>
      </c>
      <c r="J18" s="259">
        <v>19</v>
      </c>
      <c r="K18" s="259">
        <v>59</v>
      </c>
    </row>
    <row r="19" spans="1:13" s="12" customFormat="1">
      <c r="A19" s="492" t="s">
        <v>28</v>
      </c>
      <c r="B19" s="493">
        <v>2502.9</v>
      </c>
      <c r="C19" s="493">
        <v>1956.5</v>
      </c>
      <c r="D19" s="493">
        <v>2516.9</v>
      </c>
      <c r="E19" s="493">
        <v>2844</v>
      </c>
      <c r="F19" s="493">
        <v>2983</v>
      </c>
      <c r="G19" s="493">
        <v>3272</v>
      </c>
      <c r="H19" s="493">
        <v>3544</v>
      </c>
      <c r="I19" s="493">
        <v>4205</v>
      </c>
      <c r="J19" s="493">
        <v>4623</v>
      </c>
      <c r="K19" s="493">
        <v>4886</v>
      </c>
    </row>
    <row r="20" spans="1:13" s="24" customFormat="1" ht="11">
      <c r="A20" s="499" t="s">
        <v>116</v>
      </c>
      <c r="B20" s="500">
        <v>0.13436946368175229</v>
      </c>
      <c r="C20" s="500">
        <v>0.10202804532725633</v>
      </c>
      <c r="D20" s="500">
        <v>0.13237088461133903</v>
      </c>
      <c r="E20" s="500">
        <v>0.1363244176013805</v>
      </c>
      <c r="F20" s="500">
        <v>0.12363229442970822</v>
      </c>
      <c r="G20" s="500">
        <v>0.12926164421443528</v>
      </c>
      <c r="H20" s="500">
        <v>0.12748660023741862</v>
      </c>
      <c r="I20" s="500">
        <v>0.13741381000620895</v>
      </c>
      <c r="J20" s="500">
        <v>0.14279095626389918</v>
      </c>
      <c r="K20" s="500">
        <v>0.14224163027656478</v>
      </c>
      <c r="L20" s="23"/>
      <c r="M20" s="23"/>
    </row>
    <row r="21" spans="1:13" s="12" customFormat="1">
      <c r="A21" s="19" t="s">
        <v>20</v>
      </c>
      <c r="B21" s="259">
        <v>619.5</v>
      </c>
      <c r="C21" s="259">
        <v>469.8</v>
      </c>
      <c r="D21" s="259">
        <v>610.20000000000005</v>
      </c>
      <c r="E21" s="259">
        <v>711</v>
      </c>
      <c r="F21" s="259">
        <v>760</v>
      </c>
      <c r="G21" s="259">
        <v>808</v>
      </c>
      <c r="H21" s="259">
        <v>851</v>
      </c>
      <c r="I21" s="259">
        <v>932</v>
      </c>
      <c r="J21" s="259">
        <v>863</v>
      </c>
      <c r="K21" s="259">
        <v>646</v>
      </c>
    </row>
    <row r="22" spans="1:13" s="24" customFormat="1" ht="11">
      <c r="A22" s="21" t="s">
        <v>117</v>
      </c>
      <c r="B22" s="22">
        <v>0.24751288505333813</v>
      </c>
      <c r="C22" s="22">
        <v>0.24012266802964477</v>
      </c>
      <c r="D22" s="22">
        <v>0.24244109817632803</v>
      </c>
      <c r="E22" s="22">
        <v>0.25</v>
      </c>
      <c r="F22" s="22">
        <v>0.25477707006369427</v>
      </c>
      <c r="G22" s="22">
        <v>0.24694376528117359</v>
      </c>
      <c r="H22" s="22">
        <v>0.24012415349887134</v>
      </c>
      <c r="I22" s="22">
        <v>0.22164090368608799</v>
      </c>
      <c r="J22" s="22">
        <v>0.18667531905688947</v>
      </c>
      <c r="K22" s="22">
        <v>0.13221449038067951</v>
      </c>
      <c r="L22" s="23"/>
      <c r="M22" s="23"/>
    </row>
    <row r="23" spans="1:13" s="12" customFormat="1">
      <c r="A23" s="492" t="s">
        <v>110</v>
      </c>
      <c r="B23" s="493">
        <v>1883.4</v>
      </c>
      <c r="C23" s="493">
        <v>1486.7</v>
      </c>
      <c r="D23" s="493">
        <v>1906.7</v>
      </c>
      <c r="E23" s="493">
        <v>2133</v>
      </c>
      <c r="F23" s="493">
        <v>2223</v>
      </c>
      <c r="G23" s="493">
        <v>2464</v>
      </c>
      <c r="H23" s="493">
        <v>2693</v>
      </c>
      <c r="I23" s="493">
        <v>3273</v>
      </c>
      <c r="J23" s="493">
        <v>3760</v>
      </c>
      <c r="K23" s="493">
        <v>4240</v>
      </c>
    </row>
    <row r="24" spans="1:13" s="24" customFormat="1" ht="11">
      <c r="A24" s="499" t="s">
        <v>116</v>
      </c>
      <c r="B24" s="500">
        <v>0.10111129006281205</v>
      </c>
      <c r="C24" s="500">
        <v>7.7528798869426013E-2</v>
      </c>
      <c r="D24" s="500">
        <v>0.10027874197959398</v>
      </c>
      <c r="E24" s="500">
        <v>0.10224331320103537</v>
      </c>
      <c r="F24" s="500">
        <v>9.2133620689655166E-2</v>
      </c>
      <c r="G24" s="500">
        <v>9.7341287085687192E-2</v>
      </c>
      <c r="H24" s="500">
        <v>9.6873988272959455E-2</v>
      </c>
      <c r="I24" s="500">
        <v>0.1069572889774844</v>
      </c>
      <c r="J24" s="500">
        <v>0.11613540894489746</v>
      </c>
      <c r="K24" s="500">
        <v>0.12343522561863174</v>
      </c>
      <c r="L24" s="23"/>
      <c r="M24" s="23"/>
    </row>
    <row r="25" spans="1:13">
      <c r="A25" s="26" t="s">
        <v>27</v>
      </c>
      <c r="B25" s="27">
        <v>0</v>
      </c>
      <c r="C25" s="27">
        <v>0</v>
      </c>
      <c r="D25" s="27">
        <v>0</v>
      </c>
      <c r="E25" s="27">
        <v>39</v>
      </c>
      <c r="F25" s="27">
        <v>46</v>
      </c>
      <c r="G25" s="27">
        <v>-21</v>
      </c>
      <c r="H25" s="27">
        <v>0</v>
      </c>
      <c r="I25" s="27">
        <v>0</v>
      </c>
      <c r="J25" s="27">
        <v>0</v>
      </c>
      <c r="K25" s="27">
        <v>0</v>
      </c>
    </row>
    <row r="26" spans="1:13" s="12" customFormat="1">
      <c r="A26" s="492" t="s">
        <v>25</v>
      </c>
      <c r="B26" s="493">
        <v>1883.4</v>
      </c>
      <c r="C26" s="493">
        <v>1486.7</v>
      </c>
      <c r="D26" s="493">
        <v>1906.7</v>
      </c>
      <c r="E26" s="493">
        <v>2094</v>
      </c>
      <c r="F26" s="493">
        <v>2177</v>
      </c>
      <c r="G26" s="493">
        <v>2485</v>
      </c>
      <c r="H26" s="493">
        <v>2693</v>
      </c>
      <c r="I26" s="493">
        <v>3273</v>
      </c>
      <c r="J26" s="493">
        <v>3760</v>
      </c>
      <c r="K26" s="493">
        <v>4240</v>
      </c>
    </row>
    <row r="27" spans="1:13" s="24" customFormat="1" ht="11">
      <c r="A27" s="499" t="s">
        <v>116</v>
      </c>
      <c r="B27" s="500">
        <v>0.10111129006281205</v>
      </c>
      <c r="C27" s="500">
        <v>7.7528798869426013E-2</v>
      </c>
      <c r="D27" s="500">
        <v>0.10027874197959398</v>
      </c>
      <c r="E27" s="500">
        <v>0.1003738855335059</v>
      </c>
      <c r="F27" s="500">
        <v>9.0227122015915123E-2</v>
      </c>
      <c r="G27" s="500">
        <v>9.8170900327894758E-2</v>
      </c>
      <c r="H27" s="500">
        <v>9.6873988272959455E-2</v>
      </c>
      <c r="I27" s="500">
        <v>0.1069572889774844</v>
      </c>
      <c r="J27" s="500">
        <v>0.11613540894489746</v>
      </c>
      <c r="K27" s="500">
        <v>0.12343522561863174</v>
      </c>
      <c r="L27" s="23"/>
      <c r="M27" s="23"/>
    </row>
    <row r="28" spans="1:13">
      <c r="A28" s="19"/>
      <c r="B28" s="20"/>
      <c r="C28" s="20"/>
      <c r="D28" s="20"/>
      <c r="E28" s="20"/>
      <c r="F28" s="20"/>
      <c r="G28" s="20"/>
      <c r="H28" s="9"/>
      <c r="I28" s="20"/>
      <c r="J28" s="20"/>
      <c r="K28" s="20"/>
      <c r="L28" s="23"/>
    </row>
    <row r="29" spans="1:13" s="12" customFormat="1" ht="16" thickBot="1">
      <c r="A29" s="496" t="s">
        <v>114</v>
      </c>
      <c r="B29" s="498"/>
      <c r="C29" s="498"/>
      <c r="D29" s="498"/>
      <c r="E29" s="498"/>
      <c r="F29" s="498"/>
      <c r="G29" s="498"/>
      <c r="H29" s="498"/>
      <c r="I29" s="498"/>
      <c r="J29" s="498"/>
      <c r="K29" s="498"/>
      <c r="L29" s="9"/>
    </row>
    <row r="30" spans="1:13" ht="5.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3"/>
    </row>
    <row r="31" spans="1:13">
      <c r="A31" s="501" t="s">
        <v>18</v>
      </c>
      <c r="B31" s="261">
        <v>0</v>
      </c>
      <c r="C31" s="261">
        <v>0</v>
      </c>
      <c r="D31" s="261">
        <v>0</v>
      </c>
      <c r="E31" s="261">
        <v>0</v>
      </c>
      <c r="F31" s="261">
        <v>2.4699999999999998</v>
      </c>
      <c r="G31" s="261">
        <v>2.74</v>
      </c>
      <c r="H31" s="261">
        <v>0</v>
      </c>
      <c r="I31" s="261">
        <v>0</v>
      </c>
      <c r="J31" s="261">
        <v>0</v>
      </c>
      <c r="K31" s="261">
        <v>0</v>
      </c>
    </row>
    <row r="32" spans="1:13">
      <c r="A32" s="19" t="s">
        <v>17</v>
      </c>
      <c r="B32" s="259">
        <v>3.8</v>
      </c>
      <c r="C32" s="259">
        <v>3.07</v>
      </c>
      <c r="D32" s="259">
        <v>3.93</v>
      </c>
      <c r="E32" s="259">
        <v>4.4800000000000004</v>
      </c>
      <c r="F32" s="259">
        <v>2.42</v>
      </c>
      <c r="G32" s="259">
        <v>0</v>
      </c>
      <c r="H32" s="259">
        <v>0</v>
      </c>
      <c r="I32" s="259">
        <v>3.8</v>
      </c>
      <c r="J32" s="259">
        <v>2.21</v>
      </c>
      <c r="K32" s="259">
        <v>2.56</v>
      </c>
    </row>
    <row r="33" spans="1:11">
      <c r="A33" s="19" t="s">
        <v>16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897.3</v>
      </c>
      <c r="H33" s="259">
        <v>883.4</v>
      </c>
      <c r="I33" s="259">
        <v>0</v>
      </c>
      <c r="J33" s="259">
        <v>0</v>
      </c>
      <c r="K33" s="259">
        <v>0</v>
      </c>
    </row>
    <row r="34" spans="1:11">
      <c r="A34" s="19" t="s">
        <v>15</v>
      </c>
      <c r="B34" s="259">
        <v>0</v>
      </c>
      <c r="C34" s="259">
        <v>0</v>
      </c>
      <c r="D34" s="259">
        <v>0</v>
      </c>
      <c r="E34" s="259">
        <v>0</v>
      </c>
      <c r="F34" s="259">
        <v>2.42</v>
      </c>
      <c r="G34" s="259">
        <v>2.68</v>
      </c>
      <c r="H34" s="259">
        <v>0</v>
      </c>
      <c r="I34" s="259">
        <v>0</v>
      </c>
      <c r="J34" s="259">
        <v>0</v>
      </c>
      <c r="K34" s="259">
        <v>0</v>
      </c>
    </row>
    <row r="35" spans="1:11">
      <c r="A35" s="19" t="s">
        <v>14</v>
      </c>
      <c r="B35" s="259">
        <v>3.74</v>
      </c>
      <c r="C35" s="259">
        <v>3.03</v>
      </c>
      <c r="D35" s="259">
        <v>3.86</v>
      </c>
      <c r="E35" s="259">
        <v>4.3899999999999997</v>
      </c>
      <c r="F35" s="259">
        <v>2.37</v>
      </c>
      <c r="G35" s="259">
        <v>0</v>
      </c>
      <c r="H35" s="259">
        <v>0</v>
      </c>
      <c r="I35" s="259">
        <v>3.7</v>
      </c>
      <c r="J35" s="259">
        <v>2.16</v>
      </c>
      <c r="K35" s="259">
        <v>2.5099999999999998</v>
      </c>
    </row>
    <row r="36" spans="1:11">
      <c r="A36" s="19" t="s">
        <v>13</v>
      </c>
      <c r="B36" s="259">
        <v>0</v>
      </c>
      <c r="C36" s="259">
        <v>0</v>
      </c>
      <c r="D36" s="259">
        <v>0</v>
      </c>
      <c r="E36" s="259">
        <v>0</v>
      </c>
      <c r="F36" s="259">
        <v>0</v>
      </c>
      <c r="G36" s="259">
        <v>916.4</v>
      </c>
      <c r="H36" s="259">
        <v>905.8</v>
      </c>
      <c r="I36" s="259">
        <v>0</v>
      </c>
      <c r="J36" s="259">
        <v>0</v>
      </c>
      <c r="K36" s="259">
        <v>0</v>
      </c>
    </row>
    <row r="37" spans="1:11">
      <c r="A37" s="19" t="s">
        <v>12</v>
      </c>
      <c r="B37" s="259">
        <v>0</v>
      </c>
      <c r="C37" s="259">
        <v>0</v>
      </c>
      <c r="D37" s="259">
        <v>0</v>
      </c>
      <c r="E37" s="259">
        <v>0</v>
      </c>
      <c r="F37" s="259">
        <v>-0.05</v>
      </c>
      <c r="G37" s="259">
        <v>0.02</v>
      </c>
      <c r="H37" s="259">
        <v>0</v>
      </c>
      <c r="I37" s="259">
        <v>0</v>
      </c>
      <c r="J37" s="259">
        <v>0</v>
      </c>
      <c r="K37" s="259">
        <v>0</v>
      </c>
    </row>
    <row r="38" spans="1:11">
      <c r="A38" s="502" t="s">
        <v>26</v>
      </c>
      <c r="B38" s="263">
        <v>0</v>
      </c>
      <c r="C38" s="263">
        <v>0</v>
      </c>
      <c r="D38" s="263">
        <v>0</v>
      </c>
      <c r="E38" s="263">
        <v>0</v>
      </c>
      <c r="F38" s="263">
        <v>-0.05</v>
      </c>
      <c r="G38" s="263">
        <v>0.02</v>
      </c>
      <c r="H38" s="263">
        <v>0</v>
      </c>
      <c r="I38" s="263">
        <v>0</v>
      </c>
      <c r="J38" s="263">
        <v>0</v>
      </c>
      <c r="K38" s="263">
        <v>0</v>
      </c>
    </row>
    <row r="39" spans="1:11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 s="12" customFormat="1" ht="16" thickBot="1">
      <c r="A40" s="496" t="s">
        <v>115</v>
      </c>
      <c r="B40" s="498"/>
      <c r="C40" s="498"/>
      <c r="D40" s="498"/>
      <c r="E40" s="498"/>
      <c r="F40" s="498"/>
      <c r="G40" s="498"/>
      <c r="H40" s="498"/>
      <c r="I40" s="498"/>
      <c r="J40" s="498"/>
      <c r="K40" s="498"/>
    </row>
    <row r="41" spans="1:11" ht="5.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>
      <c r="A42" s="501" t="s">
        <v>23</v>
      </c>
      <c r="B42" s="261">
        <v>9.1999999999999993</v>
      </c>
      <c r="C42" s="261">
        <v>11.9</v>
      </c>
      <c r="D42" s="261">
        <v>13.5</v>
      </c>
      <c r="E42" s="261">
        <v>16</v>
      </c>
      <c r="F42" s="261">
        <v>14</v>
      </c>
      <c r="G42" s="261">
        <v>14</v>
      </c>
      <c r="H42" s="261">
        <v>11</v>
      </c>
      <c r="I42" s="261">
        <v>0</v>
      </c>
      <c r="J42" s="261">
        <v>0</v>
      </c>
      <c r="K42" s="261">
        <v>0</v>
      </c>
    </row>
    <row r="43" spans="1:11">
      <c r="A43" s="19" t="s">
        <v>22</v>
      </c>
      <c r="B43" s="259">
        <v>303.60000000000002</v>
      </c>
      <c r="C43" s="259">
        <v>335</v>
      </c>
      <c r="D43" s="259">
        <v>323.7</v>
      </c>
      <c r="E43" s="259">
        <v>335</v>
      </c>
      <c r="F43" s="259">
        <v>373</v>
      </c>
      <c r="G43" s="259">
        <v>438</v>
      </c>
      <c r="H43" s="259">
        <v>518</v>
      </c>
      <c r="I43" s="259">
        <v>606</v>
      </c>
      <c r="J43" s="259">
        <v>649</v>
      </c>
      <c r="K43" s="259">
        <v>706</v>
      </c>
    </row>
    <row r="44" spans="1:11">
      <c r="A44" s="19" t="s">
        <v>19</v>
      </c>
      <c r="B44" s="259">
        <v>0.875</v>
      </c>
      <c r="C44" s="259">
        <v>0.98</v>
      </c>
      <c r="D44" s="259">
        <v>1.06</v>
      </c>
      <c r="E44" s="259">
        <v>1.2</v>
      </c>
      <c r="F44" s="259">
        <v>0.7</v>
      </c>
      <c r="G44" s="259">
        <v>0.81</v>
      </c>
      <c r="H44" s="259">
        <v>0.93</v>
      </c>
      <c r="I44" s="259">
        <v>1.08</v>
      </c>
      <c r="J44" s="259">
        <v>0.62</v>
      </c>
      <c r="K44" s="259">
        <v>0.7</v>
      </c>
    </row>
    <row r="45" spans="1:11">
      <c r="A45" s="19" t="s">
        <v>16</v>
      </c>
      <c r="B45" s="259">
        <v>495.6</v>
      </c>
      <c r="C45" s="259">
        <v>484.9</v>
      </c>
      <c r="D45" s="259">
        <v>485.5</v>
      </c>
      <c r="E45" s="259">
        <v>475.5</v>
      </c>
      <c r="F45" s="259">
        <v>920</v>
      </c>
      <c r="G45" s="259">
        <v>897.3</v>
      </c>
      <c r="H45" s="259">
        <v>883.4</v>
      </c>
      <c r="I45" s="259">
        <v>861.7</v>
      </c>
      <c r="J45" s="259">
        <v>1697.9</v>
      </c>
      <c r="K45" s="259">
        <v>1657.8</v>
      </c>
    </row>
    <row r="46" spans="1:11">
      <c r="A46" s="502" t="s">
        <v>93</v>
      </c>
      <c r="B46" s="263">
        <v>-449.2</v>
      </c>
      <c r="C46" s="263">
        <v>-455.7</v>
      </c>
      <c r="D46" s="263">
        <v>-335.1</v>
      </c>
      <c r="E46" s="263">
        <v>-432</v>
      </c>
      <c r="F46" s="263">
        <v>-597</v>
      </c>
      <c r="G46" s="263">
        <v>-598</v>
      </c>
      <c r="H46" s="263">
        <v>-880</v>
      </c>
      <c r="I46" s="263">
        <v>-963</v>
      </c>
      <c r="J46" s="263">
        <v>-1143</v>
      </c>
      <c r="K46" s="263">
        <v>-1105</v>
      </c>
    </row>
    <row r="47" spans="1:11">
      <c r="A47" s="1" t="s">
        <v>131</v>
      </c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M65"/>
  <sheetViews>
    <sheetView showGridLines="0" workbookViewId="0">
      <pane xSplit="1" ySplit="5" topLeftCell="B51" activePane="bottomRight" state="frozen"/>
      <selection activeCell="M12" sqref="M12"/>
      <selection pane="topRight" activeCell="M12" sqref="M12"/>
      <selection pane="bottomLeft" activeCell="M12" sqref="M12"/>
      <selection pane="bottomRight" activeCell="A3" sqref="A3:XFD3"/>
    </sheetView>
  </sheetViews>
  <sheetFormatPr baseColWidth="10" defaultColWidth="8.83203125" defaultRowHeight="15"/>
  <cols>
    <col min="1" max="1" width="45.33203125" style="31" customWidth="1"/>
    <col min="2" max="11" width="11.83203125" style="31" customWidth="1"/>
    <col min="12" max="13" width="11.83203125" style="38" customWidth="1"/>
    <col min="14" max="16384" width="8.83203125" style="38"/>
  </cols>
  <sheetData>
    <row r="1" spans="1:13" s="31" customFormat="1" ht="30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3" s="31" customFormat="1" ht="20">
      <c r="A2" s="32" t="s">
        <v>149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3" s="31" customForma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3" s="31" customFormat="1">
      <c r="A4" s="35" t="s">
        <v>136</v>
      </c>
      <c r="B4" s="36" t="s">
        <v>51</v>
      </c>
      <c r="C4" s="36" t="s">
        <v>50</v>
      </c>
      <c r="D4" s="36" t="s">
        <v>49</v>
      </c>
      <c r="E4" s="36" t="s">
        <v>48</v>
      </c>
      <c r="F4" s="36" t="s">
        <v>47</v>
      </c>
      <c r="G4" s="36" t="s">
        <v>46</v>
      </c>
      <c r="H4" s="36" t="s">
        <v>45</v>
      </c>
      <c r="I4" s="36" t="s">
        <v>44</v>
      </c>
      <c r="J4" s="36" t="s">
        <v>43</v>
      </c>
      <c r="K4" s="37" t="s">
        <v>42</v>
      </c>
      <c r="L4" s="38"/>
    </row>
    <row r="5" spans="1:13">
      <c r="A5" s="39" t="s">
        <v>41</v>
      </c>
      <c r="B5" s="37" t="s">
        <v>40</v>
      </c>
      <c r="C5" s="37" t="s">
        <v>39</v>
      </c>
      <c r="D5" s="37" t="s">
        <v>38</v>
      </c>
      <c r="E5" s="37" t="s">
        <v>37</v>
      </c>
      <c r="F5" s="37" t="s">
        <v>36</v>
      </c>
      <c r="G5" s="37" t="s">
        <v>35</v>
      </c>
      <c r="H5" s="37" t="s">
        <v>34</v>
      </c>
      <c r="I5" s="37" t="s">
        <v>33</v>
      </c>
      <c r="J5" s="37" t="s">
        <v>32</v>
      </c>
      <c r="K5" s="37" t="s">
        <v>31</v>
      </c>
    </row>
    <row r="6" spans="1:13" ht="6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3" s="12" customFormat="1" ht="16" thickBot="1">
      <c r="A7" s="496" t="s">
        <v>150</v>
      </c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9"/>
    </row>
    <row r="8" spans="1:13" ht="6" customHeight="1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13" s="44" customFormat="1">
      <c r="A9" s="508" t="s">
        <v>25</v>
      </c>
      <c r="B9" s="509">
        <v>1883.4</v>
      </c>
      <c r="C9" s="509">
        <v>1486.7</v>
      </c>
      <c r="D9" s="509">
        <v>1906.7</v>
      </c>
      <c r="E9" s="509">
        <v>2133</v>
      </c>
      <c r="F9" s="509">
        <v>2223</v>
      </c>
      <c r="G9" s="509">
        <v>2485</v>
      </c>
      <c r="H9" s="509">
        <v>2693</v>
      </c>
      <c r="I9" s="509">
        <v>3273</v>
      </c>
      <c r="J9" s="509">
        <v>3760</v>
      </c>
      <c r="K9" s="509">
        <v>4240</v>
      </c>
      <c r="L9" s="43"/>
    </row>
    <row r="10" spans="1:13" s="46" customFormat="1" ht="13">
      <c r="A10" s="42" t="s">
        <v>106</v>
      </c>
      <c r="B10" s="503">
        <v>303.60000000000002</v>
      </c>
      <c r="C10" s="503">
        <v>335</v>
      </c>
      <c r="D10" s="503">
        <v>323.7</v>
      </c>
      <c r="E10" s="503">
        <v>335</v>
      </c>
      <c r="F10" s="503">
        <v>373</v>
      </c>
      <c r="G10" s="503">
        <v>438</v>
      </c>
      <c r="H10" s="503">
        <v>518</v>
      </c>
      <c r="I10" s="503">
        <v>606</v>
      </c>
      <c r="J10" s="503">
        <v>649</v>
      </c>
      <c r="K10" s="503">
        <v>706</v>
      </c>
      <c r="L10" s="45"/>
      <c r="M10" s="45"/>
    </row>
    <row r="11" spans="1:13">
      <c r="A11" s="42" t="s">
        <v>105</v>
      </c>
      <c r="B11" s="503">
        <v>-300.60000000000002</v>
      </c>
      <c r="C11" s="503">
        <v>-294.10000000000002</v>
      </c>
      <c r="D11" s="503">
        <v>8.3000000000000007</v>
      </c>
      <c r="E11" s="503">
        <v>-76</v>
      </c>
      <c r="F11" s="503">
        <v>-60</v>
      </c>
      <c r="G11" s="503">
        <v>21</v>
      </c>
      <c r="H11" s="503">
        <v>-11</v>
      </c>
      <c r="I11" s="503">
        <v>-113</v>
      </c>
      <c r="J11" s="503">
        <v>-80</v>
      </c>
      <c r="K11" s="503">
        <v>-273</v>
      </c>
    </row>
    <row r="12" spans="1:13" s="44" customFormat="1">
      <c r="A12" s="42" t="s">
        <v>104</v>
      </c>
      <c r="B12" s="503">
        <v>141</v>
      </c>
      <c r="C12" s="503">
        <v>170.6</v>
      </c>
      <c r="D12" s="503">
        <v>159</v>
      </c>
      <c r="E12" s="503">
        <v>105</v>
      </c>
      <c r="F12" s="503">
        <v>130</v>
      </c>
      <c r="G12" s="503">
        <v>174</v>
      </c>
      <c r="H12" s="503">
        <v>177</v>
      </c>
      <c r="I12" s="503">
        <v>191</v>
      </c>
      <c r="J12" s="503">
        <v>236</v>
      </c>
      <c r="K12" s="503">
        <v>215</v>
      </c>
      <c r="L12" s="43"/>
    </row>
    <row r="13" spans="1:13" s="44" customFormat="1">
      <c r="A13" s="42" t="s">
        <v>96</v>
      </c>
      <c r="B13" s="503">
        <v>0</v>
      </c>
      <c r="C13" s="503">
        <v>0</v>
      </c>
      <c r="D13" s="503">
        <v>0</v>
      </c>
      <c r="E13" s="503">
        <v>0</v>
      </c>
      <c r="F13" s="503">
        <v>0</v>
      </c>
      <c r="G13" s="503">
        <v>0</v>
      </c>
      <c r="H13" s="503">
        <v>0</v>
      </c>
      <c r="I13" s="503">
        <v>424</v>
      </c>
      <c r="J13" s="503">
        <v>98</v>
      </c>
      <c r="K13" s="503">
        <v>-117</v>
      </c>
      <c r="L13" s="43"/>
    </row>
    <row r="14" spans="1:13" s="44" customFormat="1">
      <c r="A14" s="42" t="s">
        <v>95</v>
      </c>
      <c r="B14" s="503">
        <v>0</v>
      </c>
      <c r="C14" s="503">
        <v>401.3</v>
      </c>
      <c r="D14" s="503">
        <v>0</v>
      </c>
      <c r="E14" s="503">
        <v>0</v>
      </c>
      <c r="F14" s="503">
        <v>0</v>
      </c>
      <c r="G14" s="503">
        <v>0</v>
      </c>
      <c r="H14" s="503">
        <v>0</v>
      </c>
      <c r="I14" s="503">
        <v>0</v>
      </c>
      <c r="J14" s="503">
        <v>0</v>
      </c>
      <c r="K14" s="503">
        <v>0</v>
      </c>
      <c r="L14" s="43"/>
    </row>
    <row r="15" spans="1:13" s="46" customFormat="1" ht="13">
      <c r="A15" s="42" t="s">
        <v>103</v>
      </c>
      <c r="B15" s="503">
        <v>-60.6</v>
      </c>
      <c r="C15" s="503">
        <v>0</v>
      </c>
      <c r="D15" s="503">
        <v>0</v>
      </c>
      <c r="E15" s="503">
        <v>0</v>
      </c>
      <c r="F15" s="503">
        <v>0</v>
      </c>
      <c r="G15" s="503">
        <v>-124</v>
      </c>
      <c r="H15" s="503">
        <v>0</v>
      </c>
      <c r="I15" s="503">
        <v>0</v>
      </c>
      <c r="J15" s="503">
        <v>0</v>
      </c>
      <c r="K15" s="503">
        <v>0</v>
      </c>
      <c r="L15" s="45"/>
      <c r="M15" s="45"/>
    </row>
    <row r="16" spans="1:13">
      <c r="A16" s="42" t="s">
        <v>102</v>
      </c>
      <c r="B16" s="503">
        <v>-249.8</v>
      </c>
      <c r="C16" s="503">
        <v>32.200000000000003</v>
      </c>
      <c r="D16" s="503">
        <v>284.60000000000002</v>
      </c>
      <c r="E16" s="503">
        <v>-551</v>
      </c>
      <c r="F16" s="503">
        <v>-805</v>
      </c>
      <c r="G16" s="503">
        <v>-197</v>
      </c>
      <c r="H16" s="503">
        <v>-505</v>
      </c>
      <c r="I16" s="503">
        <v>-621</v>
      </c>
      <c r="J16" s="503">
        <v>-590</v>
      </c>
      <c r="K16" s="503">
        <v>-231</v>
      </c>
    </row>
    <row r="17" spans="1:13" s="44" customFormat="1">
      <c r="A17" s="42" t="s">
        <v>101</v>
      </c>
      <c r="B17" s="503">
        <v>-118.3</v>
      </c>
      <c r="C17" s="503">
        <v>-238</v>
      </c>
      <c r="D17" s="503">
        <v>181.7</v>
      </c>
      <c r="E17" s="503">
        <v>-273</v>
      </c>
      <c r="F17" s="503">
        <v>-323</v>
      </c>
      <c r="G17" s="503">
        <v>142</v>
      </c>
      <c r="H17" s="503">
        <v>-298</v>
      </c>
      <c r="I17" s="503">
        <v>-216</v>
      </c>
      <c r="J17" s="503">
        <v>60</v>
      </c>
      <c r="K17" s="503">
        <v>-426</v>
      </c>
      <c r="L17" s="43"/>
    </row>
    <row r="18" spans="1:13" s="46" customFormat="1" ht="13">
      <c r="A18" s="42" t="s">
        <v>100</v>
      </c>
      <c r="B18" s="503">
        <v>-11.2</v>
      </c>
      <c r="C18" s="503">
        <v>14.1</v>
      </c>
      <c r="D18" s="503">
        <v>-69.599999999999994</v>
      </c>
      <c r="E18" s="503">
        <v>-35</v>
      </c>
      <c r="F18" s="503">
        <v>-141</v>
      </c>
      <c r="G18" s="503">
        <v>-28</v>
      </c>
      <c r="H18" s="503">
        <v>-210</v>
      </c>
      <c r="I18" s="503">
        <v>-144</v>
      </c>
      <c r="J18" s="503">
        <v>-161</v>
      </c>
      <c r="K18" s="503">
        <v>-120</v>
      </c>
      <c r="L18" s="45"/>
      <c r="M18" s="45"/>
    </row>
    <row r="19" spans="1:13">
      <c r="A19" s="42" t="s">
        <v>99</v>
      </c>
      <c r="B19" s="503">
        <v>330.9</v>
      </c>
      <c r="C19" s="503">
        <v>-220</v>
      </c>
      <c r="D19" s="503">
        <v>298</v>
      </c>
      <c r="E19" s="503">
        <v>151</v>
      </c>
      <c r="F19" s="503">
        <v>470</v>
      </c>
      <c r="G19" s="503">
        <v>41</v>
      </c>
      <c r="H19" s="503">
        <v>525</v>
      </c>
      <c r="I19" s="503">
        <v>1237</v>
      </c>
      <c r="J19" s="503">
        <v>-889</v>
      </c>
      <c r="K19" s="503">
        <v>-364</v>
      </c>
    </row>
    <row r="20" spans="1:13" ht="16" thickBot="1">
      <c r="A20" s="42" t="s">
        <v>98</v>
      </c>
      <c r="B20" s="503">
        <v>17.899999999999999</v>
      </c>
      <c r="C20" s="503">
        <v>48.3</v>
      </c>
      <c r="D20" s="503">
        <v>71.8</v>
      </c>
      <c r="E20" s="503">
        <v>23</v>
      </c>
      <c r="F20" s="503">
        <v>32</v>
      </c>
      <c r="G20" s="503">
        <v>75</v>
      </c>
      <c r="H20" s="503">
        <v>114</v>
      </c>
      <c r="I20" s="503">
        <v>43</v>
      </c>
      <c r="J20" s="503">
        <v>13</v>
      </c>
      <c r="K20" s="503">
        <v>10</v>
      </c>
    </row>
    <row r="21" spans="1:13" customFormat="1">
      <c r="A21" s="277" t="s">
        <v>97</v>
      </c>
      <c r="B21" s="257">
        <v>1936.3</v>
      </c>
      <c r="C21" s="257">
        <v>1736.1</v>
      </c>
      <c r="D21" s="257">
        <v>3164.2</v>
      </c>
      <c r="E21" s="257">
        <v>1812</v>
      </c>
      <c r="F21" s="257">
        <v>1899</v>
      </c>
      <c r="G21" s="257">
        <v>3027</v>
      </c>
      <c r="H21" s="257">
        <v>3003</v>
      </c>
      <c r="I21" s="257">
        <v>4680</v>
      </c>
      <c r="J21" s="257">
        <v>3096</v>
      </c>
      <c r="K21" s="257">
        <v>3640</v>
      </c>
    </row>
    <row r="22" spans="1:13" s="44" customFormat="1" ht="8" customHeight="1">
      <c r="A22" s="47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43"/>
    </row>
    <row r="23" spans="1:13" s="12" customFormat="1" ht="16" thickBot="1">
      <c r="A23" s="496" t="s">
        <v>153</v>
      </c>
      <c r="B23" s="498"/>
      <c r="C23" s="498"/>
      <c r="D23" s="498"/>
      <c r="E23" s="498"/>
      <c r="F23" s="498"/>
      <c r="G23" s="498"/>
      <c r="H23" s="498"/>
      <c r="I23" s="498"/>
      <c r="J23" s="498"/>
      <c r="K23" s="498"/>
      <c r="L23" s="9"/>
    </row>
    <row r="24" spans="1:13" ht="6" customHeight="1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1:13" s="44" customFormat="1">
      <c r="A25" s="508" t="s">
        <v>94</v>
      </c>
      <c r="B25" s="509">
        <v>1.9</v>
      </c>
      <c r="C25" s="509">
        <v>32</v>
      </c>
      <c r="D25" s="509">
        <v>10.1</v>
      </c>
      <c r="E25" s="509">
        <v>1</v>
      </c>
      <c r="F25" s="509">
        <v>2</v>
      </c>
      <c r="G25" s="509">
        <v>14</v>
      </c>
      <c r="H25" s="509">
        <v>3</v>
      </c>
      <c r="I25" s="509">
        <v>3</v>
      </c>
      <c r="J25" s="509">
        <v>10</v>
      </c>
      <c r="K25" s="509">
        <v>13</v>
      </c>
      <c r="L25" s="43"/>
    </row>
    <row r="26" spans="1:13">
      <c r="A26" s="42" t="s">
        <v>93</v>
      </c>
      <c r="B26" s="503">
        <v>-449.2</v>
      </c>
      <c r="C26" s="503">
        <v>-455.7</v>
      </c>
      <c r="D26" s="503">
        <v>-335.1</v>
      </c>
      <c r="E26" s="503">
        <v>-432</v>
      </c>
      <c r="F26" s="503">
        <v>-597</v>
      </c>
      <c r="G26" s="503">
        <v>-636</v>
      </c>
      <c r="H26" s="503">
        <v>-880</v>
      </c>
      <c r="I26" s="503">
        <v>-963</v>
      </c>
      <c r="J26" s="503">
        <v>-1143</v>
      </c>
      <c r="K26" s="503">
        <v>-1105</v>
      </c>
    </row>
    <row r="27" spans="1:13" s="44" customFormat="1">
      <c r="A27" s="42" t="s">
        <v>92</v>
      </c>
      <c r="B27" s="503">
        <v>2246</v>
      </c>
      <c r="C27" s="503">
        <v>2390</v>
      </c>
      <c r="D27" s="503">
        <v>2787.6</v>
      </c>
      <c r="E27" s="503">
        <v>7079</v>
      </c>
      <c r="F27" s="503">
        <v>3829</v>
      </c>
      <c r="G27" s="503">
        <v>2499</v>
      </c>
      <c r="H27" s="503">
        <v>5058</v>
      </c>
      <c r="I27" s="503">
        <v>5721</v>
      </c>
      <c r="J27" s="503">
        <v>5310</v>
      </c>
      <c r="K27" s="503">
        <v>6046</v>
      </c>
    </row>
    <row r="28" spans="1:13" s="46" customFormat="1" ht="13">
      <c r="A28" s="42" t="s">
        <v>91</v>
      </c>
      <c r="B28" s="503">
        <v>-1865.6</v>
      </c>
      <c r="C28" s="503">
        <v>-2908.7</v>
      </c>
      <c r="D28" s="503">
        <v>-3724.4</v>
      </c>
      <c r="E28" s="503">
        <v>-7616</v>
      </c>
      <c r="F28" s="503">
        <v>-2705</v>
      </c>
      <c r="G28" s="503">
        <v>-3702</v>
      </c>
      <c r="H28" s="503">
        <v>-5386</v>
      </c>
      <c r="I28" s="503">
        <v>-4936</v>
      </c>
      <c r="J28" s="503">
        <v>-5367</v>
      </c>
      <c r="K28" s="503">
        <v>-5928</v>
      </c>
      <c r="L28" s="45"/>
      <c r="M28" s="45"/>
    </row>
    <row r="29" spans="1:13">
      <c r="A29" s="42" t="s">
        <v>90</v>
      </c>
      <c r="B29" s="503">
        <v>0</v>
      </c>
      <c r="C29" s="503">
        <v>0</v>
      </c>
      <c r="D29" s="503">
        <v>0</v>
      </c>
      <c r="E29" s="503">
        <v>0</v>
      </c>
      <c r="F29" s="503">
        <v>0</v>
      </c>
      <c r="G29" s="503">
        <v>0</v>
      </c>
      <c r="H29" s="503">
        <v>0</v>
      </c>
      <c r="I29" s="503">
        <v>-150</v>
      </c>
      <c r="J29" s="503">
        <v>150</v>
      </c>
      <c r="K29" s="503">
        <v>0</v>
      </c>
    </row>
    <row r="30" spans="1:13">
      <c r="A30" s="42" t="s">
        <v>89</v>
      </c>
      <c r="B30" s="503">
        <v>-571.1</v>
      </c>
      <c r="C30" s="503">
        <v>0</v>
      </c>
      <c r="D30" s="503">
        <v>0</v>
      </c>
      <c r="E30" s="503">
        <v>0</v>
      </c>
      <c r="F30" s="503">
        <v>0</v>
      </c>
      <c r="G30" s="503">
        <v>0</v>
      </c>
      <c r="H30" s="503">
        <v>0</v>
      </c>
      <c r="I30" s="503">
        <v>0</v>
      </c>
      <c r="J30" s="503">
        <v>0</v>
      </c>
      <c r="K30" s="503">
        <v>0</v>
      </c>
    </row>
    <row r="31" spans="1:13" s="48" customFormat="1">
      <c r="A31" s="42" t="s">
        <v>88</v>
      </c>
      <c r="B31" s="503">
        <v>-76</v>
      </c>
      <c r="C31" s="503">
        <v>191.3</v>
      </c>
      <c r="D31" s="503">
        <v>5.5</v>
      </c>
      <c r="E31" s="503">
        <v>-23</v>
      </c>
      <c r="F31" s="503">
        <v>22</v>
      </c>
      <c r="G31" s="503">
        <v>0</v>
      </c>
      <c r="H31" s="503">
        <v>-2</v>
      </c>
      <c r="I31" s="503">
        <v>0</v>
      </c>
      <c r="J31" s="503">
        <v>6</v>
      </c>
      <c r="K31" s="503">
        <v>-34</v>
      </c>
    </row>
    <row r="32" spans="1:13" s="48" customFormat="1">
      <c r="A32" s="42" t="s">
        <v>87</v>
      </c>
      <c r="B32" s="503">
        <v>246</v>
      </c>
      <c r="C32" s="503">
        <v>0</v>
      </c>
      <c r="D32" s="503">
        <v>0</v>
      </c>
      <c r="E32" s="503">
        <v>0</v>
      </c>
      <c r="F32" s="503">
        <v>0</v>
      </c>
      <c r="G32" s="503">
        <v>786</v>
      </c>
      <c r="H32" s="503">
        <v>0</v>
      </c>
      <c r="I32" s="503">
        <v>0</v>
      </c>
      <c r="J32" s="503">
        <v>0</v>
      </c>
      <c r="K32" s="503">
        <v>0</v>
      </c>
    </row>
    <row r="33" spans="1:12" s="48" customFormat="1" ht="16" thickBot="1">
      <c r="A33" s="42" t="s">
        <v>86</v>
      </c>
      <c r="B33" s="503">
        <v>-21.8</v>
      </c>
      <c r="C33" s="503">
        <v>-47</v>
      </c>
      <c r="D33" s="503">
        <v>-11.2</v>
      </c>
      <c r="E33" s="503">
        <v>-30</v>
      </c>
      <c r="F33" s="503">
        <v>-37</v>
      </c>
      <c r="G33" s="503">
        <v>-28</v>
      </c>
      <c r="H33" s="503">
        <v>0</v>
      </c>
      <c r="I33" s="503">
        <v>0</v>
      </c>
      <c r="J33" s="503">
        <v>0</v>
      </c>
      <c r="K33" s="503">
        <v>0</v>
      </c>
    </row>
    <row r="34" spans="1:12" customFormat="1">
      <c r="A34" s="277" t="s">
        <v>154</v>
      </c>
      <c r="B34" s="257">
        <v>-489.8</v>
      </c>
      <c r="C34" s="257">
        <v>-798.1</v>
      </c>
      <c r="D34" s="257">
        <v>-1267.5</v>
      </c>
      <c r="E34" s="257">
        <v>-1021</v>
      </c>
      <c r="F34" s="257">
        <v>514</v>
      </c>
      <c r="G34" s="257">
        <v>-1067</v>
      </c>
      <c r="H34" s="257">
        <v>-1207</v>
      </c>
      <c r="I34" s="257">
        <v>-175</v>
      </c>
      <c r="J34" s="257">
        <v>-1034</v>
      </c>
      <c r="K34" s="257">
        <v>-1008</v>
      </c>
    </row>
    <row r="35" spans="1:12" s="48" customFormat="1" ht="9" customHeight="1">
      <c r="A35" s="49"/>
      <c r="B35" s="505"/>
      <c r="C35" s="505"/>
      <c r="D35" s="505"/>
      <c r="E35" s="505"/>
      <c r="F35" s="505"/>
      <c r="G35" s="505"/>
      <c r="H35" s="505"/>
      <c r="I35" s="505"/>
      <c r="J35" s="505"/>
      <c r="K35" s="505"/>
    </row>
    <row r="36" spans="1:12" s="12" customFormat="1" ht="16" thickBot="1">
      <c r="A36" s="496" t="s">
        <v>151</v>
      </c>
      <c r="B36" s="498"/>
      <c r="C36" s="498"/>
      <c r="D36" s="498"/>
      <c r="E36" s="498"/>
      <c r="F36" s="498"/>
      <c r="G36" s="498"/>
      <c r="H36" s="498"/>
      <c r="I36" s="498"/>
      <c r="J36" s="498"/>
      <c r="K36" s="498"/>
      <c r="L36" s="9"/>
    </row>
    <row r="37" spans="1:12" ht="6" customHeigh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spans="1:12" s="44" customFormat="1">
      <c r="A38" s="508" t="s">
        <v>85</v>
      </c>
      <c r="B38" s="509">
        <v>-412.9</v>
      </c>
      <c r="C38" s="509">
        <v>-466.7</v>
      </c>
      <c r="D38" s="509">
        <v>-505.4</v>
      </c>
      <c r="E38" s="509">
        <v>-555</v>
      </c>
      <c r="F38" s="509">
        <v>-619</v>
      </c>
      <c r="G38" s="509">
        <v>-703</v>
      </c>
      <c r="H38" s="509">
        <v>-799</v>
      </c>
      <c r="I38" s="509">
        <v>-899</v>
      </c>
      <c r="J38" s="509">
        <v>-1022</v>
      </c>
      <c r="K38" s="509">
        <v>-1133</v>
      </c>
      <c r="L38" s="43"/>
    </row>
    <row r="39" spans="1:12" s="48" customFormat="1">
      <c r="A39" s="42" t="s">
        <v>84</v>
      </c>
      <c r="B39" s="503">
        <v>63.7</v>
      </c>
      <c r="C39" s="503">
        <v>177.1</v>
      </c>
      <c r="D39" s="503">
        <v>0</v>
      </c>
      <c r="E39" s="503">
        <v>41</v>
      </c>
      <c r="F39" s="503">
        <v>0</v>
      </c>
      <c r="G39" s="503">
        <v>15</v>
      </c>
      <c r="H39" s="503">
        <v>75</v>
      </c>
      <c r="I39" s="503">
        <v>0</v>
      </c>
      <c r="J39" s="503">
        <v>0</v>
      </c>
      <c r="K39" s="503">
        <v>327</v>
      </c>
    </row>
    <row r="40" spans="1:12" s="48" customFormat="1">
      <c r="A40" s="42" t="s">
        <v>157</v>
      </c>
      <c r="B40" s="503">
        <v>0</v>
      </c>
      <c r="C40" s="503">
        <v>0</v>
      </c>
      <c r="D40" s="503">
        <v>0</v>
      </c>
      <c r="E40" s="503">
        <v>0</v>
      </c>
      <c r="F40" s="503">
        <v>-65</v>
      </c>
      <c r="G40" s="503">
        <v>0</v>
      </c>
      <c r="H40" s="503">
        <v>0</v>
      </c>
      <c r="I40" s="503">
        <v>-63</v>
      </c>
      <c r="J40" s="503">
        <v>-67</v>
      </c>
      <c r="K40" s="503">
        <v>0</v>
      </c>
    </row>
    <row r="41" spans="1:12">
      <c r="A41" s="42" t="s">
        <v>83</v>
      </c>
      <c r="B41" s="503">
        <v>0</v>
      </c>
      <c r="C41" s="503">
        <v>0</v>
      </c>
      <c r="D41" s="503">
        <v>0</v>
      </c>
      <c r="E41" s="503">
        <v>0</v>
      </c>
      <c r="F41" s="503">
        <v>0</v>
      </c>
      <c r="G41" s="503">
        <v>986</v>
      </c>
      <c r="H41" s="503">
        <v>0</v>
      </c>
      <c r="I41" s="503">
        <v>0</v>
      </c>
      <c r="J41" s="503">
        <v>981</v>
      </c>
      <c r="K41" s="503">
        <v>1482</v>
      </c>
    </row>
    <row r="42" spans="1:12">
      <c r="A42" s="42" t="s">
        <v>82</v>
      </c>
      <c r="B42" s="503">
        <v>-35.200000000000003</v>
      </c>
      <c r="C42" s="503">
        <v>-6.8</v>
      </c>
      <c r="D42" s="503">
        <v>-32.200000000000003</v>
      </c>
      <c r="E42" s="503">
        <v>-8</v>
      </c>
      <c r="F42" s="503">
        <v>-203</v>
      </c>
      <c r="G42" s="503">
        <v>-49</v>
      </c>
      <c r="H42" s="503">
        <v>-77</v>
      </c>
      <c r="I42" s="503">
        <v>-26</v>
      </c>
      <c r="J42" s="503">
        <v>-113</v>
      </c>
      <c r="K42" s="503">
        <v>-61</v>
      </c>
    </row>
    <row r="43" spans="1:12">
      <c r="A43" s="42" t="s">
        <v>81</v>
      </c>
      <c r="B43" s="503">
        <v>0</v>
      </c>
      <c r="C43" s="503">
        <v>0</v>
      </c>
      <c r="D43" s="503">
        <v>-205.4</v>
      </c>
      <c r="E43" s="503">
        <v>0</v>
      </c>
      <c r="F43" s="503">
        <v>0</v>
      </c>
      <c r="G43" s="503">
        <v>0</v>
      </c>
      <c r="H43" s="503">
        <v>0</v>
      </c>
      <c r="I43" s="503">
        <v>0</v>
      </c>
      <c r="J43" s="503">
        <v>0</v>
      </c>
      <c r="K43" s="503">
        <v>0</v>
      </c>
    </row>
    <row r="44" spans="1:12">
      <c r="A44" s="42" t="s">
        <v>80</v>
      </c>
      <c r="B44" s="503">
        <v>-1248</v>
      </c>
      <c r="C44" s="503">
        <v>-649.20000000000005</v>
      </c>
      <c r="D44" s="503">
        <v>-741.2</v>
      </c>
      <c r="E44" s="503">
        <v>-1859</v>
      </c>
      <c r="F44" s="503">
        <v>-1814</v>
      </c>
      <c r="G44" s="503">
        <v>-1674</v>
      </c>
      <c r="H44" s="503">
        <v>-2628</v>
      </c>
      <c r="I44" s="503">
        <v>-2534</v>
      </c>
      <c r="J44" s="503">
        <v>-3238</v>
      </c>
      <c r="K44" s="503">
        <v>-3223</v>
      </c>
    </row>
    <row r="45" spans="1:12">
      <c r="A45" s="42" t="s">
        <v>79</v>
      </c>
      <c r="B45" s="503">
        <v>343.3</v>
      </c>
      <c r="C45" s="503">
        <v>186.6</v>
      </c>
      <c r="D45" s="503">
        <v>364.5</v>
      </c>
      <c r="E45" s="503">
        <v>345</v>
      </c>
      <c r="F45" s="503">
        <v>468</v>
      </c>
      <c r="G45" s="503">
        <v>313</v>
      </c>
      <c r="H45" s="503">
        <v>383</v>
      </c>
      <c r="I45" s="503">
        <v>514</v>
      </c>
      <c r="J45" s="503">
        <v>507</v>
      </c>
      <c r="K45" s="503">
        <v>489</v>
      </c>
    </row>
    <row r="46" spans="1:12" ht="16" thickBot="1">
      <c r="A46" s="42" t="s">
        <v>75</v>
      </c>
      <c r="B46" s="503">
        <v>63</v>
      </c>
      <c r="C46" s="503">
        <v>25.1</v>
      </c>
      <c r="D46" s="503">
        <v>58.5</v>
      </c>
      <c r="E46" s="503">
        <v>64</v>
      </c>
      <c r="F46" s="503">
        <v>115</v>
      </c>
      <c r="G46" s="503">
        <v>72</v>
      </c>
      <c r="H46" s="503">
        <v>132</v>
      </c>
      <c r="I46" s="503">
        <v>218</v>
      </c>
      <c r="J46" s="503">
        <v>281</v>
      </c>
      <c r="K46" s="503">
        <v>177</v>
      </c>
    </row>
    <row r="47" spans="1:12" customFormat="1">
      <c r="A47" s="277" t="s">
        <v>152</v>
      </c>
      <c r="B47" s="257">
        <v>-1226.0999999999999</v>
      </c>
      <c r="C47" s="257">
        <v>-733.9</v>
      </c>
      <c r="D47" s="257">
        <v>-1061.2</v>
      </c>
      <c r="E47" s="257">
        <v>-1972</v>
      </c>
      <c r="F47" s="257">
        <v>-2118</v>
      </c>
      <c r="G47" s="257">
        <v>-1040</v>
      </c>
      <c r="H47" s="257">
        <v>-2914</v>
      </c>
      <c r="I47" s="257">
        <v>-2790</v>
      </c>
      <c r="J47" s="257">
        <v>-2671</v>
      </c>
      <c r="K47" s="257">
        <v>-1942</v>
      </c>
    </row>
    <row r="48" spans="1:12" ht="7.5" customHeight="1">
      <c r="A48" s="50"/>
      <c r="B48" s="504"/>
      <c r="C48" s="504"/>
      <c r="D48" s="504"/>
      <c r="E48" s="504"/>
      <c r="F48" s="504"/>
      <c r="G48" s="504"/>
      <c r="H48" s="504"/>
      <c r="I48" s="504"/>
      <c r="J48" s="504"/>
      <c r="K48" s="504"/>
    </row>
    <row r="49" spans="1:12" s="44" customFormat="1">
      <c r="A49" s="510" t="s">
        <v>158</v>
      </c>
      <c r="B49" s="511">
        <v>56.8</v>
      </c>
      <c r="C49" s="511">
        <v>-46.9</v>
      </c>
      <c r="D49" s="511">
        <v>-47.5</v>
      </c>
      <c r="E49" s="511">
        <v>57</v>
      </c>
      <c r="F49" s="511">
        <v>67</v>
      </c>
      <c r="G49" s="511">
        <v>100</v>
      </c>
      <c r="H49" s="511">
        <v>1</v>
      </c>
      <c r="I49" s="511">
        <v>-83</v>
      </c>
      <c r="J49" s="511">
        <v>-105</v>
      </c>
      <c r="K49" s="511">
        <v>-20</v>
      </c>
    </row>
    <row r="50" spans="1:12" ht="8.5" customHeight="1">
      <c r="A50" s="42"/>
      <c r="B50" s="503"/>
      <c r="C50" s="503"/>
      <c r="D50" s="503"/>
      <c r="E50" s="503"/>
      <c r="F50" s="503"/>
      <c r="G50" s="503"/>
      <c r="H50" s="503"/>
      <c r="I50" s="503"/>
      <c r="J50" s="503"/>
      <c r="K50" s="503"/>
    </row>
    <row r="51" spans="1:12" s="12" customFormat="1">
      <c r="A51" s="492" t="s">
        <v>78</v>
      </c>
      <c r="B51" s="493">
        <v>277.2</v>
      </c>
      <c r="C51" s="493">
        <v>157.19999999999999</v>
      </c>
      <c r="D51" s="493">
        <v>788</v>
      </c>
      <c r="E51" s="493">
        <v>-1124</v>
      </c>
      <c r="F51" s="493">
        <v>362</v>
      </c>
      <c r="G51" s="493">
        <v>1020</v>
      </c>
      <c r="H51" s="493">
        <v>-1117</v>
      </c>
      <c r="I51" s="493">
        <v>1632</v>
      </c>
      <c r="J51" s="493">
        <v>-714</v>
      </c>
      <c r="K51" s="493">
        <v>670</v>
      </c>
    </row>
    <row r="52" spans="1:12">
      <c r="A52" s="508" t="s">
        <v>76</v>
      </c>
      <c r="B52" s="513">
        <v>1856.7</v>
      </c>
      <c r="C52" s="513">
        <v>2133.9</v>
      </c>
      <c r="D52" s="513">
        <v>2291.1</v>
      </c>
      <c r="E52" s="513">
        <v>3079</v>
      </c>
      <c r="F52" s="513">
        <v>1955</v>
      </c>
      <c r="G52" s="513">
        <v>2317</v>
      </c>
      <c r="H52" s="513">
        <v>3337</v>
      </c>
      <c r="I52" s="513">
        <v>2220</v>
      </c>
      <c r="J52" s="513">
        <v>3852</v>
      </c>
      <c r="K52" s="513">
        <v>3138</v>
      </c>
      <c r="L52" s="512"/>
    </row>
    <row r="53" spans="1:12">
      <c r="A53" s="514" t="s">
        <v>77</v>
      </c>
      <c r="B53" s="515">
        <v>2133.9</v>
      </c>
      <c r="C53" s="515">
        <v>2291.1</v>
      </c>
      <c r="D53" s="515">
        <v>3079.1</v>
      </c>
      <c r="E53" s="515">
        <v>1955</v>
      </c>
      <c r="F53" s="515">
        <v>2317</v>
      </c>
      <c r="G53" s="515">
        <v>3337</v>
      </c>
      <c r="H53" s="515">
        <v>2220</v>
      </c>
      <c r="I53" s="515">
        <v>3852</v>
      </c>
      <c r="J53" s="515">
        <v>3138</v>
      </c>
      <c r="K53" s="515">
        <v>3808</v>
      </c>
    </row>
    <row r="54" spans="1:12" ht="8.5" customHeight="1">
      <c r="A54" s="51"/>
      <c r="B54" s="506"/>
      <c r="C54" s="506"/>
      <c r="D54" s="506"/>
      <c r="E54" s="506"/>
      <c r="F54" s="506"/>
      <c r="G54" s="506"/>
      <c r="H54" s="506"/>
      <c r="I54" s="506"/>
      <c r="J54" s="506"/>
      <c r="K54" s="506"/>
    </row>
    <row r="55" spans="1:12">
      <c r="A55" s="508" t="s">
        <v>74</v>
      </c>
      <c r="B55" s="509">
        <v>717.5</v>
      </c>
      <c r="C55" s="509">
        <v>765.2</v>
      </c>
      <c r="D55" s="509">
        <v>537.20000000000005</v>
      </c>
      <c r="E55" s="509">
        <v>736</v>
      </c>
      <c r="F55" s="509">
        <v>638</v>
      </c>
      <c r="G55" s="509">
        <v>702</v>
      </c>
      <c r="H55" s="509">
        <v>856</v>
      </c>
      <c r="I55" s="509">
        <v>1262</v>
      </c>
      <c r="J55" s="509">
        <v>748</v>
      </c>
      <c r="K55" s="509">
        <v>703</v>
      </c>
    </row>
    <row r="56" spans="1:12">
      <c r="A56" s="42" t="s">
        <v>73</v>
      </c>
      <c r="B56" s="503">
        <v>44.1</v>
      </c>
      <c r="C56" s="503">
        <v>46.7</v>
      </c>
      <c r="D56" s="503">
        <v>48.4</v>
      </c>
      <c r="E56" s="503">
        <v>32</v>
      </c>
      <c r="F56" s="503">
        <v>29</v>
      </c>
      <c r="G56" s="503">
        <v>20</v>
      </c>
      <c r="H56" s="503">
        <v>53</v>
      </c>
      <c r="I56" s="503">
        <v>53</v>
      </c>
      <c r="J56" s="503">
        <v>70</v>
      </c>
      <c r="K56" s="503">
        <v>98</v>
      </c>
    </row>
    <row r="57" spans="1:12">
      <c r="A57" s="51" t="s">
        <v>155</v>
      </c>
      <c r="B57" s="503">
        <v>0</v>
      </c>
      <c r="C57" s="503">
        <v>0</v>
      </c>
      <c r="D57" s="503">
        <v>0</v>
      </c>
      <c r="E57" s="503">
        <v>0</v>
      </c>
      <c r="F57" s="503">
        <v>99</v>
      </c>
      <c r="G57" s="503">
        <v>137</v>
      </c>
      <c r="H57" s="503">
        <v>167</v>
      </c>
      <c r="I57" s="503">
        <v>206</v>
      </c>
      <c r="J57" s="503">
        <v>252</v>
      </c>
      <c r="K57" s="503">
        <v>266</v>
      </c>
    </row>
    <row r="58" spans="1:12">
      <c r="A58" s="51" t="s">
        <v>156</v>
      </c>
      <c r="B58" s="503">
        <v>112.9</v>
      </c>
      <c r="C58" s="503">
        <v>121.4</v>
      </c>
      <c r="D58" s="503">
        <v>130.69999999999999</v>
      </c>
      <c r="E58" s="503">
        <v>145</v>
      </c>
      <c r="F58" s="503">
        <v>165</v>
      </c>
      <c r="G58" s="503">
        <v>188</v>
      </c>
      <c r="H58" s="503">
        <v>209</v>
      </c>
      <c r="I58" s="503">
        <v>240</v>
      </c>
      <c r="J58" s="503">
        <v>271</v>
      </c>
      <c r="K58" s="503">
        <v>300</v>
      </c>
    </row>
    <row r="59" spans="1:12">
      <c r="A59" s="52" t="s">
        <v>131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</row>
    <row r="60" spans="1:12">
      <c r="A60" s="507"/>
      <c r="B60" s="507"/>
      <c r="C60" s="507"/>
      <c r="D60" s="507"/>
      <c r="E60" s="507"/>
      <c r="F60" s="507"/>
      <c r="G60" s="507"/>
      <c r="H60" s="507"/>
      <c r="I60" s="507"/>
      <c r="J60" s="507"/>
      <c r="K60" s="507"/>
    </row>
    <row r="61" spans="1:12">
      <c r="A61" s="507"/>
      <c r="B61" s="507"/>
      <c r="C61" s="507"/>
      <c r="D61" s="507"/>
      <c r="E61" s="507"/>
      <c r="F61" s="507"/>
      <c r="G61" s="507"/>
      <c r="H61" s="507"/>
      <c r="I61" s="507"/>
      <c r="J61" s="507"/>
      <c r="K61" s="507"/>
    </row>
    <row r="62" spans="1:12">
      <c r="A62" s="507"/>
      <c r="B62" s="507"/>
      <c r="C62" s="507"/>
      <c r="D62" s="507"/>
      <c r="E62" s="507"/>
      <c r="F62" s="507"/>
      <c r="G62" s="507"/>
      <c r="H62" s="507"/>
      <c r="I62" s="507"/>
      <c r="J62" s="507"/>
      <c r="K62" s="507"/>
    </row>
    <row r="63" spans="1:12">
      <c r="A63" s="507"/>
      <c r="B63" s="507"/>
      <c r="C63" s="507"/>
      <c r="D63" s="507"/>
      <c r="E63" s="507"/>
      <c r="F63" s="507"/>
      <c r="G63" s="507"/>
      <c r="H63" s="507"/>
      <c r="I63" s="507"/>
      <c r="J63" s="507"/>
      <c r="K63" s="507"/>
    </row>
    <row r="64" spans="1:12">
      <c r="A64" s="507"/>
      <c r="B64" s="507"/>
      <c r="C64" s="507"/>
      <c r="D64" s="507"/>
      <c r="E64" s="507"/>
      <c r="F64" s="507"/>
      <c r="G64" s="507"/>
      <c r="H64" s="507"/>
      <c r="I64" s="507"/>
      <c r="J64" s="507"/>
      <c r="K64" s="507"/>
    </row>
    <row r="65" spans="1:11">
      <c r="A65" s="507"/>
      <c r="B65" s="507"/>
      <c r="C65" s="507"/>
      <c r="D65" s="507"/>
      <c r="E65" s="507"/>
      <c r="F65" s="507"/>
      <c r="G65" s="507"/>
      <c r="H65" s="507"/>
      <c r="I65" s="507"/>
      <c r="J65" s="507"/>
      <c r="K65" s="507"/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K1776"/>
  <sheetViews>
    <sheetView showGridLines="0" workbookViewId="0">
      <pane ySplit="11" topLeftCell="A12" activePane="bottomLeft" state="frozen"/>
      <selection pane="bottomLeft" activeCell="J22" sqref="J22"/>
    </sheetView>
  </sheetViews>
  <sheetFormatPr baseColWidth="10" defaultColWidth="8.83203125" defaultRowHeight="15"/>
  <cols>
    <col min="1" max="1" width="10.1640625" bestFit="1" customWidth="1"/>
    <col min="2" max="2" width="15" bestFit="1" customWidth="1"/>
    <col min="3" max="3" width="12" bestFit="1" customWidth="1"/>
    <col min="5" max="5" width="10.1640625" bestFit="1" customWidth="1"/>
    <col min="6" max="6" width="15.5" customWidth="1"/>
    <col min="7" max="7" width="11.83203125" bestFit="1" customWidth="1"/>
  </cols>
  <sheetData>
    <row r="1" spans="1:11" s="31" customFormat="1" ht="30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s="31" customFormat="1" ht="20">
      <c r="A2" s="6" t="s">
        <v>595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s="31" customForma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>
      <c r="A4" s="111" t="s">
        <v>1</v>
      </c>
      <c r="B4" s="111" t="s">
        <v>10</v>
      </c>
      <c r="C4" s="111"/>
      <c r="E4" s="111" t="s">
        <v>1</v>
      </c>
      <c r="F4" s="111" t="s">
        <v>107</v>
      </c>
      <c r="G4" s="111"/>
    </row>
    <row r="5" spans="1:11">
      <c r="A5" s="12" t="s">
        <v>2</v>
      </c>
      <c r="B5" s="4">
        <v>36830</v>
      </c>
      <c r="C5" s="12"/>
      <c r="E5" s="12" t="s">
        <v>2</v>
      </c>
      <c r="F5" s="4">
        <v>40452</v>
      </c>
      <c r="G5" s="12"/>
    </row>
    <row r="6" spans="1:11">
      <c r="A6" s="12" t="s">
        <v>3</v>
      </c>
      <c r="B6" s="4">
        <v>43007</v>
      </c>
      <c r="C6" s="12"/>
      <c r="E6" s="12" t="s">
        <v>3</v>
      </c>
      <c r="F6" s="4">
        <v>43013</v>
      </c>
      <c r="G6" s="12"/>
    </row>
    <row r="7" spans="1:11">
      <c r="A7" s="12" t="s">
        <v>4</v>
      </c>
      <c r="B7" s="12" t="s">
        <v>589</v>
      </c>
      <c r="C7" s="12"/>
      <c r="E7" s="12" t="s">
        <v>4</v>
      </c>
      <c r="F7" s="12" t="s">
        <v>590</v>
      </c>
      <c r="G7" s="12"/>
    </row>
    <row r="8" spans="1:11">
      <c r="A8" s="109" t="s">
        <v>9</v>
      </c>
      <c r="B8" s="109" t="s">
        <v>8</v>
      </c>
      <c r="C8" s="109"/>
      <c r="E8" s="109" t="s">
        <v>9</v>
      </c>
      <c r="F8" s="109" t="s">
        <v>8</v>
      </c>
      <c r="G8" s="109"/>
    </row>
    <row r="9" spans="1:11">
      <c r="A9" s="52" t="s">
        <v>591</v>
      </c>
      <c r="B9" s="52" t="s">
        <v>592</v>
      </c>
      <c r="C9" s="52"/>
      <c r="E9" s="52" t="s">
        <v>591</v>
      </c>
      <c r="F9" s="52" t="s">
        <v>592</v>
      </c>
      <c r="G9" s="52"/>
    </row>
    <row r="11" spans="1:11">
      <c r="A11" s="516" t="s">
        <v>5</v>
      </c>
      <c r="B11" s="516" t="s">
        <v>6</v>
      </c>
      <c r="C11" s="516" t="s">
        <v>7</v>
      </c>
      <c r="E11" s="516" t="s">
        <v>5</v>
      </c>
      <c r="F11" s="516" t="s">
        <v>6</v>
      </c>
      <c r="G11" s="516" t="s">
        <v>7</v>
      </c>
    </row>
    <row r="12" spans="1:11">
      <c r="A12" s="3">
        <v>43007</v>
      </c>
      <c r="B12">
        <v>2519.36</v>
      </c>
      <c r="C12">
        <v>11015444512</v>
      </c>
      <c r="E12" s="2">
        <v>43012</v>
      </c>
      <c r="F12">
        <v>2537.7399999999998</v>
      </c>
      <c r="G12">
        <v>436039776</v>
      </c>
    </row>
    <row r="13" spans="1:11">
      <c r="A13" s="2">
        <v>42978</v>
      </c>
      <c r="B13">
        <v>2471.65</v>
      </c>
      <c r="C13">
        <v>11015182144</v>
      </c>
      <c r="E13" s="2">
        <v>43011</v>
      </c>
      <c r="F13">
        <v>2534.58</v>
      </c>
      <c r="G13">
        <v>424599456</v>
      </c>
    </row>
    <row r="14" spans="1:11">
      <c r="A14" s="2">
        <v>42947</v>
      </c>
      <c r="B14">
        <v>2470.3000000000002</v>
      </c>
      <c r="C14">
        <v>10339722208</v>
      </c>
      <c r="E14" s="2">
        <v>43010</v>
      </c>
      <c r="F14">
        <v>2529.12</v>
      </c>
      <c r="G14">
        <v>471297248</v>
      </c>
    </row>
    <row r="15" spans="1:11">
      <c r="A15" s="2">
        <v>42916</v>
      </c>
      <c r="B15">
        <v>2423.41</v>
      </c>
      <c r="C15">
        <v>14263481696</v>
      </c>
      <c r="E15" s="2">
        <v>43007</v>
      </c>
      <c r="F15">
        <v>2519.36</v>
      </c>
      <c r="G15">
        <v>533211296</v>
      </c>
    </row>
    <row r="16" spans="1:11">
      <c r="A16" s="2">
        <v>42886</v>
      </c>
      <c r="B16">
        <v>2411.8000000000002</v>
      </c>
      <c r="C16">
        <v>11937341184</v>
      </c>
      <c r="E16" s="2">
        <v>43006</v>
      </c>
      <c r="F16">
        <v>2510.06</v>
      </c>
      <c r="G16">
        <v>469559328</v>
      </c>
    </row>
    <row r="17" spans="1:7">
      <c r="A17" s="2">
        <v>42853</v>
      </c>
      <c r="B17">
        <v>2384.1999999999998</v>
      </c>
      <c r="C17">
        <v>10089314944</v>
      </c>
      <c r="E17" s="2">
        <v>43005</v>
      </c>
      <c r="F17">
        <v>2507.04</v>
      </c>
      <c r="G17">
        <v>522364512</v>
      </c>
    </row>
    <row r="18" spans="1:7">
      <c r="A18" s="2">
        <v>42825</v>
      </c>
      <c r="B18">
        <v>2362.7199999999998</v>
      </c>
      <c r="C18">
        <v>13285302944</v>
      </c>
      <c r="E18" s="2">
        <v>43004</v>
      </c>
      <c r="F18">
        <v>2496.84</v>
      </c>
      <c r="G18">
        <v>471032576</v>
      </c>
    </row>
    <row r="19" spans="1:7">
      <c r="A19" s="2">
        <v>42794</v>
      </c>
      <c r="B19">
        <v>2363.64</v>
      </c>
      <c r="C19">
        <v>10744943872</v>
      </c>
      <c r="E19" s="2">
        <v>43003</v>
      </c>
      <c r="F19">
        <v>2496.66</v>
      </c>
      <c r="G19">
        <v>562565184</v>
      </c>
    </row>
    <row r="20" spans="1:7">
      <c r="A20" s="2">
        <v>42766</v>
      </c>
      <c r="B20">
        <v>2278.87</v>
      </c>
      <c r="C20">
        <v>11436748096</v>
      </c>
      <c r="E20" s="2">
        <v>43000</v>
      </c>
      <c r="F20">
        <v>2502.2199999999998</v>
      </c>
      <c r="G20">
        <v>452975168</v>
      </c>
    </row>
    <row r="21" spans="1:7">
      <c r="A21" s="2">
        <v>42734</v>
      </c>
      <c r="B21">
        <v>2238.83</v>
      </c>
      <c r="C21">
        <v>12322338240</v>
      </c>
      <c r="E21" s="2">
        <v>42999</v>
      </c>
      <c r="F21">
        <v>2500.6</v>
      </c>
      <c r="G21">
        <v>464068032</v>
      </c>
    </row>
    <row r="22" spans="1:7">
      <c r="A22" s="2">
        <v>42704</v>
      </c>
      <c r="B22">
        <v>2198.81</v>
      </c>
      <c r="C22">
        <v>14060816672</v>
      </c>
      <c r="E22" s="2">
        <v>42998</v>
      </c>
      <c r="F22">
        <v>2508.2399999999998</v>
      </c>
      <c r="G22">
        <v>538366592</v>
      </c>
    </row>
    <row r="23" spans="1:7">
      <c r="A23" s="2">
        <v>42674</v>
      </c>
      <c r="B23">
        <v>2126.15</v>
      </c>
      <c r="C23">
        <v>11816386368</v>
      </c>
      <c r="E23" s="2">
        <v>42997</v>
      </c>
      <c r="F23">
        <v>2506.65</v>
      </c>
      <c r="G23">
        <v>501443008</v>
      </c>
    </row>
    <row r="24" spans="1:7">
      <c r="A24" s="2">
        <v>42643</v>
      </c>
      <c r="B24">
        <v>2168.27</v>
      </c>
      <c r="C24">
        <v>13225503008</v>
      </c>
      <c r="E24" s="2">
        <v>42996</v>
      </c>
      <c r="F24">
        <v>2503.87</v>
      </c>
      <c r="G24">
        <v>517577760</v>
      </c>
    </row>
    <row r="25" spans="1:7">
      <c r="A25" s="2">
        <v>42613</v>
      </c>
      <c r="B25">
        <v>2170.9499999999998</v>
      </c>
      <c r="C25">
        <v>11629875232</v>
      </c>
      <c r="E25" s="2">
        <v>42993</v>
      </c>
      <c r="F25">
        <v>2500.23</v>
      </c>
      <c r="G25">
        <v>1435549568</v>
      </c>
    </row>
    <row r="26" spans="1:7">
      <c r="A26" s="2">
        <v>42580</v>
      </c>
      <c r="B26">
        <v>2173.6</v>
      </c>
      <c r="C26">
        <v>11648785760</v>
      </c>
      <c r="E26" s="2">
        <v>42992</v>
      </c>
      <c r="F26">
        <v>2495.62</v>
      </c>
      <c r="G26">
        <v>533390848</v>
      </c>
    </row>
    <row r="27" spans="1:7">
      <c r="A27" s="2">
        <v>42551</v>
      </c>
      <c r="B27">
        <v>2098.86</v>
      </c>
      <c r="C27">
        <v>14892033408</v>
      </c>
      <c r="E27" s="2">
        <v>42991</v>
      </c>
      <c r="F27">
        <v>2498.37</v>
      </c>
      <c r="G27">
        <v>492139264</v>
      </c>
    </row>
    <row r="28" spans="1:7">
      <c r="A28" s="2">
        <v>42521</v>
      </c>
      <c r="B28">
        <v>2096.96</v>
      </c>
      <c r="C28">
        <v>12704539552</v>
      </c>
      <c r="E28" s="2">
        <v>42990</v>
      </c>
      <c r="F28">
        <v>2496.48</v>
      </c>
      <c r="G28">
        <v>490923936</v>
      </c>
    </row>
    <row r="29" spans="1:7">
      <c r="A29" s="2">
        <v>42489</v>
      </c>
      <c r="B29">
        <v>2065.3000000000002</v>
      </c>
      <c r="C29">
        <v>13420928704</v>
      </c>
      <c r="E29" s="2">
        <v>42989</v>
      </c>
      <c r="F29">
        <v>2488.11</v>
      </c>
      <c r="G29">
        <v>515684192</v>
      </c>
    </row>
    <row r="30" spans="1:7">
      <c r="A30" s="2">
        <v>42460</v>
      </c>
      <c r="B30">
        <v>2059.7399999999998</v>
      </c>
      <c r="C30">
        <v>14907647136</v>
      </c>
      <c r="E30" s="2">
        <v>42986</v>
      </c>
      <c r="F30">
        <v>2461.4299999999998</v>
      </c>
      <c r="G30">
        <v>501930912</v>
      </c>
    </row>
    <row r="31" spans="1:7">
      <c r="A31" s="2">
        <v>42429</v>
      </c>
      <c r="B31">
        <v>1932.23</v>
      </c>
      <c r="C31">
        <v>16130061888</v>
      </c>
      <c r="E31" s="2">
        <v>42985</v>
      </c>
      <c r="F31">
        <v>2465.1</v>
      </c>
      <c r="G31">
        <v>516386816</v>
      </c>
    </row>
    <row r="32" spans="1:7">
      <c r="A32" s="2">
        <v>42398</v>
      </c>
      <c r="B32">
        <v>1940.24</v>
      </c>
      <c r="C32">
        <v>16498413632</v>
      </c>
      <c r="E32" s="2">
        <v>42984</v>
      </c>
      <c r="F32">
        <v>2465.54</v>
      </c>
      <c r="G32">
        <v>539031424</v>
      </c>
    </row>
    <row r="33" spans="1:7">
      <c r="A33" s="2">
        <v>42369</v>
      </c>
      <c r="B33">
        <v>2043.94</v>
      </c>
      <c r="C33">
        <v>14421609408</v>
      </c>
      <c r="E33" s="2">
        <v>42983</v>
      </c>
      <c r="F33">
        <v>2457.85</v>
      </c>
      <c r="G33">
        <v>554135360</v>
      </c>
    </row>
    <row r="34" spans="1:7">
      <c r="A34" s="2">
        <v>42338</v>
      </c>
      <c r="B34">
        <v>2080.41</v>
      </c>
      <c r="C34">
        <v>12005752672</v>
      </c>
      <c r="E34" s="2">
        <v>42979</v>
      </c>
      <c r="F34">
        <v>2476.5500000000002</v>
      </c>
      <c r="G34">
        <v>403108736</v>
      </c>
    </row>
    <row r="35" spans="1:7">
      <c r="A35" s="2">
        <v>42307</v>
      </c>
      <c r="B35">
        <v>2079.36</v>
      </c>
      <c r="C35">
        <v>14694560320</v>
      </c>
      <c r="E35" s="2">
        <v>42978</v>
      </c>
      <c r="F35">
        <v>2471.65</v>
      </c>
      <c r="G35">
        <v>645209408</v>
      </c>
    </row>
    <row r="36" spans="1:7">
      <c r="A36" s="2">
        <v>42277</v>
      </c>
      <c r="B36">
        <v>1920.03</v>
      </c>
      <c r="C36">
        <v>15630063264</v>
      </c>
      <c r="E36" s="2">
        <v>42977</v>
      </c>
      <c r="F36">
        <v>2457.59</v>
      </c>
      <c r="G36">
        <v>411660384</v>
      </c>
    </row>
    <row r="37" spans="1:7">
      <c r="A37" s="2">
        <v>42247</v>
      </c>
      <c r="B37">
        <v>1972.18</v>
      </c>
      <c r="C37">
        <v>14741993504</v>
      </c>
      <c r="E37" s="2">
        <v>42976</v>
      </c>
      <c r="F37">
        <v>2446.3000000000002</v>
      </c>
      <c r="G37">
        <v>404549824</v>
      </c>
    </row>
    <row r="38" spans="1:7">
      <c r="A38" s="2">
        <v>42216</v>
      </c>
      <c r="B38">
        <v>2103.84</v>
      </c>
      <c r="C38">
        <v>12401955040</v>
      </c>
      <c r="E38" s="2">
        <v>42975</v>
      </c>
      <c r="F38">
        <v>2444.2399999999998</v>
      </c>
      <c r="G38">
        <v>424021664</v>
      </c>
    </row>
    <row r="39" spans="1:7">
      <c r="A39" s="2">
        <v>42185</v>
      </c>
      <c r="B39">
        <v>2063.11</v>
      </c>
      <c r="C39">
        <v>12535139328</v>
      </c>
      <c r="E39" s="2">
        <v>42972</v>
      </c>
      <c r="F39">
        <v>2443.0500000000002</v>
      </c>
      <c r="G39">
        <v>424178880</v>
      </c>
    </row>
    <row r="40" spans="1:7">
      <c r="A40" s="2">
        <v>42153</v>
      </c>
      <c r="B40">
        <v>2107.39</v>
      </c>
      <c r="C40">
        <v>10433129760</v>
      </c>
      <c r="E40" s="2">
        <v>42971</v>
      </c>
      <c r="F40">
        <v>2438.9699999999998</v>
      </c>
      <c r="G40">
        <v>470044928</v>
      </c>
    </row>
    <row r="41" spans="1:7">
      <c r="A41" s="2">
        <v>42124</v>
      </c>
      <c r="B41">
        <v>2085.5100000000002</v>
      </c>
      <c r="C41">
        <v>11365220384</v>
      </c>
      <c r="E41" s="2">
        <v>42970</v>
      </c>
      <c r="F41">
        <v>2444.04</v>
      </c>
      <c r="G41">
        <v>429162720</v>
      </c>
    </row>
    <row r="42" spans="1:7">
      <c r="A42" s="2">
        <v>42094</v>
      </c>
      <c r="B42">
        <v>2067.89</v>
      </c>
      <c r="C42">
        <v>13225155808</v>
      </c>
      <c r="E42" s="2">
        <v>42969</v>
      </c>
      <c r="F42">
        <v>2452.5100000000002</v>
      </c>
      <c r="G42">
        <v>429507296</v>
      </c>
    </row>
    <row r="43" spans="1:7">
      <c r="A43" s="2">
        <v>42062</v>
      </c>
      <c r="B43">
        <v>2104.5</v>
      </c>
      <c r="C43">
        <v>10534540704</v>
      </c>
      <c r="E43" s="2">
        <v>42968</v>
      </c>
      <c r="F43">
        <v>2428.37</v>
      </c>
      <c r="G43">
        <v>461494144</v>
      </c>
    </row>
    <row r="44" spans="1:7">
      <c r="A44" s="2">
        <v>42034</v>
      </c>
      <c r="B44">
        <v>1994.99</v>
      </c>
      <c r="C44">
        <v>12415078912</v>
      </c>
      <c r="E44" s="2">
        <v>42965</v>
      </c>
      <c r="F44">
        <v>2425.5500000000002</v>
      </c>
      <c r="G44">
        <v>604768320</v>
      </c>
    </row>
    <row r="45" spans="1:7">
      <c r="A45" s="2">
        <v>42004</v>
      </c>
      <c r="B45">
        <v>2058.9</v>
      </c>
      <c r="C45">
        <v>12619617248</v>
      </c>
      <c r="E45" s="2">
        <v>42964</v>
      </c>
      <c r="F45">
        <v>2430.0100000000002</v>
      </c>
      <c r="G45">
        <v>522122272</v>
      </c>
    </row>
    <row r="46" spans="1:7">
      <c r="A46" s="2">
        <v>41971</v>
      </c>
      <c r="B46">
        <v>2067.56</v>
      </c>
      <c r="C46">
        <v>9662946720</v>
      </c>
      <c r="E46" s="2">
        <v>42963</v>
      </c>
      <c r="F46">
        <v>2468.11</v>
      </c>
      <c r="G46">
        <v>447838176</v>
      </c>
    </row>
    <row r="47" spans="1:7">
      <c r="A47" s="2">
        <v>41943</v>
      </c>
      <c r="B47">
        <v>2018.05</v>
      </c>
      <c r="C47">
        <v>14534283808</v>
      </c>
      <c r="E47" s="2">
        <v>42962</v>
      </c>
      <c r="F47">
        <v>2464.61</v>
      </c>
      <c r="G47">
        <v>440317344</v>
      </c>
    </row>
    <row r="48" spans="1:7">
      <c r="A48" s="2">
        <v>41912</v>
      </c>
      <c r="B48">
        <v>1972.29</v>
      </c>
      <c r="C48">
        <v>11456263680</v>
      </c>
      <c r="E48" s="2">
        <v>42961</v>
      </c>
      <c r="F48">
        <v>2465.84</v>
      </c>
      <c r="G48">
        <v>460363456</v>
      </c>
    </row>
    <row r="49" spans="1:7">
      <c r="A49" s="2">
        <v>41880</v>
      </c>
      <c r="B49">
        <v>2003.37</v>
      </c>
      <c r="C49">
        <v>8870946112</v>
      </c>
      <c r="E49" s="2">
        <v>42958</v>
      </c>
      <c r="F49">
        <v>2441.3200000000002</v>
      </c>
      <c r="G49">
        <v>442234816</v>
      </c>
    </row>
    <row r="50" spans="1:7">
      <c r="A50" s="2">
        <v>41851</v>
      </c>
      <c r="B50">
        <v>1930.67</v>
      </c>
      <c r="C50">
        <v>10483721216</v>
      </c>
      <c r="E50" s="2">
        <v>42957</v>
      </c>
      <c r="F50">
        <v>2438.21</v>
      </c>
      <c r="G50">
        <v>544085440</v>
      </c>
    </row>
    <row r="51" spans="1:7">
      <c r="A51" s="2">
        <v>41820</v>
      </c>
      <c r="B51">
        <v>1960.23</v>
      </c>
      <c r="C51">
        <v>10426824480</v>
      </c>
      <c r="E51" s="2">
        <v>42956</v>
      </c>
      <c r="F51">
        <v>2474.02</v>
      </c>
      <c r="G51">
        <v>462661152</v>
      </c>
    </row>
    <row r="52" spans="1:7">
      <c r="A52" s="2">
        <v>41789</v>
      </c>
      <c r="B52">
        <v>1923.57</v>
      </c>
      <c r="C52">
        <v>10010892832</v>
      </c>
      <c r="E52" s="2">
        <v>42955</v>
      </c>
      <c r="F52">
        <v>2474.92</v>
      </c>
      <c r="G52">
        <v>459725408</v>
      </c>
    </row>
    <row r="53" spans="1:7">
      <c r="A53" s="2">
        <v>41759</v>
      </c>
      <c r="B53">
        <v>1883.95</v>
      </c>
      <c r="C53">
        <v>12139737056</v>
      </c>
      <c r="E53" s="2">
        <v>42954</v>
      </c>
      <c r="F53">
        <v>2480.91</v>
      </c>
      <c r="G53">
        <v>451477344</v>
      </c>
    </row>
    <row r="54" spans="1:7">
      <c r="A54" s="2">
        <v>41729</v>
      </c>
      <c r="B54">
        <v>1872.34</v>
      </c>
      <c r="C54">
        <v>11757330816</v>
      </c>
      <c r="E54" s="2">
        <v>42951</v>
      </c>
      <c r="F54">
        <v>2476.83</v>
      </c>
      <c r="G54">
        <v>497282496</v>
      </c>
    </row>
    <row r="55" spans="1:7">
      <c r="A55" s="2">
        <v>41698</v>
      </c>
      <c r="B55">
        <v>1859.45</v>
      </c>
      <c r="C55">
        <v>10976695808</v>
      </c>
      <c r="E55" s="2">
        <v>42950</v>
      </c>
      <c r="F55">
        <v>2472.16</v>
      </c>
      <c r="G55">
        <v>511922112</v>
      </c>
    </row>
    <row r="56" spans="1:7">
      <c r="A56" s="2">
        <v>41670</v>
      </c>
      <c r="B56">
        <v>1782.59</v>
      </c>
      <c r="C56">
        <v>12088590816</v>
      </c>
      <c r="E56" s="2">
        <v>42949</v>
      </c>
      <c r="F56">
        <v>2477.5700000000002</v>
      </c>
      <c r="G56">
        <v>549613504</v>
      </c>
    </row>
    <row r="57" spans="1:7">
      <c r="A57" s="2">
        <v>41639</v>
      </c>
      <c r="B57">
        <v>1848.36</v>
      </c>
      <c r="C57">
        <v>10791647216</v>
      </c>
      <c r="E57" s="2">
        <v>42948</v>
      </c>
      <c r="F57">
        <v>2476.35</v>
      </c>
      <c r="G57">
        <v>520941056</v>
      </c>
    </row>
    <row r="58" spans="1:7">
      <c r="A58" s="2">
        <v>41607</v>
      </c>
      <c r="B58">
        <v>1805.81</v>
      </c>
      <c r="C58">
        <v>9908233440</v>
      </c>
      <c r="E58" s="2">
        <v>42947</v>
      </c>
      <c r="F58">
        <v>2470.3000000000002</v>
      </c>
      <c r="G58">
        <v>691834816</v>
      </c>
    </row>
    <row r="59" spans="1:7">
      <c r="A59" s="2">
        <v>41578</v>
      </c>
      <c r="B59">
        <v>1756.54</v>
      </c>
      <c r="C59">
        <v>12106462880</v>
      </c>
      <c r="E59" s="2">
        <v>42944</v>
      </c>
      <c r="F59">
        <v>2472.1</v>
      </c>
      <c r="G59">
        <v>505672256</v>
      </c>
    </row>
    <row r="60" spans="1:7">
      <c r="A60" s="2">
        <v>41547</v>
      </c>
      <c r="B60">
        <v>1681.55</v>
      </c>
      <c r="C60">
        <v>10682235328</v>
      </c>
      <c r="E60" s="2">
        <v>42943</v>
      </c>
      <c r="F60">
        <v>2475.42</v>
      </c>
      <c r="G60">
        <v>654796160</v>
      </c>
    </row>
    <row r="61" spans="1:7">
      <c r="A61" s="2">
        <v>41516</v>
      </c>
      <c r="B61">
        <v>1632.97</v>
      </c>
      <c r="C61">
        <v>10059539840</v>
      </c>
      <c r="E61" s="2">
        <v>42942</v>
      </c>
      <c r="F61">
        <v>2477.83</v>
      </c>
      <c r="G61">
        <v>546161216</v>
      </c>
    </row>
    <row r="62" spans="1:7">
      <c r="A62" s="2">
        <v>41486</v>
      </c>
      <c r="B62">
        <v>1685.73</v>
      </c>
      <c r="C62">
        <v>11560664864</v>
      </c>
      <c r="E62" s="2">
        <v>42941</v>
      </c>
      <c r="F62">
        <v>2477.13</v>
      </c>
      <c r="G62">
        <v>649138688</v>
      </c>
    </row>
    <row r="63" spans="1:7">
      <c r="A63" s="2">
        <v>41453</v>
      </c>
      <c r="B63">
        <v>1606.28</v>
      </c>
      <c r="C63">
        <v>12687780160</v>
      </c>
      <c r="E63" s="2">
        <v>42940</v>
      </c>
      <c r="F63">
        <v>2469.91</v>
      </c>
      <c r="G63">
        <v>586387584</v>
      </c>
    </row>
    <row r="64" spans="1:7">
      <c r="A64" s="2">
        <v>41425</v>
      </c>
      <c r="B64">
        <v>1630.74</v>
      </c>
      <c r="C64">
        <v>11979752288</v>
      </c>
      <c r="E64" s="2">
        <v>42937</v>
      </c>
      <c r="F64">
        <v>2472.54</v>
      </c>
      <c r="G64">
        <v>562308032</v>
      </c>
    </row>
    <row r="65" spans="1:7">
      <c r="A65" s="2">
        <v>41394</v>
      </c>
      <c r="B65">
        <v>1597.57</v>
      </c>
      <c r="C65">
        <v>12460059200</v>
      </c>
      <c r="E65" s="2">
        <v>42936</v>
      </c>
      <c r="F65">
        <v>2473.4499999999998</v>
      </c>
      <c r="G65">
        <v>510915136</v>
      </c>
    </row>
    <row r="66" spans="1:7">
      <c r="A66" s="2">
        <v>41362</v>
      </c>
      <c r="B66">
        <v>1569.19</v>
      </c>
      <c r="C66">
        <v>11010706368</v>
      </c>
      <c r="E66" s="2">
        <v>42935</v>
      </c>
      <c r="F66">
        <v>2473.83</v>
      </c>
      <c r="G66">
        <v>466561984</v>
      </c>
    </row>
    <row r="67" spans="1:7">
      <c r="A67" s="2">
        <v>41333</v>
      </c>
      <c r="B67">
        <v>1514.68</v>
      </c>
      <c r="C67">
        <v>10845015264</v>
      </c>
      <c r="E67" s="2">
        <v>42934</v>
      </c>
      <c r="F67">
        <v>2460.61</v>
      </c>
      <c r="G67">
        <v>434709856</v>
      </c>
    </row>
    <row r="68" spans="1:7">
      <c r="A68" s="2">
        <v>41305</v>
      </c>
      <c r="B68">
        <v>1498.11</v>
      </c>
      <c r="C68">
        <v>12023353920</v>
      </c>
      <c r="E68" s="2">
        <v>42933</v>
      </c>
      <c r="F68">
        <v>2459.14</v>
      </c>
      <c r="G68">
        <v>436852384</v>
      </c>
    </row>
    <row r="69" spans="1:7">
      <c r="A69" s="2">
        <v>41274</v>
      </c>
      <c r="B69">
        <v>1426.19</v>
      </c>
      <c r="C69">
        <v>11379876144</v>
      </c>
      <c r="E69" s="2">
        <v>42930</v>
      </c>
      <c r="F69">
        <v>2459.27</v>
      </c>
      <c r="G69">
        <v>439411168</v>
      </c>
    </row>
    <row r="70" spans="1:7">
      <c r="A70" s="2">
        <v>41243</v>
      </c>
      <c r="B70">
        <v>1416.18</v>
      </c>
      <c r="C70">
        <v>12116896016</v>
      </c>
      <c r="E70" s="2">
        <v>42929</v>
      </c>
      <c r="F70">
        <v>2447.83</v>
      </c>
      <c r="G70">
        <v>487474688</v>
      </c>
    </row>
    <row r="71" spans="1:7">
      <c r="A71" s="2">
        <v>41213</v>
      </c>
      <c r="B71">
        <v>1412.16</v>
      </c>
      <c r="C71">
        <v>11506952768</v>
      </c>
      <c r="E71" s="2">
        <v>42928</v>
      </c>
      <c r="F71">
        <v>2443.25</v>
      </c>
      <c r="G71">
        <v>492047456</v>
      </c>
    </row>
    <row r="72" spans="1:7">
      <c r="A72" s="2">
        <v>41180</v>
      </c>
      <c r="B72">
        <v>1440.67</v>
      </c>
      <c r="C72">
        <v>11415693856</v>
      </c>
      <c r="E72" s="2">
        <v>42927</v>
      </c>
      <c r="F72">
        <v>2425.5300000000002</v>
      </c>
      <c r="G72">
        <v>463115296</v>
      </c>
    </row>
    <row r="73" spans="1:7">
      <c r="A73" s="2">
        <v>41152</v>
      </c>
      <c r="B73">
        <v>1406.58</v>
      </c>
      <c r="C73">
        <v>11339613952</v>
      </c>
      <c r="E73" s="2">
        <v>42926</v>
      </c>
      <c r="F73">
        <v>2427.4299999999998</v>
      </c>
      <c r="G73">
        <v>490786848</v>
      </c>
    </row>
    <row r="74" spans="1:7">
      <c r="A74" s="2">
        <v>41121</v>
      </c>
      <c r="B74">
        <v>1379.32</v>
      </c>
      <c r="C74">
        <v>12359421536</v>
      </c>
      <c r="E74" s="2">
        <v>42923</v>
      </c>
      <c r="F74">
        <v>2425.1799999999998</v>
      </c>
      <c r="G74">
        <v>458121632</v>
      </c>
    </row>
    <row r="75" spans="1:7">
      <c r="A75" s="2">
        <v>41089</v>
      </c>
      <c r="B75">
        <v>1362.16</v>
      </c>
      <c r="C75">
        <v>13955221280</v>
      </c>
      <c r="E75" s="2">
        <v>42922</v>
      </c>
      <c r="F75">
        <v>2409.75</v>
      </c>
      <c r="G75">
        <v>554020288</v>
      </c>
    </row>
    <row r="76" spans="1:7">
      <c r="A76" s="2">
        <v>41060</v>
      </c>
      <c r="B76">
        <v>1310.33</v>
      </c>
      <c r="C76">
        <v>14488657792</v>
      </c>
      <c r="E76" s="2">
        <v>42921</v>
      </c>
      <c r="F76">
        <v>2432.54</v>
      </c>
      <c r="G76">
        <v>568417856</v>
      </c>
    </row>
    <row r="77" spans="1:7">
      <c r="A77" s="2">
        <v>41029</v>
      </c>
      <c r="B77">
        <v>1397.91</v>
      </c>
      <c r="C77">
        <v>12528113536</v>
      </c>
      <c r="E77" s="2">
        <v>42919</v>
      </c>
      <c r="F77">
        <v>2429.0100000000002</v>
      </c>
      <c r="G77">
        <v>340988864</v>
      </c>
    </row>
    <row r="78" spans="1:7">
      <c r="A78" s="2">
        <v>40998</v>
      </c>
      <c r="B78">
        <v>1408.47</v>
      </c>
      <c r="C78">
        <v>13919236640</v>
      </c>
      <c r="E78" s="2">
        <v>42916</v>
      </c>
      <c r="F78">
        <v>2423.41</v>
      </c>
      <c r="G78">
        <v>641278784</v>
      </c>
    </row>
    <row r="79" spans="1:7">
      <c r="A79" s="2">
        <v>40968</v>
      </c>
      <c r="B79">
        <v>1365.68</v>
      </c>
      <c r="C79">
        <v>12477187968</v>
      </c>
      <c r="E79" s="2">
        <v>42915</v>
      </c>
      <c r="F79">
        <v>2419.6999999999998</v>
      </c>
      <c r="G79">
        <v>627587456</v>
      </c>
    </row>
    <row r="80" spans="1:7">
      <c r="A80" s="2">
        <v>40939</v>
      </c>
      <c r="B80">
        <v>1312.41</v>
      </c>
      <c r="C80">
        <v>13323530816</v>
      </c>
      <c r="E80" s="2">
        <v>42914</v>
      </c>
      <c r="F80">
        <v>2440.69</v>
      </c>
      <c r="G80">
        <v>510888128</v>
      </c>
    </row>
    <row r="81" spans="1:7">
      <c r="A81" s="2">
        <v>40907</v>
      </c>
      <c r="B81">
        <v>1257.5999999999999</v>
      </c>
      <c r="C81">
        <v>13237762688</v>
      </c>
      <c r="E81" s="2">
        <v>42913</v>
      </c>
      <c r="F81">
        <v>2419.38</v>
      </c>
      <c r="G81">
        <v>546610368</v>
      </c>
    </row>
    <row r="82" spans="1:7">
      <c r="A82" s="2">
        <v>40877</v>
      </c>
      <c r="B82">
        <v>1246.96</v>
      </c>
      <c r="C82">
        <v>15106023904</v>
      </c>
      <c r="E82" s="2">
        <v>42912</v>
      </c>
      <c r="F82">
        <v>2439.0700000000002</v>
      </c>
      <c r="G82">
        <v>483460704</v>
      </c>
    </row>
    <row r="83" spans="1:7">
      <c r="A83" s="2">
        <v>40847</v>
      </c>
      <c r="B83">
        <v>1253.3</v>
      </c>
      <c r="C83">
        <v>17620067200</v>
      </c>
      <c r="E83" s="2">
        <v>42909</v>
      </c>
      <c r="F83">
        <v>2438.3000000000002</v>
      </c>
      <c r="G83">
        <v>1058563840</v>
      </c>
    </row>
    <row r="84" spans="1:7">
      <c r="A84" s="2">
        <v>40816</v>
      </c>
      <c r="B84">
        <v>1131.42</v>
      </c>
      <c r="C84">
        <v>19033491392</v>
      </c>
      <c r="E84" s="2">
        <v>42908</v>
      </c>
      <c r="F84">
        <v>2434.5</v>
      </c>
      <c r="G84">
        <v>527670752</v>
      </c>
    </row>
    <row r="85" spans="1:7">
      <c r="A85" s="2">
        <v>40786</v>
      </c>
      <c r="B85">
        <v>1218.8900000000001</v>
      </c>
      <c r="C85">
        <v>26119512192</v>
      </c>
      <c r="E85" s="2">
        <v>42907</v>
      </c>
      <c r="F85">
        <v>2435.61</v>
      </c>
      <c r="G85">
        <v>530549984</v>
      </c>
    </row>
    <row r="86" spans="1:7">
      <c r="A86" s="2">
        <v>40753</v>
      </c>
      <c r="B86">
        <v>1292.28</v>
      </c>
      <c r="C86">
        <v>14048477504</v>
      </c>
      <c r="E86" s="2">
        <v>42906</v>
      </c>
      <c r="F86">
        <v>2437.0300000000002</v>
      </c>
      <c r="G86">
        <v>505505504</v>
      </c>
    </row>
    <row r="87" spans="1:7">
      <c r="A87" s="2">
        <v>40724</v>
      </c>
      <c r="B87">
        <v>1320.64</v>
      </c>
      <c r="C87">
        <v>17019394176</v>
      </c>
      <c r="E87" s="2">
        <v>42905</v>
      </c>
      <c r="F87">
        <v>2453.46</v>
      </c>
      <c r="G87">
        <v>513416992</v>
      </c>
    </row>
    <row r="88" spans="1:7">
      <c r="A88" s="2">
        <v>40694</v>
      </c>
      <c r="B88">
        <v>1345.2</v>
      </c>
      <c r="C88">
        <v>15466370752</v>
      </c>
      <c r="E88" s="2">
        <v>42902</v>
      </c>
      <c r="F88">
        <v>2433.15</v>
      </c>
      <c r="G88">
        <v>1613763200</v>
      </c>
    </row>
    <row r="89" spans="1:7">
      <c r="A89" s="2">
        <v>40662</v>
      </c>
      <c r="B89">
        <v>1363.61</v>
      </c>
      <c r="C89">
        <v>14607796288</v>
      </c>
      <c r="E89" s="2">
        <v>42901</v>
      </c>
      <c r="F89">
        <v>2432.46</v>
      </c>
      <c r="G89">
        <v>595104704</v>
      </c>
    </row>
    <row r="90" spans="1:7">
      <c r="A90" s="2">
        <v>40633</v>
      </c>
      <c r="B90">
        <v>1325.83</v>
      </c>
      <c r="C90">
        <v>18622193920</v>
      </c>
      <c r="E90" s="2">
        <v>42900</v>
      </c>
      <c r="F90">
        <v>2437.92</v>
      </c>
      <c r="G90">
        <v>611088192</v>
      </c>
    </row>
    <row r="91" spans="1:7">
      <c r="A91" s="2">
        <v>40602</v>
      </c>
      <c r="B91">
        <v>1327.22</v>
      </c>
      <c r="C91">
        <v>15269755328</v>
      </c>
      <c r="E91" s="2">
        <v>42899</v>
      </c>
      <c r="F91">
        <v>2440.35</v>
      </c>
      <c r="G91">
        <v>674152896</v>
      </c>
    </row>
    <row r="92" spans="1:7">
      <c r="A92" s="2">
        <v>40574</v>
      </c>
      <c r="B92">
        <v>1286.1199999999999</v>
      </c>
      <c r="C92">
        <v>16936415552</v>
      </c>
      <c r="E92" s="2">
        <v>42898</v>
      </c>
      <c r="F92">
        <v>2429.39</v>
      </c>
      <c r="G92">
        <v>731444160</v>
      </c>
    </row>
    <row r="93" spans="1:7">
      <c r="A93" s="2">
        <v>40543</v>
      </c>
      <c r="B93">
        <v>1257.6400000000001</v>
      </c>
      <c r="C93">
        <v>15940183808</v>
      </c>
      <c r="E93" s="2">
        <v>42895</v>
      </c>
      <c r="F93">
        <v>2431.77</v>
      </c>
      <c r="G93">
        <v>755077696</v>
      </c>
    </row>
    <row r="94" spans="1:7">
      <c r="A94" s="2">
        <v>40512</v>
      </c>
      <c r="B94">
        <v>1180.55</v>
      </c>
      <c r="C94">
        <v>17288396864</v>
      </c>
      <c r="E94" s="2">
        <v>42894</v>
      </c>
      <c r="F94">
        <v>2433.79</v>
      </c>
      <c r="G94">
        <v>655839936</v>
      </c>
    </row>
    <row r="95" spans="1:7">
      <c r="A95" s="2">
        <v>40480</v>
      </c>
      <c r="B95">
        <v>1183.26</v>
      </c>
      <c r="C95">
        <v>17938344448</v>
      </c>
      <c r="E95" s="2">
        <v>42893</v>
      </c>
      <c r="F95">
        <v>2433.14</v>
      </c>
      <c r="G95">
        <v>568594752</v>
      </c>
    </row>
    <row r="96" spans="1:7">
      <c r="A96" s="2">
        <v>40451</v>
      </c>
      <c r="B96">
        <v>1141.2</v>
      </c>
      <c r="C96">
        <v>17701529600</v>
      </c>
      <c r="E96" s="2">
        <v>42892</v>
      </c>
      <c r="F96">
        <v>2429.33</v>
      </c>
      <c r="G96">
        <v>530720320</v>
      </c>
    </row>
    <row r="97" spans="1:7">
      <c r="A97" s="2">
        <v>40421</v>
      </c>
      <c r="B97">
        <v>1049.33</v>
      </c>
      <c r="C97">
        <v>18652676160</v>
      </c>
      <c r="E97" s="2">
        <v>42891</v>
      </c>
      <c r="F97">
        <v>2436.1</v>
      </c>
      <c r="G97">
        <v>444087680</v>
      </c>
    </row>
    <row r="98" spans="1:7">
      <c r="A98" s="2">
        <v>40389</v>
      </c>
      <c r="B98">
        <v>1101.5999999999999</v>
      </c>
      <c r="C98">
        <v>20248371456</v>
      </c>
      <c r="E98" s="2">
        <v>42888</v>
      </c>
      <c r="F98">
        <v>2439.0700000000002</v>
      </c>
      <c r="G98">
        <v>563766272</v>
      </c>
    </row>
    <row r="99" spans="1:7">
      <c r="A99" s="2">
        <v>40359</v>
      </c>
      <c r="B99">
        <v>1030.71</v>
      </c>
      <c r="C99">
        <v>24061120512</v>
      </c>
      <c r="E99" s="2">
        <v>42887</v>
      </c>
      <c r="F99">
        <v>2430.06</v>
      </c>
      <c r="G99">
        <v>574309376</v>
      </c>
    </row>
    <row r="100" spans="1:7">
      <c r="A100" s="2">
        <v>40329</v>
      </c>
      <c r="B100">
        <v>1089.4100000000001</v>
      </c>
      <c r="C100">
        <v>27244272384</v>
      </c>
      <c r="E100" s="2">
        <v>42886</v>
      </c>
      <c r="F100">
        <v>2411.8000000000002</v>
      </c>
      <c r="G100">
        <v>922617920</v>
      </c>
    </row>
    <row r="101" spans="1:7">
      <c r="A101" s="2">
        <v>40298</v>
      </c>
      <c r="B101">
        <v>1186.69</v>
      </c>
      <c r="C101">
        <v>21253923072</v>
      </c>
      <c r="E101" s="2">
        <v>42885</v>
      </c>
      <c r="F101">
        <v>2412.91</v>
      </c>
      <c r="G101">
        <v>472129088</v>
      </c>
    </row>
    <row r="102" spans="1:7">
      <c r="A102" s="2">
        <v>40268</v>
      </c>
      <c r="B102">
        <v>1169.43</v>
      </c>
      <c r="C102">
        <v>20837850560</v>
      </c>
      <c r="E102" s="2">
        <v>42881</v>
      </c>
      <c r="F102">
        <v>2415.8200000000002</v>
      </c>
      <c r="G102">
        <v>399884640</v>
      </c>
    </row>
    <row r="103" spans="1:7">
      <c r="A103" s="2">
        <v>40235</v>
      </c>
      <c r="B103">
        <v>1104.49</v>
      </c>
      <c r="C103">
        <v>19038981184</v>
      </c>
      <c r="E103" s="2">
        <v>42880</v>
      </c>
      <c r="F103">
        <v>2415.0700000000002</v>
      </c>
      <c r="G103">
        <v>509979648</v>
      </c>
    </row>
    <row r="104" spans="1:7">
      <c r="A104" s="2">
        <v>40207</v>
      </c>
      <c r="B104">
        <v>1073.8699999999999</v>
      </c>
      <c r="C104">
        <v>20070080000</v>
      </c>
      <c r="E104" s="2">
        <v>42879</v>
      </c>
      <c r="F104">
        <v>2404.39</v>
      </c>
      <c r="G104">
        <v>463387968</v>
      </c>
    </row>
    <row r="105" spans="1:7">
      <c r="A105" s="2">
        <v>40178</v>
      </c>
      <c r="B105">
        <v>1115.0999999999999</v>
      </c>
      <c r="C105">
        <v>20437441344</v>
      </c>
      <c r="E105" s="2">
        <v>42878</v>
      </c>
      <c r="F105">
        <v>2398.42</v>
      </c>
      <c r="G105">
        <v>466396640</v>
      </c>
    </row>
    <row r="106" spans="1:7">
      <c r="A106" s="2">
        <v>40147</v>
      </c>
      <c r="B106">
        <v>1095.6300000000001</v>
      </c>
      <c r="C106">
        <v>18459688064</v>
      </c>
      <c r="E106" s="2">
        <v>42877</v>
      </c>
      <c r="F106">
        <v>2394.02</v>
      </c>
      <c r="G106">
        <v>495129440</v>
      </c>
    </row>
    <row r="107" spans="1:7">
      <c r="A107" s="2">
        <v>40116</v>
      </c>
      <c r="B107">
        <v>1036.19</v>
      </c>
      <c r="C107">
        <v>24318381120</v>
      </c>
      <c r="E107" s="2">
        <v>42874</v>
      </c>
      <c r="F107">
        <v>2381.73</v>
      </c>
      <c r="G107">
        <v>710908800</v>
      </c>
    </row>
    <row r="108" spans="1:7">
      <c r="A108" s="2">
        <v>40086</v>
      </c>
      <c r="B108">
        <v>1057.08</v>
      </c>
      <c r="C108">
        <v>24206181760</v>
      </c>
      <c r="E108" s="2">
        <v>42873</v>
      </c>
      <c r="F108">
        <v>2365.7199999999998</v>
      </c>
      <c r="G108">
        <v>603568768</v>
      </c>
    </row>
    <row r="109" spans="1:7">
      <c r="A109" s="2">
        <v>40056</v>
      </c>
      <c r="B109">
        <v>1020.62</v>
      </c>
      <c r="C109">
        <v>21377513408</v>
      </c>
      <c r="E109" s="2">
        <v>42872</v>
      </c>
      <c r="F109">
        <v>2357.0300000000002</v>
      </c>
      <c r="G109">
        <v>705108864</v>
      </c>
    </row>
    <row r="110" spans="1:7">
      <c r="A110" s="2">
        <v>40025</v>
      </c>
      <c r="B110">
        <v>987.48</v>
      </c>
      <c r="C110">
        <v>22958882560</v>
      </c>
      <c r="E110" s="2">
        <v>42871</v>
      </c>
      <c r="F110">
        <v>2400.67</v>
      </c>
      <c r="G110">
        <v>504811424</v>
      </c>
    </row>
    <row r="111" spans="1:7">
      <c r="A111" s="2">
        <v>39994</v>
      </c>
      <c r="B111">
        <v>919.32</v>
      </c>
      <c r="C111">
        <v>23951583616</v>
      </c>
      <c r="E111" s="2">
        <v>42870</v>
      </c>
      <c r="F111">
        <v>2402.3200000000002</v>
      </c>
      <c r="G111">
        <v>511578336</v>
      </c>
    </row>
    <row r="112" spans="1:7">
      <c r="A112" s="2">
        <v>39962</v>
      </c>
      <c r="B112">
        <v>919.14</v>
      </c>
      <c r="C112">
        <v>25664892608</v>
      </c>
      <c r="E112" s="2">
        <v>42867</v>
      </c>
      <c r="F112">
        <v>2390.9</v>
      </c>
      <c r="G112">
        <v>458846240</v>
      </c>
    </row>
    <row r="113" spans="1:7">
      <c r="A113" s="2">
        <v>39933</v>
      </c>
      <c r="B113">
        <v>872.81</v>
      </c>
      <c r="C113">
        <v>28757608192</v>
      </c>
      <c r="E113" s="2">
        <v>42866</v>
      </c>
      <c r="F113">
        <v>2394.44</v>
      </c>
      <c r="G113">
        <v>512932992</v>
      </c>
    </row>
    <row r="114" spans="1:7">
      <c r="A114" s="2">
        <v>39903</v>
      </c>
      <c r="B114">
        <v>797.87</v>
      </c>
      <c r="C114">
        <v>34777213440</v>
      </c>
      <c r="E114" s="2">
        <v>42865</v>
      </c>
      <c r="F114">
        <v>2399.63</v>
      </c>
      <c r="G114">
        <v>493871264</v>
      </c>
    </row>
    <row r="115" spans="1:7">
      <c r="A115" s="2">
        <v>39871</v>
      </c>
      <c r="B115">
        <v>735.09</v>
      </c>
      <c r="C115">
        <v>26889553216</v>
      </c>
      <c r="E115" s="2">
        <v>42864</v>
      </c>
      <c r="F115">
        <v>2396.92</v>
      </c>
      <c r="G115">
        <v>493834304</v>
      </c>
    </row>
    <row r="116" spans="1:7">
      <c r="A116" s="2">
        <v>39843</v>
      </c>
      <c r="B116">
        <v>825.88</v>
      </c>
      <c r="C116">
        <v>24699573440</v>
      </c>
      <c r="E116" s="2">
        <v>42863</v>
      </c>
      <c r="F116">
        <v>2399.38</v>
      </c>
      <c r="G116">
        <v>511529376</v>
      </c>
    </row>
    <row r="117" spans="1:7">
      <c r="A117" s="2">
        <v>39813</v>
      </c>
      <c r="B117">
        <v>903.25</v>
      </c>
      <c r="C117">
        <v>24287557664</v>
      </c>
      <c r="E117" s="2">
        <v>42860</v>
      </c>
      <c r="F117">
        <v>2399.29</v>
      </c>
      <c r="G117">
        <v>477040928</v>
      </c>
    </row>
    <row r="118" spans="1:7">
      <c r="A118" s="2">
        <v>39780</v>
      </c>
      <c r="B118">
        <v>896.24</v>
      </c>
      <c r="C118">
        <v>25653721088</v>
      </c>
      <c r="E118" s="2">
        <v>42859</v>
      </c>
      <c r="F118">
        <v>2389.52</v>
      </c>
      <c r="G118">
        <v>563427392</v>
      </c>
    </row>
    <row r="119" spans="1:7">
      <c r="A119" s="2">
        <v>39752</v>
      </c>
      <c r="B119">
        <v>968.75</v>
      </c>
      <c r="C119">
        <v>35801891328</v>
      </c>
      <c r="E119" s="2">
        <v>42858</v>
      </c>
      <c r="F119">
        <v>2388.13</v>
      </c>
      <c r="G119">
        <v>573168384</v>
      </c>
    </row>
    <row r="120" spans="1:7">
      <c r="A120" s="2">
        <v>39721</v>
      </c>
      <c r="B120">
        <v>1166.3599999999999</v>
      </c>
      <c r="C120">
        <v>31172488128</v>
      </c>
      <c r="E120" s="2">
        <v>42857</v>
      </c>
      <c r="F120">
        <v>2391.17</v>
      </c>
      <c r="G120">
        <v>590628416</v>
      </c>
    </row>
    <row r="121" spans="1:7">
      <c r="A121" s="2">
        <v>39689</v>
      </c>
      <c r="B121">
        <v>1282.83</v>
      </c>
      <c r="C121">
        <v>18862984768</v>
      </c>
      <c r="E121" s="2">
        <v>42856</v>
      </c>
      <c r="F121">
        <v>2388.33</v>
      </c>
      <c r="G121">
        <v>496560352</v>
      </c>
    </row>
    <row r="122" spans="1:7">
      <c r="A122" s="2">
        <v>39660</v>
      </c>
      <c r="B122">
        <v>1267.3800000000001</v>
      </c>
      <c r="C122">
        <v>28942098752</v>
      </c>
      <c r="E122" s="2">
        <v>42853</v>
      </c>
      <c r="F122">
        <v>2384.1999999999998</v>
      </c>
      <c r="G122">
        <v>647741952</v>
      </c>
    </row>
    <row r="123" spans="1:7">
      <c r="A123" s="2">
        <v>39629</v>
      </c>
      <c r="B123">
        <v>1280</v>
      </c>
      <c r="C123">
        <v>25151975040</v>
      </c>
      <c r="E123" s="2">
        <v>42852</v>
      </c>
      <c r="F123">
        <v>2388.77</v>
      </c>
      <c r="G123">
        <v>561146240</v>
      </c>
    </row>
    <row r="124" spans="1:7">
      <c r="A124" s="2">
        <v>39598</v>
      </c>
      <c r="B124">
        <v>1400.38</v>
      </c>
      <c r="C124">
        <v>21747002304</v>
      </c>
      <c r="E124" s="2">
        <v>42851</v>
      </c>
      <c r="F124">
        <v>2387.4499999999998</v>
      </c>
      <c r="G124">
        <v>561433280</v>
      </c>
    </row>
    <row r="125" spans="1:7">
      <c r="A125" s="2">
        <v>39568</v>
      </c>
      <c r="B125">
        <v>1385.59</v>
      </c>
      <c r="C125">
        <v>24342417152</v>
      </c>
      <c r="E125" s="2">
        <v>42850</v>
      </c>
      <c r="F125">
        <v>2388.61</v>
      </c>
      <c r="G125">
        <v>582878336</v>
      </c>
    </row>
    <row r="126" spans="1:7">
      <c r="A126" s="2">
        <v>39538</v>
      </c>
      <c r="B126">
        <v>1322.7</v>
      </c>
      <c r="C126">
        <v>29359954304</v>
      </c>
      <c r="E126" s="2">
        <v>42849</v>
      </c>
      <c r="F126">
        <v>2374.15</v>
      </c>
      <c r="G126">
        <v>589409856</v>
      </c>
    </row>
    <row r="127" spans="1:7">
      <c r="A127" s="2">
        <v>39507</v>
      </c>
      <c r="B127">
        <v>1330.63</v>
      </c>
      <c r="C127">
        <v>26790507136</v>
      </c>
      <c r="E127" s="2">
        <v>42846</v>
      </c>
      <c r="F127">
        <v>2348.69</v>
      </c>
      <c r="G127">
        <v>616382784</v>
      </c>
    </row>
    <row r="128" spans="1:7">
      <c r="A128" s="2">
        <v>39478</v>
      </c>
      <c r="B128">
        <v>1378.55</v>
      </c>
      <c r="C128">
        <v>35840738432</v>
      </c>
      <c r="E128" s="2">
        <v>42845</v>
      </c>
      <c r="F128">
        <v>2355.84</v>
      </c>
      <c r="G128">
        <v>560586624</v>
      </c>
    </row>
    <row r="129" spans="1:7">
      <c r="A129" s="2">
        <v>39447</v>
      </c>
      <c r="B129">
        <v>1468.36</v>
      </c>
      <c r="C129">
        <v>21541261920</v>
      </c>
      <c r="E129" s="2">
        <v>42844</v>
      </c>
      <c r="F129">
        <v>2338.17</v>
      </c>
      <c r="G129">
        <v>507986368</v>
      </c>
    </row>
    <row r="130" spans="1:7">
      <c r="A130" s="2">
        <v>39416</v>
      </c>
      <c r="B130">
        <v>1481.14</v>
      </c>
      <c r="C130">
        <v>29307824128</v>
      </c>
      <c r="E130" s="2">
        <v>42843</v>
      </c>
      <c r="F130">
        <v>2342.19</v>
      </c>
      <c r="G130">
        <v>467053408</v>
      </c>
    </row>
    <row r="131" spans="1:7">
      <c r="A131" s="2">
        <v>39386</v>
      </c>
      <c r="B131">
        <v>1549.38</v>
      </c>
      <c r="C131">
        <v>25597838464</v>
      </c>
      <c r="E131" s="2">
        <v>42842</v>
      </c>
      <c r="F131">
        <v>2349.0100000000002</v>
      </c>
      <c r="G131">
        <v>444402016</v>
      </c>
    </row>
    <row r="132" spans="1:7">
      <c r="A132" s="2">
        <v>39353</v>
      </c>
      <c r="B132">
        <v>1526.75</v>
      </c>
      <c r="C132">
        <v>22235573248</v>
      </c>
      <c r="E132" s="2">
        <v>42838</v>
      </c>
      <c r="F132">
        <v>2328.9499999999998</v>
      </c>
      <c r="G132">
        <v>471753952</v>
      </c>
    </row>
    <row r="133" spans="1:7">
      <c r="A133" s="2">
        <v>39325</v>
      </c>
      <c r="B133">
        <v>1473.99</v>
      </c>
      <c r="C133">
        <v>34814361344</v>
      </c>
      <c r="E133" s="2">
        <v>42837</v>
      </c>
      <c r="F133">
        <v>2344.9299999999998</v>
      </c>
      <c r="G133">
        <v>503213824</v>
      </c>
    </row>
    <row r="134" spans="1:7">
      <c r="A134" s="2">
        <v>39294</v>
      </c>
      <c r="B134">
        <v>1455.27</v>
      </c>
      <c r="C134">
        <v>29201406592</v>
      </c>
      <c r="E134" s="2">
        <v>42836</v>
      </c>
      <c r="F134">
        <v>2353.7800000000002</v>
      </c>
      <c r="G134">
        <v>480921856</v>
      </c>
    </row>
    <row r="135" spans="1:7">
      <c r="A135" s="2">
        <v>39262</v>
      </c>
      <c r="B135">
        <v>1503.35</v>
      </c>
      <c r="C135">
        <v>28115612608</v>
      </c>
      <c r="E135" s="2">
        <v>42835</v>
      </c>
      <c r="F135">
        <v>2357.16</v>
      </c>
      <c r="G135">
        <v>432266656</v>
      </c>
    </row>
    <row r="136" spans="1:7">
      <c r="A136" s="2">
        <v>39233</v>
      </c>
      <c r="B136">
        <v>1530.62</v>
      </c>
      <c r="C136">
        <v>27461249920</v>
      </c>
      <c r="E136" s="2">
        <v>42832</v>
      </c>
      <c r="F136">
        <v>2355.54</v>
      </c>
      <c r="G136">
        <v>463260800</v>
      </c>
    </row>
    <row r="137" spans="1:7">
      <c r="A137" s="2">
        <v>39202</v>
      </c>
      <c r="B137">
        <v>1482.37</v>
      </c>
      <c r="C137">
        <v>25702675520</v>
      </c>
      <c r="E137" s="2">
        <v>42831</v>
      </c>
      <c r="F137">
        <v>2357.4899999999998</v>
      </c>
      <c r="G137">
        <v>521533216</v>
      </c>
    </row>
    <row r="138" spans="1:7">
      <c r="A138" s="2">
        <v>39171</v>
      </c>
      <c r="B138">
        <v>1420.86</v>
      </c>
      <c r="C138">
        <v>29836588544</v>
      </c>
      <c r="E138" s="2">
        <v>42830</v>
      </c>
      <c r="F138">
        <v>2352.9499999999998</v>
      </c>
      <c r="G138">
        <v>555957696</v>
      </c>
    </row>
    <row r="139" spans="1:7">
      <c r="A139" s="2">
        <v>39141</v>
      </c>
      <c r="B139">
        <v>1406.82</v>
      </c>
      <c r="C139">
        <v>23224172032</v>
      </c>
      <c r="E139" s="2">
        <v>42829</v>
      </c>
      <c r="F139">
        <v>2360.16</v>
      </c>
      <c r="G139">
        <v>482138592</v>
      </c>
    </row>
    <row r="140" spans="1:7">
      <c r="A140" s="2">
        <v>39113</v>
      </c>
      <c r="B140">
        <v>1438.24</v>
      </c>
      <c r="C140">
        <v>26872376832</v>
      </c>
      <c r="E140" s="2">
        <v>42828</v>
      </c>
      <c r="F140">
        <v>2358.84</v>
      </c>
      <c r="G140">
        <v>639247488</v>
      </c>
    </row>
    <row r="141" spans="1:7">
      <c r="A141" s="2">
        <v>39080</v>
      </c>
      <c r="B141">
        <v>1418.3</v>
      </c>
      <c r="C141">
        <v>22152293056</v>
      </c>
      <c r="E141" s="2">
        <v>42825</v>
      </c>
      <c r="F141">
        <v>2362.7199999999998</v>
      </c>
      <c r="G141">
        <v>619866624</v>
      </c>
    </row>
    <row r="142" spans="1:7">
      <c r="A142" s="2">
        <v>39051</v>
      </c>
      <c r="B142">
        <v>1400.63</v>
      </c>
      <c r="C142">
        <v>25670237024</v>
      </c>
      <c r="E142" s="2">
        <v>42824</v>
      </c>
      <c r="F142">
        <v>2368.06</v>
      </c>
      <c r="G142">
        <v>488974624</v>
      </c>
    </row>
    <row r="143" spans="1:7">
      <c r="A143" s="2">
        <v>39021</v>
      </c>
      <c r="B143">
        <v>1377.94</v>
      </c>
      <c r="C143">
        <v>28766665472</v>
      </c>
      <c r="E143" s="2">
        <v>42823</v>
      </c>
      <c r="F143">
        <v>2361.13</v>
      </c>
      <c r="G143">
        <v>448709888</v>
      </c>
    </row>
    <row r="144" spans="1:7">
      <c r="A144" s="2">
        <v>38989</v>
      </c>
      <c r="B144">
        <v>1335.85</v>
      </c>
      <c r="C144">
        <v>25800667968</v>
      </c>
      <c r="E144" s="2">
        <v>42822</v>
      </c>
      <c r="F144">
        <v>2358.5700000000002</v>
      </c>
      <c r="G144">
        <v>513845184</v>
      </c>
    </row>
    <row r="145" spans="1:7">
      <c r="A145" s="2">
        <v>38960</v>
      </c>
      <c r="B145">
        <v>1303.82</v>
      </c>
      <c r="C145">
        <v>26725342784</v>
      </c>
      <c r="E145" s="2">
        <v>42821</v>
      </c>
      <c r="F145">
        <v>2341.59</v>
      </c>
      <c r="G145">
        <v>543613888</v>
      </c>
    </row>
    <row r="146" spans="1:7">
      <c r="A146" s="2">
        <v>38929</v>
      </c>
      <c r="B146">
        <v>1276.6600000000001</v>
      </c>
      <c r="C146">
        <v>30064733056</v>
      </c>
      <c r="E146" s="2">
        <v>42818</v>
      </c>
      <c r="F146">
        <v>2343.98</v>
      </c>
      <c r="G146">
        <v>558691648</v>
      </c>
    </row>
    <row r="147" spans="1:7">
      <c r="A147" s="2">
        <v>38898</v>
      </c>
      <c r="B147">
        <v>1270.2</v>
      </c>
      <c r="C147">
        <v>34619354112</v>
      </c>
      <c r="E147" s="2">
        <v>42817</v>
      </c>
      <c r="F147">
        <v>2345.96</v>
      </c>
      <c r="G147">
        <v>517824672</v>
      </c>
    </row>
    <row r="148" spans="1:7">
      <c r="A148" s="2">
        <v>38868</v>
      </c>
      <c r="B148">
        <v>1270.0899999999999</v>
      </c>
      <c r="C148">
        <v>35948040832</v>
      </c>
      <c r="E148" s="2">
        <v>42816</v>
      </c>
      <c r="F148">
        <v>2348.4499999999998</v>
      </c>
      <c r="G148">
        <v>575102656</v>
      </c>
    </row>
    <row r="149" spans="1:7">
      <c r="A149" s="2">
        <v>38835</v>
      </c>
      <c r="B149">
        <v>1310.6099999999999</v>
      </c>
      <c r="C149">
        <v>29670513920</v>
      </c>
      <c r="E149" s="2">
        <v>42815</v>
      </c>
      <c r="F149">
        <v>2344.02</v>
      </c>
      <c r="G149">
        <v>663260416</v>
      </c>
    </row>
    <row r="150" spans="1:7">
      <c r="A150" s="2">
        <v>38807</v>
      </c>
      <c r="B150">
        <v>1294.83</v>
      </c>
      <c r="C150">
        <v>35223162368</v>
      </c>
      <c r="E150" s="2">
        <v>42814</v>
      </c>
      <c r="F150">
        <v>2373.4699999999998</v>
      </c>
      <c r="G150">
        <v>491568832</v>
      </c>
    </row>
    <row r="151" spans="1:7">
      <c r="A151" s="2">
        <v>38776</v>
      </c>
      <c r="B151">
        <v>1280.6600000000001</v>
      </c>
      <c r="C151">
        <v>28987337600</v>
      </c>
      <c r="E151" s="2">
        <v>42811</v>
      </c>
      <c r="F151">
        <v>2378.25</v>
      </c>
      <c r="G151">
        <v>1613420288</v>
      </c>
    </row>
    <row r="152" spans="1:7">
      <c r="A152" s="2">
        <v>38748</v>
      </c>
      <c r="B152">
        <v>1280.08</v>
      </c>
      <c r="C152">
        <v>31243615104</v>
      </c>
      <c r="E152" s="2">
        <v>42810</v>
      </c>
      <c r="F152">
        <v>2381.38</v>
      </c>
      <c r="G152">
        <v>503386528</v>
      </c>
    </row>
    <row r="153" spans="1:7">
      <c r="A153" s="2">
        <v>38716</v>
      </c>
      <c r="B153">
        <v>1248.29</v>
      </c>
      <c r="C153">
        <v>24786501312</v>
      </c>
      <c r="E153" s="2">
        <v>42809</v>
      </c>
      <c r="F153">
        <v>2385.2600000000002</v>
      </c>
      <c r="G153">
        <v>538715712</v>
      </c>
    </row>
    <row r="154" spans="1:7">
      <c r="A154" s="2">
        <v>38686</v>
      </c>
      <c r="B154">
        <v>1249.48</v>
      </c>
      <c r="C154">
        <v>27182025984</v>
      </c>
      <c r="E154" s="2">
        <v>42808</v>
      </c>
      <c r="F154">
        <v>2365.4499999999998</v>
      </c>
      <c r="G154">
        <v>446149088</v>
      </c>
    </row>
    <row r="155" spans="1:7">
      <c r="A155" s="2">
        <v>38656</v>
      </c>
      <c r="B155">
        <v>1207.01</v>
      </c>
      <c r="C155">
        <v>29697591680</v>
      </c>
      <c r="E155" s="2">
        <v>42807</v>
      </c>
      <c r="F155">
        <v>2373.4699999999998</v>
      </c>
      <c r="G155">
        <v>471549472</v>
      </c>
    </row>
    <row r="156" spans="1:7">
      <c r="A156" s="2">
        <v>38625</v>
      </c>
      <c r="B156">
        <v>1228.81</v>
      </c>
      <c r="C156">
        <v>27255350400</v>
      </c>
      <c r="E156" s="2">
        <v>42804</v>
      </c>
      <c r="F156">
        <v>2372.6</v>
      </c>
      <c r="G156">
        <v>532686368</v>
      </c>
    </row>
    <row r="157" spans="1:7">
      <c r="A157" s="2">
        <v>38595</v>
      </c>
      <c r="B157">
        <v>1220.33</v>
      </c>
      <c r="C157">
        <v>25280726080</v>
      </c>
      <c r="E157" s="2">
        <v>42803</v>
      </c>
      <c r="F157">
        <v>2364.87</v>
      </c>
      <c r="G157">
        <v>514692928</v>
      </c>
    </row>
    <row r="158" spans="1:7">
      <c r="A158" s="2">
        <v>38562</v>
      </c>
      <c r="B158">
        <v>1234.18</v>
      </c>
      <c r="C158">
        <v>23840147904</v>
      </c>
      <c r="E158" s="2">
        <v>42802</v>
      </c>
      <c r="F158">
        <v>2362.98</v>
      </c>
      <c r="G158">
        <v>546572160</v>
      </c>
    </row>
    <row r="159" spans="1:7">
      <c r="A159" s="2">
        <v>38533</v>
      </c>
      <c r="B159">
        <v>1191.33</v>
      </c>
      <c r="C159">
        <v>25898773504</v>
      </c>
      <c r="E159" s="2">
        <v>42801</v>
      </c>
      <c r="F159">
        <v>2368.39</v>
      </c>
      <c r="G159">
        <v>498067968</v>
      </c>
    </row>
    <row r="160" spans="1:7">
      <c r="A160" s="2">
        <v>38503</v>
      </c>
      <c r="B160">
        <v>1191.5</v>
      </c>
      <c r="C160">
        <v>25660209216</v>
      </c>
      <c r="E160" s="2">
        <v>42800</v>
      </c>
      <c r="F160">
        <v>2375.31</v>
      </c>
      <c r="G160">
        <v>518955680</v>
      </c>
    </row>
    <row r="161" spans="1:7">
      <c r="A161" s="2">
        <v>38471</v>
      </c>
      <c r="B161">
        <v>1156.8499999999999</v>
      </c>
      <c r="C161">
        <v>29378351808</v>
      </c>
      <c r="E161" s="2">
        <v>42797</v>
      </c>
      <c r="F161">
        <v>2383.12</v>
      </c>
      <c r="G161">
        <v>491616768</v>
      </c>
    </row>
    <row r="162" spans="1:7">
      <c r="A162" s="2">
        <v>38442</v>
      </c>
      <c r="B162">
        <v>1180.5899999999999</v>
      </c>
      <c r="C162">
        <v>29434751744</v>
      </c>
      <c r="E162" s="2">
        <v>42796</v>
      </c>
      <c r="F162">
        <v>2381.92</v>
      </c>
      <c r="G162">
        <v>529614144</v>
      </c>
    </row>
    <row r="163" spans="1:7">
      <c r="A163" s="2">
        <v>38411</v>
      </c>
      <c r="B163">
        <v>1203.5999999999999</v>
      </c>
      <c r="C163">
        <v>24628565056</v>
      </c>
      <c r="E163" s="2">
        <v>42795</v>
      </c>
      <c r="F163">
        <v>2395.96</v>
      </c>
      <c r="G163">
        <v>658417408</v>
      </c>
    </row>
    <row r="164" spans="1:7">
      <c r="A164" s="2">
        <v>38383</v>
      </c>
      <c r="B164">
        <v>1181.27</v>
      </c>
      <c r="C164">
        <v>27396819456</v>
      </c>
      <c r="E164" s="2">
        <v>42794</v>
      </c>
      <c r="F164">
        <v>2363.64</v>
      </c>
      <c r="G164">
        <v>769353088</v>
      </c>
    </row>
    <row r="165" spans="1:7">
      <c r="A165" s="2">
        <v>38352</v>
      </c>
      <c r="B165">
        <v>1211.92</v>
      </c>
      <c r="C165">
        <v>27262649024</v>
      </c>
      <c r="E165" s="2">
        <v>42793</v>
      </c>
      <c r="F165">
        <v>2369.75</v>
      </c>
      <c r="G165">
        <v>487223840</v>
      </c>
    </row>
    <row r="166" spans="1:7">
      <c r="A166" s="2">
        <v>38321</v>
      </c>
      <c r="B166">
        <v>1173.82</v>
      </c>
      <c r="C166">
        <v>25644642816</v>
      </c>
      <c r="E166" s="2">
        <v>42790</v>
      </c>
      <c r="F166">
        <v>2367.34</v>
      </c>
      <c r="G166">
        <v>610653760</v>
      </c>
    </row>
    <row r="167" spans="1:7">
      <c r="A167" s="2">
        <v>38289</v>
      </c>
      <c r="B167">
        <v>1130.2</v>
      </c>
      <c r="C167">
        <v>26576545600</v>
      </c>
      <c r="E167" s="2">
        <v>42789</v>
      </c>
      <c r="F167">
        <v>2363.81</v>
      </c>
      <c r="G167">
        <v>552145088</v>
      </c>
    </row>
    <row r="168" spans="1:7">
      <c r="A168" s="2">
        <v>38260</v>
      </c>
      <c r="B168">
        <v>1114.58</v>
      </c>
      <c r="C168">
        <v>23346633216</v>
      </c>
      <c r="E168" s="2">
        <v>42788</v>
      </c>
      <c r="F168">
        <v>2362.8200000000002</v>
      </c>
      <c r="G168">
        <v>521320128</v>
      </c>
    </row>
    <row r="169" spans="1:7">
      <c r="A169" s="2">
        <v>38230</v>
      </c>
      <c r="B169">
        <v>1104.24</v>
      </c>
      <c r="C169">
        <v>20459542912</v>
      </c>
      <c r="E169" s="2">
        <v>42787</v>
      </c>
      <c r="F169">
        <v>2365.38</v>
      </c>
      <c r="G169">
        <v>578577920</v>
      </c>
    </row>
    <row r="170" spans="1:7">
      <c r="A170" s="2">
        <v>38198</v>
      </c>
      <c r="B170">
        <v>1101.72</v>
      </c>
      <c r="C170">
        <v>23542895168</v>
      </c>
      <c r="E170" s="2">
        <v>42783</v>
      </c>
      <c r="F170">
        <v>2351.16</v>
      </c>
      <c r="G170">
        <v>666246784</v>
      </c>
    </row>
    <row r="171" spans="1:7">
      <c r="A171" s="2">
        <v>38168</v>
      </c>
      <c r="B171">
        <v>1140.8399999999999</v>
      </c>
      <c r="C171">
        <v>21554487552</v>
      </c>
      <c r="E171" s="2">
        <v>42782</v>
      </c>
      <c r="F171">
        <v>2347.2199999999998</v>
      </c>
      <c r="G171">
        <v>536902976</v>
      </c>
    </row>
    <row r="172" spans="1:7">
      <c r="A172" s="2">
        <v>38138</v>
      </c>
      <c r="B172">
        <v>1120.68</v>
      </c>
      <c r="C172">
        <v>22481557120</v>
      </c>
      <c r="E172" s="2">
        <v>42781</v>
      </c>
      <c r="F172">
        <v>2349.25</v>
      </c>
      <c r="G172">
        <v>576083840</v>
      </c>
    </row>
    <row r="173" spans="1:7">
      <c r="A173" s="2">
        <v>38107</v>
      </c>
      <c r="B173">
        <v>1107.3</v>
      </c>
      <c r="C173">
        <v>24283676288</v>
      </c>
      <c r="E173" s="2">
        <v>42780</v>
      </c>
      <c r="F173">
        <v>2337.58</v>
      </c>
      <c r="G173">
        <v>547310912</v>
      </c>
    </row>
    <row r="174" spans="1:7">
      <c r="A174" s="2">
        <v>38077</v>
      </c>
      <c r="B174">
        <v>1126.21</v>
      </c>
      <c r="C174">
        <v>26433423232</v>
      </c>
      <c r="E174" s="2">
        <v>42779</v>
      </c>
      <c r="F174">
        <v>2328.25</v>
      </c>
      <c r="G174">
        <v>502336864</v>
      </c>
    </row>
    <row r="175" spans="1:7">
      <c r="A175" s="2">
        <v>38044</v>
      </c>
      <c r="B175">
        <v>1144.94</v>
      </c>
      <c r="C175">
        <v>22670751808</v>
      </c>
      <c r="E175" s="2">
        <v>42776</v>
      </c>
      <c r="F175">
        <v>2316.1</v>
      </c>
      <c r="G175">
        <v>512915072</v>
      </c>
    </row>
    <row r="176" spans="1:7">
      <c r="A176" s="2">
        <v>38016</v>
      </c>
      <c r="B176">
        <v>1131.1300000000001</v>
      </c>
      <c r="C176">
        <v>27481533440</v>
      </c>
      <c r="E176" s="2">
        <v>42775</v>
      </c>
      <c r="F176">
        <v>2307.87</v>
      </c>
      <c r="G176">
        <v>536921664</v>
      </c>
    </row>
    <row r="177" spans="1:7">
      <c r="A177" s="2">
        <v>37986</v>
      </c>
      <c r="B177">
        <v>1111.92</v>
      </c>
      <c r="C177">
        <v>22908078208</v>
      </c>
      <c r="E177" s="2">
        <v>42774</v>
      </c>
      <c r="F177">
        <v>2294.67</v>
      </c>
      <c r="G177">
        <v>534057824</v>
      </c>
    </row>
    <row r="178" spans="1:7">
      <c r="A178" s="2">
        <v>37953</v>
      </c>
      <c r="B178">
        <v>1058.2</v>
      </c>
      <c r="C178">
        <v>20974277536</v>
      </c>
      <c r="E178" s="2">
        <v>42773</v>
      </c>
      <c r="F178">
        <v>2293.08</v>
      </c>
      <c r="G178">
        <v>535870208</v>
      </c>
    </row>
    <row r="179" spans="1:7">
      <c r="A179" s="2">
        <v>37925</v>
      </c>
      <c r="B179">
        <v>1050.71</v>
      </c>
      <c r="C179">
        <v>28076410816</v>
      </c>
      <c r="E179" s="2">
        <v>42772</v>
      </c>
      <c r="F179">
        <v>2292.56</v>
      </c>
      <c r="G179">
        <v>514444000</v>
      </c>
    </row>
    <row r="180" spans="1:7">
      <c r="A180" s="2">
        <v>37894</v>
      </c>
      <c r="B180">
        <v>995.97</v>
      </c>
      <c r="C180">
        <v>26188287040</v>
      </c>
      <c r="E180" s="2">
        <v>42769</v>
      </c>
      <c r="F180">
        <v>2297.42</v>
      </c>
      <c r="G180">
        <v>565945728</v>
      </c>
    </row>
    <row r="181" spans="1:7">
      <c r="A181" s="2">
        <v>37862</v>
      </c>
      <c r="B181">
        <v>1008.01</v>
      </c>
      <c r="C181">
        <v>22029302848</v>
      </c>
      <c r="E181" s="2">
        <v>42768</v>
      </c>
      <c r="F181">
        <v>2280.85</v>
      </c>
      <c r="G181">
        <v>582252928</v>
      </c>
    </row>
    <row r="182" spans="1:7">
      <c r="A182" s="2">
        <v>37833</v>
      </c>
      <c r="B182">
        <v>990.31</v>
      </c>
      <c r="C182">
        <v>28296479488</v>
      </c>
      <c r="E182" s="2">
        <v>42767</v>
      </c>
      <c r="F182">
        <v>2279.5500000000002</v>
      </c>
      <c r="G182">
        <v>614381248</v>
      </c>
    </row>
    <row r="183" spans="1:7">
      <c r="A183" s="2">
        <v>37802</v>
      </c>
      <c r="B183">
        <v>974.5</v>
      </c>
      <c r="C183">
        <v>29802251648</v>
      </c>
      <c r="E183" s="2">
        <v>42766</v>
      </c>
      <c r="F183">
        <v>2278.87</v>
      </c>
      <c r="G183">
        <v>762733760</v>
      </c>
    </row>
    <row r="184" spans="1:7">
      <c r="A184" s="2">
        <v>37771</v>
      </c>
      <c r="B184">
        <v>963.59</v>
      </c>
      <c r="C184">
        <v>29442564864</v>
      </c>
      <c r="E184" s="2">
        <v>42765</v>
      </c>
      <c r="F184">
        <v>2280.9</v>
      </c>
      <c r="G184">
        <v>560540864</v>
      </c>
    </row>
    <row r="185" spans="1:7">
      <c r="A185" s="2">
        <v>37741</v>
      </c>
      <c r="B185">
        <v>916.92</v>
      </c>
      <c r="C185">
        <v>28946668736</v>
      </c>
      <c r="E185" s="2">
        <v>42762</v>
      </c>
      <c r="F185">
        <v>2294.69</v>
      </c>
      <c r="G185">
        <v>517517760</v>
      </c>
    </row>
    <row r="186" spans="1:7">
      <c r="A186" s="2">
        <v>37711</v>
      </c>
      <c r="B186">
        <v>848.18</v>
      </c>
      <c r="C186">
        <v>31794253440</v>
      </c>
      <c r="E186" s="2">
        <v>42761</v>
      </c>
      <c r="F186">
        <v>2296.6799999999998</v>
      </c>
      <c r="G186">
        <v>589561856</v>
      </c>
    </row>
    <row r="187" spans="1:7">
      <c r="A187" s="2">
        <v>37680</v>
      </c>
      <c r="B187">
        <v>841.15</v>
      </c>
      <c r="C187">
        <v>26358743424</v>
      </c>
      <c r="E187" s="2">
        <v>42760</v>
      </c>
      <c r="F187">
        <v>2298.37</v>
      </c>
      <c r="G187">
        <v>626509888</v>
      </c>
    </row>
    <row r="188" spans="1:7">
      <c r="A188" s="2">
        <v>37652</v>
      </c>
      <c r="B188">
        <v>855.7</v>
      </c>
      <c r="C188">
        <v>33301207936</v>
      </c>
      <c r="E188" s="2">
        <v>42759</v>
      </c>
      <c r="F188">
        <v>2280.0700000000002</v>
      </c>
      <c r="G188">
        <v>571145472</v>
      </c>
    </row>
    <row r="189" spans="1:7">
      <c r="A189" s="2">
        <v>37621</v>
      </c>
      <c r="B189">
        <v>879.82</v>
      </c>
      <c r="C189">
        <v>28085461152</v>
      </c>
      <c r="E189" s="2">
        <v>42758</v>
      </c>
      <c r="F189">
        <v>2265.1999999999998</v>
      </c>
      <c r="G189">
        <v>534840416</v>
      </c>
    </row>
    <row r="190" spans="1:7">
      <c r="A190" s="2">
        <v>37589</v>
      </c>
      <c r="B190">
        <v>936.31</v>
      </c>
      <c r="C190">
        <v>33934389312</v>
      </c>
      <c r="E190" s="2">
        <v>42755</v>
      </c>
      <c r="F190">
        <v>2271.31</v>
      </c>
      <c r="G190">
        <v>720417216</v>
      </c>
    </row>
    <row r="191" spans="1:7">
      <c r="A191" s="2">
        <v>37560</v>
      </c>
      <c r="B191">
        <v>885.76</v>
      </c>
      <c r="C191">
        <v>43705385856</v>
      </c>
      <c r="E191" s="2">
        <v>42754</v>
      </c>
      <c r="F191">
        <v>2263.69</v>
      </c>
      <c r="G191">
        <v>511723552</v>
      </c>
    </row>
    <row r="192" spans="1:7">
      <c r="A192" s="2">
        <v>37529</v>
      </c>
      <c r="B192">
        <v>815.28</v>
      </c>
      <c r="C192">
        <v>32198346112</v>
      </c>
      <c r="E192" s="2">
        <v>42753</v>
      </c>
      <c r="F192">
        <v>2271.89</v>
      </c>
      <c r="G192">
        <v>510120256</v>
      </c>
    </row>
    <row r="193" spans="1:7">
      <c r="A193" s="2">
        <v>37498</v>
      </c>
      <c r="B193">
        <v>916.07</v>
      </c>
      <c r="C193">
        <v>33550072960</v>
      </c>
      <c r="E193" s="2">
        <v>42752</v>
      </c>
      <c r="F193">
        <v>2267.89</v>
      </c>
      <c r="G193">
        <v>607413824</v>
      </c>
    </row>
    <row r="194" spans="1:7">
      <c r="A194" s="2">
        <v>37468</v>
      </c>
      <c r="B194">
        <v>911.62</v>
      </c>
      <c r="C194">
        <v>46990155968</v>
      </c>
      <c r="E194" s="2">
        <v>42748</v>
      </c>
      <c r="F194">
        <v>2274.64</v>
      </c>
      <c r="G194">
        <v>486472096</v>
      </c>
    </row>
    <row r="195" spans="1:7">
      <c r="A195" s="2">
        <v>37435</v>
      </c>
      <c r="B195">
        <v>989.81</v>
      </c>
      <c r="C195">
        <v>37416849152</v>
      </c>
      <c r="E195" s="2">
        <v>42747</v>
      </c>
      <c r="F195">
        <v>2270.44</v>
      </c>
      <c r="G195">
        <v>478404064</v>
      </c>
    </row>
    <row r="196" spans="1:7">
      <c r="A196" s="2">
        <v>37407</v>
      </c>
      <c r="B196">
        <v>1067.1400000000001</v>
      </c>
      <c r="C196">
        <v>36295774720</v>
      </c>
      <c r="E196" s="2">
        <v>42746</v>
      </c>
      <c r="F196">
        <v>2275.3200000000002</v>
      </c>
      <c r="G196">
        <v>549467584</v>
      </c>
    </row>
    <row r="197" spans="1:7">
      <c r="A197" s="2">
        <v>37376</v>
      </c>
      <c r="B197">
        <v>1076.92</v>
      </c>
      <c r="C197">
        <v>37001973248</v>
      </c>
      <c r="E197" s="2">
        <v>42745</v>
      </c>
      <c r="F197">
        <v>2268.9</v>
      </c>
      <c r="G197">
        <v>596464384</v>
      </c>
    </row>
    <row r="198" spans="1:7">
      <c r="A198" s="2">
        <v>37344</v>
      </c>
      <c r="B198">
        <v>1147.3900000000001</v>
      </c>
      <c r="C198">
        <v>33507175552</v>
      </c>
      <c r="E198" s="2">
        <v>42744</v>
      </c>
      <c r="F198">
        <v>2268.9</v>
      </c>
      <c r="G198">
        <v>532332864</v>
      </c>
    </row>
    <row r="199" spans="1:7">
      <c r="A199" s="2">
        <v>37315</v>
      </c>
      <c r="B199">
        <v>1106.73</v>
      </c>
      <c r="C199">
        <v>33778517120</v>
      </c>
      <c r="E199" s="2">
        <v>42741</v>
      </c>
      <c r="F199">
        <v>2276.98</v>
      </c>
      <c r="G199">
        <v>485214848</v>
      </c>
    </row>
    <row r="200" spans="1:7">
      <c r="A200" s="2">
        <v>37287</v>
      </c>
      <c r="B200">
        <v>1130.2</v>
      </c>
      <c r="C200">
        <v>36326088704</v>
      </c>
      <c r="E200" s="2">
        <v>42740</v>
      </c>
      <c r="F200">
        <v>2269</v>
      </c>
      <c r="G200">
        <v>573475776</v>
      </c>
    </row>
    <row r="201" spans="1:7">
      <c r="A201" s="2">
        <v>37256</v>
      </c>
      <c r="B201">
        <v>1148.08</v>
      </c>
      <c r="C201">
        <v>30626524224</v>
      </c>
      <c r="E201" s="2">
        <v>42739</v>
      </c>
      <c r="F201">
        <v>2270.75</v>
      </c>
      <c r="G201">
        <v>573172224</v>
      </c>
    </row>
    <row r="202" spans="1:7">
      <c r="A202" s="2">
        <v>37225</v>
      </c>
      <c r="B202">
        <v>1139.45</v>
      </c>
      <c r="C202">
        <v>33949378688</v>
      </c>
      <c r="E202" s="2">
        <v>42738</v>
      </c>
      <c r="F202">
        <v>2257.83</v>
      </c>
      <c r="G202">
        <v>649219392</v>
      </c>
    </row>
    <row r="203" spans="1:7">
      <c r="A203" s="2">
        <v>37195</v>
      </c>
      <c r="B203">
        <v>1059.78</v>
      </c>
      <c r="C203">
        <v>39258566912</v>
      </c>
      <c r="E203" s="2">
        <v>42734</v>
      </c>
      <c r="F203">
        <v>2238.83</v>
      </c>
      <c r="G203">
        <v>544797760</v>
      </c>
    </row>
    <row r="204" spans="1:7">
      <c r="A204" s="2">
        <v>37162</v>
      </c>
      <c r="B204">
        <v>1040.94</v>
      </c>
      <c r="C204">
        <v>30733671612</v>
      </c>
      <c r="E204" s="2">
        <v>42733</v>
      </c>
      <c r="F204">
        <v>2249.2600000000002</v>
      </c>
      <c r="G204">
        <v>344968992</v>
      </c>
    </row>
    <row r="205" spans="1:7">
      <c r="A205" s="2">
        <v>37134</v>
      </c>
      <c r="B205">
        <v>1133.58</v>
      </c>
      <c r="C205">
        <v>28240855168</v>
      </c>
      <c r="E205" s="2">
        <v>42732</v>
      </c>
      <c r="F205">
        <v>2249.92</v>
      </c>
      <c r="G205">
        <v>381535168</v>
      </c>
    </row>
    <row r="206" spans="1:7">
      <c r="A206" s="2">
        <v>37103</v>
      </c>
      <c r="B206">
        <v>1211.23</v>
      </c>
      <c r="C206">
        <v>29091106816</v>
      </c>
      <c r="E206" s="2">
        <v>42731</v>
      </c>
      <c r="F206">
        <v>2268.88</v>
      </c>
      <c r="G206">
        <v>299941120</v>
      </c>
    </row>
    <row r="207" spans="1:7">
      <c r="A207" s="2">
        <v>37071</v>
      </c>
      <c r="B207">
        <v>1224.42</v>
      </c>
      <c r="C207">
        <v>30003597376</v>
      </c>
      <c r="E207" s="2">
        <v>42727</v>
      </c>
      <c r="F207">
        <v>2263.79</v>
      </c>
      <c r="G207">
        <v>304600352</v>
      </c>
    </row>
    <row r="208" spans="1:7">
      <c r="A208" s="2">
        <v>37042</v>
      </c>
      <c r="B208">
        <v>1255.82</v>
      </c>
      <c r="C208">
        <v>31253104832</v>
      </c>
      <c r="E208" s="2">
        <v>42726</v>
      </c>
      <c r="F208">
        <v>2260.96</v>
      </c>
      <c r="G208">
        <v>480911520</v>
      </c>
    </row>
    <row r="209" spans="1:7">
      <c r="A209" s="2">
        <v>37011</v>
      </c>
      <c r="B209">
        <v>1249.46</v>
      </c>
      <c r="C209">
        <v>35097698944</v>
      </c>
      <c r="E209" s="2">
        <v>42725</v>
      </c>
      <c r="F209">
        <v>2265.1799999999998</v>
      </c>
      <c r="G209">
        <v>432626048</v>
      </c>
    </row>
    <row r="210" spans="1:7">
      <c r="A210" s="2">
        <v>36980</v>
      </c>
      <c r="B210">
        <v>1160.33</v>
      </c>
      <c r="C210">
        <v>39041915008</v>
      </c>
      <c r="E210" s="2">
        <v>42724</v>
      </c>
      <c r="F210">
        <v>2270.7600000000002</v>
      </c>
      <c r="G210">
        <v>518207008</v>
      </c>
    </row>
    <row r="211" spans="1:7">
      <c r="A211" s="2">
        <v>36950</v>
      </c>
      <c r="B211">
        <v>1239.94</v>
      </c>
      <c r="C211">
        <v>30005816192</v>
      </c>
      <c r="E211" s="2">
        <v>42723</v>
      </c>
      <c r="F211">
        <v>2262.5300000000002</v>
      </c>
      <c r="G211">
        <v>503191680</v>
      </c>
    </row>
    <row r="212" spans="1:7">
      <c r="A212" s="2">
        <v>36922</v>
      </c>
      <c r="B212">
        <v>1366.01</v>
      </c>
      <c r="C212">
        <v>37370701824</v>
      </c>
      <c r="E212" s="2">
        <v>42720</v>
      </c>
      <c r="F212">
        <v>2258.0700000000002</v>
      </c>
      <c r="G212">
        <v>1497525120</v>
      </c>
    </row>
    <row r="213" spans="1:7">
      <c r="A213" s="2">
        <v>36889</v>
      </c>
      <c r="B213">
        <v>1320.28</v>
      </c>
      <c r="C213">
        <v>32078111744</v>
      </c>
      <c r="E213" s="2">
        <v>42719</v>
      </c>
      <c r="F213">
        <v>2262.0300000000002</v>
      </c>
      <c r="G213">
        <v>653862656</v>
      </c>
    </row>
    <row r="214" spans="1:7">
      <c r="A214" s="2">
        <v>36860</v>
      </c>
      <c r="B214">
        <v>1314.95</v>
      </c>
      <c r="C214">
        <v>28591353728</v>
      </c>
      <c r="E214" s="2">
        <v>42718</v>
      </c>
      <c r="F214">
        <v>2253.2800000000002</v>
      </c>
      <c r="G214">
        <v>714113344</v>
      </c>
    </row>
    <row r="215" spans="1:7">
      <c r="A215" s="2">
        <v>36830</v>
      </c>
      <c r="B215">
        <v>1429.4</v>
      </c>
      <c r="C215">
        <v>33327549184</v>
      </c>
      <c r="E215" s="2">
        <v>42717</v>
      </c>
      <c r="F215">
        <v>2271.7199999999998</v>
      </c>
      <c r="G215">
        <v>592540480</v>
      </c>
    </row>
    <row r="216" spans="1:7">
      <c r="E216" s="2">
        <v>42716</v>
      </c>
      <c r="F216">
        <v>2256.96</v>
      </c>
      <c r="G216">
        <v>631895168</v>
      </c>
    </row>
    <row r="217" spans="1:7">
      <c r="E217" s="2">
        <v>42713</v>
      </c>
      <c r="F217">
        <v>2259.5300000000002</v>
      </c>
      <c r="G217">
        <v>556353856</v>
      </c>
    </row>
    <row r="218" spans="1:7">
      <c r="E218" s="2">
        <v>42712</v>
      </c>
      <c r="F218">
        <v>2246.19</v>
      </c>
      <c r="G218">
        <v>630279040</v>
      </c>
    </row>
    <row r="219" spans="1:7">
      <c r="E219" s="2">
        <v>42711</v>
      </c>
      <c r="F219">
        <v>2241.35</v>
      </c>
      <c r="G219">
        <v>710260224</v>
      </c>
    </row>
    <row r="220" spans="1:7">
      <c r="E220" s="2">
        <v>42710</v>
      </c>
      <c r="F220">
        <v>2212.23</v>
      </c>
      <c r="G220">
        <v>552502592</v>
      </c>
    </row>
    <row r="221" spans="1:7">
      <c r="E221" s="2">
        <v>42709</v>
      </c>
      <c r="F221">
        <v>2204.71</v>
      </c>
      <c r="G221">
        <v>627944512</v>
      </c>
    </row>
    <row r="222" spans="1:7">
      <c r="E222" s="2">
        <v>42706</v>
      </c>
      <c r="F222">
        <v>2191.9499999999998</v>
      </c>
      <c r="G222">
        <v>593367872</v>
      </c>
    </row>
    <row r="223" spans="1:7">
      <c r="E223" s="2">
        <v>42705</v>
      </c>
      <c r="F223">
        <v>2191.08</v>
      </c>
      <c r="G223">
        <v>750913728</v>
      </c>
    </row>
    <row r="224" spans="1:7">
      <c r="E224" s="2">
        <v>42704</v>
      </c>
      <c r="F224">
        <v>2198.81</v>
      </c>
      <c r="G224">
        <v>1060169600</v>
      </c>
    </row>
    <row r="225" spans="5:7">
      <c r="E225" s="2">
        <v>42703</v>
      </c>
      <c r="F225">
        <v>2204.66</v>
      </c>
      <c r="G225">
        <v>588951872</v>
      </c>
    </row>
    <row r="226" spans="5:7">
      <c r="E226" s="2">
        <v>42702</v>
      </c>
      <c r="F226">
        <v>2201.7199999999998</v>
      </c>
      <c r="G226">
        <v>567041344</v>
      </c>
    </row>
    <row r="227" spans="5:7">
      <c r="E227" s="2">
        <v>42699</v>
      </c>
      <c r="F227">
        <v>2213.35</v>
      </c>
      <c r="G227">
        <v>262991648</v>
      </c>
    </row>
    <row r="228" spans="5:7">
      <c r="E228" s="2">
        <v>42697</v>
      </c>
      <c r="F228">
        <v>2204.7199999999998</v>
      </c>
      <c r="G228">
        <v>526711808</v>
      </c>
    </row>
    <row r="229" spans="5:7">
      <c r="E229" s="2">
        <v>42696</v>
      </c>
      <c r="F229">
        <v>2202.94</v>
      </c>
      <c r="G229">
        <v>599368512</v>
      </c>
    </row>
    <row r="230" spans="5:7">
      <c r="E230" s="2">
        <v>42695</v>
      </c>
      <c r="F230">
        <v>2198.1799999999998</v>
      </c>
      <c r="G230">
        <v>578108160</v>
      </c>
    </row>
    <row r="231" spans="5:7">
      <c r="E231" s="2">
        <v>42692</v>
      </c>
      <c r="F231">
        <v>2181.9</v>
      </c>
      <c r="G231">
        <v>676655488</v>
      </c>
    </row>
    <row r="232" spans="5:7">
      <c r="E232" s="2">
        <v>42691</v>
      </c>
      <c r="F232">
        <v>2187.12</v>
      </c>
      <c r="G232">
        <v>576173696</v>
      </c>
    </row>
    <row r="233" spans="5:7">
      <c r="E233" s="2">
        <v>42690</v>
      </c>
      <c r="F233">
        <v>2176.94</v>
      </c>
      <c r="G233">
        <v>580519552</v>
      </c>
    </row>
    <row r="234" spans="5:7">
      <c r="E234" s="2">
        <v>42689</v>
      </c>
      <c r="F234">
        <v>2180.39</v>
      </c>
      <c r="G234">
        <v>694344960</v>
      </c>
    </row>
    <row r="235" spans="5:7">
      <c r="E235" s="2">
        <v>42688</v>
      </c>
      <c r="F235">
        <v>2164.1999999999998</v>
      </c>
      <c r="G235">
        <v>807422080</v>
      </c>
    </row>
    <row r="236" spans="5:7">
      <c r="E236" s="2">
        <v>42685</v>
      </c>
      <c r="F236">
        <v>2164.4499999999998</v>
      </c>
      <c r="G236">
        <v>745938112</v>
      </c>
    </row>
    <row r="237" spans="5:7">
      <c r="E237" s="2">
        <v>42684</v>
      </c>
      <c r="F237">
        <v>2167.48</v>
      </c>
      <c r="G237">
        <v>1010327936</v>
      </c>
    </row>
    <row r="238" spans="5:7">
      <c r="E238" s="2">
        <v>42683</v>
      </c>
      <c r="F238">
        <v>2163.2600000000002</v>
      </c>
      <c r="G238">
        <v>1010754304</v>
      </c>
    </row>
    <row r="239" spans="5:7">
      <c r="E239" s="2">
        <v>42682</v>
      </c>
      <c r="F239">
        <v>2139.56</v>
      </c>
      <c r="G239">
        <v>559758144</v>
      </c>
    </row>
    <row r="240" spans="5:7">
      <c r="E240" s="2">
        <v>42681</v>
      </c>
      <c r="F240">
        <v>2131.52</v>
      </c>
      <c r="G240">
        <v>612269376</v>
      </c>
    </row>
    <row r="241" spans="5:7">
      <c r="E241" s="2">
        <v>42678</v>
      </c>
      <c r="F241">
        <v>2085.1799999999998</v>
      </c>
      <c r="G241">
        <v>627701120</v>
      </c>
    </row>
    <row r="242" spans="5:7">
      <c r="E242" s="2">
        <v>42677</v>
      </c>
      <c r="F242">
        <v>2088.66</v>
      </c>
      <c r="G242">
        <v>599409920</v>
      </c>
    </row>
    <row r="243" spans="5:7">
      <c r="E243" s="2">
        <v>42676</v>
      </c>
      <c r="F243">
        <v>2097.94</v>
      </c>
      <c r="G243">
        <v>654469248</v>
      </c>
    </row>
    <row r="244" spans="5:7">
      <c r="E244" s="2">
        <v>42675</v>
      </c>
      <c r="F244">
        <v>2111.7199999999998</v>
      </c>
      <c r="G244">
        <v>721729792</v>
      </c>
    </row>
    <row r="245" spans="5:7">
      <c r="E245" s="2">
        <v>42674</v>
      </c>
      <c r="F245">
        <v>2126.15</v>
      </c>
      <c r="G245">
        <v>675902400</v>
      </c>
    </row>
    <row r="246" spans="5:7">
      <c r="E246" s="2">
        <v>42671</v>
      </c>
      <c r="F246">
        <v>2126.41</v>
      </c>
      <c r="G246">
        <v>646184448</v>
      </c>
    </row>
    <row r="247" spans="5:7">
      <c r="E247" s="2">
        <v>42670</v>
      </c>
      <c r="F247">
        <v>2133.04</v>
      </c>
      <c r="G247">
        <v>619899264</v>
      </c>
    </row>
    <row r="248" spans="5:7">
      <c r="E248" s="2">
        <v>42669</v>
      </c>
      <c r="F248">
        <v>2139.4299999999998</v>
      </c>
      <c r="G248">
        <v>566869952</v>
      </c>
    </row>
    <row r="249" spans="5:7">
      <c r="E249" s="2">
        <v>42668</v>
      </c>
      <c r="F249">
        <v>2143.16</v>
      </c>
      <c r="G249">
        <v>535705920</v>
      </c>
    </row>
    <row r="250" spans="5:7">
      <c r="E250" s="2">
        <v>42667</v>
      </c>
      <c r="F250">
        <v>2151.33</v>
      </c>
      <c r="G250">
        <v>526044352</v>
      </c>
    </row>
    <row r="251" spans="5:7">
      <c r="E251" s="2">
        <v>42664</v>
      </c>
      <c r="F251">
        <v>2141.16</v>
      </c>
      <c r="G251">
        <v>658777088</v>
      </c>
    </row>
    <row r="252" spans="5:7">
      <c r="E252" s="2">
        <v>42663</v>
      </c>
      <c r="F252">
        <v>2141.34</v>
      </c>
      <c r="G252">
        <v>578266432</v>
      </c>
    </row>
    <row r="253" spans="5:7">
      <c r="E253" s="2">
        <v>42662</v>
      </c>
      <c r="F253">
        <v>2144.29</v>
      </c>
      <c r="G253">
        <v>556265600</v>
      </c>
    </row>
    <row r="254" spans="5:7">
      <c r="E254" s="2">
        <v>42661</v>
      </c>
      <c r="F254">
        <v>2139.6</v>
      </c>
      <c r="G254">
        <v>492689952</v>
      </c>
    </row>
    <row r="255" spans="5:7">
      <c r="E255" s="2">
        <v>42660</v>
      </c>
      <c r="F255">
        <v>2126.5</v>
      </c>
      <c r="G255">
        <v>485674848</v>
      </c>
    </row>
    <row r="256" spans="5:7">
      <c r="E256" s="2">
        <v>42657</v>
      </c>
      <c r="F256">
        <v>2132.98</v>
      </c>
      <c r="G256">
        <v>554272896</v>
      </c>
    </row>
    <row r="257" spans="5:7">
      <c r="E257" s="2">
        <v>42656</v>
      </c>
      <c r="F257">
        <v>2132.5500000000002</v>
      </c>
      <c r="G257">
        <v>572529600</v>
      </c>
    </row>
    <row r="258" spans="5:7">
      <c r="E258" s="2">
        <v>42655</v>
      </c>
      <c r="F258">
        <v>2139.1799999999998</v>
      </c>
      <c r="G258">
        <v>463375712</v>
      </c>
    </row>
    <row r="259" spans="5:7">
      <c r="E259" s="2">
        <v>42654</v>
      </c>
      <c r="F259">
        <v>2136.73</v>
      </c>
      <c r="G259">
        <v>584017408</v>
      </c>
    </row>
    <row r="260" spans="5:7">
      <c r="E260" s="2">
        <v>42653</v>
      </c>
      <c r="F260">
        <v>2163.66</v>
      </c>
      <c r="G260">
        <v>457736256</v>
      </c>
    </row>
    <row r="261" spans="5:7">
      <c r="E261" s="2">
        <v>42650</v>
      </c>
      <c r="F261">
        <v>2153.7399999999998</v>
      </c>
      <c r="G261">
        <v>625974912</v>
      </c>
    </row>
    <row r="262" spans="5:7">
      <c r="E262" s="2">
        <v>42649</v>
      </c>
      <c r="F262">
        <v>2160.77</v>
      </c>
      <c r="G262">
        <v>521499520</v>
      </c>
    </row>
    <row r="263" spans="5:7">
      <c r="E263" s="2">
        <v>42648</v>
      </c>
      <c r="F263">
        <v>2159.73</v>
      </c>
      <c r="G263">
        <v>604384192</v>
      </c>
    </row>
    <row r="264" spans="5:7">
      <c r="E264" s="2">
        <v>42647</v>
      </c>
      <c r="F264">
        <v>2150.4899999999998</v>
      </c>
      <c r="G264">
        <v>569704512</v>
      </c>
    </row>
    <row r="265" spans="5:7">
      <c r="E265" s="2">
        <v>42646</v>
      </c>
      <c r="F265">
        <v>2161.1999999999998</v>
      </c>
      <c r="G265">
        <v>520611104</v>
      </c>
    </row>
    <row r="266" spans="5:7">
      <c r="E266" s="2">
        <v>42643</v>
      </c>
      <c r="F266">
        <v>2168.27</v>
      </c>
      <c r="G266">
        <v>816814784</v>
      </c>
    </row>
    <row r="267" spans="5:7">
      <c r="E267" s="2">
        <v>42642</v>
      </c>
      <c r="F267">
        <v>2151.13</v>
      </c>
      <c r="G267">
        <v>627600320</v>
      </c>
    </row>
    <row r="268" spans="5:7">
      <c r="E268" s="2">
        <v>42641</v>
      </c>
      <c r="F268">
        <v>2171.37</v>
      </c>
      <c r="G268">
        <v>562615232</v>
      </c>
    </row>
    <row r="269" spans="5:7">
      <c r="E269" s="2">
        <v>42640</v>
      </c>
      <c r="F269">
        <v>2159.9299999999998</v>
      </c>
      <c r="G269">
        <v>540297216</v>
      </c>
    </row>
    <row r="270" spans="5:7">
      <c r="E270" s="2">
        <v>42639</v>
      </c>
      <c r="F270">
        <v>2146.1</v>
      </c>
      <c r="G270">
        <v>527219744</v>
      </c>
    </row>
    <row r="271" spans="5:7">
      <c r="E271" s="2">
        <v>42636</v>
      </c>
      <c r="F271">
        <v>2164.69</v>
      </c>
      <c r="G271">
        <v>546693440</v>
      </c>
    </row>
    <row r="272" spans="5:7">
      <c r="E272" s="2">
        <v>42635</v>
      </c>
      <c r="F272">
        <v>2177.1799999999998</v>
      </c>
      <c r="G272">
        <v>548107200</v>
      </c>
    </row>
    <row r="273" spans="5:7">
      <c r="E273" s="2">
        <v>42634</v>
      </c>
      <c r="F273">
        <v>2163.12</v>
      </c>
      <c r="G273">
        <v>593312896</v>
      </c>
    </row>
    <row r="274" spans="5:7">
      <c r="E274" s="2">
        <v>42633</v>
      </c>
      <c r="F274">
        <v>2139.7600000000002</v>
      </c>
      <c r="G274">
        <v>490323872</v>
      </c>
    </row>
    <row r="275" spans="5:7">
      <c r="E275" s="2">
        <v>42632</v>
      </c>
      <c r="F275">
        <v>2139.12</v>
      </c>
      <c r="G275">
        <v>519131168</v>
      </c>
    </row>
    <row r="276" spans="5:7">
      <c r="E276" s="2">
        <v>42629</v>
      </c>
      <c r="F276">
        <v>2139.16</v>
      </c>
      <c r="G276">
        <v>1486526848</v>
      </c>
    </row>
    <row r="277" spans="5:7">
      <c r="E277" s="2">
        <v>42628</v>
      </c>
      <c r="F277">
        <v>2147.2600000000002</v>
      </c>
      <c r="G277">
        <v>590921280</v>
      </c>
    </row>
    <row r="278" spans="5:7">
      <c r="E278" s="2">
        <v>42627</v>
      </c>
      <c r="F278">
        <v>2125.77</v>
      </c>
      <c r="G278">
        <v>621661632</v>
      </c>
    </row>
    <row r="279" spans="5:7">
      <c r="E279" s="2">
        <v>42626</v>
      </c>
      <c r="F279">
        <v>2127.02</v>
      </c>
      <c r="G279">
        <v>679321024</v>
      </c>
    </row>
    <row r="280" spans="5:7">
      <c r="E280" s="2">
        <v>42625</v>
      </c>
      <c r="F280">
        <v>2159.04</v>
      </c>
      <c r="G280">
        <v>686449344</v>
      </c>
    </row>
    <row r="281" spans="5:7">
      <c r="E281" s="2">
        <v>42622</v>
      </c>
      <c r="F281">
        <v>2127.81</v>
      </c>
      <c r="G281">
        <v>742157440</v>
      </c>
    </row>
    <row r="282" spans="5:7">
      <c r="E282" s="2">
        <v>42621</v>
      </c>
      <c r="F282">
        <v>2181.3000000000002</v>
      </c>
      <c r="G282">
        <v>535837216</v>
      </c>
    </row>
    <row r="283" spans="5:7">
      <c r="E283" s="2">
        <v>42620</v>
      </c>
      <c r="F283">
        <v>2186.16</v>
      </c>
      <c r="G283">
        <v>518807040</v>
      </c>
    </row>
    <row r="284" spans="5:7">
      <c r="E284" s="2">
        <v>42619</v>
      </c>
      <c r="F284">
        <v>2186.48</v>
      </c>
      <c r="G284">
        <v>583417280</v>
      </c>
    </row>
    <row r="285" spans="5:7">
      <c r="E285" s="2">
        <v>42615</v>
      </c>
      <c r="F285">
        <v>2179.98</v>
      </c>
      <c r="G285">
        <v>497007424</v>
      </c>
    </row>
    <row r="286" spans="5:7">
      <c r="E286" s="2">
        <v>42614</v>
      </c>
      <c r="F286">
        <v>2170.86</v>
      </c>
      <c r="G286">
        <v>511280608</v>
      </c>
    </row>
    <row r="287" spans="5:7">
      <c r="E287" s="2">
        <v>42613</v>
      </c>
      <c r="F287">
        <v>2170.9499999999998</v>
      </c>
      <c r="G287">
        <v>664761728</v>
      </c>
    </row>
    <row r="288" spans="5:7">
      <c r="E288" s="2">
        <v>42612</v>
      </c>
      <c r="F288">
        <v>2176.12</v>
      </c>
      <c r="G288">
        <v>474472896</v>
      </c>
    </row>
    <row r="289" spans="5:7">
      <c r="E289" s="2">
        <v>42611</v>
      </c>
      <c r="F289">
        <v>2180.38</v>
      </c>
      <c r="G289">
        <v>437755392</v>
      </c>
    </row>
    <row r="290" spans="5:7">
      <c r="E290" s="2">
        <v>42608</v>
      </c>
      <c r="F290">
        <v>2169.04</v>
      </c>
      <c r="G290">
        <v>498829888</v>
      </c>
    </row>
    <row r="291" spans="5:7">
      <c r="E291" s="2">
        <v>42607</v>
      </c>
      <c r="F291">
        <v>2172.4699999999998</v>
      </c>
      <c r="G291">
        <v>463389440</v>
      </c>
    </row>
    <row r="292" spans="5:7">
      <c r="E292" s="2">
        <v>42606</v>
      </c>
      <c r="F292">
        <v>2175.44</v>
      </c>
      <c r="G292">
        <v>477227808</v>
      </c>
    </row>
    <row r="293" spans="5:7">
      <c r="E293" s="2">
        <v>42605</v>
      </c>
      <c r="F293">
        <v>2186.9</v>
      </c>
      <c r="G293">
        <v>471610304</v>
      </c>
    </row>
    <row r="294" spans="5:7">
      <c r="E294" s="2">
        <v>42604</v>
      </c>
      <c r="F294">
        <v>2182.64</v>
      </c>
      <c r="G294">
        <v>467648128</v>
      </c>
    </row>
    <row r="295" spans="5:7">
      <c r="E295" s="2">
        <v>42601</v>
      </c>
      <c r="F295">
        <v>2183.87</v>
      </c>
      <c r="G295">
        <v>587731072</v>
      </c>
    </row>
    <row r="296" spans="5:7">
      <c r="E296" s="2">
        <v>42600</v>
      </c>
      <c r="F296">
        <v>2187.02</v>
      </c>
      <c r="G296">
        <v>519736000</v>
      </c>
    </row>
    <row r="297" spans="5:7">
      <c r="E297" s="2">
        <v>42599</v>
      </c>
      <c r="F297">
        <v>2182.2199999999998</v>
      </c>
      <c r="G297">
        <v>506526016</v>
      </c>
    </row>
    <row r="298" spans="5:7">
      <c r="E298" s="2">
        <v>42598</v>
      </c>
      <c r="F298">
        <v>2178.15</v>
      </c>
      <c r="G298">
        <v>493458112</v>
      </c>
    </row>
    <row r="299" spans="5:7">
      <c r="E299" s="2">
        <v>42597</v>
      </c>
      <c r="F299">
        <v>2190.15</v>
      </c>
      <c r="G299">
        <v>452636224</v>
      </c>
    </row>
    <row r="300" spans="5:7">
      <c r="E300" s="2">
        <v>42594</v>
      </c>
      <c r="F300">
        <v>2184.0500000000002</v>
      </c>
      <c r="G300">
        <v>451102272</v>
      </c>
    </row>
    <row r="301" spans="5:7">
      <c r="E301" s="2">
        <v>42593</v>
      </c>
      <c r="F301">
        <v>2185.79</v>
      </c>
      <c r="G301">
        <v>483575456</v>
      </c>
    </row>
    <row r="302" spans="5:7">
      <c r="E302" s="2">
        <v>42592</v>
      </c>
      <c r="F302">
        <v>2175.4899999999998</v>
      </c>
      <c r="G302">
        <v>449371616</v>
      </c>
    </row>
    <row r="303" spans="5:7">
      <c r="E303" s="2">
        <v>42591</v>
      </c>
      <c r="F303">
        <v>2181.7399999999998</v>
      </c>
      <c r="G303">
        <v>432802336</v>
      </c>
    </row>
    <row r="304" spans="5:7">
      <c r="E304" s="2">
        <v>42590</v>
      </c>
      <c r="F304">
        <v>2180.89</v>
      </c>
      <c r="G304">
        <v>495554912</v>
      </c>
    </row>
    <row r="305" spans="5:7">
      <c r="E305" s="2">
        <v>42587</v>
      </c>
      <c r="F305">
        <v>2182.87</v>
      </c>
      <c r="G305">
        <v>577388096</v>
      </c>
    </row>
    <row r="306" spans="5:7">
      <c r="E306" s="2">
        <v>42586</v>
      </c>
      <c r="F306">
        <v>2164.25</v>
      </c>
      <c r="G306">
        <v>501016000</v>
      </c>
    </row>
    <row r="307" spans="5:7">
      <c r="E307" s="2">
        <v>42585</v>
      </c>
      <c r="F307">
        <v>2163.79</v>
      </c>
      <c r="G307">
        <v>547067200</v>
      </c>
    </row>
    <row r="308" spans="5:7">
      <c r="E308" s="2">
        <v>42584</v>
      </c>
      <c r="F308">
        <v>2157.0300000000002</v>
      </c>
      <c r="G308">
        <v>625147776</v>
      </c>
    </row>
    <row r="309" spans="5:7">
      <c r="E309" s="2">
        <v>42583</v>
      </c>
      <c r="F309">
        <v>2170.84</v>
      </c>
      <c r="G309">
        <v>551066560</v>
      </c>
    </row>
    <row r="310" spans="5:7">
      <c r="E310" s="2">
        <v>42580</v>
      </c>
      <c r="F310">
        <v>2173.6</v>
      </c>
      <c r="G310">
        <v>796477568</v>
      </c>
    </row>
    <row r="311" spans="5:7">
      <c r="E311" s="2">
        <v>42579</v>
      </c>
      <c r="F311">
        <v>2170.06</v>
      </c>
      <c r="G311">
        <v>570797376</v>
      </c>
    </row>
    <row r="312" spans="5:7">
      <c r="E312" s="2">
        <v>42578</v>
      </c>
      <c r="F312">
        <v>2166.58</v>
      </c>
      <c r="G312">
        <v>672506752</v>
      </c>
    </row>
    <row r="313" spans="5:7">
      <c r="E313" s="2">
        <v>42577</v>
      </c>
      <c r="F313">
        <v>2169.1799999999998</v>
      </c>
      <c r="G313">
        <v>552977664</v>
      </c>
    </row>
    <row r="314" spans="5:7">
      <c r="E314" s="2">
        <v>42576</v>
      </c>
      <c r="F314">
        <v>2168.48</v>
      </c>
      <c r="G314">
        <v>544409408</v>
      </c>
    </row>
    <row r="315" spans="5:7">
      <c r="E315" s="2">
        <v>42573</v>
      </c>
      <c r="F315">
        <v>2175.0300000000002</v>
      </c>
      <c r="G315">
        <v>535182624</v>
      </c>
    </row>
    <row r="316" spans="5:7">
      <c r="E316" s="2">
        <v>42572</v>
      </c>
      <c r="F316">
        <v>2165.17</v>
      </c>
      <c r="G316">
        <v>565301120</v>
      </c>
    </row>
    <row r="317" spans="5:7">
      <c r="E317" s="2">
        <v>42571</v>
      </c>
      <c r="F317">
        <v>2173.02</v>
      </c>
      <c r="G317">
        <v>506695648</v>
      </c>
    </row>
    <row r="318" spans="5:7">
      <c r="E318" s="2">
        <v>42570</v>
      </c>
      <c r="F318">
        <v>2163.7800000000002</v>
      </c>
      <c r="G318">
        <v>525463328</v>
      </c>
    </row>
    <row r="319" spans="5:7">
      <c r="E319" s="2">
        <v>42569</v>
      </c>
      <c r="F319">
        <v>2166.89</v>
      </c>
      <c r="G319">
        <v>492298272</v>
      </c>
    </row>
    <row r="320" spans="5:7">
      <c r="E320" s="2">
        <v>42566</v>
      </c>
      <c r="F320">
        <v>2161.7399999999998</v>
      </c>
      <c r="G320">
        <v>653723648</v>
      </c>
    </row>
    <row r="321" spans="5:7">
      <c r="E321" s="2">
        <v>42565</v>
      </c>
      <c r="F321">
        <v>2163.75</v>
      </c>
      <c r="G321">
        <v>538126272</v>
      </c>
    </row>
    <row r="322" spans="5:7">
      <c r="E322" s="2">
        <v>42564</v>
      </c>
      <c r="F322">
        <v>2152.4299999999998</v>
      </c>
      <c r="G322">
        <v>522404448</v>
      </c>
    </row>
    <row r="323" spans="5:7">
      <c r="E323" s="2">
        <v>42563</v>
      </c>
      <c r="F323">
        <v>2152.14</v>
      </c>
      <c r="G323">
        <v>611009216</v>
      </c>
    </row>
    <row r="324" spans="5:7">
      <c r="E324" s="2">
        <v>42562</v>
      </c>
      <c r="F324">
        <v>2137.16</v>
      </c>
      <c r="G324">
        <v>530575168</v>
      </c>
    </row>
    <row r="325" spans="5:7">
      <c r="E325" s="2">
        <v>42559</v>
      </c>
      <c r="F325">
        <v>2129.9</v>
      </c>
      <c r="G325">
        <v>603899968</v>
      </c>
    </row>
    <row r="326" spans="5:7">
      <c r="E326" s="2">
        <v>42558</v>
      </c>
      <c r="F326">
        <v>2097.9</v>
      </c>
      <c r="G326">
        <v>553885504</v>
      </c>
    </row>
    <row r="327" spans="5:7">
      <c r="E327" s="2">
        <v>42557</v>
      </c>
      <c r="F327">
        <v>2099.73</v>
      </c>
      <c r="G327">
        <v>656260672</v>
      </c>
    </row>
    <row r="328" spans="5:7">
      <c r="E328" s="2">
        <v>42556</v>
      </c>
      <c r="F328">
        <v>2088.5500000000002</v>
      </c>
      <c r="G328">
        <v>656770496</v>
      </c>
    </row>
    <row r="329" spans="5:7">
      <c r="E329" s="2">
        <v>42552</v>
      </c>
      <c r="F329">
        <v>2102.9499999999998</v>
      </c>
      <c r="G329">
        <v>560020608</v>
      </c>
    </row>
    <row r="330" spans="5:7">
      <c r="E330" s="2">
        <v>42551</v>
      </c>
      <c r="F330">
        <v>2098.86</v>
      </c>
      <c r="G330">
        <v>904116096</v>
      </c>
    </row>
    <row r="331" spans="5:7">
      <c r="E331" s="2">
        <v>42550</v>
      </c>
      <c r="F331">
        <v>2070.77</v>
      </c>
      <c r="G331">
        <v>700682624</v>
      </c>
    </row>
    <row r="332" spans="5:7">
      <c r="E332" s="2">
        <v>42549</v>
      </c>
      <c r="F332">
        <v>2036.09</v>
      </c>
      <c r="G332">
        <v>727735808</v>
      </c>
    </row>
    <row r="333" spans="5:7">
      <c r="E333" s="2">
        <v>42548</v>
      </c>
      <c r="F333">
        <v>2000.54</v>
      </c>
      <c r="G333">
        <v>894062528</v>
      </c>
    </row>
    <row r="334" spans="5:7">
      <c r="E334" s="2">
        <v>42545</v>
      </c>
      <c r="F334">
        <v>2037.41</v>
      </c>
      <c r="G334">
        <v>1417686656</v>
      </c>
    </row>
    <row r="335" spans="5:7">
      <c r="E335" s="2">
        <v>42544</v>
      </c>
      <c r="F335">
        <v>2113.3200000000002</v>
      </c>
      <c r="G335">
        <v>531486240</v>
      </c>
    </row>
    <row r="336" spans="5:7">
      <c r="E336" s="2">
        <v>42543</v>
      </c>
      <c r="F336">
        <v>2085.4499999999998</v>
      </c>
      <c r="G336">
        <v>524383936</v>
      </c>
    </row>
    <row r="337" spans="5:7">
      <c r="E337" s="2">
        <v>42542</v>
      </c>
      <c r="F337">
        <v>2088.9</v>
      </c>
      <c r="G337">
        <v>541656256</v>
      </c>
    </row>
    <row r="338" spans="5:7">
      <c r="E338" s="2">
        <v>42541</v>
      </c>
      <c r="F338">
        <v>2083.25</v>
      </c>
      <c r="G338">
        <v>604926912</v>
      </c>
    </row>
    <row r="339" spans="5:7">
      <c r="E339" s="2">
        <v>42538</v>
      </c>
      <c r="F339">
        <v>2071.2199999999998</v>
      </c>
      <c r="G339">
        <v>1309407488</v>
      </c>
    </row>
    <row r="340" spans="5:7">
      <c r="E340" s="2">
        <v>42537</v>
      </c>
      <c r="F340">
        <v>2077.9899999999998</v>
      </c>
      <c r="G340">
        <v>560644736</v>
      </c>
    </row>
    <row r="341" spans="5:7">
      <c r="E341" s="2">
        <v>42536</v>
      </c>
      <c r="F341">
        <v>2071.5</v>
      </c>
      <c r="G341">
        <v>583906304</v>
      </c>
    </row>
    <row r="342" spans="5:7">
      <c r="E342" s="2">
        <v>42535</v>
      </c>
      <c r="F342">
        <v>2075.3200000000002</v>
      </c>
      <c r="G342">
        <v>587042304</v>
      </c>
    </row>
    <row r="343" spans="5:7">
      <c r="E343" s="2">
        <v>42534</v>
      </c>
      <c r="F343">
        <v>2079.06</v>
      </c>
      <c r="G343">
        <v>569050816</v>
      </c>
    </row>
    <row r="344" spans="5:7">
      <c r="E344" s="2">
        <v>42531</v>
      </c>
      <c r="F344">
        <v>2096.0700000000002</v>
      </c>
      <c r="G344">
        <v>560316672</v>
      </c>
    </row>
    <row r="345" spans="5:7">
      <c r="E345" s="2">
        <v>42530</v>
      </c>
      <c r="F345">
        <v>2115.48</v>
      </c>
      <c r="G345">
        <v>494302304</v>
      </c>
    </row>
    <row r="346" spans="5:7">
      <c r="E346" s="2">
        <v>42529</v>
      </c>
      <c r="F346">
        <v>2119.12</v>
      </c>
      <c r="G346">
        <v>504334528</v>
      </c>
    </row>
    <row r="347" spans="5:7">
      <c r="E347" s="2">
        <v>42528</v>
      </c>
      <c r="F347">
        <v>2112.13</v>
      </c>
      <c r="G347">
        <v>547234432</v>
      </c>
    </row>
    <row r="348" spans="5:7">
      <c r="E348" s="2">
        <v>42527</v>
      </c>
      <c r="F348">
        <v>2109.41</v>
      </c>
      <c r="G348">
        <v>539604224</v>
      </c>
    </row>
    <row r="349" spans="5:7">
      <c r="E349" s="2">
        <v>42524</v>
      </c>
      <c r="F349">
        <v>2099.13</v>
      </c>
      <c r="G349">
        <v>577616768</v>
      </c>
    </row>
    <row r="350" spans="5:7">
      <c r="E350" s="2">
        <v>42523</v>
      </c>
      <c r="F350">
        <v>2105.2600000000002</v>
      </c>
      <c r="G350">
        <v>637598272</v>
      </c>
    </row>
    <row r="351" spans="5:7">
      <c r="E351" s="2">
        <v>42522</v>
      </c>
      <c r="F351">
        <v>2099.33</v>
      </c>
      <c r="G351">
        <v>574237504</v>
      </c>
    </row>
    <row r="352" spans="5:7">
      <c r="E352" s="2">
        <v>42521</v>
      </c>
      <c r="F352">
        <v>2096.96</v>
      </c>
      <c r="G352">
        <v>913199936</v>
      </c>
    </row>
    <row r="353" spans="5:7">
      <c r="E353" s="2">
        <v>42517</v>
      </c>
      <c r="F353">
        <v>2099.06</v>
      </c>
      <c r="G353">
        <v>520205696</v>
      </c>
    </row>
    <row r="354" spans="5:7">
      <c r="E354" s="2">
        <v>42516</v>
      </c>
      <c r="F354">
        <v>2090.1</v>
      </c>
      <c r="G354">
        <v>487242912</v>
      </c>
    </row>
    <row r="355" spans="5:7">
      <c r="E355" s="2">
        <v>42515</v>
      </c>
      <c r="F355">
        <v>2090.54</v>
      </c>
      <c r="G355">
        <v>589978688</v>
      </c>
    </row>
    <row r="356" spans="5:7">
      <c r="E356" s="2">
        <v>42514</v>
      </c>
      <c r="F356">
        <v>2076.06</v>
      </c>
      <c r="G356">
        <v>566247808</v>
      </c>
    </row>
    <row r="357" spans="5:7">
      <c r="E357" s="2">
        <v>42513</v>
      </c>
      <c r="F357">
        <v>2048.04</v>
      </c>
      <c r="G357">
        <v>530526976</v>
      </c>
    </row>
    <row r="358" spans="5:7">
      <c r="E358" s="2">
        <v>42510</v>
      </c>
      <c r="F358">
        <v>2052.3200000000002</v>
      </c>
      <c r="G358">
        <v>725380864</v>
      </c>
    </row>
    <row r="359" spans="5:7">
      <c r="E359" s="2">
        <v>42509</v>
      </c>
      <c r="F359">
        <v>2040.04</v>
      </c>
      <c r="G359">
        <v>595418112</v>
      </c>
    </row>
    <row r="360" spans="5:7">
      <c r="E360" s="2">
        <v>42508</v>
      </c>
      <c r="F360">
        <v>2047.63</v>
      </c>
      <c r="G360">
        <v>564732992</v>
      </c>
    </row>
    <row r="361" spans="5:7">
      <c r="E361" s="2">
        <v>42507</v>
      </c>
      <c r="F361">
        <v>2047.21</v>
      </c>
      <c r="G361">
        <v>694138688</v>
      </c>
    </row>
    <row r="362" spans="5:7">
      <c r="E362" s="2">
        <v>42506</v>
      </c>
      <c r="F362">
        <v>2066.66</v>
      </c>
      <c r="G362">
        <v>579641216</v>
      </c>
    </row>
    <row r="363" spans="5:7">
      <c r="E363" s="2">
        <v>42503</v>
      </c>
      <c r="F363">
        <v>2046.61</v>
      </c>
      <c r="G363">
        <v>575820096</v>
      </c>
    </row>
    <row r="364" spans="5:7">
      <c r="E364" s="2">
        <v>42502</v>
      </c>
      <c r="F364">
        <v>2064.11</v>
      </c>
      <c r="G364">
        <v>597079552</v>
      </c>
    </row>
    <row r="365" spans="5:7">
      <c r="E365" s="2">
        <v>42501</v>
      </c>
      <c r="F365">
        <v>2064.46</v>
      </c>
      <c r="G365">
        <v>588437248</v>
      </c>
    </row>
    <row r="366" spans="5:7">
      <c r="E366" s="2">
        <v>42500</v>
      </c>
      <c r="F366">
        <v>2084.39</v>
      </c>
      <c r="G366">
        <v>526241664</v>
      </c>
    </row>
    <row r="367" spans="5:7">
      <c r="E367" s="2">
        <v>42499</v>
      </c>
      <c r="F367">
        <v>2058.69</v>
      </c>
      <c r="G367">
        <v>562123392</v>
      </c>
    </row>
    <row r="368" spans="5:7">
      <c r="E368" s="2">
        <v>42496</v>
      </c>
      <c r="F368">
        <v>2057.14</v>
      </c>
      <c r="G368">
        <v>595556032</v>
      </c>
    </row>
    <row r="369" spans="5:7">
      <c r="E369" s="2">
        <v>42495</v>
      </c>
      <c r="F369">
        <v>2050.63</v>
      </c>
      <c r="G369">
        <v>606989440</v>
      </c>
    </row>
    <row r="370" spans="5:7">
      <c r="E370" s="2">
        <v>42494</v>
      </c>
      <c r="F370">
        <v>2051.12</v>
      </c>
      <c r="G370">
        <v>634264320</v>
      </c>
    </row>
    <row r="371" spans="5:7">
      <c r="E371" s="2">
        <v>42493</v>
      </c>
      <c r="F371">
        <v>2063.37</v>
      </c>
      <c r="G371">
        <v>642409216</v>
      </c>
    </row>
    <row r="372" spans="5:7">
      <c r="E372" s="2">
        <v>42492</v>
      </c>
      <c r="F372">
        <v>2081.4299999999998</v>
      </c>
      <c r="G372">
        <v>608904704</v>
      </c>
    </row>
    <row r="373" spans="5:7">
      <c r="E373" s="2">
        <v>42489</v>
      </c>
      <c r="F373">
        <v>2065.3000000000002</v>
      </c>
      <c r="G373">
        <v>895628992</v>
      </c>
    </row>
    <row r="374" spans="5:7">
      <c r="E374" s="2">
        <v>42488</v>
      </c>
      <c r="F374">
        <v>2075.81</v>
      </c>
      <c r="G374">
        <v>700338112</v>
      </c>
    </row>
    <row r="375" spans="5:7">
      <c r="E375" s="2">
        <v>42487</v>
      </c>
      <c r="F375">
        <v>2095.15</v>
      </c>
      <c r="G375">
        <v>686670720</v>
      </c>
    </row>
    <row r="376" spans="5:7">
      <c r="E376" s="2">
        <v>42486</v>
      </c>
      <c r="F376">
        <v>2091.6999999999998</v>
      </c>
      <c r="G376">
        <v>608550464</v>
      </c>
    </row>
    <row r="377" spans="5:7">
      <c r="E377" s="2">
        <v>42485</v>
      </c>
      <c r="F377">
        <v>2087.79</v>
      </c>
      <c r="G377">
        <v>551214976</v>
      </c>
    </row>
    <row r="378" spans="5:7">
      <c r="E378" s="2">
        <v>42482</v>
      </c>
      <c r="F378">
        <v>2091.58</v>
      </c>
      <c r="G378">
        <v>712585792</v>
      </c>
    </row>
    <row r="379" spans="5:7">
      <c r="E379" s="2">
        <v>42481</v>
      </c>
      <c r="F379">
        <v>2091.48</v>
      </c>
      <c r="G379">
        <v>661881152</v>
      </c>
    </row>
    <row r="380" spans="5:7">
      <c r="E380" s="2">
        <v>42480</v>
      </c>
      <c r="F380">
        <v>2102.4</v>
      </c>
      <c r="G380">
        <v>630234240</v>
      </c>
    </row>
    <row r="381" spans="5:7">
      <c r="E381" s="2">
        <v>42479</v>
      </c>
      <c r="F381">
        <v>2100.8000000000002</v>
      </c>
      <c r="G381">
        <v>606757632</v>
      </c>
    </row>
    <row r="382" spans="5:7">
      <c r="E382" s="2">
        <v>42478</v>
      </c>
      <c r="F382">
        <v>2094.34</v>
      </c>
      <c r="G382">
        <v>559823936</v>
      </c>
    </row>
    <row r="383" spans="5:7">
      <c r="E383" s="2">
        <v>42475</v>
      </c>
      <c r="F383">
        <v>2080.73</v>
      </c>
      <c r="G383">
        <v>708648704</v>
      </c>
    </row>
    <row r="384" spans="5:7">
      <c r="E384" s="2">
        <v>42474</v>
      </c>
      <c r="F384">
        <v>2082.7800000000002</v>
      </c>
      <c r="G384">
        <v>573460480</v>
      </c>
    </row>
    <row r="385" spans="5:7">
      <c r="E385" s="2">
        <v>42473</v>
      </c>
      <c r="F385">
        <v>2082.42</v>
      </c>
      <c r="G385">
        <v>643524672</v>
      </c>
    </row>
    <row r="386" spans="5:7">
      <c r="E386" s="2">
        <v>42472</v>
      </c>
      <c r="F386">
        <v>2061.7199999999998</v>
      </c>
      <c r="G386">
        <v>599364032</v>
      </c>
    </row>
    <row r="387" spans="5:7">
      <c r="E387" s="2">
        <v>42471</v>
      </c>
      <c r="F387">
        <v>2041.99</v>
      </c>
      <c r="G387">
        <v>597863168</v>
      </c>
    </row>
    <row r="388" spans="5:7">
      <c r="E388" s="2">
        <v>42468</v>
      </c>
      <c r="F388">
        <v>2047.6</v>
      </c>
      <c r="G388">
        <v>551728320</v>
      </c>
    </row>
    <row r="389" spans="5:7">
      <c r="E389" s="2">
        <v>42467</v>
      </c>
      <c r="F389">
        <v>2041.91</v>
      </c>
      <c r="G389">
        <v>648415872</v>
      </c>
    </row>
    <row r="390" spans="5:7">
      <c r="E390" s="2">
        <v>42466</v>
      </c>
      <c r="F390">
        <v>2066.66</v>
      </c>
      <c r="G390">
        <v>595344896</v>
      </c>
    </row>
    <row r="391" spans="5:7">
      <c r="E391" s="2">
        <v>42465</v>
      </c>
      <c r="F391">
        <v>2045.17</v>
      </c>
      <c r="G391">
        <v>676197056</v>
      </c>
    </row>
    <row r="392" spans="5:7">
      <c r="E392" s="2">
        <v>42464</v>
      </c>
      <c r="F392">
        <v>2066.13</v>
      </c>
      <c r="G392">
        <v>546680384</v>
      </c>
    </row>
    <row r="393" spans="5:7">
      <c r="E393" s="2">
        <v>42461</v>
      </c>
      <c r="F393">
        <v>2072.7800000000002</v>
      </c>
      <c r="G393">
        <v>666015104</v>
      </c>
    </row>
    <row r="394" spans="5:7">
      <c r="E394" s="2">
        <v>42460</v>
      </c>
      <c r="F394">
        <v>2059.7399999999998</v>
      </c>
      <c r="G394">
        <v>651556864</v>
      </c>
    </row>
    <row r="395" spans="5:7">
      <c r="E395" s="2">
        <v>42459</v>
      </c>
      <c r="F395">
        <v>2063.9499999999998</v>
      </c>
      <c r="G395">
        <v>527219872</v>
      </c>
    </row>
    <row r="396" spans="5:7">
      <c r="E396" s="2">
        <v>42458</v>
      </c>
      <c r="F396">
        <v>2055.0100000000002</v>
      </c>
      <c r="G396">
        <v>590708224</v>
      </c>
    </row>
    <row r="397" spans="5:7">
      <c r="E397" s="2">
        <v>42457</v>
      </c>
      <c r="F397">
        <v>2037.05</v>
      </c>
      <c r="G397">
        <v>470922944</v>
      </c>
    </row>
    <row r="398" spans="5:7">
      <c r="E398" s="2">
        <v>42453</v>
      </c>
      <c r="F398">
        <v>2035.94</v>
      </c>
      <c r="G398">
        <v>610855616</v>
      </c>
    </row>
    <row r="399" spans="5:7">
      <c r="E399" s="2">
        <v>42452</v>
      </c>
      <c r="F399">
        <v>2036.71</v>
      </c>
      <c r="G399">
        <v>551169600</v>
      </c>
    </row>
    <row r="400" spans="5:7">
      <c r="E400" s="2">
        <v>42451</v>
      </c>
      <c r="F400">
        <v>2049.8000000000002</v>
      </c>
      <c r="G400">
        <v>564581888</v>
      </c>
    </row>
    <row r="401" spans="5:7">
      <c r="E401" s="2">
        <v>42450</v>
      </c>
      <c r="F401">
        <v>2051.6</v>
      </c>
      <c r="G401">
        <v>546117120</v>
      </c>
    </row>
    <row r="402" spans="5:7">
      <c r="E402" s="2">
        <v>42447</v>
      </c>
      <c r="F402">
        <v>2049.58</v>
      </c>
      <c r="G402">
        <v>1755882112</v>
      </c>
    </row>
    <row r="403" spans="5:7">
      <c r="E403" s="2">
        <v>42446</v>
      </c>
      <c r="F403">
        <v>2040.59</v>
      </c>
      <c r="G403">
        <v>668462080</v>
      </c>
    </row>
    <row r="404" spans="5:7">
      <c r="E404" s="2">
        <v>42445</v>
      </c>
      <c r="F404">
        <v>2027.22</v>
      </c>
      <c r="G404">
        <v>625199104</v>
      </c>
    </row>
    <row r="405" spans="5:7">
      <c r="E405" s="2">
        <v>42444</v>
      </c>
      <c r="F405">
        <v>2015.93</v>
      </c>
      <c r="G405">
        <v>537918144</v>
      </c>
    </row>
    <row r="406" spans="5:7">
      <c r="E406" s="2">
        <v>42443</v>
      </c>
      <c r="F406">
        <v>2019.64</v>
      </c>
      <c r="G406">
        <v>552448576</v>
      </c>
    </row>
    <row r="407" spans="5:7">
      <c r="E407" s="2">
        <v>42440</v>
      </c>
      <c r="F407">
        <v>2022.19</v>
      </c>
      <c r="G407">
        <v>651166528</v>
      </c>
    </row>
    <row r="408" spans="5:7">
      <c r="E408" s="2">
        <v>42439</v>
      </c>
      <c r="F408">
        <v>1989.57</v>
      </c>
      <c r="G408">
        <v>679497152</v>
      </c>
    </row>
    <row r="409" spans="5:7">
      <c r="E409" s="2">
        <v>42438</v>
      </c>
      <c r="F409">
        <v>1989.26</v>
      </c>
      <c r="G409">
        <v>617763136</v>
      </c>
    </row>
    <row r="410" spans="5:7">
      <c r="E410" s="2">
        <v>42437</v>
      </c>
      <c r="F410">
        <v>1979.26</v>
      </c>
      <c r="G410">
        <v>716139584</v>
      </c>
    </row>
    <row r="411" spans="5:7">
      <c r="E411" s="2">
        <v>42436</v>
      </c>
      <c r="F411">
        <v>2001.76</v>
      </c>
      <c r="G411">
        <v>671945728</v>
      </c>
    </row>
    <row r="412" spans="5:7">
      <c r="E412" s="2">
        <v>42433</v>
      </c>
      <c r="F412">
        <v>1999.99</v>
      </c>
      <c r="G412">
        <v>798710592</v>
      </c>
    </row>
    <row r="413" spans="5:7">
      <c r="E413" s="2">
        <v>42432</v>
      </c>
      <c r="F413">
        <v>1993.4</v>
      </c>
      <c r="G413">
        <v>676537152</v>
      </c>
    </row>
    <row r="414" spans="5:7">
      <c r="E414" s="2">
        <v>42431</v>
      </c>
      <c r="F414">
        <v>1986.45</v>
      </c>
      <c r="G414">
        <v>688728960</v>
      </c>
    </row>
    <row r="415" spans="5:7">
      <c r="E415" s="2">
        <v>42430</v>
      </c>
      <c r="F415">
        <v>1978.35</v>
      </c>
      <c r="G415">
        <v>754116160</v>
      </c>
    </row>
    <row r="416" spans="5:7">
      <c r="E416" s="2">
        <v>42429</v>
      </c>
      <c r="F416">
        <v>1932.23</v>
      </c>
      <c r="G416">
        <v>865264000</v>
      </c>
    </row>
    <row r="417" spans="5:7">
      <c r="E417" s="2">
        <v>42426</v>
      </c>
      <c r="F417">
        <v>1948.05</v>
      </c>
      <c r="G417">
        <v>683476544</v>
      </c>
    </row>
    <row r="418" spans="5:7">
      <c r="E418" s="2">
        <v>42425</v>
      </c>
      <c r="F418">
        <v>1951.7</v>
      </c>
      <c r="G418">
        <v>605223616</v>
      </c>
    </row>
    <row r="419" spans="5:7">
      <c r="E419" s="2">
        <v>42424</v>
      </c>
      <c r="F419">
        <v>1929.8</v>
      </c>
      <c r="G419">
        <v>671767104</v>
      </c>
    </row>
    <row r="420" spans="5:7">
      <c r="E420" s="2">
        <v>42423</v>
      </c>
      <c r="F420">
        <v>1921.27</v>
      </c>
      <c r="G420">
        <v>640289664</v>
      </c>
    </row>
    <row r="421" spans="5:7">
      <c r="E421" s="2">
        <v>42422</v>
      </c>
      <c r="F421">
        <v>1945.5</v>
      </c>
      <c r="G421">
        <v>680678400</v>
      </c>
    </row>
    <row r="422" spans="5:7">
      <c r="E422" s="2">
        <v>42419</v>
      </c>
      <c r="F422">
        <v>1917.78</v>
      </c>
      <c r="G422">
        <v>879010688</v>
      </c>
    </row>
    <row r="423" spans="5:7">
      <c r="E423" s="2">
        <v>42418</v>
      </c>
      <c r="F423">
        <v>1917.83</v>
      </c>
      <c r="G423">
        <v>742292224</v>
      </c>
    </row>
    <row r="424" spans="5:7">
      <c r="E424" s="2">
        <v>42417</v>
      </c>
      <c r="F424">
        <v>1926.82</v>
      </c>
      <c r="G424">
        <v>827137664</v>
      </c>
    </row>
    <row r="425" spans="5:7">
      <c r="E425" s="2">
        <v>42416</v>
      </c>
      <c r="F425">
        <v>1895.58</v>
      </c>
      <c r="G425">
        <v>854329536</v>
      </c>
    </row>
    <row r="426" spans="5:7">
      <c r="E426" s="2">
        <v>42412</v>
      </c>
      <c r="F426">
        <v>1864.78</v>
      </c>
      <c r="G426">
        <v>810026560</v>
      </c>
    </row>
    <row r="427" spans="5:7">
      <c r="E427" s="2">
        <v>42411</v>
      </c>
      <c r="F427">
        <v>1829.08</v>
      </c>
      <c r="G427">
        <v>967843712</v>
      </c>
    </row>
    <row r="428" spans="5:7">
      <c r="E428" s="2">
        <v>42410</v>
      </c>
      <c r="F428">
        <v>1851.86</v>
      </c>
      <c r="G428">
        <v>772848128</v>
      </c>
    </row>
    <row r="429" spans="5:7">
      <c r="E429" s="2">
        <v>42409</v>
      </c>
      <c r="F429">
        <v>1852.21</v>
      </c>
      <c r="G429">
        <v>857851712</v>
      </c>
    </row>
    <row r="430" spans="5:7">
      <c r="E430" s="2">
        <v>42408</v>
      </c>
      <c r="F430">
        <v>1853.44</v>
      </c>
      <c r="G430">
        <v>1030158592</v>
      </c>
    </row>
    <row r="431" spans="5:7">
      <c r="E431" s="2">
        <v>42405</v>
      </c>
      <c r="F431">
        <v>1880.05</v>
      </c>
      <c r="G431">
        <v>878323648</v>
      </c>
    </row>
    <row r="432" spans="5:7">
      <c r="E432" s="2">
        <v>42404</v>
      </c>
      <c r="F432">
        <v>1915.45</v>
      </c>
      <c r="G432">
        <v>886268416</v>
      </c>
    </row>
    <row r="433" spans="5:7">
      <c r="E433" s="2">
        <v>42403</v>
      </c>
      <c r="F433">
        <v>1912.53</v>
      </c>
      <c r="G433">
        <v>936651584</v>
      </c>
    </row>
    <row r="434" spans="5:7">
      <c r="E434" s="2">
        <v>42402</v>
      </c>
      <c r="F434">
        <v>1903.03</v>
      </c>
      <c r="G434">
        <v>816298560</v>
      </c>
    </row>
    <row r="435" spans="5:7">
      <c r="E435" s="2">
        <v>42401</v>
      </c>
      <c r="F435">
        <v>1939.38</v>
      </c>
      <c r="G435">
        <v>724321536</v>
      </c>
    </row>
    <row r="436" spans="5:7">
      <c r="E436" s="2">
        <v>42398</v>
      </c>
      <c r="F436">
        <v>1940.24</v>
      </c>
      <c r="G436">
        <v>1230857984</v>
      </c>
    </row>
    <row r="437" spans="5:7">
      <c r="E437" s="2">
        <v>42397</v>
      </c>
      <c r="F437">
        <v>1893.36</v>
      </c>
      <c r="G437">
        <v>833137472</v>
      </c>
    </row>
    <row r="438" spans="5:7">
      <c r="E438" s="2">
        <v>42396</v>
      </c>
      <c r="F438">
        <v>1882.95</v>
      </c>
      <c r="G438">
        <v>813037568</v>
      </c>
    </row>
    <row r="439" spans="5:7">
      <c r="E439" s="2">
        <v>42395</v>
      </c>
      <c r="F439">
        <v>1903.63</v>
      </c>
      <c r="G439">
        <v>707140736</v>
      </c>
    </row>
    <row r="440" spans="5:7">
      <c r="E440" s="2">
        <v>42394</v>
      </c>
      <c r="F440">
        <v>1877.08</v>
      </c>
      <c r="G440">
        <v>773700224</v>
      </c>
    </row>
    <row r="441" spans="5:7">
      <c r="E441" s="2">
        <v>42391</v>
      </c>
      <c r="F441">
        <v>1906.9</v>
      </c>
      <c r="G441">
        <v>821294080</v>
      </c>
    </row>
    <row r="442" spans="5:7">
      <c r="E442" s="2">
        <v>42390</v>
      </c>
      <c r="F442">
        <v>1868.99</v>
      </c>
      <c r="G442">
        <v>865664320</v>
      </c>
    </row>
    <row r="443" spans="5:7">
      <c r="E443" s="2">
        <v>42389</v>
      </c>
      <c r="F443">
        <v>1859.33</v>
      </c>
      <c r="G443">
        <v>1092011008</v>
      </c>
    </row>
    <row r="444" spans="5:7">
      <c r="E444" s="2">
        <v>42388</v>
      </c>
      <c r="F444">
        <v>1881.33</v>
      </c>
      <c r="G444">
        <v>891805760</v>
      </c>
    </row>
    <row r="445" spans="5:7">
      <c r="E445" s="2">
        <v>42384</v>
      </c>
      <c r="F445">
        <v>1880.33</v>
      </c>
      <c r="G445">
        <v>1206742784</v>
      </c>
    </row>
    <row r="446" spans="5:7">
      <c r="E446" s="2">
        <v>42383</v>
      </c>
      <c r="F446">
        <v>1921.84</v>
      </c>
      <c r="G446">
        <v>931479040</v>
      </c>
    </row>
    <row r="447" spans="5:7">
      <c r="E447" s="2">
        <v>42382</v>
      </c>
      <c r="F447">
        <v>1890.28</v>
      </c>
      <c r="G447">
        <v>886396800</v>
      </c>
    </row>
    <row r="448" spans="5:7">
      <c r="E448" s="2">
        <v>42381</v>
      </c>
      <c r="F448">
        <v>1938.68</v>
      </c>
      <c r="G448">
        <v>768301056</v>
      </c>
    </row>
    <row r="449" spans="5:7">
      <c r="E449" s="2">
        <v>42380</v>
      </c>
      <c r="F449">
        <v>1923.67</v>
      </c>
      <c r="G449">
        <v>788334720</v>
      </c>
    </row>
    <row r="450" spans="5:7">
      <c r="E450" s="2">
        <v>42377</v>
      </c>
      <c r="F450">
        <v>1922.03</v>
      </c>
      <c r="G450">
        <v>819684992</v>
      </c>
    </row>
    <row r="451" spans="5:7">
      <c r="E451" s="2">
        <v>42376</v>
      </c>
      <c r="F451">
        <v>1943.09</v>
      </c>
      <c r="G451">
        <v>876560192</v>
      </c>
    </row>
    <row r="452" spans="5:7">
      <c r="E452" s="2">
        <v>42375</v>
      </c>
      <c r="F452">
        <v>1990.26</v>
      </c>
      <c r="G452">
        <v>745563264</v>
      </c>
    </row>
    <row r="453" spans="5:7">
      <c r="E453" s="2">
        <v>42374</v>
      </c>
      <c r="F453">
        <v>2016.71</v>
      </c>
      <c r="G453">
        <v>629042368</v>
      </c>
    </row>
    <row r="454" spans="5:7">
      <c r="E454" s="2">
        <v>42373</v>
      </c>
      <c r="F454">
        <v>2012.66</v>
      </c>
      <c r="G454">
        <v>817659264</v>
      </c>
    </row>
    <row r="455" spans="5:7">
      <c r="E455" s="2">
        <v>42369</v>
      </c>
      <c r="F455">
        <v>2043.94</v>
      </c>
      <c r="G455">
        <v>487696736</v>
      </c>
    </row>
    <row r="456" spans="5:7">
      <c r="E456" s="2">
        <v>42368</v>
      </c>
      <c r="F456">
        <v>2063.36</v>
      </c>
      <c r="G456">
        <v>339059456</v>
      </c>
    </row>
    <row r="457" spans="5:7">
      <c r="E457" s="2">
        <v>42367</v>
      </c>
      <c r="F457">
        <v>2078.36</v>
      </c>
      <c r="G457">
        <v>389239744</v>
      </c>
    </row>
    <row r="458" spans="5:7">
      <c r="E458" s="2">
        <v>42366</v>
      </c>
      <c r="F458">
        <v>2056.5</v>
      </c>
      <c r="G458">
        <v>374236032</v>
      </c>
    </row>
    <row r="459" spans="5:7">
      <c r="E459" s="2">
        <v>42362</v>
      </c>
      <c r="F459">
        <v>2060.9899999999998</v>
      </c>
      <c r="G459">
        <v>252714208</v>
      </c>
    </row>
    <row r="460" spans="5:7">
      <c r="E460" s="2">
        <v>42361</v>
      </c>
      <c r="F460">
        <v>2064.29</v>
      </c>
      <c r="G460">
        <v>553948480</v>
      </c>
    </row>
    <row r="461" spans="5:7">
      <c r="E461" s="2">
        <v>42360</v>
      </c>
      <c r="F461">
        <v>2038.97</v>
      </c>
      <c r="G461">
        <v>559953152</v>
      </c>
    </row>
    <row r="462" spans="5:7">
      <c r="E462" s="2">
        <v>42359</v>
      </c>
      <c r="F462">
        <v>2021.15</v>
      </c>
      <c r="G462">
        <v>615865536</v>
      </c>
    </row>
    <row r="463" spans="5:7">
      <c r="E463" s="2">
        <v>42356</v>
      </c>
      <c r="F463">
        <v>2005.55</v>
      </c>
      <c r="G463">
        <v>1822321920</v>
      </c>
    </row>
    <row r="464" spans="5:7">
      <c r="E464" s="2">
        <v>42355</v>
      </c>
      <c r="F464">
        <v>2041.89</v>
      </c>
      <c r="G464">
        <v>655534848</v>
      </c>
    </row>
    <row r="465" spans="5:7">
      <c r="E465" s="2">
        <v>42354</v>
      </c>
      <c r="F465">
        <v>2073.0700000000002</v>
      </c>
      <c r="G465">
        <v>690050304</v>
      </c>
    </row>
    <row r="466" spans="5:7">
      <c r="E466" s="2">
        <v>42353</v>
      </c>
      <c r="F466">
        <v>2043.41</v>
      </c>
      <c r="G466">
        <v>702379904</v>
      </c>
    </row>
    <row r="467" spans="5:7">
      <c r="E467" s="2">
        <v>42352</v>
      </c>
      <c r="F467">
        <v>2021.94</v>
      </c>
      <c r="G467">
        <v>785086720</v>
      </c>
    </row>
    <row r="468" spans="5:7">
      <c r="E468" s="2">
        <v>42349</v>
      </c>
      <c r="F468">
        <v>2012.37</v>
      </c>
      <c r="G468">
        <v>729383744</v>
      </c>
    </row>
    <row r="469" spans="5:7">
      <c r="E469" s="2">
        <v>42348</v>
      </c>
      <c r="F469">
        <v>2052.23</v>
      </c>
      <c r="G469">
        <v>610605888</v>
      </c>
    </row>
    <row r="470" spans="5:7">
      <c r="E470" s="2">
        <v>42347</v>
      </c>
      <c r="F470">
        <v>2047.62</v>
      </c>
      <c r="G470">
        <v>754895424</v>
      </c>
    </row>
    <row r="471" spans="5:7">
      <c r="E471" s="2">
        <v>42346</v>
      </c>
      <c r="F471">
        <v>2063.59</v>
      </c>
      <c r="G471">
        <v>677047680</v>
      </c>
    </row>
    <row r="472" spans="5:7">
      <c r="E472" s="2">
        <v>42345</v>
      </c>
      <c r="F472">
        <v>2077.0700000000002</v>
      </c>
      <c r="G472">
        <v>648025216</v>
      </c>
    </row>
    <row r="473" spans="5:7">
      <c r="E473" s="2">
        <v>42342</v>
      </c>
      <c r="F473">
        <v>2091.69</v>
      </c>
      <c r="G473">
        <v>751361856</v>
      </c>
    </row>
    <row r="474" spans="5:7">
      <c r="E474" s="2">
        <v>42341</v>
      </c>
      <c r="F474">
        <v>2049.62</v>
      </c>
      <c r="G474">
        <v>761989440</v>
      </c>
    </row>
    <row r="475" spans="5:7">
      <c r="E475" s="2">
        <v>42340</v>
      </c>
      <c r="F475">
        <v>2079.5100000000002</v>
      </c>
      <c r="G475">
        <v>661109504</v>
      </c>
    </row>
    <row r="476" spans="5:7">
      <c r="E476" s="2">
        <v>42339</v>
      </c>
      <c r="F476">
        <v>2102.63</v>
      </c>
      <c r="G476">
        <v>599103616</v>
      </c>
    </row>
    <row r="477" spans="5:7">
      <c r="E477" s="2">
        <v>42338</v>
      </c>
      <c r="F477">
        <v>2080.41</v>
      </c>
      <c r="G477">
        <v>830705216</v>
      </c>
    </row>
    <row r="478" spans="5:7">
      <c r="E478" s="2">
        <v>42335</v>
      </c>
      <c r="F478">
        <v>2090.11</v>
      </c>
      <c r="G478">
        <v>243529344</v>
      </c>
    </row>
    <row r="479" spans="5:7">
      <c r="E479" s="2">
        <v>42333</v>
      </c>
      <c r="F479">
        <v>2088.87</v>
      </c>
      <c r="G479">
        <v>449950496</v>
      </c>
    </row>
    <row r="480" spans="5:7">
      <c r="E480" s="2">
        <v>42332</v>
      </c>
      <c r="F480">
        <v>2089.14</v>
      </c>
      <c r="G480">
        <v>615626560</v>
      </c>
    </row>
    <row r="481" spans="5:7">
      <c r="E481" s="2">
        <v>42331</v>
      </c>
      <c r="F481">
        <v>2086.59</v>
      </c>
      <c r="G481">
        <v>580602624</v>
      </c>
    </row>
    <row r="482" spans="5:7">
      <c r="E482" s="2">
        <v>42328</v>
      </c>
      <c r="F482">
        <v>2089.17</v>
      </c>
      <c r="G482">
        <v>701089728</v>
      </c>
    </row>
    <row r="483" spans="5:7">
      <c r="E483" s="2">
        <v>42327</v>
      </c>
      <c r="F483">
        <v>2081.2399999999998</v>
      </c>
      <c r="G483">
        <v>557110912</v>
      </c>
    </row>
    <row r="484" spans="5:7">
      <c r="E484" s="2">
        <v>42326</v>
      </c>
      <c r="F484">
        <v>2083.58</v>
      </c>
      <c r="G484">
        <v>618006848</v>
      </c>
    </row>
    <row r="485" spans="5:7">
      <c r="E485" s="2">
        <v>42325</v>
      </c>
      <c r="F485">
        <v>2050.44</v>
      </c>
      <c r="G485">
        <v>684883712</v>
      </c>
    </row>
    <row r="486" spans="5:7">
      <c r="E486" s="2">
        <v>42324</v>
      </c>
      <c r="F486">
        <v>2053.19</v>
      </c>
      <c r="G486">
        <v>615213568</v>
      </c>
    </row>
    <row r="487" spans="5:7">
      <c r="E487" s="2">
        <v>42321</v>
      </c>
      <c r="F487">
        <v>2023.04</v>
      </c>
      <c r="G487">
        <v>661114496</v>
      </c>
    </row>
    <row r="488" spans="5:7">
      <c r="E488" s="2">
        <v>42320</v>
      </c>
      <c r="F488">
        <v>2045.97</v>
      </c>
      <c r="G488">
        <v>583695424</v>
      </c>
    </row>
    <row r="489" spans="5:7">
      <c r="E489" s="2">
        <v>42319</v>
      </c>
      <c r="F489">
        <v>2075</v>
      </c>
      <c r="G489">
        <v>520282624</v>
      </c>
    </row>
    <row r="490" spans="5:7">
      <c r="E490" s="2">
        <v>42318</v>
      </c>
      <c r="F490">
        <v>2081.7199999999998</v>
      </c>
      <c r="G490">
        <v>573263360</v>
      </c>
    </row>
    <row r="491" spans="5:7">
      <c r="E491" s="2">
        <v>42317</v>
      </c>
      <c r="F491">
        <v>2078.58</v>
      </c>
      <c r="G491">
        <v>675291904</v>
      </c>
    </row>
    <row r="492" spans="5:7">
      <c r="E492" s="2">
        <v>42314</v>
      </c>
      <c r="F492">
        <v>2099.1999999999998</v>
      </c>
      <c r="G492">
        <v>673627648</v>
      </c>
    </row>
    <row r="493" spans="5:7">
      <c r="E493" s="2">
        <v>42313</v>
      </c>
      <c r="F493">
        <v>2099.9299999999998</v>
      </c>
      <c r="G493">
        <v>602367808</v>
      </c>
    </row>
    <row r="494" spans="5:7">
      <c r="E494" s="2">
        <v>42312</v>
      </c>
      <c r="F494">
        <v>2102.31</v>
      </c>
      <c r="G494">
        <v>630789568</v>
      </c>
    </row>
    <row r="495" spans="5:7">
      <c r="E495" s="2">
        <v>42311</v>
      </c>
      <c r="F495">
        <v>2109.79</v>
      </c>
      <c r="G495">
        <v>597109248</v>
      </c>
    </row>
    <row r="496" spans="5:7">
      <c r="E496" s="2">
        <v>42310</v>
      </c>
      <c r="F496">
        <v>2104.0500000000002</v>
      </c>
      <c r="G496">
        <v>591491584</v>
      </c>
    </row>
    <row r="497" spans="5:7">
      <c r="E497" s="2">
        <v>42307</v>
      </c>
      <c r="F497">
        <v>2079.36</v>
      </c>
      <c r="G497">
        <v>802944896</v>
      </c>
    </row>
    <row r="498" spans="5:7">
      <c r="E498" s="2">
        <v>42306</v>
      </c>
      <c r="F498">
        <v>2089.41</v>
      </c>
      <c r="G498">
        <v>558104768</v>
      </c>
    </row>
    <row r="499" spans="5:7">
      <c r="E499" s="2">
        <v>42305</v>
      </c>
      <c r="F499">
        <v>2090.35</v>
      </c>
      <c r="G499">
        <v>672605248</v>
      </c>
    </row>
    <row r="500" spans="5:7">
      <c r="E500" s="2">
        <v>42304</v>
      </c>
      <c r="F500">
        <v>2065.89</v>
      </c>
      <c r="G500">
        <v>671603776</v>
      </c>
    </row>
    <row r="501" spans="5:7">
      <c r="E501" s="2">
        <v>42303</v>
      </c>
      <c r="F501">
        <v>2071.1799999999998</v>
      </c>
      <c r="G501">
        <v>615001472</v>
      </c>
    </row>
    <row r="502" spans="5:7">
      <c r="E502" s="2">
        <v>42300</v>
      </c>
      <c r="F502">
        <v>2075.15</v>
      </c>
      <c r="G502">
        <v>764446656</v>
      </c>
    </row>
    <row r="503" spans="5:7">
      <c r="E503" s="2">
        <v>42299</v>
      </c>
      <c r="F503">
        <v>2052.5100000000002</v>
      </c>
      <c r="G503">
        <v>801515328</v>
      </c>
    </row>
    <row r="504" spans="5:7">
      <c r="E504" s="2">
        <v>42298</v>
      </c>
      <c r="F504">
        <v>2018.94</v>
      </c>
      <c r="G504">
        <v>634937600</v>
      </c>
    </row>
    <row r="505" spans="5:7">
      <c r="E505" s="2">
        <v>42297</v>
      </c>
      <c r="F505">
        <v>2030.77</v>
      </c>
      <c r="G505">
        <v>579182592</v>
      </c>
    </row>
    <row r="506" spans="5:7">
      <c r="E506" s="2">
        <v>42296</v>
      </c>
      <c r="F506">
        <v>2033.66</v>
      </c>
      <c r="G506">
        <v>607649280</v>
      </c>
    </row>
    <row r="507" spans="5:7">
      <c r="E507" s="2">
        <v>42293</v>
      </c>
      <c r="F507">
        <v>2033.11</v>
      </c>
      <c r="G507">
        <v>720990848</v>
      </c>
    </row>
    <row r="508" spans="5:7">
      <c r="E508" s="2">
        <v>42292</v>
      </c>
      <c r="F508">
        <v>2023.86</v>
      </c>
      <c r="G508">
        <v>686490624</v>
      </c>
    </row>
    <row r="509" spans="5:7">
      <c r="E509" s="2">
        <v>42291</v>
      </c>
      <c r="F509">
        <v>1994.24</v>
      </c>
      <c r="G509">
        <v>640033792</v>
      </c>
    </row>
    <row r="510" spans="5:7">
      <c r="E510" s="2">
        <v>42290</v>
      </c>
      <c r="F510">
        <v>2003.69</v>
      </c>
      <c r="G510">
        <v>579995008</v>
      </c>
    </row>
    <row r="511" spans="5:7">
      <c r="E511" s="2">
        <v>42289</v>
      </c>
      <c r="F511">
        <v>2017.46</v>
      </c>
      <c r="G511">
        <v>473699392</v>
      </c>
    </row>
    <row r="512" spans="5:7">
      <c r="E512" s="2">
        <v>42286</v>
      </c>
      <c r="F512">
        <v>2014.89</v>
      </c>
      <c r="G512">
        <v>631965696</v>
      </c>
    </row>
    <row r="513" spans="5:7">
      <c r="E513" s="2">
        <v>42285</v>
      </c>
      <c r="F513">
        <v>2013.43</v>
      </c>
      <c r="G513">
        <v>614973760</v>
      </c>
    </row>
    <row r="514" spans="5:7">
      <c r="E514" s="2">
        <v>42284</v>
      </c>
      <c r="F514">
        <v>1995.83</v>
      </c>
      <c r="G514">
        <v>743747840</v>
      </c>
    </row>
    <row r="515" spans="5:7">
      <c r="E515" s="2">
        <v>42283</v>
      </c>
      <c r="F515">
        <v>1979.92</v>
      </c>
      <c r="G515">
        <v>687947648</v>
      </c>
    </row>
    <row r="516" spans="5:7">
      <c r="E516" s="2">
        <v>42282</v>
      </c>
      <c r="F516">
        <v>1987.05</v>
      </c>
      <c r="G516">
        <v>733824256</v>
      </c>
    </row>
    <row r="517" spans="5:7">
      <c r="E517" s="2">
        <v>42279</v>
      </c>
      <c r="F517">
        <v>1951.36</v>
      </c>
      <c r="G517">
        <v>785596224</v>
      </c>
    </row>
    <row r="518" spans="5:7">
      <c r="E518" s="2">
        <v>42278</v>
      </c>
      <c r="F518">
        <v>1923.82</v>
      </c>
      <c r="G518">
        <v>687303616</v>
      </c>
    </row>
    <row r="519" spans="5:7">
      <c r="E519" s="2">
        <v>42277</v>
      </c>
      <c r="F519">
        <v>1920.03</v>
      </c>
      <c r="G519">
        <v>862550144</v>
      </c>
    </row>
    <row r="520" spans="5:7">
      <c r="E520" s="2">
        <v>42276</v>
      </c>
      <c r="F520">
        <v>1884.09</v>
      </c>
      <c r="G520">
        <v>768309120</v>
      </c>
    </row>
    <row r="521" spans="5:7">
      <c r="E521" s="2">
        <v>42275</v>
      </c>
      <c r="F521">
        <v>1881.77</v>
      </c>
      <c r="G521">
        <v>811109376</v>
      </c>
    </row>
    <row r="522" spans="5:7">
      <c r="E522" s="2">
        <v>42272</v>
      </c>
      <c r="F522">
        <v>1931.34</v>
      </c>
      <c r="G522">
        <v>700778880</v>
      </c>
    </row>
    <row r="523" spans="5:7">
      <c r="E523" s="2">
        <v>42271</v>
      </c>
      <c r="F523">
        <v>1932.24</v>
      </c>
      <c r="G523">
        <v>725975744</v>
      </c>
    </row>
    <row r="524" spans="5:7">
      <c r="E524" s="2">
        <v>42270</v>
      </c>
      <c r="F524">
        <v>1938.76</v>
      </c>
      <c r="G524">
        <v>514180064</v>
      </c>
    </row>
    <row r="525" spans="5:7">
      <c r="E525" s="2">
        <v>42269</v>
      </c>
      <c r="F525">
        <v>1942.74</v>
      </c>
      <c r="G525">
        <v>704628608</v>
      </c>
    </row>
    <row r="526" spans="5:7">
      <c r="E526" s="2">
        <v>42268</v>
      </c>
      <c r="F526">
        <v>1966.97</v>
      </c>
      <c r="G526">
        <v>585108352</v>
      </c>
    </row>
    <row r="527" spans="5:7">
      <c r="E527" s="2">
        <v>42265</v>
      </c>
      <c r="F527">
        <v>1958.03</v>
      </c>
      <c r="G527">
        <v>1874791168</v>
      </c>
    </row>
    <row r="528" spans="5:7">
      <c r="E528" s="2">
        <v>42264</v>
      </c>
      <c r="F528">
        <v>1990.2</v>
      </c>
      <c r="G528">
        <v>717577856</v>
      </c>
    </row>
    <row r="529" spans="5:7">
      <c r="E529" s="2">
        <v>42263</v>
      </c>
      <c r="F529">
        <v>1995.31</v>
      </c>
      <c r="G529">
        <v>606996224</v>
      </c>
    </row>
    <row r="530" spans="5:7">
      <c r="E530" s="2">
        <v>42262</v>
      </c>
      <c r="F530">
        <v>1978.09</v>
      </c>
      <c r="G530">
        <v>558803072</v>
      </c>
    </row>
    <row r="531" spans="5:7">
      <c r="E531" s="2">
        <v>42261</v>
      </c>
      <c r="F531">
        <v>1953.03</v>
      </c>
      <c r="G531">
        <v>564066048</v>
      </c>
    </row>
    <row r="532" spans="5:7">
      <c r="E532" s="2">
        <v>42258</v>
      </c>
      <c r="F532">
        <v>1961.05</v>
      </c>
      <c r="G532">
        <v>599817920</v>
      </c>
    </row>
    <row r="533" spans="5:7">
      <c r="E533" s="2">
        <v>42257</v>
      </c>
      <c r="F533">
        <v>1952.29</v>
      </c>
      <c r="G533">
        <v>678267456</v>
      </c>
    </row>
    <row r="534" spans="5:7">
      <c r="E534" s="2">
        <v>42256</v>
      </c>
      <c r="F534">
        <v>1942.04</v>
      </c>
      <c r="G534">
        <v>703961664</v>
      </c>
    </row>
    <row r="535" spans="5:7">
      <c r="E535" s="2">
        <v>42255</v>
      </c>
      <c r="F535">
        <v>1969.41</v>
      </c>
      <c r="G535">
        <v>704348736</v>
      </c>
    </row>
    <row r="536" spans="5:7">
      <c r="E536" s="2">
        <v>42251</v>
      </c>
      <c r="F536">
        <v>1921.22</v>
      </c>
      <c r="G536">
        <v>675811648</v>
      </c>
    </row>
    <row r="537" spans="5:7">
      <c r="E537" s="2">
        <v>42250</v>
      </c>
      <c r="F537">
        <v>1951.13</v>
      </c>
      <c r="G537">
        <v>642895104</v>
      </c>
    </row>
    <row r="538" spans="5:7">
      <c r="E538" s="2">
        <v>42249</v>
      </c>
      <c r="F538">
        <v>1948.86</v>
      </c>
      <c r="G538">
        <v>745239040</v>
      </c>
    </row>
    <row r="539" spans="5:7">
      <c r="E539" s="2">
        <v>42248</v>
      </c>
      <c r="F539">
        <v>1913.85</v>
      </c>
      <c r="G539">
        <v>884847040</v>
      </c>
    </row>
    <row r="540" spans="5:7">
      <c r="E540" s="2">
        <v>42247</v>
      </c>
      <c r="F540">
        <v>1972.18</v>
      </c>
      <c r="G540">
        <v>775156608</v>
      </c>
    </row>
    <row r="541" spans="5:7">
      <c r="E541" s="2">
        <v>42244</v>
      </c>
      <c r="F541">
        <v>1988.87</v>
      </c>
      <c r="G541">
        <v>730504000</v>
      </c>
    </row>
    <row r="542" spans="5:7">
      <c r="E542" s="2">
        <v>42243</v>
      </c>
      <c r="F542">
        <v>1987.66</v>
      </c>
      <c r="G542">
        <v>937936192</v>
      </c>
    </row>
    <row r="543" spans="5:7">
      <c r="E543" s="2">
        <v>42242</v>
      </c>
      <c r="F543">
        <v>1940.51</v>
      </c>
      <c r="G543">
        <v>1047032768</v>
      </c>
    </row>
    <row r="544" spans="5:7">
      <c r="E544" s="2">
        <v>42241</v>
      </c>
      <c r="F544">
        <v>1867.61</v>
      </c>
      <c r="G544">
        <v>1063062848</v>
      </c>
    </row>
    <row r="545" spans="5:7">
      <c r="E545" s="2">
        <v>42240</v>
      </c>
      <c r="F545">
        <v>1893.21</v>
      </c>
      <c r="G545">
        <v>1350121472</v>
      </c>
    </row>
    <row r="546" spans="5:7">
      <c r="E546" s="2">
        <v>42237</v>
      </c>
      <c r="F546">
        <v>1970.89</v>
      </c>
      <c r="G546">
        <v>1077363072</v>
      </c>
    </row>
    <row r="547" spans="5:7">
      <c r="E547" s="2">
        <v>42236</v>
      </c>
      <c r="F547">
        <v>2035.73</v>
      </c>
      <c r="G547">
        <v>686628352</v>
      </c>
    </row>
    <row r="548" spans="5:7">
      <c r="E548" s="2">
        <v>42235</v>
      </c>
      <c r="F548">
        <v>2079.61</v>
      </c>
      <c r="G548">
        <v>578300480</v>
      </c>
    </row>
    <row r="549" spans="5:7">
      <c r="E549" s="2">
        <v>42234</v>
      </c>
      <c r="F549">
        <v>2096.92</v>
      </c>
      <c r="G549">
        <v>453743648</v>
      </c>
    </row>
    <row r="550" spans="5:7">
      <c r="E550" s="2">
        <v>42233</v>
      </c>
      <c r="F550">
        <v>2102.44</v>
      </c>
      <c r="G550">
        <v>432682560</v>
      </c>
    </row>
    <row r="551" spans="5:7">
      <c r="E551" s="2">
        <v>42230</v>
      </c>
      <c r="F551">
        <v>2091.54</v>
      </c>
      <c r="G551">
        <v>458014432</v>
      </c>
    </row>
    <row r="552" spans="5:7">
      <c r="E552" s="2">
        <v>42229</v>
      </c>
      <c r="F552">
        <v>2083.39</v>
      </c>
      <c r="G552">
        <v>524653856</v>
      </c>
    </row>
    <row r="553" spans="5:7">
      <c r="E553" s="2">
        <v>42228</v>
      </c>
      <c r="F553">
        <v>2086.0500000000002</v>
      </c>
      <c r="G553">
        <v>654851200</v>
      </c>
    </row>
    <row r="554" spans="5:7">
      <c r="E554" s="2">
        <v>42227</v>
      </c>
      <c r="F554">
        <v>2084.0700000000002</v>
      </c>
      <c r="G554">
        <v>572683712</v>
      </c>
    </row>
    <row r="555" spans="5:7">
      <c r="E555" s="2">
        <v>42226</v>
      </c>
      <c r="F555">
        <v>2104.1799999999998</v>
      </c>
      <c r="G555">
        <v>545988160</v>
      </c>
    </row>
    <row r="556" spans="5:7">
      <c r="E556" s="2">
        <v>42223</v>
      </c>
      <c r="F556">
        <v>2077.5700000000002</v>
      </c>
      <c r="G556">
        <v>538228032</v>
      </c>
    </row>
    <row r="557" spans="5:7">
      <c r="E557" s="2">
        <v>42222</v>
      </c>
      <c r="F557">
        <v>2083.56</v>
      </c>
      <c r="G557">
        <v>621613696</v>
      </c>
    </row>
    <row r="558" spans="5:7">
      <c r="E558" s="2">
        <v>42221</v>
      </c>
      <c r="F558">
        <v>2099.84</v>
      </c>
      <c r="G558">
        <v>586582464</v>
      </c>
    </row>
    <row r="559" spans="5:7">
      <c r="E559" s="2">
        <v>42220</v>
      </c>
      <c r="F559">
        <v>2093.3200000000002</v>
      </c>
      <c r="G559">
        <v>552836992</v>
      </c>
    </row>
    <row r="560" spans="5:7">
      <c r="E560" s="2">
        <v>42219</v>
      </c>
      <c r="F560">
        <v>2098.04</v>
      </c>
      <c r="G560">
        <v>554008960</v>
      </c>
    </row>
    <row r="561" spans="5:7">
      <c r="E561" s="2">
        <v>42216</v>
      </c>
      <c r="F561">
        <v>2103.84</v>
      </c>
      <c r="G561">
        <v>651341056</v>
      </c>
    </row>
    <row r="562" spans="5:7">
      <c r="E562" s="2">
        <v>42215</v>
      </c>
      <c r="F562">
        <v>2108.63</v>
      </c>
      <c r="G562">
        <v>513199040</v>
      </c>
    </row>
    <row r="563" spans="5:7">
      <c r="E563" s="2">
        <v>42214</v>
      </c>
      <c r="F563">
        <v>2108.5700000000002</v>
      </c>
      <c r="G563">
        <v>579763776</v>
      </c>
    </row>
    <row r="564" spans="5:7">
      <c r="E564" s="2">
        <v>42213</v>
      </c>
      <c r="F564">
        <v>2093.25</v>
      </c>
      <c r="G564">
        <v>620626560</v>
      </c>
    </row>
    <row r="565" spans="5:7">
      <c r="E565" s="2">
        <v>42212</v>
      </c>
      <c r="F565">
        <v>2067.64</v>
      </c>
      <c r="G565">
        <v>667212992</v>
      </c>
    </row>
    <row r="566" spans="5:7">
      <c r="E566" s="2">
        <v>42209</v>
      </c>
      <c r="F566">
        <v>2079.65</v>
      </c>
      <c r="G566">
        <v>629186496</v>
      </c>
    </row>
    <row r="567" spans="5:7">
      <c r="E567" s="2">
        <v>42208</v>
      </c>
      <c r="F567">
        <v>2102.15</v>
      </c>
      <c r="G567">
        <v>593052480</v>
      </c>
    </row>
    <row r="568" spans="5:7">
      <c r="E568" s="2">
        <v>42207</v>
      </c>
      <c r="F568">
        <v>2114.15</v>
      </c>
      <c r="G568">
        <v>619434368</v>
      </c>
    </row>
    <row r="569" spans="5:7">
      <c r="E569" s="2">
        <v>42206</v>
      </c>
      <c r="F569">
        <v>2119.21</v>
      </c>
      <c r="G569">
        <v>566156224</v>
      </c>
    </row>
    <row r="570" spans="5:7">
      <c r="E570" s="2">
        <v>42205</v>
      </c>
      <c r="F570">
        <v>2128.2800000000002</v>
      </c>
      <c r="G570">
        <v>509967424</v>
      </c>
    </row>
    <row r="571" spans="5:7">
      <c r="E571" s="2">
        <v>42202</v>
      </c>
      <c r="F571">
        <v>2126.64</v>
      </c>
      <c r="G571">
        <v>636935424</v>
      </c>
    </row>
    <row r="572" spans="5:7">
      <c r="E572" s="2">
        <v>42201</v>
      </c>
      <c r="F572">
        <v>2124.29</v>
      </c>
      <c r="G572">
        <v>538689792</v>
      </c>
    </row>
    <row r="573" spans="5:7">
      <c r="E573" s="2">
        <v>42200</v>
      </c>
      <c r="F573">
        <v>2107.4</v>
      </c>
      <c r="G573">
        <v>547400512</v>
      </c>
    </row>
    <row r="574" spans="5:7">
      <c r="E574" s="2">
        <v>42199</v>
      </c>
      <c r="F574">
        <v>2108.9499999999998</v>
      </c>
      <c r="G574">
        <v>508384000</v>
      </c>
    </row>
    <row r="575" spans="5:7">
      <c r="E575" s="2">
        <v>42198</v>
      </c>
      <c r="F575">
        <v>2099.6</v>
      </c>
      <c r="G575">
        <v>509909472</v>
      </c>
    </row>
    <row r="576" spans="5:7">
      <c r="E576" s="2">
        <v>42195</v>
      </c>
      <c r="F576">
        <v>2076.62</v>
      </c>
      <c r="G576">
        <v>495269056</v>
      </c>
    </row>
    <row r="577" spans="5:7">
      <c r="E577" s="2">
        <v>42194</v>
      </c>
      <c r="F577">
        <v>2051.31</v>
      </c>
      <c r="G577">
        <v>566892224</v>
      </c>
    </row>
    <row r="578" spans="5:7">
      <c r="E578" s="2">
        <v>42193</v>
      </c>
      <c r="F578">
        <v>2046.68</v>
      </c>
      <c r="G578">
        <v>388666336</v>
      </c>
    </row>
    <row r="579" spans="5:7">
      <c r="E579" s="2">
        <v>42192</v>
      </c>
      <c r="F579">
        <v>2081.34</v>
      </c>
      <c r="G579">
        <v>639140352</v>
      </c>
    </row>
    <row r="580" spans="5:7">
      <c r="E580" s="2">
        <v>42191</v>
      </c>
      <c r="F580">
        <v>2068.7600000000002</v>
      </c>
      <c r="G580">
        <v>594511232</v>
      </c>
    </row>
    <row r="581" spans="5:7">
      <c r="E581" s="2">
        <v>42187</v>
      </c>
      <c r="F581">
        <v>2076.7800000000002</v>
      </c>
      <c r="G581">
        <v>489734016</v>
      </c>
    </row>
    <row r="582" spans="5:7">
      <c r="E582" s="2">
        <v>42186</v>
      </c>
      <c r="F582">
        <v>2077.42</v>
      </c>
      <c r="G582">
        <v>536482208</v>
      </c>
    </row>
    <row r="583" spans="5:7">
      <c r="E583" s="2">
        <v>42185</v>
      </c>
      <c r="F583">
        <v>2063.11</v>
      </c>
      <c r="G583">
        <v>726352256</v>
      </c>
    </row>
    <row r="584" spans="5:7">
      <c r="E584" s="2">
        <v>42184</v>
      </c>
      <c r="F584">
        <v>2057.64</v>
      </c>
      <c r="G584">
        <v>596336896</v>
      </c>
    </row>
    <row r="585" spans="5:7">
      <c r="E585" s="2">
        <v>42181</v>
      </c>
      <c r="F585">
        <v>2101.4899999999998</v>
      </c>
      <c r="G585">
        <v>939093568</v>
      </c>
    </row>
    <row r="586" spans="5:7">
      <c r="E586" s="2">
        <v>42180</v>
      </c>
      <c r="F586">
        <v>2102.31</v>
      </c>
      <c r="G586">
        <v>503689792</v>
      </c>
    </row>
    <row r="587" spans="5:7">
      <c r="E587" s="2">
        <v>42179</v>
      </c>
      <c r="F587">
        <v>2108.58</v>
      </c>
      <c r="G587">
        <v>542556416</v>
      </c>
    </row>
    <row r="588" spans="5:7">
      <c r="E588" s="2">
        <v>42178</v>
      </c>
      <c r="F588">
        <v>2124.1999999999998</v>
      </c>
      <c r="G588">
        <v>458723552</v>
      </c>
    </row>
    <row r="589" spans="5:7">
      <c r="E589" s="2">
        <v>42177</v>
      </c>
      <c r="F589">
        <v>2122.85</v>
      </c>
      <c r="G589">
        <v>472835104</v>
      </c>
    </row>
    <row r="590" spans="5:7">
      <c r="E590" s="2">
        <v>42174</v>
      </c>
      <c r="F590">
        <v>2109.9899999999998</v>
      </c>
      <c r="G590">
        <v>1262677632</v>
      </c>
    </row>
    <row r="591" spans="5:7">
      <c r="E591" s="2">
        <v>42173</v>
      </c>
      <c r="F591">
        <v>2121.2399999999998</v>
      </c>
      <c r="G591">
        <v>552029248</v>
      </c>
    </row>
    <row r="592" spans="5:7">
      <c r="E592" s="2">
        <v>42172</v>
      </c>
      <c r="F592">
        <v>2100.44</v>
      </c>
      <c r="G592">
        <v>489365184</v>
      </c>
    </row>
    <row r="593" spans="5:7">
      <c r="E593" s="2">
        <v>42171</v>
      </c>
      <c r="F593">
        <v>2096.29</v>
      </c>
      <c r="G593">
        <v>423381152</v>
      </c>
    </row>
    <row r="594" spans="5:7">
      <c r="E594" s="2">
        <v>42170</v>
      </c>
      <c r="F594">
        <v>2084.4299999999998</v>
      </c>
      <c r="G594">
        <v>512029184</v>
      </c>
    </row>
    <row r="595" spans="5:7">
      <c r="E595" s="2">
        <v>42167</v>
      </c>
      <c r="F595">
        <v>2094.11</v>
      </c>
      <c r="G595">
        <v>456747968</v>
      </c>
    </row>
    <row r="596" spans="5:7">
      <c r="E596" s="2">
        <v>42166</v>
      </c>
      <c r="F596">
        <v>2108.86</v>
      </c>
      <c r="G596">
        <v>548636544</v>
      </c>
    </row>
    <row r="597" spans="5:7">
      <c r="E597" s="2">
        <v>42165</v>
      </c>
      <c r="F597">
        <v>2105.1999999999998</v>
      </c>
      <c r="G597">
        <v>513278144</v>
      </c>
    </row>
    <row r="598" spans="5:7">
      <c r="E598" s="2">
        <v>42164</v>
      </c>
      <c r="F598">
        <v>2080.15</v>
      </c>
      <c r="G598">
        <v>498462304</v>
      </c>
    </row>
    <row r="599" spans="5:7">
      <c r="E599" s="2">
        <v>42163</v>
      </c>
      <c r="F599">
        <v>2079.2800000000002</v>
      </c>
      <c r="G599">
        <v>494053920</v>
      </c>
    </row>
    <row r="600" spans="5:7">
      <c r="E600" s="2">
        <v>42160</v>
      </c>
      <c r="F600">
        <v>2092.83</v>
      </c>
      <c r="G600">
        <v>567359104</v>
      </c>
    </row>
    <row r="601" spans="5:7">
      <c r="E601" s="2">
        <v>42159</v>
      </c>
      <c r="F601">
        <v>2095.84</v>
      </c>
      <c r="G601">
        <v>529531520</v>
      </c>
    </row>
    <row r="602" spans="5:7">
      <c r="E602" s="2">
        <v>42158</v>
      </c>
      <c r="F602">
        <v>2114.0700000000002</v>
      </c>
      <c r="G602">
        <v>474052832</v>
      </c>
    </row>
    <row r="603" spans="5:7">
      <c r="E603" s="2">
        <v>42157</v>
      </c>
      <c r="F603">
        <v>2109.6</v>
      </c>
      <c r="G603">
        <v>477625184</v>
      </c>
    </row>
    <row r="604" spans="5:7">
      <c r="E604" s="2">
        <v>42156</v>
      </c>
      <c r="F604">
        <v>2111.73</v>
      </c>
      <c r="G604">
        <v>496321824</v>
      </c>
    </row>
    <row r="605" spans="5:7">
      <c r="E605" s="2">
        <v>42153</v>
      </c>
      <c r="F605">
        <v>2107.39</v>
      </c>
      <c r="G605">
        <v>768062208</v>
      </c>
    </row>
    <row r="606" spans="5:7">
      <c r="E606" s="2">
        <v>42152</v>
      </c>
      <c r="F606">
        <v>2120.79</v>
      </c>
      <c r="G606">
        <v>441847488</v>
      </c>
    </row>
    <row r="607" spans="5:7">
      <c r="E607" s="2">
        <v>42151</v>
      </c>
      <c r="F607">
        <v>2123.48</v>
      </c>
      <c r="G607">
        <v>521363168</v>
      </c>
    </row>
    <row r="608" spans="5:7">
      <c r="E608" s="2">
        <v>42150</v>
      </c>
      <c r="F608">
        <v>2104.1999999999998</v>
      </c>
      <c r="G608">
        <v>565730880</v>
      </c>
    </row>
    <row r="609" spans="5:7">
      <c r="E609" s="2">
        <v>42146</v>
      </c>
      <c r="F609">
        <v>2126.06</v>
      </c>
      <c r="G609">
        <v>431185120</v>
      </c>
    </row>
    <row r="610" spans="5:7">
      <c r="E610" s="2">
        <v>42145</v>
      </c>
      <c r="F610">
        <v>2130.8200000000002</v>
      </c>
      <c r="G610">
        <v>490181856</v>
      </c>
    </row>
    <row r="611" spans="5:7">
      <c r="E611" s="2">
        <v>42144</v>
      </c>
      <c r="F611">
        <v>2125.85</v>
      </c>
      <c r="G611">
        <v>519596768</v>
      </c>
    </row>
    <row r="612" spans="5:7">
      <c r="E612" s="2">
        <v>42143</v>
      </c>
      <c r="F612">
        <v>2127.83</v>
      </c>
      <c r="G612">
        <v>526865184</v>
      </c>
    </row>
    <row r="613" spans="5:7">
      <c r="E613" s="2">
        <v>42142</v>
      </c>
      <c r="F613">
        <v>2129.1999999999998</v>
      </c>
      <c r="G613">
        <v>452532480</v>
      </c>
    </row>
    <row r="614" spans="5:7">
      <c r="E614" s="2">
        <v>42139</v>
      </c>
      <c r="F614">
        <v>2122.73</v>
      </c>
      <c r="G614">
        <v>615096320</v>
      </c>
    </row>
    <row r="615" spans="5:7">
      <c r="E615" s="2">
        <v>42138</v>
      </c>
      <c r="F615">
        <v>2121.1</v>
      </c>
      <c r="G615">
        <v>486270432</v>
      </c>
    </row>
    <row r="616" spans="5:7">
      <c r="E616" s="2">
        <v>42137</v>
      </c>
      <c r="F616">
        <v>2098.48</v>
      </c>
      <c r="G616">
        <v>482084640</v>
      </c>
    </row>
    <row r="617" spans="5:7">
      <c r="E617" s="2">
        <v>42136</v>
      </c>
      <c r="F617">
        <v>2099.12</v>
      </c>
      <c r="G617">
        <v>479504928</v>
      </c>
    </row>
    <row r="618" spans="5:7">
      <c r="E618" s="2">
        <v>42135</v>
      </c>
      <c r="F618">
        <v>2105.33</v>
      </c>
      <c r="G618">
        <v>475660096</v>
      </c>
    </row>
    <row r="619" spans="5:7">
      <c r="E619" s="2">
        <v>42132</v>
      </c>
      <c r="F619">
        <v>2116.1</v>
      </c>
      <c r="G619">
        <v>536169248</v>
      </c>
    </row>
    <row r="620" spans="5:7">
      <c r="E620" s="2">
        <v>42131</v>
      </c>
      <c r="F620">
        <v>2088</v>
      </c>
      <c r="G620">
        <v>545155584</v>
      </c>
    </row>
    <row r="621" spans="5:7">
      <c r="E621" s="2">
        <v>42130</v>
      </c>
      <c r="F621">
        <v>2080.15</v>
      </c>
      <c r="G621">
        <v>563782528</v>
      </c>
    </row>
    <row r="622" spans="5:7">
      <c r="E622" s="2">
        <v>42129</v>
      </c>
      <c r="F622">
        <v>2089.46</v>
      </c>
      <c r="G622">
        <v>546268352</v>
      </c>
    </row>
    <row r="623" spans="5:7">
      <c r="E623" s="2">
        <v>42128</v>
      </c>
      <c r="F623">
        <v>2114.4899999999998</v>
      </c>
      <c r="G623">
        <v>468420992</v>
      </c>
    </row>
    <row r="624" spans="5:7">
      <c r="E624" s="2">
        <v>42125</v>
      </c>
      <c r="F624">
        <v>2108.29</v>
      </c>
      <c r="G624">
        <v>517351488</v>
      </c>
    </row>
    <row r="625" spans="5:7">
      <c r="E625" s="2">
        <v>42124</v>
      </c>
      <c r="F625">
        <v>2085.5100000000002</v>
      </c>
      <c r="G625">
        <v>696789504</v>
      </c>
    </row>
    <row r="626" spans="5:7">
      <c r="E626" s="2">
        <v>42123</v>
      </c>
      <c r="F626">
        <v>2106.85</v>
      </c>
      <c r="G626">
        <v>560514752</v>
      </c>
    </row>
    <row r="627" spans="5:7">
      <c r="E627" s="2">
        <v>42122</v>
      </c>
      <c r="F627">
        <v>2114.7600000000002</v>
      </c>
      <c r="G627">
        <v>555166400</v>
      </c>
    </row>
    <row r="628" spans="5:7">
      <c r="E628" s="2">
        <v>42121</v>
      </c>
      <c r="F628">
        <v>2108.92</v>
      </c>
      <c r="G628">
        <v>601573312</v>
      </c>
    </row>
    <row r="629" spans="5:7">
      <c r="E629" s="2">
        <v>42118</v>
      </c>
      <c r="F629">
        <v>2117.69</v>
      </c>
      <c r="G629">
        <v>563442048</v>
      </c>
    </row>
    <row r="630" spans="5:7">
      <c r="E630" s="2">
        <v>42117</v>
      </c>
      <c r="F630">
        <v>2112.9299999999998</v>
      </c>
      <c r="G630">
        <v>579433600</v>
      </c>
    </row>
    <row r="631" spans="5:7">
      <c r="E631" s="2">
        <v>42116</v>
      </c>
      <c r="F631">
        <v>2107.96</v>
      </c>
      <c r="G631">
        <v>532741408</v>
      </c>
    </row>
    <row r="632" spans="5:7">
      <c r="E632" s="2">
        <v>42115</v>
      </c>
      <c r="F632">
        <v>2097.29</v>
      </c>
      <c r="G632">
        <v>499610688</v>
      </c>
    </row>
    <row r="633" spans="5:7">
      <c r="E633" s="2">
        <v>42114</v>
      </c>
      <c r="F633">
        <v>2100.4</v>
      </c>
      <c r="G633">
        <v>489427808</v>
      </c>
    </row>
    <row r="634" spans="5:7">
      <c r="E634" s="2">
        <v>42111</v>
      </c>
      <c r="F634">
        <v>2081.1799999999998</v>
      </c>
      <c r="G634">
        <v>671368960</v>
      </c>
    </row>
    <row r="635" spans="5:7">
      <c r="E635" s="2">
        <v>42110</v>
      </c>
      <c r="F635">
        <v>2104.9899999999998</v>
      </c>
      <c r="G635">
        <v>504965120</v>
      </c>
    </row>
    <row r="636" spans="5:7">
      <c r="E636" s="2">
        <v>42109</v>
      </c>
      <c r="F636">
        <v>2106.63</v>
      </c>
      <c r="G636">
        <v>573306624</v>
      </c>
    </row>
    <row r="637" spans="5:7">
      <c r="E637" s="2">
        <v>42108</v>
      </c>
      <c r="F637">
        <v>2095.84</v>
      </c>
      <c r="G637">
        <v>459195808</v>
      </c>
    </row>
    <row r="638" spans="5:7">
      <c r="E638" s="2">
        <v>42107</v>
      </c>
      <c r="F638">
        <v>2092.4299999999998</v>
      </c>
      <c r="G638">
        <v>495736640</v>
      </c>
    </row>
    <row r="639" spans="5:7">
      <c r="E639" s="2">
        <v>42104</v>
      </c>
      <c r="F639">
        <v>2102.06</v>
      </c>
      <c r="G639">
        <v>473559040</v>
      </c>
    </row>
    <row r="640" spans="5:7">
      <c r="E640" s="2">
        <v>42103</v>
      </c>
      <c r="F640">
        <v>2091.1799999999998</v>
      </c>
      <c r="G640">
        <v>483774336</v>
      </c>
    </row>
    <row r="641" spans="5:7">
      <c r="E641" s="2">
        <v>42102</v>
      </c>
      <c r="F641">
        <v>2081.9</v>
      </c>
      <c r="G641">
        <v>500216192</v>
      </c>
    </row>
    <row r="642" spans="5:7">
      <c r="E642" s="2">
        <v>42101</v>
      </c>
      <c r="F642">
        <v>2076.33</v>
      </c>
      <c r="G642">
        <v>444401344</v>
      </c>
    </row>
    <row r="643" spans="5:7">
      <c r="E643" s="2">
        <v>42100</v>
      </c>
      <c r="F643">
        <v>2080.62</v>
      </c>
      <c r="G643">
        <v>610287936</v>
      </c>
    </row>
    <row r="644" spans="5:7">
      <c r="E644" s="2">
        <v>42096</v>
      </c>
      <c r="F644">
        <v>2066.96</v>
      </c>
      <c r="G644">
        <v>492594688</v>
      </c>
    </row>
    <row r="645" spans="5:7">
      <c r="E645" s="2">
        <v>42095</v>
      </c>
      <c r="F645">
        <v>2059.69</v>
      </c>
      <c r="G645">
        <v>577114176</v>
      </c>
    </row>
    <row r="646" spans="5:7">
      <c r="E646" s="2">
        <v>42094</v>
      </c>
      <c r="F646">
        <v>2067.89</v>
      </c>
      <c r="G646">
        <v>671221952</v>
      </c>
    </row>
    <row r="647" spans="5:7">
      <c r="E647" s="2">
        <v>42093</v>
      </c>
      <c r="F647">
        <v>2086.2399999999998</v>
      </c>
      <c r="G647">
        <v>499786176</v>
      </c>
    </row>
    <row r="648" spans="5:7">
      <c r="E648" s="2">
        <v>42090</v>
      </c>
      <c r="F648">
        <v>2061.02</v>
      </c>
      <c r="G648">
        <v>554212096</v>
      </c>
    </row>
    <row r="649" spans="5:7">
      <c r="E649" s="2">
        <v>42089</v>
      </c>
      <c r="F649">
        <v>2056.15</v>
      </c>
      <c r="G649">
        <v>629338432</v>
      </c>
    </row>
    <row r="650" spans="5:7">
      <c r="E650" s="2">
        <v>42088</v>
      </c>
      <c r="F650">
        <v>2061.0500000000002</v>
      </c>
      <c r="G650">
        <v>591249664</v>
      </c>
    </row>
    <row r="651" spans="5:7">
      <c r="E651" s="2">
        <v>42087</v>
      </c>
      <c r="F651">
        <v>2091.5</v>
      </c>
      <c r="G651">
        <v>518017184</v>
      </c>
    </row>
    <row r="652" spans="5:7">
      <c r="E652" s="2">
        <v>42086</v>
      </c>
      <c r="F652">
        <v>2104.42</v>
      </c>
      <c r="G652">
        <v>505802624</v>
      </c>
    </row>
    <row r="653" spans="5:7">
      <c r="E653" s="2">
        <v>42083</v>
      </c>
      <c r="F653">
        <v>2108.1</v>
      </c>
      <c r="G653">
        <v>1569085440</v>
      </c>
    </row>
    <row r="654" spans="5:7">
      <c r="E654" s="2">
        <v>42082</v>
      </c>
      <c r="F654">
        <v>2089.27</v>
      </c>
      <c r="G654">
        <v>538912768</v>
      </c>
    </row>
    <row r="655" spans="5:7">
      <c r="E655" s="2">
        <v>42081</v>
      </c>
      <c r="F655">
        <v>2099.5</v>
      </c>
      <c r="G655">
        <v>642799488</v>
      </c>
    </row>
    <row r="656" spans="5:7">
      <c r="E656" s="2">
        <v>42080</v>
      </c>
      <c r="F656">
        <v>2074.2800000000002</v>
      </c>
      <c r="G656">
        <v>482915200</v>
      </c>
    </row>
    <row r="657" spans="5:7">
      <c r="E657" s="2">
        <v>42079</v>
      </c>
      <c r="F657">
        <v>2081.19</v>
      </c>
      <c r="G657">
        <v>549107968</v>
      </c>
    </row>
    <row r="658" spans="5:7">
      <c r="E658" s="2">
        <v>42076</v>
      </c>
      <c r="F658">
        <v>2053.4</v>
      </c>
      <c r="G658">
        <v>559884480</v>
      </c>
    </row>
    <row r="659" spans="5:7">
      <c r="E659" s="2">
        <v>42075</v>
      </c>
      <c r="F659">
        <v>2065.9499999999998</v>
      </c>
      <c r="G659">
        <v>547397376</v>
      </c>
    </row>
    <row r="660" spans="5:7">
      <c r="E660" s="2">
        <v>42074</v>
      </c>
      <c r="F660">
        <v>2040.24</v>
      </c>
      <c r="G660">
        <v>547776128</v>
      </c>
    </row>
    <row r="661" spans="5:7">
      <c r="E661" s="2">
        <v>42073</v>
      </c>
      <c r="F661">
        <v>2044.16</v>
      </c>
      <c r="G661">
        <v>625562688</v>
      </c>
    </row>
    <row r="662" spans="5:7">
      <c r="E662" s="2">
        <v>42072</v>
      </c>
      <c r="F662">
        <v>2079.4299999999998</v>
      </c>
      <c r="G662">
        <v>500131872</v>
      </c>
    </row>
    <row r="663" spans="5:7">
      <c r="E663" s="2">
        <v>42069</v>
      </c>
      <c r="F663">
        <v>2071.2600000000002</v>
      </c>
      <c r="G663">
        <v>663313984</v>
      </c>
    </row>
    <row r="664" spans="5:7">
      <c r="E664" s="2">
        <v>42068</v>
      </c>
      <c r="F664">
        <v>2101.04</v>
      </c>
      <c r="G664">
        <v>488319360</v>
      </c>
    </row>
    <row r="665" spans="5:7">
      <c r="E665" s="2">
        <v>42067</v>
      </c>
      <c r="F665">
        <v>2098.5300000000002</v>
      </c>
      <c r="G665">
        <v>510419040</v>
      </c>
    </row>
    <row r="666" spans="5:7">
      <c r="E666" s="2">
        <v>42066</v>
      </c>
      <c r="F666">
        <v>2107.7800000000002</v>
      </c>
      <c r="G666">
        <v>505059072</v>
      </c>
    </row>
    <row r="667" spans="5:7">
      <c r="E667" s="2">
        <v>42065</v>
      </c>
      <c r="F667">
        <v>2117.39</v>
      </c>
      <c r="G667">
        <v>524842816</v>
      </c>
    </row>
    <row r="668" spans="5:7">
      <c r="E668" s="2">
        <v>42062</v>
      </c>
      <c r="F668">
        <v>2104.5</v>
      </c>
      <c r="G668">
        <v>603843456</v>
      </c>
    </row>
    <row r="669" spans="5:7">
      <c r="E669" s="2">
        <v>42061</v>
      </c>
      <c r="F669">
        <v>2110.7399999999998</v>
      </c>
      <c r="G669">
        <v>511278208</v>
      </c>
    </row>
    <row r="670" spans="5:7">
      <c r="E670" s="2">
        <v>42060</v>
      </c>
      <c r="F670">
        <v>2113.86</v>
      </c>
      <c r="G670">
        <v>492795808</v>
      </c>
    </row>
    <row r="671" spans="5:7">
      <c r="E671" s="2">
        <v>42059</v>
      </c>
      <c r="F671">
        <v>2115.48</v>
      </c>
      <c r="G671">
        <v>507302944</v>
      </c>
    </row>
    <row r="672" spans="5:7">
      <c r="E672" s="2">
        <v>42058</v>
      </c>
      <c r="F672">
        <v>2109.66</v>
      </c>
      <c r="G672">
        <v>503653216</v>
      </c>
    </row>
    <row r="673" spans="5:7">
      <c r="E673" s="2">
        <v>42055</v>
      </c>
      <c r="F673">
        <v>2110.3000000000002</v>
      </c>
      <c r="G673">
        <v>630178304</v>
      </c>
    </row>
    <row r="674" spans="5:7">
      <c r="E674" s="2">
        <v>42054</v>
      </c>
      <c r="F674">
        <v>2097.4499999999998</v>
      </c>
      <c r="G674">
        <v>471760544</v>
      </c>
    </row>
    <row r="675" spans="5:7">
      <c r="E675" s="2">
        <v>42053</v>
      </c>
      <c r="F675">
        <v>2099.6799999999998</v>
      </c>
      <c r="G675">
        <v>466127968</v>
      </c>
    </row>
    <row r="676" spans="5:7">
      <c r="E676" s="2">
        <v>42052</v>
      </c>
      <c r="F676">
        <v>2100.34</v>
      </c>
      <c r="G676">
        <v>565219584</v>
      </c>
    </row>
    <row r="677" spans="5:7">
      <c r="E677" s="2">
        <v>42048</v>
      </c>
      <c r="F677">
        <v>2096.9899999999998</v>
      </c>
      <c r="G677">
        <v>510418560</v>
      </c>
    </row>
    <row r="678" spans="5:7">
      <c r="E678" s="2">
        <v>42047</v>
      </c>
      <c r="F678">
        <v>2088.48</v>
      </c>
      <c r="G678">
        <v>577589568</v>
      </c>
    </row>
    <row r="679" spans="5:7">
      <c r="E679" s="2">
        <v>42046</v>
      </c>
      <c r="F679">
        <v>2068.5300000000002</v>
      </c>
      <c r="G679">
        <v>511007616</v>
      </c>
    </row>
    <row r="680" spans="5:7">
      <c r="E680" s="2">
        <v>42045</v>
      </c>
      <c r="F680">
        <v>2068.59</v>
      </c>
      <c r="G680">
        <v>546738112</v>
      </c>
    </row>
    <row r="681" spans="5:7">
      <c r="E681" s="2">
        <v>42044</v>
      </c>
      <c r="F681">
        <v>2046.74</v>
      </c>
      <c r="G681">
        <v>513780480</v>
      </c>
    </row>
    <row r="682" spans="5:7">
      <c r="E682" s="2">
        <v>42041</v>
      </c>
      <c r="F682">
        <v>2055.4699999999998</v>
      </c>
      <c r="G682">
        <v>603001728</v>
      </c>
    </row>
    <row r="683" spans="5:7">
      <c r="E683" s="2">
        <v>42040</v>
      </c>
      <c r="F683">
        <v>2062.52</v>
      </c>
      <c r="G683">
        <v>546894528</v>
      </c>
    </row>
    <row r="684" spans="5:7">
      <c r="E684" s="2">
        <v>42039</v>
      </c>
      <c r="F684">
        <v>2041.51</v>
      </c>
      <c r="G684">
        <v>650883136</v>
      </c>
    </row>
    <row r="685" spans="5:7">
      <c r="E685" s="2">
        <v>42038</v>
      </c>
      <c r="F685">
        <v>2050.0300000000002</v>
      </c>
      <c r="G685">
        <v>669646400</v>
      </c>
    </row>
    <row r="686" spans="5:7">
      <c r="E686" s="2">
        <v>42037</v>
      </c>
      <c r="F686">
        <v>2020.85</v>
      </c>
      <c r="G686">
        <v>652420544</v>
      </c>
    </row>
    <row r="687" spans="5:7">
      <c r="E687" s="2">
        <v>42034</v>
      </c>
      <c r="F687">
        <v>1994.99</v>
      </c>
      <c r="G687">
        <v>919574656</v>
      </c>
    </row>
    <row r="688" spans="5:7">
      <c r="E688" s="2">
        <v>42033</v>
      </c>
      <c r="F688">
        <v>2021.25</v>
      </c>
      <c r="G688">
        <v>681082880</v>
      </c>
    </row>
    <row r="689" spans="5:7">
      <c r="E689" s="2">
        <v>42032</v>
      </c>
      <c r="F689">
        <v>2002.16</v>
      </c>
      <c r="G689">
        <v>717223424</v>
      </c>
    </row>
    <row r="690" spans="5:7">
      <c r="E690" s="2">
        <v>42031</v>
      </c>
      <c r="F690">
        <v>2029.55</v>
      </c>
      <c r="G690">
        <v>602696576</v>
      </c>
    </row>
    <row r="691" spans="5:7">
      <c r="E691" s="2">
        <v>42030</v>
      </c>
      <c r="F691">
        <v>2057.09</v>
      </c>
      <c r="G691">
        <v>539970176</v>
      </c>
    </row>
    <row r="692" spans="5:7">
      <c r="E692" s="2">
        <v>42027</v>
      </c>
      <c r="F692">
        <v>2051.8200000000002</v>
      </c>
      <c r="G692">
        <v>546891008</v>
      </c>
    </row>
    <row r="693" spans="5:7">
      <c r="E693" s="2">
        <v>42026</v>
      </c>
      <c r="F693">
        <v>2063.15</v>
      </c>
      <c r="G693">
        <v>653642048</v>
      </c>
    </row>
    <row r="694" spans="5:7">
      <c r="E694" s="2">
        <v>42025</v>
      </c>
      <c r="F694">
        <v>2032.12</v>
      </c>
      <c r="G694">
        <v>552155584</v>
      </c>
    </row>
    <row r="695" spans="5:7">
      <c r="E695" s="2">
        <v>42024</v>
      </c>
      <c r="F695">
        <v>2022.55</v>
      </c>
      <c r="G695">
        <v>616621888</v>
      </c>
    </row>
    <row r="696" spans="5:7">
      <c r="E696" s="2">
        <v>42020</v>
      </c>
      <c r="F696">
        <v>2019.42</v>
      </c>
      <c r="G696">
        <v>742480704</v>
      </c>
    </row>
    <row r="697" spans="5:7">
      <c r="E697" s="2">
        <v>42019</v>
      </c>
      <c r="F697">
        <v>1992.67</v>
      </c>
      <c r="G697">
        <v>621963008</v>
      </c>
    </row>
    <row r="698" spans="5:7">
      <c r="E698" s="2">
        <v>42018</v>
      </c>
      <c r="F698">
        <v>2011.27</v>
      </c>
      <c r="G698">
        <v>684866624</v>
      </c>
    </row>
    <row r="699" spans="5:7">
      <c r="E699" s="2">
        <v>42017</v>
      </c>
      <c r="F699">
        <v>2023.03</v>
      </c>
      <c r="G699">
        <v>624200640</v>
      </c>
    </row>
    <row r="700" spans="5:7">
      <c r="E700" s="2">
        <v>42016</v>
      </c>
      <c r="F700">
        <v>2028.26</v>
      </c>
      <c r="G700">
        <v>543538944</v>
      </c>
    </row>
    <row r="701" spans="5:7">
      <c r="E701" s="2">
        <v>42013</v>
      </c>
      <c r="F701">
        <v>2044.81</v>
      </c>
      <c r="G701">
        <v>508986976</v>
      </c>
    </row>
    <row r="702" spans="5:7">
      <c r="E702" s="2">
        <v>42012</v>
      </c>
      <c r="F702">
        <v>2062.14</v>
      </c>
      <c r="G702">
        <v>614787008</v>
      </c>
    </row>
    <row r="703" spans="5:7">
      <c r="E703" s="2">
        <v>42011</v>
      </c>
      <c r="F703">
        <v>2025.9</v>
      </c>
      <c r="G703">
        <v>546558976</v>
      </c>
    </row>
    <row r="704" spans="5:7">
      <c r="E704" s="2">
        <v>42010</v>
      </c>
      <c r="F704">
        <v>2002.61</v>
      </c>
      <c r="G704">
        <v>640380544</v>
      </c>
    </row>
    <row r="705" spans="5:7">
      <c r="E705" s="2">
        <v>42009</v>
      </c>
      <c r="F705">
        <v>2020.58</v>
      </c>
      <c r="G705">
        <v>621869504</v>
      </c>
    </row>
    <row r="706" spans="5:7">
      <c r="E706" s="2">
        <v>42006</v>
      </c>
      <c r="F706">
        <v>2058.1999999999998</v>
      </c>
      <c r="G706">
        <v>435587744</v>
      </c>
    </row>
    <row r="707" spans="5:7">
      <c r="E707" s="2">
        <v>42004</v>
      </c>
      <c r="F707">
        <v>2058.9</v>
      </c>
      <c r="G707">
        <v>422132544</v>
      </c>
    </row>
    <row r="708" spans="5:7">
      <c r="E708" s="2">
        <v>42003</v>
      </c>
      <c r="F708">
        <v>2080.35</v>
      </c>
      <c r="G708">
        <v>315475424</v>
      </c>
    </row>
    <row r="709" spans="5:7">
      <c r="E709" s="2">
        <v>42002</v>
      </c>
      <c r="F709">
        <v>2090.5700000000002</v>
      </c>
      <c r="G709">
        <v>336886208</v>
      </c>
    </row>
    <row r="710" spans="5:7">
      <c r="E710" s="2">
        <v>41999</v>
      </c>
      <c r="F710">
        <v>2088.77</v>
      </c>
      <c r="G710">
        <v>290110912</v>
      </c>
    </row>
    <row r="711" spans="5:7">
      <c r="E711" s="2">
        <v>41997</v>
      </c>
      <c r="F711">
        <v>2081.88</v>
      </c>
      <c r="G711">
        <v>229198464</v>
      </c>
    </row>
    <row r="712" spans="5:7">
      <c r="E712" s="2">
        <v>41996</v>
      </c>
      <c r="F712">
        <v>2082.17</v>
      </c>
      <c r="G712">
        <v>483428768</v>
      </c>
    </row>
    <row r="713" spans="5:7">
      <c r="E713" s="2">
        <v>41995</v>
      </c>
      <c r="F713">
        <v>2078.54</v>
      </c>
      <c r="G713">
        <v>571130624</v>
      </c>
    </row>
    <row r="714" spans="5:7">
      <c r="E714" s="2">
        <v>41992</v>
      </c>
      <c r="F714">
        <v>2070.65</v>
      </c>
      <c r="G714">
        <v>1646902272</v>
      </c>
    </row>
    <row r="715" spans="5:7">
      <c r="E715" s="2">
        <v>41991</v>
      </c>
      <c r="F715">
        <v>2061.23</v>
      </c>
      <c r="G715">
        <v>677713024</v>
      </c>
    </row>
    <row r="716" spans="5:7">
      <c r="E716" s="2">
        <v>41990</v>
      </c>
      <c r="F716">
        <v>2012.89</v>
      </c>
      <c r="G716">
        <v>671782208</v>
      </c>
    </row>
    <row r="717" spans="5:7">
      <c r="E717" s="2">
        <v>41989</v>
      </c>
      <c r="F717">
        <v>1972.74</v>
      </c>
      <c r="G717">
        <v>706264960</v>
      </c>
    </row>
    <row r="718" spans="5:7">
      <c r="E718" s="2">
        <v>41988</v>
      </c>
      <c r="F718">
        <v>1989.63</v>
      </c>
      <c r="G718">
        <v>683460608</v>
      </c>
    </row>
    <row r="719" spans="5:7">
      <c r="E719" s="2">
        <v>41985</v>
      </c>
      <c r="F719">
        <v>2002.33</v>
      </c>
      <c r="G719">
        <v>671126400</v>
      </c>
    </row>
    <row r="720" spans="5:7">
      <c r="E720" s="2">
        <v>41984</v>
      </c>
      <c r="F720">
        <v>2035.33</v>
      </c>
      <c r="G720">
        <v>544616384</v>
      </c>
    </row>
    <row r="721" spans="5:7">
      <c r="E721" s="2">
        <v>41983</v>
      </c>
      <c r="F721">
        <v>2026.14</v>
      </c>
      <c r="G721">
        <v>631221120</v>
      </c>
    </row>
    <row r="722" spans="5:7">
      <c r="E722" s="2">
        <v>41982</v>
      </c>
      <c r="F722">
        <v>2059.8200000000002</v>
      </c>
      <c r="G722">
        <v>545168576</v>
      </c>
    </row>
    <row r="723" spans="5:7">
      <c r="E723" s="2">
        <v>41981</v>
      </c>
      <c r="F723">
        <v>2060.31</v>
      </c>
      <c r="G723">
        <v>561256448</v>
      </c>
    </row>
    <row r="724" spans="5:7">
      <c r="E724" s="2">
        <v>41978</v>
      </c>
      <c r="F724">
        <v>2075.37</v>
      </c>
      <c r="G724">
        <v>504616736</v>
      </c>
    </row>
    <row r="725" spans="5:7">
      <c r="E725" s="2">
        <v>41977</v>
      </c>
      <c r="F725">
        <v>2071.92</v>
      </c>
      <c r="G725">
        <v>505428768</v>
      </c>
    </row>
    <row r="726" spans="5:7">
      <c r="E726" s="2">
        <v>41976</v>
      </c>
      <c r="F726">
        <v>2074.33</v>
      </c>
      <c r="G726">
        <v>546661120</v>
      </c>
    </row>
    <row r="727" spans="5:7">
      <c r="E727" s="2">
        <v>41975</v>
      </c>
      <c r="F727">
        <v>2066.5500000000002</v>
      </c>
      <c r="G727">
        <v>510403936</v>
      </c>
    </row>
    <row r="728" spans="5:7">
      <c r="E728" s="2">
        <v>41974</v>
      </c>
      <c r="F728">
        <v>2053.44</v>
      </c>
      <c r="G728">
        <v>564631744</v>
      </c>
    </row>
    <row r="729" spans="5:7">
      <c r="E729" s="2">
        <v>41971</v>
      </c>
      <c r="F729">
        <v>2067.56</v>
      </c>
      <c r="G729">
        <v>416521408</v>
      </c>
    </row>
    <row r="730" spans="5:7">
      <c r="E730" s="2">
        <v>41969</v>
      </c>
      <c r="F730">
        <v>2072.83</v>
      </c>
      <c r="G730">
        <v>517876352</v>
      </c>
    </row>
    <row r="731" spans="5:7">
      <c r="E731" s="2">
        <v>41968</v>
      </c>
      <c r="F731">
        <v>2067.0300000000002</v>
      </c>
      <c r="G731">
        <v>597605120</v>
      </c>
    </row>
    <row r="732" spans="5:7">
      <c r="E732" s="2">
        <v>41967</v>
      </c>
      <c r="F732">
        <v>2069.41</v>
      </c>
      <c r="G732">
        <v>493393984</v>
      </c>
    </row>
    <row r="733" spans="5:7">
      <c r="E733" s="2">
        <v>41964</v>
      </c>
      <c r="F733">
        <v>2063.5</v>
      </c>
      <c r="G733">
        <v>741511872</v>
      </c>
    </row>
    <row r="734" spans="5:7">
      <c r="E734" s="2">
        <v>41963</v>
      </c>
      <c r="F734">
        <v>2052.75</v>
      </c>
      <c r="G734">
        <v>467789184</v>
      </c>
    </row>
    <row r="735" spans="5:7">
      <c r="E735" s="2">
        <v>41962</v>
      </c>
      <c r="F735">
        <v>2048.7199999999998</v>
      </c>
      <c r="G735">
        <v>478726752</v>
      </c>
    </row>
    <row r="736" spans="5:7">
      <c r="E736" s="2">
        <v>41961</v>
      </c>
      <c r="F736">
        <v>2051.8000000000002</v>
      </c>
      <c r="G736">
        <v>485794304</v>
      </c>
    </row>
    <row r="737" spans="5:7">
      <c r="E737" s="2">
        <v>41960</v>
      </c>
      <c r="F737">
        <v>2041.32</v>
      </c>
      <c r="G737">
        <v>495556288</v>
      </c>
    </row>
    <row r="738" spans="5:7">
      <c r="E738" s="2">
        <v>41957</v>
      </c>
      <c r="F738">
        <v>2039.82</v>
      </c>
      <c r="G738">
        <v>470705056</v>
      </c>
    </row>
    <row r="739" spans="5:7">
      <c r="E739" s="2">
        <v>41956</v>
      </c>
      <c r="F739">
        <v>2039.33</v>
      </c>
      <c r="G739">
        <v>499429664</v>
      </c>
    </row>
    <row r="740" spans="5:7">
      <c r="E740" s="2">
        <v>41955</v>
      </c>
      <c r="F740">
        <v>2038.25</v>
      </c>
      <c r="G740">
        <v>485259584</v>
      </c>
    </row>
    <row r="741" spans="5:7">
      <c r="E741" s="2">
        <v>41954</v>
      </c>
      <c r="F741">
        <v>2039.68</v>
      </c>
      <c r="G741">
        <v>404411296</v>
      </c>
    </row>
    <row r="742" spans="5:7">
      <c r="E742" s="2">
        <v>41953</v>
      </c>
      <c r="F742">
        <v>2038.26</v>
      </c>
      <c r="G742">
        <v>478569504</v>
      </c>
    </row>
    <row r="743" spans="5:7">
      <c r="E743" s="2">
        <v>41950</v>
      </c>
      <c r="F743">
        <v>2031.92</v>
      </c>
      <c r="G743">
        <v>525751680</v>
      </c>
    </row>
    <row r="744" spans="5:7">
      <c r="E744" s="2">
        <v>41949</v>
      </c>
      <c r="F744">
        <v>2031.21</v>
      </c>
      <c r="G744">
        <v>515367744</v>
      </c>
    </row>
    <row r="745" spans="5:7">
      <c r="E745" s="2">
        <v>41948</v>
      </c>
      <c r="F745">
        <v>2023.57</v>
      </c>
      <c r="G745">
        <v>536628928</v>
      </c>
    </row>
    <row r="746" spans="5:7">
      <c r="E746" s="2">
        <v>41947</v>
      </c>
      <c r="F746">
        <v>2012.1</v>
      </c>
      <c r="G746">
        <v>543311552</v>
      </c>
    </row>
    <row r="747" spans="5:7">
      <c r="E747" s="2">
        <v>41946</v>
      </c>
      <c r="F747">
        <v>2017.81</v>
      </c>
      <c r="G747">
        <v>508736448</v>
      </c>
    </row>
    <row r="748" spans="5:7">
      <c r="E748" s="2">
        <v>41943</v>
      </c>
      <c r="F748">
        <v>2018.05</v>
      </c>
      <c r="G748">
        <v>712729024</v>
      </c>
    </row>
    <row r="749" spans="5:7">
      <c r="E749" s="2">
        <v>41942</v>
      </c>
      <c r="F749">
        <v>1994.65</v>
      </c>
      <c r="G749">
        <v>524165472</v>
      </c>
    </row>
    <row r="750" spans="5:7">
      <c r="E750" s="2">
        <v>41941</v>
      </c>
      <c r="F750">
        <v>1982.3</v>
      </c>
      <c r="G750">
        <v>569952512</v>
      </c>
    </row>
    <row r="751" spans="5:7">
      <c r="E751" s="2">
        <v>41940</v>
      </c>
      <c r="F751">
        <v>1985.05</v>
      </c>
      <c r="G751">
        <v>548310080</v>
      </c>
    </row>
    <row r="752" spans="5:7">
      <c r="E752" s="2">
        <v>41939</v>
      </c>
      <c r="F752">
        <v>1961.63</v>
      </c>
      <c r="G752">
        <v>491705632</v>
      </c>
    </row>
    <row r="753" spans="5:7">
      <c r="E753" s="2">
        <v>41936</v>
      </c>
      <c r="F753">
        <v>1964.58</v>
      </c>
      <c r="G753">
        <v>522245824</v>
      </c>
    </row>
    <row r="754" spans="5:7">
      <c r="E754" s="2">
        <v>41935</v>
      </c>
      <c r="F754">
        <v>1950.82</v>
      </c>
      <c r="G754">
        <v>582502784</v>
      </c>
    </row>
    <row r="755" spans="5:7">
      <c r="E755" s="2">
        <v>41934</v>
      </c>
      <c r="F755">
        <v>1927.11</v>
      </c>
      <c r="G755">
        <v>655120704</v>
      </c>
    </row>
    <row r="756" spans="5:7">
      <c r="E756" s="2">
        <v>41933</v>
      </c>
      <c r="F756">
        <v>1941.28</v>
      </c>
      <c r="G756">
        <v>619562176</v>
      </c>
    </row>
    <row r="757" spans="5:7">
      <c r="E757" s="2">
        <v>41932</v>
      </c>
      <c r="F757">
        <v>1904.01</v>
      </c>
      <c r="G757">
        <v>546459648</v>
      </c>
    </row>
    <row r="758" spans="5:7">
      <c r="E758" s="2">
        <v>41929</v>
      </c>
      <c r="F758">
        <v>1886.76</v>
      </c>
      <c r="G758">
        <v>821580032</v>
      </c>
    </row>
    <row r="759" spans="5:7">
      <c r="E759" s="2">
        <v>41928</v>
      </c>
      <c r="F759">
        <v>1862.76</v>
      </c>
      <c r="G759">
        <v>815644928</v>
      </c>
    </row>
    <row r="760" spans="5:7">
      <c r="E760" s="2">
        <v>41927</v>
      </c>
      <c r="F760">
        <v>1862.49</v>
      </c>
      <c r="G760">
        <v>957773440</v>
      </c>
    </row>
    <row r="761" spans="5:7">
      <c r="E761" s="2">
        <v>41926</v>
      </c>
      <c r="F761">
        <v>1877.7</v>
      </c>
      <c r="G761">
        <v>717277824</v>
      </c>
    </row>
    <row r="762" spans="5:7">
      <c r="E762" s="2">
        <v>41925</v>
      </c>
      <c r="F762">
        <v>1874.74</v>
      </c>
      <c r="G762">
        <v>700280192</v>
      </c>
    </row>
    <row r="763" spans="5:7">
      <c r="E763" s="2">
        <v>41922</v>
      </c>
      <c r="F763">
        <v>1906.13</v>
      </c>
      <c r="G763">
        <v>784976384</v>
      </c>
    </row>
    <row r="764" spans="5:7">
      <c r="E764" s="2">
        <v>41921</v>
      </c>
      <c r="F764">
        <v>1928.21</v>
      </c>
      <c r="G764">
        <v>629544960</v>
      </c>
    </row>
    <row r="765" spans="5:7">
      <c r="E765" s="2">
        <v>41920</v>
      </c>
      <c r="F765">
        <v>1968.89</v>
      </c>
      <c r="G765">
        <v>630988928</v>
      </c>
    </row>
    <row r="766" spans="5:7">
      <c r="E766" s="2">
        <v>41919</v>
      </c>
      <c r="F766">
        <v>1935.1</v>
      </c>
      <c r="G766">
        <v>535635072</v>
      </c>
    </row>
    <row r="767" spans="5:7">
      <c r="E767" s="2">
        <v>41918</v>
      </c>
      <c r="F767">
        <v>1964.82</v>
      </c>
      <c r="G767">
        <v>451497760</v>
      </c>
    </row>
    <row r="768" spans="5:7">
      <c r="E768" s="2">
        <v>41915</v>
      </c>
      <c r="F768">
        <v>1967.9</v>
      </c>
      <c r="G768">
        <v>573337856</v>
      </c>
    </row>
    <row r="769" spans="5:7">
      <c r="E769" s="2">
        <v>41914</v>
      </c>
      <c r="F769">
        <v>1946.17</v>
      </c>
      <c r="G769">
        <v>530950208</v>
      </c>
    </row>
    <row r="770" spans="5:7">
      <c r="E770" s="2">
        <v>41913</v>
      </c>
      <c r="F770">
        <v>1946.16</v>
      </c>
      <c r="G770">
        <v>612042368</v>
      </c>
    </row>
    <row r="771" spans="5:7">
      <c r="E771" s="2">
        <v>41912</v>
      </c>
      <c r="F771">
        <v>1972.29</v>
      </c>
      <c r="G771">
        <v>613410880</v>
      </c>
    </row>
    <row r="772" spans="5:7">
      <c r="E772" s="2">
        <v>41911</v>
      </c>
      <c r="F772">
        <v>1977.8</v>
      </c>
      <c r="G772">
        <v>448843840</v>
      </c>
    </row>
    <row r="773" spans="5:7">
      <c r="E773" s="2">
        <v>41908</v>
      </c>
      <c r="F773">
        <v>1982.85</v>
      </c>
      <c r="G773">
        <v>482800576</v>
      </c>
    </row>
    <row r="774" spans="5:7">
      <c r="E774" s="2">
        <v>41907</v>
      </c>
      <c r="F774">
        <v>1965.99</v>
      </c>
      <c r="G774">
        <v>554326976</v>
      </c>
    </row>
    <row r="775" spans="5:7">
      <c r="E775" s="2">
        <v>41906</v>
      </c>
      <c r="F775">
        <v>1998.3</v>
      </c>
      <c r="G775">
        <v>523858304</v>
      </c>
    </row>
    <row r="776" spans="5:7">
      <c r="E776" s="2">
        <v>41905</v>
      </c>
      <c r="F776">
        <v>1982.77</v>
      </c>
      <c r="G776">
        <v>535353824</v>
      </c>
    </row>
    <row r="777" spans="5:7">
      <c r="E777" s="2">
        <v>41904</v>
      </c>
      <c r="F777">
        <v>1994.29</v>
      </c>
      <c r="G777">
        <v>561021440</v>
      </c>
    </row>
    <row r="778" spans="5:7">
      <c r="E778" s="2">
        <v>41901</v>
      </c>
      <c r="F778">
        <v>2010.4</v>
      </c>
      <c r="G778">
        <v>1578831488</v>
      </c>
    </row>
    <row r="779" spans="5:7">
      <c r="E779" s="2">
        <v>41900</v>
      </c>
      <c r="F779">
        <v>2011.36</v>
      </c>
      <c r="G779">
        <v>549523328</v>
      </c>
    </row>
    <row r="780" spans="5:7">
      <c r="E780" s="2">
        <v>41899</v>
      </c>
      <c r="F780">
        <v>2001.57</v>
      </c>
      <c r="G780">
        <v>508634112</v>
      </c>
    </row>
    <row r="781" spans="5:7">
      <c r="E781" s="2">
        <v>41898</v>
      </c>
      <c r="F781">
        <v>1998.98</v>
      </c>
      <c r="G781">
        <v>490373120</v>
      </c>
    </row>
    <row r="782" spans="5:7">
      <c r="E782" s="2">
        <v>41897</v>
      </c>
      <c r="F782">
        <v>1984.13</v>
      </c>
      <c r="G782">
        <v>487894016</v>
      </c>
    </row>
    <row r="783" spans="5:7">
      <c r="E783" s="2">
        <v>41894</v>
      </c>
      <c r="F783">
        <v>1985.54</v>
      </c>
      <c r="G783">
        <v>553889152</v>
      </c>
    </row>
    <row r="784" spans="5:7">
      <c r="E784" s="2">
        <v>41893</v>
      </c>
      <c r="F784">
        <v>1997.45</v>
      </c>
      <c r="G784">
        <v>420061568</v>
      </c>
    </row>
    <row r="785" spans="5:7">
      <c r="E785" s="2">
        <v>41892</v>
      </c>
      <c r="F785">
        <v>1995.69</v>
      </c>
      <c r="G785">
        <v>450704896</v>
      </c>
    </row>
    <row r="786" spans="5:7">
      <c r="E786" s="2">
        <v>41891</v>
      </c>
      <c r="F786">
        <v>1988.44</v>
      </c>
      <c r="G786">
        <v>492285056</v>
      </c>
    </row>
    <row r="787" spans="5:7">
      <c r="E787" s="2">
        <v>41890</v>
      </c>
      <c r="F787">
        <v>2001.54</v>
      </c>
      <c r="G787">
        <v>472663296</v>
      </c>
    </row>
    <row r="788" spans="5:7">
      <c r="E788" s="2">
        <v>41887</v>
      </c>
      <c r="F788">
        <v>2007.71</v>
      </c>
      <c r="G788">
        <v>470374464</v>
      </c>
    </row>
    <row r="789" spans="5:7">
      <c r="E789" s="2">
        <v>41886</v>
      </c>
      <c r="F789">
        <v>1997.65</v>
      </c>
      <c r="G789">
        <v>437703744</v>
      </c>
    </row>
    <row r="790" spans="5:7">
      <c r="E790" s="2">
        <v>41885</v>
      </c>
      <c r="F790">
        <v>2000.72</v>
      </c>
      <c r="G790">
        <v>408860448</v>
      </c>
    </row>
    <row r="791" spans="5:7">
      <c r="E791" s="2">
        <v>41884</v>
      </c>
      <c r="F791">
        <v>2002.28</v>
      </c>
      <c r="G791">
        <v>414849152</v>
      </c>
    </row>
    <row r="792" spans="5:7">
      <c r="E792" s="2">
        <v>41880</v>
      </c>
      <c r="F792">
        <v>2003.37</v>
      </c>
      <c r="G792">
        <v>434091648</v>
      </c>
    </row>
    <row r="793" spans="5:7">
      <c r="E793" s="2">
        <v>41879</v>
      </c>
      <c r="F793">
        <v>1996.74</v>
      </c>
      <c r="G793">
        <v>327403168</v>
      </c>
    </row>
    <row r="794" spans="5:7">
      <c r="E794" s="2">
        <v>41878</v>
      </c>
      <c r="F794">
        <v>2000.12</v>
      </c>
      <c r="G794">
        <v>360861728</v>
      </c>
    </row>
    <row r="795" spans="5:7">
      <c r="E795" s="2">
        <v>41877</v>
      </c>
      <c r="F795">
        <v>2000.02</v>
      </c>
      <c r="G795">
        <v>321244960</v>
      </c>
    </row>
    <row r="796" spans="5:7">
      <c r="E796" s="2">
        <v>41876</v>
      </c>
      <c r="F796">
        <v>1997.92</v>
      </c>
      <c r="G796">
        <v>347701248</v>
      </c>
    </row>
    <row r="797" spans="5:7">
      <c r="E797" s="2">
        <v>41873</v>
      </c>
      <c r="F797">
        <v>1988.4</v>
      </c>
      <c r="G797">
        <v>388759008</v>
      </c>
    </row>
    <row r="798" spans="5:7">
      <c r="E798" s="2">
        <v>41872</v>
      </c>
      <c r="F798">
        <v>1992.37</v>
      </c>
      <c r="G798">
        <v>404517728</v>
      </c>
    </row>
    <row r="799" spans="5:7">
      <c r="E799" s="2">
        <v>41871</v>
      </c>
      <c r="F799">
        <v>1986.51</v>
      </c>
      <c r="G799">
        <v>387730624</v>
      </c>
    </row>
    <row r="800" spans="5:7">
      <c r="E800" s="2">
        <v>41870</v>
      </c>
      <c r="F800">
        <v>1981.6</v>
      </c>
      <c r="G800">
        <v>406385920</v>
      </c>
    </row>
    <row r="801" spans="5:7">
      <c r="E801" s="2">
        <v>41869</v>
      </c>
      <c r="F801">
        <v>1971.74</v>
      </c>
      <c r="G801">
        <v>437281792</v>
      </c>
    </row>
    <row r="802" spans="5:7">
      <c r="E802" s="2">
        <v>41866</v>
      </c>
      <c r="F802">
        <v>1955.06</v>
      </c>
      <c r="G802">
        <v>608697920</v>
      </c>
    </row>
    <row r="803" spans="5:7">
      <c r="E803" s="2">
        <v>41865</v>
      </c>
      <c r="F803">
        <v>1955.18</v>
      </c>
      <c r="G803">
        <v>329704736</v>
      </c>
    </row>
    <row r="804" spans="5:7">
      <c r="E804" s="2">
        <v>41864</v>
      </c>
      <c r="F804">
        <v>1946.72</v>
      </c>
      <c r="G804">
        <v>381970080</v>
      </c>
    </row>
    <row r="805" spans="5:7">
      <c r="E805" s="2">
        <v>41863</v>
      </c>
      <c r="F805">
        <v>1933.75</v>
      </c>
      <c r="G805">
        <v>361088448</v>
      </c>
    </row>
    <row r="806" spans="5:7">
      <c r="E806" s="2">
        <v>41862</v>
      </c>
      <c r="F806">
        <v>1936.92</v>
      </c>
      <c r="G806">
        <v>406222624</v>
      </c>
    </row>
    <row r="807" spans="5:7">
      <c r="E807" s="2">
        <v>41859</v>
      </c>
      <c r="F807">
        <v>1931.59</v>
      </c>
      <c r="G807">
        <v>464022784</v>
      </c>
    </row>
    <row r="808" spans="5:7">
      <c r="E808" s="2">
        <v>41858</v>
      </c>
      <c r="F808">
        <v>1909.57</v>
      </c>
      <c r="G808">
        <v>482464896</v>
      </c>
    </row>
    <row r="809" spans="5:7">
      <c r="E809" s="2">
        <v>41857</v>
      </c>
      <c r="F809">
        <v>1920.24</v>
      </c>
      <c r="G809">
        <v>497211520</v>
      </c>
    </row>
    <row r="810" spans="5:7">
      <c r="E810" s="2">
        <v>41856</v>
      </c>
      <c r="F810">
        <v>1920.21</v>
      </c>
      <c r="G810">
        <v>514760256</v>
      </c>
    </row>
    <row r="811" spans="5:7">
      <c r="E811" s="2">
        <v>41855</v>
      </c>
      <c r="F811">
        <v>1938.99</v>
      </c>
      <c r="G811">
        <v>478743840</v>
      </c>
    </row>
    <row r="812" spans="5:7">
      <c r="E812" s="2">
        <v>41852</v>
      </c>
      <c r="F812">
        <v>1925.15</v>
      </c>
      <c r="G812">
        <v>530081184</v>
      </c>
    </row>
    <row r="813" spans="5:7">
      <c r="E813" s="2">
        <v>41851</v>
      </c>
      <c r="F813">
        <v>1930.67</v>
      </c>
      <c r="G813">
        <v>636984128</v>
      </c>
    </row>
    <row r="814" spans="5:7">
      <c r="E814" s="2">
        <v>41850</v>
      </c>
      <c r="F814">
        <v>1970.07</v>
      </c>
      <c r="G814">
        <v>501324096</v>
      </c>
    </row>
    <row r="815" spans="5:7">
      <c r="E815" s="2">
        <v>41849</v>
      </c>
      <c r="F815">
        <v>1969.95</v>
      </c>
      <c r="G815">
        <v>501819168</v>
      </c>
    </row>
    <row r="816" spans="5:7">
      <c r="E816" s="2">
        <v>41848</v>
      </c>
      <c r="F816">
        <v>1978.91</v>
      </c>
      <c r="G816">
        <v>446608288</v>
      </c>
    </row>
    <row r="817" spans="5:7">
      <c r="E817" s="2">
        <v>41845</v>
      </c>
      <c r="F817">
        <v>1978.34</v>
      </c>
      <c r="G817">
        <v>429045440</v>
      </c>
    </row>
    <row r="818" spans="5:7">
      <c r="E818" s="2">
        <v>41844</v>
      </c>
      <c r="F818">
        <v>1987.98</v>
      </c>
      <c r="G818">
        <v>508563520</v>
      </c>
    </row>
    <row r="819" spans="5:7">
      <c r="E819" s="2">
        <v>41843</v>
      </c>
      <c r="F819">
        <v>1987.01</v>
      </c>
      <c r="G819">
        <v>500128448</v>
      </c>
    </row>
    <row r="820" spans="5:7">
      <c r="E820" s="2">
        <v>41842</v>
      </c>
      <c r="F820">
        <v>1983.53</v>
      </c>
      <c r="G820">
        <v>442676576</v>
      </c>
    </row>
    <row r="821" spans="5:7">
      <c r="E821" s="2">
        <v>41841</v>
      </c>
      <c r="F821">
        <v>1973.63</v>
      </c>
      <c r="G821">
        <v>412421888</v>
      </c>
    </row>
    <row r="822" spans="5:7">
      <c r="E822" s="2">
        <v>41838</v>
      </c>
      <c r="F822">
        <v>1978.22</v>
      </c>
      <c r="G822">
        <v>598989888</v>
      </c>
    </row>
    <row r="823" spans="5:7">
      <c r="E823" s="2">
        <v>41837</v>
      </c>
      <c r="F823">
        <v>1958.12</v>
      </c>
      <c r="G823">
        <v>570555776</v>
      </c>
    </row>
    <row r="824" spans="5:7">
      <c r="E824" s="2">
        <v>41836</v>
      </c>
      <c r="F824">
        <v>1981.57</v>
      </c>
      <c r="G824">
        <v>563271424</v>
      </c>
    </row>
    <row r="825" spans="5:7">
      <c r="E825" s="2">
        <v>41835</v>
      </c>
      <c r="F825">
        <v>1973.28</v>
      </c>
      <c r="G825">
        <v>574597440</v>
      </c>
    </row>
    <row r="826" spans="5:7">
      <c r="E826" s="2">
        <v>41834</v>
      </c>
      <c r="F826">
        <v>1977.1</v>
      </c>
      <c r="G826">
        <v>413153408</v>
      </c>
    </row>
    <row r="827" spans="5:7">
      <c r="E827" s="2">
        <v>41831</v>
      </c>
      <c r="F827">
        <v>1967.57</v>
      </c>
      <c r="G827">
        <v>389943168</v>
      </c>
    </row>
    <row r="828" spans="5:7">
      <c r="E828" s="2">
        <v>41830</v>
      </c>
      <c r="F828">
        <v>1964.68</v>
      </c>
      <c r="G828">
        <v>431707552</v>
      </c>
    </row>
    <row r="829" spans="5:7">
      <c r="E829" s="2">
        <v>41829</v>
      </c>
      <c r="F829">
        <v>1972.83</v>
      </c>
      <c r="G829">
        <v>424467520</v>
      </c>
    </row>
    <row r="830" spans="5:7">
      <c r="E830" s="2">
        <v>41828</v>
      </c>
      <c r="F830">
        <v>1963.71</v>
      </c>
      <c r="G830">
        <v>500784960</v>
      </c>
    </row>
    <row r="831" spans="5:7">
      <c r="E831" s="2">
        <v>41827</v>
      </c>
      <c r="F831">
        <v>1977.65</v>
      </c>
      <c r="G831">
        <v>411961184</v>
      </c>
    </row>
    <row r="832" spans="5:7">
      <c r="E832" s="2">
        <v>41823</v>
      </c>
      <c r="F832">
        <v>1985.44</v>
      </c>
      <c r="G832">
        <v>372778080</v>
      </c>
    </row>
    <row r="833" spans="5:7">
      <c r="E833" s="2">
        <v>41822</v>
      </c>
      <c r="F833">
        <v>1974.62</v>
      </c>
      <c r="G833">
        <v>398543776</v>
      </c>
    </row>
    <row r="834" spans="5:7">
      <c r="E834" s="2">
        <v>41821</v>
      </c>
      <c r="F834">
        <v>1973.32</v>
      </c>
      <c r="G834">
        <v>453395488</v>
      </c>
    </row>
    <row r="835" spans="5:7">
      <c r="E835" s="2">
        <v>41820</v>
      </c>
      <c r="F835">
        <v>1960.23</v>
      </c>
      <c r="G835">
        <v>543446720</v>
      </c>
    </row>
    <row r="836" spans="5:7">
      <c r="E836" s="2">
        <v>41817</v>
      </c>
      <c r="F836">
        <v>1960.96</v>
      </c>
      <c r="G836">
        <v>754974656</v>
      </c>
    </row>
    <row r="837" spans="5:7">
      <c r="E837" s="2">
        <v>41816</v>
      </c>
      <c r="F837">
        <v>1957.22</v>
      </c>
      <c r="G837">
        <v>417090176</v>
      </c>
    </row>
    <row r="838" spans="5:7">
      <c r="E838" s="2">
        <v>41815</v>
      </c>
      <c r="F838">
        <v>1959.53</v>
      </c>
      <c r="G838">
        <v>469446912</v>
      </c>
    </row>
    <row r="839" spans="5:7">
      <c r="E839" s="2">
        <v>41814</v>
      </c>
      <c r="F839">
        <v>1949.98</v>
      </c>
      <c r="G839">
        <v>481626688</v>
      </c>
    </row>
    <row r="840" spans="5:7">
      <c r="E840" s="2">
        <v>41813</v>
      </c>
      <c r="F840">
        <v>1962.61</v>
      </c>
      <c r="G840">
        <v>429726112</v>
      </c>
    </row>
    <row r="841" spans="5:7">
      <c r="E841" s="2">
        <v>41810</v>
      </c>
      <c r="F841">
        <v>1962.87</v>
      </c>
      <c r="G841">
        <v>1225010560</v>
      </c>
    </row>
    <row r="842" spans="5:7">
      <c r="E842" s="2">
        <v>41809</v>
      </c>
      <c r="F842">
        <v>1959.48</v>
      </c>
      <c r="G842">
        <v>487951232</v>
      </c>
    </row>
    <row r="843" spans="5:7">
      <c r="E843" s="2">
        <v>41808</v>
      </c>
      <c r="F843">
        <v>1956.98</v>
      </c>
      <c r="G843">
        <v>450175296</v>
      </c>
    </row>
    <row r="844" spans="5:7">
      <c r="E844" s="2">
        <v>41807</v>
      </c>
      <c r="F844">
        <v>1941.99</v>
      </c>
      <c r="G844">
        <v>424817824</v>
      </c>
    </row>
    <row r="845" spans="5:7">
      <c r="E845" s="2">
        <v>41806</v>
      </c>
      <c r="F845">
        <v>1937.78</v>
      </c>
      <c r="G845">
        <v>461743968</v>
      </c>
    </row>
    <row r="846" spans="5:7">
      <c r="E846" s="2">
        <v>41803</v>
      </c>
      <c r="F846">
        <v>1936.16</v>
      </c>
      <c r="G846">
        <v>454782016</v>
      </c>
    </row>
    <row r="847" spans="5:7">
      <c r="E847" s="2">
        <v>41802</v>
      </c>
      <c r="F847">
        <v>1930.11</v>
      </c>
      <c r="G847">
        <v>469795936</v>
      </c>
    </row>
    <row r="848" spans="5:7">
      <c r="E848" s="2">
        <v>41801</v>
      </c>
      <c r="F848">
        <v>1943.89</v>
      </c>
      <c r="G848">
        <v>397056288</v>
      </c>
    </row>
    <row r="849" spans="5:7">
      <c r="E849" s="2">
        <v>41800</v>
      </c>
      <c r="F849">
        <v>1950.79</v>
      </c>
      <c r="G849">
        <v>412486016</v>
      </c>
    </row>
    <row r="850" spans="5:7">
      <c r="E850" s="2">
        <v>41799</v>
      </c>
      <c r="F850">
        <v>1951.27</v>
      </c>
      <c r="G850">
        <v>433737152</v>
      </c>
    </row>
    <row r="851" spans="5:7">
      <c r="E851" s="2">
        <v>41796</v>
      </c>
      <c r="F851">
        <v>1949.44</v>
      </c>
      <c r="G851">
        <v>459428352</v>
      </c>
    </row>
    <row r="852" spans="5:7">
      <c r="E852" s="2">
        <v>41795</v>
      </c>
      <c r="F852">
        <v>1940.46</v>
      </c>
      <c r="G852">
        <v>439411360</v>
      </c>
    </row>
    <row r="853" spans="5:7">
      <c r="E853" s="2">
        <v>41794</v>
      </c>
      <c r="F853">
        <v>1927.88</v>
      </c>
      <c r="G853">
        <v>410844640</v>
      </c>
    </row>
    <row r="854" spans="5:7">
      <c r="E854" s="2">
        <v>41793</v>
      </c>
      <c r="F854">
        <v>1924.24</v>
      </c>
      <c r="G854">
        <v>419737312</v>
      </c>
    </row>
    <row r="855" spans="5:7">
      <c r="E855" s="2">
        <v>41792</v>
      </c>
      <c r="F855">
        <v>1924.97</v>
      </c>
      <c r="G855">
        <v>383535264</v>
      </c>
    </row>
    <row r="856" spans="5:7">
      <c r="E856" s="2">
        <v>41789</v>
      </c>
      <c r="F856">
        <v>1923.57</v>
      </c>
      <c r="G856">
        <v>609798400</v>
      </c>
    </row>
    <row r="857" spans="5:7">
      <c r="E857" s="2">
        <v>41788</v>
      </c>
      <c r="F857">
        <v>1920.03</v>
      </c>
      <c r="G857">
        <v>379231808</v>
      </c>
    </row>
    <row r="858" spans="5:7">
      <c r="E858" s="2">
        <v>41787</v>
      </c>
      <c r="F858">
        <v>1909.78</v>
      </c>
      <c r="G858">
        <v>421454048</v>
      </c>
    </row>
    <row r="859" spans="5:7">
      <c r="E859" s="2">
        <v>41786</v>
      </c>
      <c r="F859">
        <v>1911.91</v>
      </c>
      <c r="G859">
        <v>479164000</v>
      </c>
    </row>
    <row r="860" spans="5:7">
      <c r="E860" s="2">
        <v>41782</v>
      </c>
      <c r="F860">
        <v>1900.53</v>
      </c>
      <c r="G860">
        <v>386249664</v>
      </c>
    </row>
    <row r="861" spans="5:7">
      <c r="E861" s="2">
        <v>41781</v>
      </c>
      <c r="F861">
        <v>1892.49</v>
      </c>
      <c r="G861">
        <v>398900416</v>
      </c>
    </row>
    <row r="862" spans="5:7">
      <c r="E862" s="2">
        <v>41780</v>
      </c>
      <c r="F862">
        <v>1888.03</v>
      </c>
      <c r="G862">
        <v>421479296</v>
      </c>
    </row>
    <row r="863" spans="5:7">
      <c r="E863" s="2">
        <v>41779</v>
      </c>
      <c r="F863">
        <v>1872.83</v>
      </c>
      <c r="G863">
        <v>449739456</v>
      </c>
    </row>
    <row r="864" spans="5:7">
      <c r="E864" s="2">
        <v>41778</v>
      </c>
      <c r="F864">
        <v>1885.08</v>
      </c>
      <c r="G864">
        <v>444486784</v>
      </c>
    </row>
    <row r="865" spans="5:7">
      <c r="E865" s="2">
        <v>41775</v>
      </c>
      <c r="F865">
        <v>1877.86</v>
      </c>
      <c r="G865">
        <v>637825152</v>
      </c>
    </row>
    <row r="866" spans="5:7">
      <c r="E866" s="2">
        <v>41774</v>
      </c>
      <c r="F866">
        <v>1870.85</v>
      </c>
      <c r="G866">
        <v>561061696</v>
      </c>
    </row>
    <row r="867" spans="5:7">
      <c r="E867" s="2">
        <v>41773</v>
      </c>
      <c r="F867">
        <v>1888.53</v>
      </c>
      <c r="G867">
        <v>437091840</v>
      </c>
    </row>
    <row r="868" spans="5:7">
      <c r="E868" s="2">
        <v>41772</v>
      </c>
      <c r="F868">
        <v>1897.45</v>
      </c>
      <c r="G868">
        <v>427819552</v>
      </c>
    </row>
    <row r="869" spans="5:7">
      <c r="E869" s="2">
        <v>41771</v>
      </c>
      <c r="F869">
        <v>1896.65</v>
      </c>
      <c r="G869">
        <v>464325760</v>
      </c>
    </row>
    <row r="870" spans="5:7">
      <c r="E870" s="2">
        <v>41768</v>
      </c>
      <c r="F870">
        <v>1878.48</v>
      </c>
      <c r="G870">
        <v>488678720</v>
      </c>
    </row>
    <row r="871" spans="5:7">
      <c r="E871" s="2">
        <v>41767</v>
      </c>
      <c r="F871">
        <v>1875.63</v>
      </c>
      <c r="G871">
        <v>511345760</v>
      </c>
    </row>
    <row r="872" spans="5:7">
      <c r="E872" s="2">
        <v>41766</v>
      </c>
      <c r="F872">
        <v>1878.21</v>
      </c>
      <c r="G872">
        <v>612165632</v>
      </c>
    </row>
    <row r="873" spans="5:7">
      <c r="E873" s="2">
        <v>41765</v>
      </c>
      <c r="F873">
        <v>1867.72</v>
      </c>
      <c r="G873">
        <v>490144192</v>
      </c>
    </row>
    <row r="874" spans="5:7">
      <c r="E874" s="2">
        <v>41764</v>
      </c>
      <c r="F874">
        <v>1884.66</v>
      </c>
      <c r="G874">
        <v>426896864</v>
      </c>
    </row>
    <row r="875" spans="5:7">
      <c r="E875" s="2">
        <v>41761</v>
      </c>
      <c r="F875">
        <v>1881.14</v>
      </c>
      <c r="G875">
        <v>480716416</v>
      </c>
    </row>
    <row r="876" spans="5:7">
      <c r="E876" s="2">
        <v>41760</v>
      </c>
      <c r="F876">
        <v>1883.68</v>
      </c>
      <c r="G876">
        <v>482317376</v>
      </c>
    </row>
    <row r="877" spans="5:7">
      <c r="E877" s="2">
        <v>41759</v>
      </c>
      <c r="F877">
        <v>1883.95</v>
      </c>
      <c r="G877">
        <v>645938432</v>
      </c>
    </row>
    <row r="878" spans="5:7">
      <c r="E878" s="2">
        <v>41758</v>
      </c>
      <c r="F878">
        <v>1878.33</v>
      </c>
      <c r="G878">
        <v>512177312</v>
      </c>
    </row>
    <row r="879" spans="5:7">
      <c r="E879" s="2">
        <v>41757</v>
      </c>
      <c r="F879">
        <v>1869.43</v>
      </c>
      <c r="G879">
        <v>666878400</v>
      </c>
    </row>
    <row r="880" spans="5:7">
      <c r="E880" s="2">
        <v>41754</v>
      </c>
      <c r="F880">
        <v>1863.4</v>
      </c>
      <c r="G880">
        <v>541251200</v>
      </c>
    </row>
    <row r="881" spans="5:7">
      <c r="E881" s="2">
        <v>41753</v>
      </c>
      <c r="F881">
        <v>1878.61</v>
      </c>
      <c r="G881">
        <v>536761216</v>
      </c>
    </row>
    <row r="882" spans="5:7">
      <c r="E882" s="2">
        <v>41752</v>
      </c>
      <c r="F882">
        <v>1875.39</v>
      </c>
      <c r="G882">
        <v>496694816</v>
      </c>
    </row>
    <row r="883" spans="5:7">
      <c r="E883" s="2">
        <v>41751</v>
      </c>
      <c r="F883">
        <v>1879.55</v>
      </c>
      <c r="G883">
        <v>508315648</v>
      </c>
    </row>
    <row r="884" spans="5:7">
      <c r="E884" s="2">
        <v>41750</v>
      </c>
      <c r="F884">
        <v>1871.89</v>
      </c>
      <c r="G884">
        <v>457800064</v>
      </c>
    </row>
    <row r="885" spans="5:7">
      <c r="E885" s="2">
        <v>41746</v>
      </c>
      <c r="F885">
        <v>1864.85</v>
      </c>
      <c r="G885">
        <v>686778752</v>
      </c>
    </row>
    <row r="886" spans="5:7">
      <c r="E886" s="2">
        <v>41745</v>
      </c>
      <c r="F886">
        <v>1862.31</v>
      </c>
      <c r="G886">
        <v>583572672</v>
      </c>
    </row>
    <row r="887" spans="5:7">
      <c r="E887" s="2">
        <v>41744</v>
      </c>
      <c r="F887">
        <v>1842.98</v>
      </c>
      <c r="G887">
        <v>630045632</v>
      </c>
    </row>
    <row r="888" spans="5:7">
      <c r="E888" s="2">
        <v>41743</v>
      </c>
      <c r="F888">
        <v>1830.61</v>
      </c>
      <c r="G888">
        <v>544581504</v>
      </c>
    </row>
    <row r="889" spans="5:7">
      <c r="E889" s="2">
        <v>41740</v>
      </c>
      <c r="F889">
        <v>1815.69</v>
      </c>
      <c r="G889">
        <v>681861312</v>
      </c>
    </row>
    <row r="890" spans="5:7">
      <c r="E890" s="2">
        <v>41739</v>
      </c>
      <c r="F890">
        <v>1833.08</v>
      </c>
      <c r="G890">
        <v>660580224</v>
      </c>
    </row>
    <row r="891" spans="5:7">
      <c r="E891" s="2">
        <v>41738</v>
      </c>
      <c r="F891">
        <v>1872.18</v>
      </c>
      <c r="G891">
        <v>543696448</v>
      </c>
    </row>
    <row r="892" spans="5:7">
      <c r="E892" s="2">
        <v>41737</v>
      </c>
      <c r="F892">
        <v>1851.96</v>
      </c>
      <c r="G892">
        <v>577725696</v>
      </c>
    </row>
    <row r="893" spans="5:7">
      <c r="E893" s="2">
        <v>41736</v>
      </c>
      <c r="F893">
        <v>1845.04</v>
      </c>
      <c r="G893">
        <v>691982272</v>
      </c>
    </row>
    <row r="894" spans="5:7">
      <c r="E894" s="2">
        <v>41733</v>
      </c>
      <c r="F894">
        <v>1865.09</v>
      </c>
      <c r="G894">
        <v>668879936</v>
      </c>
    </row>
    <row r="895" spans="5:7">
      <c r="E895" s="2">
        <v>41732</v>
      </c>
      <c r="F895">
        <v>1888.77</v>
      </c>
      <c r="G895">
        <v>499900992</v>
      </c>
    </row>
    <row r="896" spans="5:7">
      <c r="E896" s="2">
        <v>41731</v>
      </c>
      <c r="F896">
        <v>1890.9</v>
      </c>
      <c r="G896">
        <v>475492416</v>
      </c>
    </row>
    <row r="897" spans="5:7">
      <c r="E897" s="2">
        <v>41730</v>
      </c>
      <c r="F897">
        <v>1885.52</v>
      </c>
      <c r="G897">
        <v>528822112</v>
      </c>
    </row>
    <row r="898" spans="5:7">
      <c r="E898" s="2">
        <v>41729</v>
      </c>
      <c r="F898">
        <v>1872.34</v>
      </c>
      <c r="G898">
        <v>588338496</v>
      </c>
    </row>
    <row r="899" spans="5:7">
      <c r="E899" s="2">
        <v>41726</v>
      </c>
      <c r="F899">
        <v>1857.62</v>
      </c>
      <c r="G899">
        <v>466573952</v>
      </c>
    </row>
    <row r="900" spans="5:7">
      <c r="E900" s="2">
        <v>41725</v>
      </c>
      <c r="F900">
        <v>1849.04</v>
      </c>
      <c r="G900">
        <v>598292928</v>
      </c>
    </row>
    <row r="901" spans="5:7">
      <c r="E901" s="2">
        <v>41724</v>
      </c>
      <c r="F901">
        <v>1852.56</v>
      </c>
      <c r="G901">
        <v>572994880</v>
      </c>
    </row>
    <row r="902" spans="5:7">
      <c r="E902" s="2">
        <v>41723</v>
      </c>
      <c r="F902">
        <v>1865.62</v>
      </c>
      <c r="G902">
        <v>514678880</v>
      </c>
    </row>
    <row r="903" spans="5:7">
      <c r="E903" s="2">
        <v>41722</v>
      </c>
      <c r="F903">
        <v>1857.44</v>
      </c>
      <c r="G903">
        <v>609139008</v>
      </c>
    </row>
    <row r="904" spans="5:7">
      <c r="E904" s="2">
        <v>41719</v>
      </c>
      <c r="F904">
        <v>1866.52</v>
      </c>
      <c r="G904">
        <v>1556334336</v>
      </c>
    </row>
    <row r="905" spans="5:7">
      <c r="E905" s="2">
        <v>41718</v>
      </c>
      <c r="F905">
        <v>1872.01</v>
      </c>
      <c r="G905">
        <v>481715360</v>
      </c>
    </row>
    <row r="906" spans="5:7">
      <c r="E906" s="2">
        <v>41717</v>
      </c>
      <c r="F906">
        <v>1860.77</v>
      </c>
      <c r="G906">
        <v>512768832</v>
      </c>
    </row>
    <row r="907" spans="5:7">
      <c r="E907" s="2">
        <v>41716</v>
      </c>
      <c r="F907">
        <v>1872.25</v>
      </c>
      <c r="G907">
        <v>420516608</v>
      </c>
    </row>
    <row r="908" spans="5:7">
      <c r="E908" s="2">
        <v>41715</v>
      </c>
      <c r="F908">
        <v>1858.83</v>
      </c>
      <c r="G908">
        <v>474079200</v>
      </c>
    </row>
    <row r="909" spans="5:7">
      <c r="E909" s="2">
        <v>41712</v>
      </c>
      <c r="F909">
        <v>1841.13</v>
      </c>
      <c r="G909">
        <v>513409536</v>
      </c>
    </row>
    <row r="910" spans="5:7">
      <c r="E910" s="2">
        <v>41711</v>
      </c>
      <c r="F910">
        <v>1846.34</v>
      </c>
      <c r="G910">
        <v>528187872</v>
      </c>
    </row>
    <row r="911" spans="5:7">
      <c r="E911" s="2">
        <v>41710</v>
      </c>
      <c r="F911">
        <v>1868.2</v>
      </c>
      <c r="G911">
        <v>459683712</v>
      </c>
    </row>
    <row r="912" spans="5:7">
      <c r="E912" s="2">
        <v>41709</v>
      </c>
      <c r="F912">
        <v>1867.63</v>
      </c>
      <c r="G912">
        <v>452021728</v>
      </c>
    </row>
    <row r="913" spans="5:7">
      <c r="E913" s="2">
        <v>41708</v>
      </c>
      <c r="F913">
        <v>1877.17</v>
      </c>
      <c r="G913">
        <v>439330720</v>
      </c>
    </row>
    <row r="914" spans="5:7">
      <c r="E914" s="2">
        <v>41705</v>
      </c>
      <c r="F914">
        <v>1878.04</v>
      </c>
      <c r="G914">
        <v>507130784</v>
      </c>
    </row>
    <row r="915" spans="5:7">
      <c r="E915" s="2">
        <v>41704</v>
      </c>
      <c r="F915">
        <v>1877.03</v>
      </c>
      <c r="G915">
        <v>506237536</v>
      </c>
    </row>
    <row r="916" spans="5:7">
      <c r="E916" s="2">
        <v>41703</v>
      </c>
      <c r="F916">
        <v>1873.81</v>
      </c>
      <c r="G916">
        <v>490908640</v>
      </c>
    </row>
    <row r="917" spans="5:7">
      <c r="E917" s="2">
        <v>41702</v>
      </c>
      <c r="F917">
        <v>1873.91</v>
      </c>
      <c r="G917">
        <v>555989248</v>
      </c>
    </row>
    <row r="918" spans="5:7">
      <c r="E918" s="2">
        <v>41701</v>
      </c>
      <c r="F918">
        <v>1845.73</v>
      </c>
      <c r="G918">
        <v>508998560</v>
      </c>
    </row>
    <row r="919" spans="5:7">
      <c r="E919" s="2">
        <v>41698</v>
      </c>
      <c r="F919">
        <v>1859.45</v>
      </c>
      <c r="G919">
        <v>728624448</v>
      </c>
    </row>
    <row r="920" spans="5:7">
      <c r="E920" s="2">
        <v>41697</v>
      </c>
      <c r="F920">
        <v>1854.29</v>
      </c>
      <c r="G920">
        <v>517164928</v>
      </c>
    </row>
    <row r="921" spans="5:7">
      <c r="E921" s="2">
        <v>41696</v>
      </c>
      <c r="F921">
        <v>1845.16</v>
      </c>
      <c r="G921">
        <v>505238592</v>
      </c>
    </row>
    <row r="922" spans="5:7">
      <c r="E922" s="2">
        <v>41695</v>
      </c>
      <c r="F922">
        <v>1845.12</v>
      </c>
      <c r="G922">
        <v>505512800</v>
      </c>
    </row>
    <row r="923" spans="5:7">
      <c r="E923" s="2">
        <v>41694</v>
      </c>
      <c r="F923">
        <v>1847.61</v>
      </c>
      <c r="G923">
        <v>705543680</v>
      </c>
    </row>
    <row r="924" spans="5:7">
      <c r="E924" s="2">
        <v>41691</v>
      </c>
      <c r="F924">
        <v>1836.25</v>
      </c>
      <c r="G924">
        <v>680813056</v>
      </c>
    </row>
    <row r="925" spans="5:7">
      <c r="E925" s="2">
        <v>41690</v>
      </c>
      <c r="F925">
        <v>1839.78</v>
      </c>
      <c r="G925">
        <v>520620960</v>
      </c>
    </row>
    <row r="926" spans="5:7">
      <c r="E926" s="2">
        <v>41689</v>
      </c>
      <c r="F926">
        <v>1828.75</v>
      </c>
      <c r="G926">
        <v>530650336</v>
      </c>
    </row>
    <row r="927" spans="5:7">
      <c r="E927" s="2">
        <v>41688</v>
      </c>
      <c r="F927">
        <v>1840.76</v>
      </c>
      <c r="G927">
        <v>546618496</v>
      </c>
    </row>
    <row r="928" spans="5:7">
      <c r="E928" s="2">
        <v>41684</v>
      </c>
      <c r="F928">
        <v>1838.63</v>
      </c>
      <c r="G928">
        <v>495117504</v>
      </c>
    </row>
    <row r="929" spans="5:7">
      <c r="E929" s="2">
        <v>41683</v>
      </c>
      <c r="F929">
        <v>1829.83</v>
      </c>
      <c r="G929">
        <v>542928576</v>
      </c>
    </row>
    <row r="930" spans="5:7">
      <c r="E930" s="2">
        <v>41682</v>
      </c>
      <c r="F930">
        <v>1819.26</v>
      </c>
      <c r="G930">
        <v>496327680</v>
      </c>
    </row>
    <row r="931" spans="5:7">
      <c r="E931" s="2">
        <v>41681</v>
      </c>
      <c r="F931">
        <v>1819.75</v>
      </c>
      <c r="G931">
        <v>546459712</v>
      </c>
    </row>
    <row r="932" spans="5:7">
      <c r="E932" s="2">
        <v>41680</v>
      </c>
      <c r="F932">
        <v>1799.84</v>
      </c>
      <c r="G932">
        <v>498168800</v>
      </c>
    </row>
    <row r="933" spans="5:7">
      <c r="E933" s="2">
        <v>41677</v>
      </c>
      <c r="F933">
        <v>1797.02</v>
      </c>
      <c r="G933">
        <v>600247744</v>
      </c>
    </row>
    <row r="934" spans="5:7">
      <c r="E934" s="2">
        <v>41676</v>
      </c>
      <c r="F934">
        <v>1773.43</v>
      </c>
      <c r="G934">
        <v>571755648</v>
      </c>
    </row>
    <row r="935" spans="5:7">
      <c r="E935" s="2">
        <v>41675</v>
      </c>
      <c r="F935">
        <v>1751.64</v>
      </c>
      <c r="G935">
        <v>590110912</v>
      </c>
    </row>
    <row r="936" spans="5:7">
      <c r="E936" s="2">
        <v>41674</v>
      </c>
      <c r="F936">
        <v>1755.2</v>
      </c>
      <c r="G936">
        <v>635294336</v>
      </c>
    </row>
    <row r="937" spans="5:7">
      <c r="E937" s="2">
        <v>41673</v>
      </c>
      <c r="F937">
        <v>1741.89</v>
      </c>
      <c r="G937">
        <v>759497600</v>
      </c>
    </row>
    <row r="938" spans="5:7">
      <c r="E938" s="2">
        <v>41670</v>
      </c>
      <c r="F938">
        <v>1782.59</v>
      </c>
      <c r="G938">
        <v>776329664</v>
      </c>
    </row>
    <row r="939" spans="5:7">
      <c r="E939" s="2">
        <v>41669</v>
      </c>
      <c r="F939">
        <v>1794.19</v>
      </c>
      <c r="G939">
        <v>571051008</v>
      </c>
    </row>
    <row r="940" spans="5:7">
      <c r="E940" s="2">
        <v>41668</v>
      </c>
      <c r="F940">
        <v>1774.2</v>
      </c>
      <c r="G940">
        <v>655960576</v>
      </c>
    </row>
    <row r="941" spans="5:7">
      <c r="E941" s="2">
        <v>41667</v>
      </c>
      <c r="F941">
        <v>1792.5</v>
      </c>
      <c r="G941">
        <v>526147616</v>
      </c>
    </row>
    <row r="942" spans="5:7">
      <c r="E942" s="2">
        <v>41666</v>
      </c>
      <c r="F942">
        <v>1781.56</v>
      </c>
      <c r="G942">
        <v>653126528</v>
      </c>
    </row>
    <row r="943" spans="5:7">
      <c r="E943" s="2">
        <v>41663</v>
      </c>
      <c r="F943">
        <v>1790.29</v>
      </c>
      <c r="G943">
        <v>730151040</v>
      </c>
    </row>
    <row r="944" spans="5:7">
      <c r="E944" s="2">
        <v>41662</v>
      </c>
      <c r="F944">
        <v>1828.46</v>
      </c>
      <c r="G944">
        <v>593087104</v>
      </c>
    </row>
    <row r="945" spans="5:7">
      <c r="E945" s="2">
        <v>41661</v>
      </c>
      <c r="F945">
        <v>1844.86</v>
      </c>
      <c r="G945">
        <v>512338816</v>
      </c>
    </row>
    <row r="946" spans="5:7">
      <c r="E946" s="2">
        <v>41660</v>
      </c>
      <c r="F946">
        <v>1843.8</v>
      </c>
      <c r="G946">
        <v>610444544</v>
      </c>
    </row>
    <row r="947" spans="5:7">
      <c r="E947" s="2">
        <v>41656</v>
      </c>
      <c r="F947">
        <v>1838.7</v>
      </c>
      <c r="G947">
        <v>819605120</v>
      </c>
    </row>
    <row r="948" spans="5:7">
      <c r="E948" s="2">
        <v>41655</v>
      </c>
      <c r="F948">
        <v>1845.89</v>
      </c>
      <c r="G948">
        <v>486069664</v>
      </c>
    </row>
    <row r="949" spans="5:7">
      <c r="E949" s="2">
        <v>41654</v>
      </c>
      <c r="F949">
        <v>1848.38</v>
      </c>
      <c r="G949">
        <v>563999680</v>
      </c>
    </row>
    <row r="950" spans="5:7">
      <c r="E950" s="2">
        <v>41653</v>
      </c>
      <c r="F950">
        <v>1838.88</v>
      </c>
      <c r="G950">
        <v>521314080</v>
      </c>
    </row>
    <row r="951" spans="5:7">
      <c r="E951" s="2">
        <v>41652</v>
      </c>
      <c r="F951">
        <v>1819.2</v>
      </c>
      <c r="G951">
        <v>585806720</v>
      </c>
    </row>
    <row r="952" spans="5:7">
      <c r="E952" s="2">
        <v>41649</v>
      </c>
      <c r="F952">
        <v>1842.37</v>
      </c>
      <c r="G952">
        <v>491739072</v>
      </c>
    </row>
    <row r="953" spans="5:7">
      <c r="E953" s="2">
        <v>41648</v>
      </c>
      <c r="F953">
        <v>1838.13</v>
      </c>
      <c r="G953">
        <v>529520704</v>
      </c>
    </row>
    <row r="954" spans="5:7">
      <c r="E954" s="2">
        <v>41647</v>
      </c>
      <c r="F954">
        <v>1837.49</v>
      </c>
      <c r="G954">
        <v>589383168</v>
      </c>
    </row>
    <row r="955" spans="5:7">
      <c r="E955" s="2">
        <v>41646</v>
      </c>
      <c r="F955">
        <v>1837.88</v>
      </c>
      <c r="G955">
        <v>508596672</v>
      </c>
    </row>
    <row r="956" spans="5:7">
      <c r="E956" s="2">
        <v>41645</v>
      </c>
      <c r="F956">
        <v>1826.77</v>
      </c>
      <c r="G956">
        <v>500749376</v>
      </c>
    </row>
    <row r="957" spans="5:7">
      <c r="E957" s="2">
        <v>41642</v>
      </c>
      <c r="F957">
        <v>1831.37</v>
      </c>
      <c r="G957">
        <v>399831232</v>
      </c>
    </row>
    <row r="958" spans="5:7">
      <c r="E958" s="2">
        <v>41641</v>
      </c>
      <c r="F958">
        <v>1831.98</v>
      </c>
      <c r="G958">
        <v>463338432</v>
      </c>
    </row>
    <row r="959" spans="5:7">
      <c r="E959" s="2">
        <v>41639</v>
      </c>
      <c r="F959">
        <v>1848.36</v>
      </c>
      <c r="G959">
        <v>399844768</v>
      </c>
    </row>
    <row r="960" spans="5:7">
      <c r="E960" s="2">
        <v>41638</v>
      </c>
      <c r="F960">
        <v>1841.07</v>
      </c>
      <c r="G960">
        <v>308193088</v>
      </c>
    </row>
    <row r="961" spans="5:7">
      <c r="E961" s="2">
        <v>41635</v>
      </c>
      <c r="F961">
        <v>1841.4</v>
      </c>
      <c r="G961">
        <v>274879136</v>
      </c>
    </row>
    <row r="962" spans="5:7">
      <c r="E962" s="2">
        <v>41634</v>
      </c>
      <c r="F962">
        <v>1842.02</v>
      </c>
      <c r="G962">
        <v>298737280</v>
      </c>
    </row>
    <row r="963" spans="5:7">
      <c r="E963" s="2">
        <v>41632</v>
      </c>
      <c r="F963">
        <v>1833.32</v>
      </c>
      <c r="G963">
        <v>187691760</v>
      </c>
    </row>
    <row r="964" spans="5:7">
      <c r="E964" s="2">
        <v>41631</v>
      </c>
      <c r="F964">
        <v>1827.99</v>
      </c>
      <c r="G964">
        <v>439203200</v>
      </c>
    </row>
    <row r="965" spans="5:7">
      <c r="E965" s="2">
        <v>41628</v>
      </c>
      <c r="F965">
        <v>1818.32</v>
      </c>
      <c r="G965">
        <v>1402679296</v>
      </c>
    </row>
    <row r="966" spans="5:7">
      <c r="E966" s="2">
        <v>41627</v>
      </c>
      <c r="F966">
        <v>1809.6</v>
      </c>
      <c r="G966">
        <v>518257792</v>
      </c>
    </row>
    <row r="967" spans="5:7">
      <c r="E967" s="2">
        <v>41626</v>
      </c>
      <c r="F967">
        <v>1810.65</v>
      </c>
      <c r="G967">
        <v>702164224</v>
      </c>
    </row>
    <row r="968" spans="5:7">
      <c r="E968" s="2">
        <v>41625</v>
      </c>
      <c r="F968">
        <v>1781</v>
      </c>
      <c r="G968">
        <v>513352160</v>
      </c>
    </row>
    <row r="969" spans="5:7">
      <c r="E969" s="2">
        <v>41624</v>
      </c>
      <c r="F969">
        <v>1786.54</v>
      </c>
      <c r="G969">
        <v>537011904</v>
      </c>
    </row>
    <row r="970" spans="5:7">
      <c r="E970" s="2">
        <v>41621</v>
      </c>
      <c r="F970">
        <v>1775.32</v>
      </c>
      <c r="G970">
        <v>450441536</v>
      </c>
    </row>
    <row r="971" spans="5:7">
      <c r="E971" s="2">
        <v>41620</v>
      </c>
      <c r="F971">
        <v>1775.5</v>
      </c>
      <c r="G971">
        <v>527653440</v>
      </c>
    </row>
    <row r="972" spans="5:7">
      <c r="E972" s="2">
        <v>41619</v>
      </c>
      <c r="F972">
        <v>1782.22</v>
      </c>
      <c r="G972">
        <v>561170112</v>
      </c>
    </row>
    <row r="973" spans="5:7">
      <c r="E973" s="2">
        <v>41618</v>
      </c>
      <c r="F973">
        <v>1802.62</v>
      </c>
      <c r="G973">
        <v>484093248</v>
      </c>
    </row>
    <row r="974" spans="5:7">
      <c r="E974" s="2">
        <v>41617</v>
      </c>
      <c r="F974">
        <v>1808.37</v>
      </c>
      <c r="G974">
        <v>495544640</v>
      </c>
    </row>
    <row r="975" spans="5:7">
      <c r="E975" s="2">
        <v>41614</v>
      </c>
      <c r="F975">
        <v>1805.09</v>
      </c>
      <c r="G975">
        <v>516851968</v>
      </c>
    </row>
    <row r="976" spans="5:7">
      <c r="E976" s="2">
        <v>41613</v>
      </c>
      <c r="F976">
        <v>1785.03</v>
      </c>
      <c r="G976">
        <v>576708544</v>
      </c>
    </row>
    <row r="977" spans="5:7">
      <c r="E977" s="2">
        <v>41612</v>
      </c>
      <c r="F977">
        <v>1792.81</v>
      </c>
      <c r="G977">
        <v>591186240</v>
      </c>
    </row>
    <row r="978" spans="5:7">
      <c r="E978" s="2">
        <v>41611</v>
      </c>
      <c r="F978">
        <v>1795.15</v>
      </c>
      <c r="G978">
        <v>535826848</v>
      </c>
    </row>
    <row r="979" spans="5:7">
      <c r="E979" s="2">
        <v>41610</v>
      </c>
      <c r="F979">
        <v>1800.9</v>
      </c>
      <c r="G979">
        <v>470156032</v>
      </c>
    </row>
    <row r="980" spans="5:7">
      <c r="E980" s="2">
        <v>41607</v>
      </c>
      <c r="F980">
        <v>1805.81</v>
      </c>
      <c r="G980">
        <v>357478752</v>
      </c>
    </row>
    <row r="981" spans="5:7">
      <c r="E981" s="2">
        <v>41605</v>
      </c>
      <c r="F981">
        <v>1807.23</v>
      </c>
      <c r="G981">
        <v>380423904</v>
      </c>
    </row>
    <row r="982" spans="5:7">
      <c r="E982" s="2">
        <v>41604</v>
      </c>
      <c r="F982">
        <v>1802.75</v>
      </c>
      <c r="G982">
        <v>566536576</v>
      </c>
    </row>
    <row r="983" spans="5:7">
      <c r="E983" s="2">
        <v>41603</v>
      </c>
      <c r="F983">
        <v>1802.48</v>
      </c>
      <c r="G983">
        <v>482740864</v>
      </c>
    </row>
    <row r="984" spans="5:7">
      <c r="E984" s="2">
        <v>41600</v>
      </c>
      <c r="F984">
        <v>1804.76</v>
      </c>
      <c r="G984">
        <v>450318016</v>
      </c>
    </row>
    <row r="985" spans="5:7">
      <c r="E985" s="2">
        <v>41599</v>
      </c>
      <c r="F985">
        <v>1795.85</v>
      </c>
      <c r="G985">
        <v>501020576</v>
      </c>
    </row>
    <row r="986" spans="5:7">
      <c r="E986" s="2">
        <v>41598</v>
      </c>
      <c r="F986">
        <v>1781.37</v>
      </c>
      <c r="G986">
        <v>486419488</v>
      </c>
    </row>
    <row r="987" spans="5:7">
      <c r="E987" s="2">
        <v>41597</v>
      </c>
      <c r="F987">
        <v>1787.87</v>
      </c>
      <c r="G987">
        <v>471416992</v>
      </c>
    </row>
    <row r="988" spans="5:7">
      <c r="E988" s="2">
        <v>41596</v>
      </c>
      <c r="F988">
        <v>1791.53</v>
      </c>
      <c r="G988">
        <v>496627680</v>
      </c>
    </row>
    <row r="989" spans="5:7">
      <c r="E989" s="2">
        <v>41593</v>
      </c>
      <c r="F989">
        <v>1798.18</v>
      </c>
      <c r="G989">
        <v>668120320</v>
      </c>
    </row>
    <row r="990" spans="5:7">
      <c r="E990" s="2">
        <v>41592</v>
      </c>
      <c r="F990">
        <v>1790.62</v>
      </c>
      <c r="G990">
        <v>526450144</v>
      </c>
    </row>
    <row r="991" spans="5:7">
      <c r="E991" s="2">
        <v>41591</v>
      </c>
      <c r="F991">
        <v>1782</v>
      </c>
      <c r="G991">
        <v>528086784</v>
      </c>
    </row>
    <row r="992" spans="5:7">
      <c r="E992" s="2">
        <v>41590</v>
      </c>
      <c r="F992">
        <v>1767.69</v>
      </c>
      <c r="G992">
        <v>457417792</v>
      </c>
    </row>
    <row r="993" spans="5:7">
      <c r="E993" s="2">
        <v>41589</v>
      </c>
      <c r="F993">
        <v>1771.89</v>
      </c>
      <c r="G993">
        <v>388547616</v>
      </c>
    </row>
    <row r="994" spans="5:7">
      <c r="E994" s="2">
        <v>41586</v>
      </c>
      <c r="F994">
        <v>1770.61</v>
      </c>
      <c r="G994">
        <v>575603648</v>
      </c>
    </row>
    <row r="995" spans="5:7">
      <c r="E995" s="2">
        <v>41585</v>
      </c>
      <c r="F995">
        <v>1747.15</v>
      </c>
      <c r="G995">
        <v>602191296</v>
      </c>
    </row>
    <row r="996" spans="5:7">
      <c r="E996" s="2">
        <v>41584</v>
      </c>
      <c r="F996">
        <v>1770.49</v>
      </c>
      <c r="G996">
        <v>499953728</v>
      </c>
    </row>
    <row r="997" spans="5:7">
      <c r="E997" s="2">
        <v>41583</v>
      </c>
      <c r="F997">
        <v>1762.97</v>
      </c>
      <c r="G997">
        <v>487444064</v>
      </c>
    </row>
    <row r="998" spans="5:7">
      <c r="E998" s="2">
        <v>41582</v>
      </c>
      <c r="F998">
        <v>1767.93</v>
      </c>
      <c r="G998">
        <v>431930880</v>
      </c>
    </row>
    <row r="999" spans="5:7">
      <c r="E999" s="2">
        <v>41579</v>
      </c>
      <c r="F999">
        <v>1761.64</v>
      </c>
      <c r="G999">
        <v>549504320</v>
      </c>
    </row>
    <row r="1000" spans="5:7">
      <c r="E1000" s="2">
        <v>41578</v>
      </c>
      <c r="F1000">
        <v>1756.54</v>
      </c>
      <c r="G1000">
        <v>635805632</v>
      </c>
    </row>
    <row r="1001" spans="5:7">
      <c r="E1001" s="2">
        <v>41577</v>
      </c>
      <c r="F1001">
        <v>1763.31</v>
      </c>
      <c r="G1001">
        <v>480263712</v>
      </c>
    </row>
    <row r="1002" spans="5:7">
      <c r="E1002" s="2">
        <v>41576</v>
      </c>
      <c r="F1002">
        <v>1771.95</v>
      </c>
      <c r="G1002">
        <v>501806208</v>
      </c>
    </row>
    <row r="1003" spans="5:7">
      <c r="E1003" s="2">
        <v>41575</v>
      </c>
      <c r="F1003">
        <v>1762.11</v>
      </c>
      <c r="G1003">
        <v>579556608</v>
      </c>
    </row>
    <row r="1004" spans="5:7">
      <c r="E1004" s="2">
        <v>41572</v>
      </c>
      <c r="F1004">
        <v>1759.77</v>
      </c>
      <c r="G1004">
        <v>541907712</v>
      </c>
    </row>
    <row r="1005" spans="5:7">
      <c r="E1005" s="2">
        <v>41571</v>
      </c>
      <c r="F1005">
        <v>1752.07</v>
      </c>
      <c r="G1005">
        <v>525480416</v>
      </c>
    </row>
    <row r="1006" spans="5:7">
      <c r="E1006" s="2">
        <v>41570</v>
      </c>
      <c r="F1006">
        <v>1746.38</v>
      </c>
      <c r="G1006">
        <v>533654080</v>
      </c>
    </row>
    <row r="1007" spans="5:7">
      <c r="E1007" s="2">
        <v>41569</v>
      </c>
      <c r="F1007">
        <v>1754.67</v>
      </c>
      <c r="G1007">
        <v>569504384</v>
      </c>
    </row>
    <row r="1008" spans="5:7">
      <c r="E1008" s="2">
        <v>41568</v>
      </c>
      <c r="F1008">
        <v>1744.66</v>
      </c>
      <c r="G1008">
        <v>498906016</v>
      </c>
    </row>
    <row r="1009" spans="5:7">
      <c r="E1009" s="2">
        <v>41565</v>
      </c>
      <c r="F1009">
        <v>1744.5</v>
      </c>
      <c r="G1009">
        <v>703510848</v>
      </c>
    </row>
    <row r="1010" spans="5:7">
      <c r="E1010" s="2">
        <v>41564</v>
      </c>
      <c r="F1010">
        <v>1733.15</v>
      </c>
      <c r="G1010">
        <v>542925248</v>
      </c>
    </row>
    <row r="1011" spans="5:7">
      <c r="E1011" s="2">
        <v>41563</v>
      </c>
      <c r="F1011">
        <v>1721.54</v>
      </c>
      <c r="G1011">
        <v>543564800</v>
      </c>
    </row>
    <row r="1012" spans="5:7">
      <c r="E1012" s="2">
        <v>41562</v>
      </c>
      <c r="F1012">
        <v>1698.06</v>
      </c>
      <c r="G1012">
        <v>532916160</v>
      </c>
    </row>
    <row r="1013" spans="5:7">
      <c r="E1013" s="2">
        <v>41561</v>
      </c>
      <c r="F1013">
        <v>1710.14</v>
      </c>
      <c r="G1013">
        <v>424196640</v>
      </c>
    </row>
    <row r="1014" spans="5:7">
      <c r="E1014" s="2">
        <v>41558</v>
      </c>
      <c r="F1014">
        <v>1703.2</v>
      </c>
      <c r="G1014">
        <v>482553184</v>
      </c>
    </row>
    <row r="1015" spans="5:7">
      <c r="E1015" s="2">
        <v>41557</v>
      </c>
      <c r="F1015">
        <v>1692.56</v>
      </c>
      <c r="G1015">
        <v>552177600</v>
      </c>
    </row>
    <row r="1016" spans="5:7">
      <c r="E1016" s="2">
        <v>41556</v>
      </c>
      <c r="F1016">
        <v>1656.4</v>
      </c>
      <c r="G1016">
        <v>574130112</v>
      </c>
    </row>
    <row r="1017" spans="5:7">
      <c r="E1017" s="2">
        <v>41555</v>
      </c>
      <c r="F1017">
        <v>1655.45</v>
      </c>
      <c r="G1017">
        <v>571411520</v>
      </c>
    </row>
    <row r="1018" spans="5:7">
      <c r="E1018" s="2">
        <v>41554</v>
      </c>
      <c r="F1018">
        <v>1676.12</v>
      </c>
      <c r="G1018">
        <v>425290336</v>
      </c>
    </row>
    <row r="1019" spans="5:7">
      <c r="E1019" s="2">
        <v>41551</v>
      </c>
      <c r="F1019">
        <v>1690.5</v>
      </c>
      <c r="G1019">
        <v>440017056</v>
      </c>
    </row>
    <row r="1020" spans="5:7">
      <c r="E1020" s="2">
        <v>41550</v>
      </c>
      <c r="F1020">
        <v>1678.66</v>
      </c>
      <c r="G1020">
        <v>499857024</v>
      </c>
    </row>
    <row r="1021" spans="5:7">
      <c r="E1021" s="2">
        <v>41549</v>
      </c>
      <c r="F1021">
        <v>1693.87</v>
      </c>
      <c r="G1021">
        <v>484326528</v>
      </c>
    </row>
    <row r="1022" spans="5:7">
      <c r="E1022" s="2">
        <v>41548</v>
      </c>
      <c r="F1022">
        <v>1695</v>
      </c>
      <c r="G1022">
        <v>462701056</v>
      </c>
    </row>
    <row r="1023" spans="5:7">
      <c r="E1023" s="2">
        <v>41547</v>
      </c>
      <c r="F1023">
        <v>1681.55</v>
      </c>
      <c r="G1023">
        <v>629131264</v>
      </c>
    </row>
    <row r="1024" spans="5:7">
      <c r="E1024" s="2">
        <v>41544</v>
      </c>
      <c r="F1024">
        <v>1691.75</v>
      </c>
      <c r="G1024">
        <v>489103104</v>
      </c>
    </row>
    <row r="1025" spans="5:7">
      <c r="E1025" s="2">
        <v>41543</v>
      </c>
      <c r="F1025">
        <v>1698.67</v>
      </c>
      <c r="G1025">
        <v>440223488</v>
      </c>
    </row>
    <row r="1026" spans="5:7">
      <c r="E1026" s="2">
        <v>41542</v>
      </c>
      <c r="F1026">
        <v>1692.77</v>
      </c>
      <c r="G1026">
        <v>475587744</v>
      </c>
    </row>
    <row r="1027" spans="5:7">
      <c r="E1027" s="2">
        <v>41541</v>
      </c>
      <c r="F1027">
        <v>1697.42</v>
      </c>
      <c r="G1027">
        <v>509947392</v>
      </c>
    </row>
    <row r="1028" spans="5:7">
      <c r="E1028" s="2">
        <v>41540</v>
      </c>
      <c r="F1028">
        <v>1701.84</v>
      </c>
      <c r="G1028">
        <v>511866176</v>
      </c>
    </row>
    <row r="1029" spans="5:7">
      <c r="E1029" s="2">
        <v>41537</v>
      </c>
      <c r="F1029">
        <v>1709.91</v>
      </c>
      <c r="G1029">
        <v>1383413632</v>
      </c>
    </row>
    <row r="1030" spans="5:7">
      <c r="E1030" s="2">
        <v>41536</v>
      </c>
      <c r="F1030">
        <v>1722.34</v>
      </c>
      <c r="G1030">
        <v>514394016</v>
      </c>
    </row>
    <row r="1031" spans="5:7">
      <c r="E1031" s="2">
        <v>41535</v>
      </c>
      <c r="F1031">
        <v>1725.52</v>
      </c>
      <c r="G1031">
        <v>580426240</v>
      </c>
    </row>
    <row r="1032" spans="5:7">
      <c r="E1032" s="2">
        <v>41534</v>
      </c>
      <c r="F1032">
        <v>1704.76</v>
      </c>
      <c r="G1032">
        <v>425239904</v>
      </c>
    </row>
    <row r="1033" spans="5:7">
      <c r="E1033" s="2">
        <v>41533</v>
      </c>
      <c r="F1033">
        <v>1697.6</v>
      </c>
      <c r="G1033">
        <v>459764480</v>
      </c>
    </row>
    <row r="1034" spans="5:7">
      <c r="E1034" s="2">
        <v>41530</v>
      </c>
      <c r="F1034">
        <v>1687.99</v>
      </c>
      <c r="G1034">
        <v>395148096</v>
      </c>
    </row>
    <row r="1035" spans="5:7">
      <c r="E1035" s="2">
        <v>41529</v>
      </c>
      <c r="F1035">
        <v>1683.42</v>
      </c>
      <c r="G1035">
        <v>459040640</v>
      </c>
    </row>
    <row r="1036" spans="5:7">
      <c r="E1036" s="2">
        <v>41528</v>
      </c>
      <c r="F1036">
        <v>1689.13</v>
      </c>
      <c r="G1036">
        <v>484793056</v>
      </c>
    </row>
    <row r="1037" spans="5:7">
      <c r="E1037" s="2">
        <v>41527</v>
      </c>
      <c r="F1037">
        <v>1683.99</v>
      </c>
      <c r="G1037">
        <v>499155040</v>
      </c>
    </row>
    <row r="1038" spans="5:7">
      <c r="E1038" s="2">
        <v>41526</v>
      </c>
      <c r="F1038">
        <v>1671.71</v>
      </c>
      <c r="G1038">
        <v>440884800</v>
      </c>
    </row>
    <row r="1039" spans="5:7">
      <c r="E1039" s="2">
        <v>41523</v>
      </c>
      <c r="F1039">
        <v>1655.17</v>
      </c>
      <c r="G1039">
        <v>492524608</v>
      </c>
    </row>
    <row r="1040" spans="5:7">
      <c r="E1040" s="2">
        <v>41522</v>
      </c>
      <c r="F1040">
        <v>1655.08</v>
      </c>
      <c r="G1040">
        <v>435460128</v>
      </c>
    </row>
    <row r="1041" spans="5:7">
      <c r="E1041" s="2">
        <v>41521</v>
      </c>
      <c r="F1041">
        <v>1653.08</v>
      </c>
      <c r="G1041">
        <v>530963712</v>
      </c>
    </row>
    <row r="1042" spans="5:7">
      <c r="E1042" s="2">
        <v>41520</v>
      </c>
      <c r="F1042">
        <v>1639.77</v>
      </c>
      <c r="G1042">
        <v>525167808</v>
      </c>
    </row>
    <row r="1043" spans="5:7">
      <c r="E1043" s="2">
        <v>41516</v>
      </c>
      <c r="F1043">
        <v>1632.97</v>
      </c>
      <c r="G1043">
        <v>542310528</v>
      </c>
    </row>
    <row r="1044" spans="5:7">
      <c r="E1044" s="2">
        <v>41515</v>
      </c>
      <c r="F1044">
        <v>1638.17</v>
      </c>
      <c r="G1044">
        <v>389334848</v>
      </c>
    </row>
    <row r="1045" spans="5:7">
      <c r="E1045" s="2">
        <v>41514</v>
      </c>
      <c r="F1045">
        <v>1634.96</v>
      </c>
      <c r="G1045">
        <v>438063040</v>
      </c>
    </row>
    <row r="1046" spans="5:7">
      <c r="E1046" s="2">
        <v>41513</v>
      </c>
      <c r="F1046">
        <v>1630.48</v>
      </c>
      <c r="G1046">
        <v>506000064</v>
      </c>
    </row>
    <row r="1047" spans="5:7">
      <c r="E1047" s="2">
        <v>41512</v>
      </c>
      <c r="F1047">
        <v>1656.78</v>
      </c>
      <c r="G1047">
        <v>416322368</v>
      </c>
    </row>
    <row r="1048" spans="5:7">
      <c r="E1048" s="2">
        <v>41509</v>
      </c>
      <c r="F1048">
        <v>1663.5</v>
      </c>
      <c r="G1048">
        <v>454291296</v>
      </c>
    </row>
    <row r="1049" spans="5:7">
      <c r="E1049" s="2">
        <v>41508</v>
      </c>
      <c r="F1049">
        <v>1656.96</v>
      </c>
      <c r="G1049">
        <v>407240096</v>
      </c>
    </row>
    <row r="1050" spans="5:7">
      <c r="E1050" s="2">
        <v>41507</v>
      </c>
      <c r="F1050">
        <v>1642.8</v>
      </c>
      <c r="G1050">
        <v>479892032</v>
      </c>
    </row>
    <row r="1051" spans="5:7">
      <c r="E1051" s="2">
        <v>41506</v>
      </c>
      <c r="F1051">
        <v>1652.35</v>
      </c>
      <c r="G1051">
        <v>436119584</v>
      </c>
    </row>
    <row r="1052" spans="5:7">
      <c r="E1052" s="2">
        <v>41505</v>
      </c>
      <c r="F1052">
        <v>1646.06</v>
      </c>
      <c r="G1052">
        <v>442953888</v>
      </c>
    </row>
    <row r="1053" spans="5:7">
      <c r="E1053" s="2">
        <v>41502</v>
      </c>
      <c r="F1053">
        <v>1655.83</v>
      </c>
      <c r="G1053">
        <v>650111744</v>
      </c>
    </row>
    <row r="1054" spans="5:7">
      <c r="E1054" s="2">
        <v>41501</v>
      </c>
      <c r="F1054">
        <v>1661.32</v>
      </c>
      <c r="G1054">
        <v>510318464</v>
      </c>
    </row>
    <row r="1055" spans="5:7">
      <c r="E1055" s="2">
        <v>41500</v>
      </c>
      <c r="F1055">
        <v>1685.39</v>
      </c>
      <c r="G1055">
        <v>420471648</v>
      </c>
    </row>
    <row r="1056" spans="5:7">
      <c r="E1056" s="2">
        <v>41499</v>
      </c>
      <c r="F1056">
        <v>1694.16</v>
      </c>
      <c r="G1056">
        <v>413884832</v>
      </c>
    </row>
    <row r="1057" spans="5:7">
      <c r="E1057" s="2">
        <v>41498</v>
      </c>
      <c r="F1057">
        <v>1689.47</v>
      </c>
      <c r="G1057">
        <v>382142528</v>
      </c>
    </row>
    <row r="1058" spans="5:7">
      <c r="E1058" s="2">
        <v>41495</v>
      </c>
      <c r="F1058">
        <v>1691.42</v>
      </c>
      <c r="G1058">
        <v>412941184</v>
      </c>
    </row>
    <row r="1059" spans="5:7">
      <c r="E1059" s="2">
        <v>41494</v>
      </c>
      <c r="F1059">
        <v>1697.48</v>
      </c>
      <c r="G1059">
        <v>453654656</v>
      </c>
    </row>
    <row r="1060" spans="5:7">
      <c r="E1060" s="2">
        <v>41493</v>
      </c>
      <c r="F1060">
        <v>1690.91</v>
      </c>
      <c r="G1060">
        <v>445614144</v>
      </c>
    </row>
    <row r="1061" spans="5:7">
      <c r="E1061" s="2">
        <v>41492</v>
      </c>
      <c r="F1061">
        <v>1697.37</v>
      </c>
      <c r="G1061">
        <v>454070400</v>
      </c>
    </row>
    <row r="1062" spans="5:7">
      <c r="E1062" s="2">
        <v>41491</v>
      </c>
      <c r="F1062">
        <v>1707.14</v>
      </c>
      <c r="G1062">
        <v>369575840</v>
      </c>
    </row>
    <row r="1063" spans="5:7">
      <c r="E1063" s="2">
        <v>41488</v>
      </c>
      <c r="F1063">
        <v>1709.67</v>
      </c>
      <c r="G1063">
        <v>503275552</v>
      </c>
    </row>
    <row r="1064" spans="5:7">
      <c r="E1064" s="2">
        <v>41487</v>
      </c>
      <c r="F1064">
        <v>1706.87</v>
      </c>
      <c r="G1064">
        <v>530951104</v>
      </c>
    </row>
    <row r="1065" spans="5:7">
      <c r="E1065" s="2">
        <v>41486</v>
      </c>
      <c r="F1065">
        <v>1685.73</v>
      </c>
      <c r="G1065">
        <v>664419840</v>
      </c>
    </row>
    <row r="1066" spans="5:7">
      <c r="E1066" s="2">
        <v>41485</v>
      </c>
      <c r="F1066">
        <v>1685.96</v>
      </c>
      <c r="G1066">
        <v>499839296</v>
      </c>
    </row>
    <row r="1067" spans="5:7">
      <c r="E1067" s="2">
        <v>41484</v>
      </c>
      <c r="F1067">
        <v>1685.33</v>
      </c>
      <c r="G1067">
        <v>419819552</v>
      </c>
    </row>
    <row r="1068" spans="5:7">
      <c r="E1068" s="2">
        <v>41481</v>
      </c>
      <c r="F1068">
        <v>1691.65</v>
      </c>
      <c r="G1068">
        <v>466156032</v>
      </c>
    </row>
    <row r="1069" spans="5:7">
      <c r="E1069" s="2">
        <v>41480</v>
      </c>
      <c r="F1069">
        <v>1690.25</v>
      </c>
      <c r="G1069">
        <v>518129216</v>
      </c>
    </row>
    <row r="1070" spans="5:7">
      <c r="E1070" s="2">
        <v>41479</v>
      </c>
      <c r="F1070">
        <v>1685.94</v>
      </c>
      <c r="G1070">
        <v>532656576</v>
      </c>
    </row>
    <row r="1071" spans="5:7">
      <c r="E1071" s="2">
        <v>41478</v>
      </c>
      <c r="F1071">
        <v>1692.39</v>
      </c>
      <c r="G1071">
        <v>459706016</v>
      </c>
    </row>
    <row r="1072" spans="5:7">
      <c r="E1072" s="2">
        <v>41477</v>
      </c>
      <c r="F1072">
        <v>1695.53</v>
      </c>
      <c r="G1072">
        <v>502083104</v>
      </c>
    </row>
    <row r="1073" spans="5:7">
      <c r="E1073" s="2">
        <v>41474</v>
      </c>
      <c r="F1073">
        <v>1692.09</v>
      </c>
      <c r="G1073">
        <v>770584192</v>
      </c>
    </row>
    <row r="1074" spans="5:7">
      <c r="E1074" s="2">
        <v>41473</v>
      </c>
      <c r="F1074">
        <v>1689.37</v>
      </c>
      <c r="G1074">
        <v>539273920</v>
      </c>
    </row>
    <row r="1075" spans="5:7">
      <c r="E1075" s="2">
        <v>41472</v>
      </c>
      <c r="F1075">
        <v>1680.91</v>
      </c>
      <c r="G1075">
        <v>566833088</v>
      </c>
    </row>
    <row r="1076" spans="5:7">
      <c r="E1076" s="2">
        <v>41471</v>
      </c>
      <c r="F1076">
        <v>1676.26</v>
      </c>
      <c r="G1076">
        <v>476974368</v>
      </c>
    </row>
    <row r="1077" spans="5:7">
      <c r="E1077" s="2">
        <v>41470</v>
      </c>
      <c r="F1077">
        <v>1682.5</v>
      </c>
      <c r="G1077">
        <v>427337632</v>
      </c>
    </row>
    <row r="1078" spans="5:7">
      <c r="E1078" s="2">
        <v>41467</v>
      </c>
      <c r="F1078">
        <v>1680.19</v>
      </c>
      <c r="G1078">
        <v>588945728</v>
      </c>
    </row>
    <row r="1079" spans="5:7">
      <c r="E1079" s="2">
        <v>41466</v>
      </c>
      <c r="F1079">
        <v>1675.02</v>
      </c>
      <c r="G1079">
        <v>566455744</v>
      </c>
    </row>
    <row r="1080" spans="5:7">
      <c r="E1080" s="2">
        <v>41465</v>
      </c>
      <c r="F1080">
        <v>1652.62</v>
      </c>
      <c r="G1080">
        <v>509090304</v>
      </c>
    </row>
    <row r="1081" spans="5:7">
      <c r="E1081" s="2">
        <v>41464</v>
      </c>
      <c r="F1081">
        <v>1652.32</v>
      </c>
      <c r="G1081">
        <v>521108576</v>
      </c>
    </row>
    <row r="1082" spans="5:7">
      <c r="E1082" s="2">
        <v>41463</v>
      </c>
      <c r="F1082">
        <v>1640.46</v>
      </c>
      <c r="G1082">
        <v>742917120</v>
      </c>
    </row>
    <row r="1083" spans="5:7">
      <c r="E1083" s="2">
        <v>41460</v>
      </c>
      <c r="F1083">
        <v>1631.89</v>
      </c>
      <c r="G1083">
        <v>430664640</v>
      </c>
    </row>
    <row r="1084" spans="5:7">
      <c r="E1084" s="2">
        <v>41458</v>
      </c>
      <c r="F1084">
        <v>1615.41</v>
      </c>
      <c r="G1084">
        <v>303759136</v>
      </c>
    </row>
    <row r="1085" spans="5:7">
      <c r="E1085" s="2">
        <v>41457</v>
      </c>
      <c r="F1085">
        <v>1614.08</v>
      </c>
      <c r="G1085">
        <v>527795648</v>
      </c>
    </row>
    <row r="1086" spans="5:7">
      <c r="E1086" s="2">
        <v>41456</v>
      </c>
      <c r="F1086">
        <v>1614.96</v>
      </c>
      <c r="G1086">
        <v>526115136</v>
      </c>
    </row>
    <row r="1087" spans="5:7">
      <c r="E1087" s="2">
        <v>41453</v>
      </c>
      <c r="F1087">
        <v>1606.28</v>
      </c>
      <c r="G1087">
        <v>1081289088</v>
      </c>
    </row>
    <row r="1088" spans="5:7">
      <c r="E1088" s="2">
        <v>41452</v>
      </c>
      <c r="F1088">
        <v>1613.2</v>
      </c>
      <c r="G1088">
        <v>518668672</v>
      </c>
    </row>
    <row r="1089" spans="5:7">
      <c r="E1089" s="2">
        <v>41451</v>
      </c>
      <c r="F1089">
        <v>1603.26</v>
      </c>
      <c r="G1089">
        <v>568844608</v>
      </c>
    </row>
    <row r="1090" spans="5:7">
      <c r="E1090" s="2">
        <v>41450</v>
      </c>
      <c r="F1090">
        <v>1588.03</v>
      </c>
      <c r="G1090">
        <v>605506944</v>
      </c>
    </row>
    <row r="1091" spans="5:7">
      <c r="E1091" s="2">
        <v>41449</v>
      </c>
      <c r="F1091">
        <v>1573.09</v>
      </c>
      <c r="G1091">
        <v>700688000</v>
      </c>
    </row>
    <row r="1092" spans="5:7">
      <c r="E1092" s="2">
        <v>41446</v>
      </c>
      <c r="F1092">
        <v>1592.43</v>
      </c>
      <c r="G1092">
        <v>1521151104</v>
      </c>
    </row>
    <row r="1093" spans="5:7">
      <c r="E1093" s="2">
        <v>41445</v>
      </c>
      <c r="F1093">
        <v>1588.19</v>
      </c>
      <c r="G1093">
        <v>783320960</v>
      </c>
    </row>
    <row r="1094" spans="5:7">
      <c r="E1094" s="2">
        <v>41444</v>
      </c>
      <c r="F1094">
        <v>1628.93</v>
      </c>
      <c r="G1094">
        <v>564339840</v>
      </c>
    </row>
    <row r="1095" spans="5:7">
      <c r="E1095" s="2">
        <v>41443</v>
      </c>
      <c r="F1095">
        <v>1651.81</v>
      </c>
      <c r="G1095">
        <v>468885664</v>
      </c>
    </row>
    <row r="1096" spans="5:7">
      <c r="E1096" s="2">
        <v>41442</v>
      </c>
      <c r="F1096">
        <v>1639.04</v>
      </c>
      <c r="G1096">
        <v>517127360</v>
      </c>
    </row>
    <row r="1097" spans="5:7">
      <c r="E1097" s="2">
        <v>41439</v>
      </c>
      <c r="F1097">
        <v>1626.73</v>
      </c>
      <c r="G1097">
        <v>454660192</v>
      </c>
    </row>
    <row r="1098" spans="5:7">
      <c r="E1098" s="2">
        <v>41438</v>
      </c>
      <c r="F1098">
        <v>1636.36</v>
      </c>
      <c r="G1098">
        <v>508786048</v>
      </c>
    </row>
    <row r="1099" spans="5:7">
      <c r="E1099" s="2">
        <v>41437</v>
      </c>
      <c r="F1099">
        <v>1612.52</v>
      </c>
      <c r="G1099">
        <v>496663680</v>
      </c>
    </row>
    <row r="1100" spans="5:7">
      <c r="E1100" s="2">
        <v>41436</v>
      </c>
      <c r="F1100">
        <v>1626.13</v>
      </c>
      <c r="G1100">
        <v>494419744</v>
      </c>
    </row>
    <row r="1101" spans="5:7">
      <c r="E1101" s="2">
        <v>41435</v>
      </c>
      <c r="F1101">
        <v>1642.81</v>
      </c>
      <c r="G1101">
        <v>446790496</v>
      </c>
    </row>
    <row r="1102" spans="5:7">
      <c r="E1102" s="2">
        <v>41432</v>
      </c>
      <c r="F1102">
        <v>1643.38</v>
      </c>
      <c r="G1102">
        <v>588722112</v>
      </c>
    </row>
    <row r="1103" spans="5:7">
      <c r="E1103" s="2">
        <v>41431</v>
      </c>
      <c r="F1103">
        <v>1622.56</v>
      </c>
      <c r="G1103">
        <v>611811968</v>
      </c>
    </row>
    <row r="1104" spans="5:7">
      <c r="E1104" s="2">
        <v>41430</v>
      </c>
      <c r="F1104">
        <v>1608.9</v>
      </c>
      <c r="G1104">
        <v>573941056</v>
      </c>
    </row>
    <row r="1105" spans="5:7">
      <c r="E1105" s="2">
        <v>41429</v>
      </c>
      <c r="F1105">
        <v>1631.38</v>
      </c>
      <c r="G1105">
        <v>567560832</v>
      </c>
    </row>
    <row r="1106" spans="5:7">
      <c r="E1106" s="2">
        <v>41428</v>
      </c>
      <c r="F1106">
        <v>1640.42</v>
      </c>
      <c r="G1106">
        <v>614601792</v>
      </c>
    </row>
    <row r="1107" spans="5:7">
      <c r="E1107" s="2">
        <v>41425</v>
      </c>
      <c r="F1107">
        <v>1630.74</v>
      </c>
      <c r="G1107">
        <v>872444608</v>
      </c>
    </row>
    <row r="1108" spans="5:7">
      <c r="E1108" s="2">
        <v>41424</v>
      </c>
      <c r="F1108">
        <v>1654.41</v>
      </c>
      <c r="G1108">
        <v>525967968</v>
      </c>
    </row>
    <row r="1109" spans="5:7">
      <c r="E1109" s="2">
        <v>41423</v>
      </c>
      <c r="F1109">
        <v>1648.36</v>
      </c>
      <c r="G1109">
        <v>511999488</v>
      </c>
    </row>
    <row r="1110" spans="5:7">
      <c r="E1110" s="2">
        <v>41422</v>
      </c>
      <c r="F1110">
        <v>1660.06</v>
      </c>
      <c r="G1110">
        <v>554619712</v>
      </c>
    </row>
    <row r="1111" spans="5:7">
      <c r="E1111" s="2">
        <v>41418</v>
      </c>
      <c r="F1111">
        <v>1649.6</v>
      </c>
      <c r="G1111">
        <v>449088384</v>
      </c>
    </row>
    <row r="1112" spans="5:7">
      <c r="E1112" s="2">
        <v>41417</v>
      </c>
      <c r="F1112">
        <v>1650.51</v>
      </c>
      <c r="G1112">
        <v>610989376</v>
      </c>
    </row>
    <row r="1113" spans="5:7">
      <c r="E1113" s="2">
        <v>41416</v>
      </c>
      <c r="F1113">
        <v>1655.35</v>
      </c>
      <c r="G1113">
        <v>683490432</v>
      </c>
    </row>
    <row r="1114" spans="5:7">
      <c r="E1114" s="2">
        <v>41415</v>
      </c>
      <c r="F1114">
        <v>1669.16</v>
      </c>
      <c r="G1114">
        <v>513919040</v>
      </c>
    </row>
    <row r="1115" spans="5:7">
      <c r="E1115" s="2">
        <v>41414</v>
      </c>
      <c r="F1115">
        <v>1666.29</v>
      </c>
      <c r="G1115">
        <v>494665952</v>
      </c>
    </row>
    <row r="1116" spans="5:7">
      <c r="E1116" s="2">
        <v>41411</v>
      </c>
      <c r="F1116">
        <v>1667.47</v>
      </c>
      <c r="G1116">
        <v>717787392</v>
      </c>
    </row>
    <row r="1117" spans="5:7">
      <c r="E1117" s="2">
        <v>41410</v>
      </c>
      <c r="F1117">
        <v>1650.47</v>
      </c>
      <c r="G1117">
        <v>562299328</v>
      </c>
    </row>
    <row r="1118" spans="5:7">
      <c r="E1118" s="2">
        <v>41409</v>
      </c>
      <c r="F1118">
        <v>1658.78</v>
      </c>
      <c r="G1118">
        <v>547590400</v>
      </c>
    </row>
    <row r="1119" spans="5:7">
      <c r="E1119" s="2">
        <v>41408</v>
      </c>
      <c r="F1119">
        <v>1650.34</v>
      </c>
      <c r="G1119">
        <v>529472000</v>
      </c>
    </row>
    <row r="1120" spans="5:7">
      <c r="E1120" s="2">
        <v>41407</v>
      </c>
      <c r="F1120">
        <v>1633.77</v>
      </c>
      <c r="G1120">
        <v>455174880</v>
      </c>
    </row>
    <row r="1121" spans="5:7">
      <c r="E1121" s="2">
        <v>41404</v>
      </c>
      <c r="F1121">
        <v>1633.7</v>
      </c>
      <c r="G1121">
        <v>475475488</v>
      </c>
    </row>
    <row r="1122" spans="5:7">
      <c r="E1122" s="2">
        <v>41403</v>
      </c>
      <c r="F1122">
        <v>1626.67</v>
      </c>
      <c r="G1122">
        <v>482900672</v>
      </c>
    </row>
    <row r="1123" spans="5:7">
      <c r="E1123" s="2">
        <v>41402</v>
      </c>
      <c r="F1123">
        <v>1632.69</v>
      </c>
      <c r="G1123">
        <v>516801472</v>
      </c>
    </row>
    <row r="1124" spans="5:7">
      <c r="E1124" s="2">
        <v>41401</v>
      </c>
      <c r="F1124">
        <v>1625.96</v>
      </c>
      <c r="G1124">
        <v>489537536</v>
      </c>
    </row>
    <row r="1125" spans="5:7">
      <c r="E1125" s="2">
        <v>41400</v>
      </c>
      <c r="F1125">
        <v>1617.5</v>
      </c>
      <c r="G1125">
        <v>477645664</v>
      </c>
    </row>
    <row r="1126" spans="5:7">
      <c r="E1126" s="2">
        <v>41397</v>
      </c>
      <c r="F1126">
        <v>1614.42</v>
      </c>
      <c r="G1126">
        <v>528213536</v>
      </c>
    </row>
    <row r="1127" spans="5:7">
      <c r="E1127" s="2">
        <v>41396</v>
      </c>
      <c r="F1127">
        <v>1597.59</v>
      </c>
      <c r="G1127">
        <v>464684416</v>
      </c>
    </row>
    <row r="1128" spans="5:7">
      <c r="E1128" s="2">
        <v>41395</v>
      </c>
      <c r="F1128">
        <v>1582.7</v>
      </c>
      <c r="G1128">
        <v>514984544</v>
      </c>
    </row>
    <row r="1129" spans="5:7">
      <c r="E1129" s="2">
        <v>41394</v>
      </c>
      <c r="F1129">
        <v>1597.57</v>
      </c>
      <c r="G1129">
        <v>676820608</v>
      </c>
    </row>
    <row r="1130" spans="5:7">
      <c r="E1130" s="2">
        <v>41393</v>
      </c>
      <c r="F1130">
        <v>1593.61</v>
      </c>
      <c r="G1130">
        <v>455326880</v>
      </c>
    </row>
    <row r="1131" spans="5:7">
      <c r="E1131" s="2">
        <v>41390</v>
      </c>
      <c r="F1131">
        <v>1582.24</v>
      </c>
      <c r="G1131">
        <v>558080320</v>
      </c>
    </row>
    <row r="1132" spans="5:7">
      <c r="E1132" s="2">
        <v>41389</v>
      </c>
      <c r="F1132">
        <v>1585.16</v>
      </c>
      <c r="G1132">
        <v>591309504</v>
      </c>
    </row>
    <row r="1133" spans="5:7">
      <c r="E1133" s="2">
        <v>41388</v>
      </c>
      <c r="F1133">
        <v>1578.79</v>
      </c>
      <c r="G1133">
        <v>574951040</v>
      </c>
    </row>
    <row r="1134" spans="5:7">
      <c r="E1134" s="2">
        <v>41387</v>
      </c>
      <c r="F1134">
        <v>1578.78</v>
      </c>
      <c r="G1134">
        <v>555077120</v>
      </c>
    </row>
    <row r="1135" spans="5:7">
      <c r="E1135" s="2">
        <v>41386</v>
      </c>
      <c r="F1135">
        <v>1562.5</v>
      </c>
      <c r="G1135">
        <v>520923456</v>
      </c>
    </row>
    <row r="1136" spans="5:7">
      <c r="E1136" s="2">
        <v>41383</v>
      </c>
      <c r="F1136">
        <v>1555.25</v>
      </c>
      <c r="G1136">
        <v>790566336</v>
      </c>
    </row>
    <row r="1137" spans="5:7">
      <c r="E1137" s="2">
        <v>41382</v>
      </c>
      <c r="F1137">
        <v>1541.61</v>
      </c>
      <c r="G1137">
        <v>635698176</v>
      </c>
    </row>
    <row r="1138" spans="5:7">
      <c r="E1138" s="2">
        <v>41381</v>
      </c>
      <c r="F1138">
        <v>1552.01</v>
      </c>
      <c r="G1138">
        <v>708085120</v>
      </c>
    </row>
    <row r="1139" spans="5:7">
      <c r="E1139" s="2">
        <v>41380</v>
      </c>
      <c r="F1139">
        <v>1574.57</v>
      </c>
      <c r="G1139">
        <v>572293824</v>
      </c>
    </row>
    <row r="1140" spans="5:7">
      <c r="E1140" s="2">
        <v>41379</v>
      </c>
      <c r="F1140">
        <v>1552.36</v>
      </c>
      <c r="G1140">
        <v>725229120</v>
      </c>
    </row>
    <row r="1141" spans="5:7">
      <c r="E1141" s="2">
        <v>41376</v>
      </c>
      <c r="F1141">
        <v>1588.85</v>
      </c>
      <c r="G1141">
        <v>538931392</v>
      </c>
    </row>
    <row r="1142" spans="5:7">
      <c r="E1142" s="2">
        <v>41375</v>
      </c>
      <c r="F1142">
        <v>1593.37</v>
      </c>
      <c r="G1142">
        <v>530718944</v>
      </c>
    </row>
    <row r="1143" spans="5:7">
      <c r="E1143" s="2">
        <v>41374</v>
      </c>
      <c r="F1143">
        <v>1587.73</v>
      </c>
      <c r="G1143">
        <v>524612448</v>
      </c>
    </row>
    <row r="1144" spans="5:7">
      <c r="E1144" s="2">
        <v>41373</v>
      </c>
      <c r="F1144">
        <v>1568.61</v>
      </c>
      <c r="G1144">
        <v>521582048</v>
      </c>
    </row>
    <row r="1145" spans="5:7">
      <c r="E1145" s="2">
        <v>41372</v>
      </c>
      <c r="F1145">
        <v>1563.07</v>
      </c>
      <c r="G1145">
        <v>455851968</v>
      </c>
    </row>
    <row r="1146" spans="5:7">
      <c r="E1146" s="2">
        <v>41369</v>
      </c>
      <c r="F1146">
        <v>1553.28</v>
      </c>
      <c r="G1146">
        <v>558288704</v>
      </c>
    </row>
    <row r="1147" spans="5:7">
      <c r="E1147" s="2">
        <v>41368</v>
      </c>
      <c r="F1147">
        <v>1559.98</v>
      </c>
      <c r="G1147">
        <v>481445376</v>
      </c>
    </row>
    <row r="1148" spans="5:7">
      <c r="E1148" s="2">
        <v>41367</v>
      </c>
      <c r="F1148">
        <v>1553.69</v>
      </c>
      <c r="G1148">
        <v>587850944</v>
      </c>
    </row>
    <row r="1149" spans="5:7">
      <c r="E1149" s="2">
        <v>41366</v>
      </c>
      <c r="F1149">
        <v>1570.25</v>
      </c>
      <c r="G1149">
        <v>473640320</v>
      </c>
    </row>
    <row r="1150" spans="5:7">
      <c r="E1150" s="2">
        <v>41365</v>
      </c>
      <c r="F1150">
        <v>1562.17</v>
      </c>
      <c r="G1150">
        <v>422775552</v>
      </c>
    </row>
    <row r="1151" spans="5:7">
      <c r="E1151" s="2">
        <v>41361</v>
      </c>
      <c r="F1151">
        <v>1569.19</v>
      </c>
      <c r="G1151">
        <v>673190912</v>
      </c>
    </row>
    <row r="1152" spans="5:7">
      <c r="E1152" s="2">
        <v>41360</v>
      </c>
      <c r="F1152">
        <v>1562.85</v>
      </c>
      <c r="G1152">
        <v>418415424</v>
      </c>
    </row>
    <row r="1153" spans="5:7">
      <c r="E1153" s="2">
        <v>41359</v>
      </c>
      <c r="F1153">
        <v>1563.77</v>
      </c>
      <c r="G1153">
        <v>417852192</v>
      </c>
    </row>
    <row r="1154" spans="5:7">
      <c r="E1154" s="2">
        <v>41358</v>
      </c>
      <c r="F1154">
        <v>1551.69</v>
      </c>
      <c r="G1154">
        <v>540532352</v>
      </c>
    </row>
    <row r="1155" spans="5:7">
      <c r="E1155" s="2">
        <v>41355</v>
      </c>
      <c r="F1155">
        <v>1556.89</v>
      </c>
      <c r="G1155">
        <v>505786400</v>
      </c>
    </row>
    <row r="1156" spans="5:7">
      <c r="E1156" s="2">
        <v>41354</v>
      </c>
      <c r="F1156">
        <v>1545.8</v>
      </c>
      <c r="G1156">
        <v>524169408</v>
      </c>
    </row>
    <row r="1157" spans="5:7">
      <c r="E1157" s="2">
        <v>41353</v>
      </c>
      <c r="F1157">
        <v>1558.71</v>
      </c>
      <c r="G1157">
        <v>515015072</v>
      </c>
    </row>
    <row r="1158" spans="5:7">
      <c r="E1158" s="2">
        <v>41352</v>
      </c>
      <c r="F1158">
        <v>1548.34</v>
      </c>
      <c r="G1158">
        <v>544881984</v>
      </c>
    </row>
    <row r="1159" spans="5:7">
      <c r="E1159" s="2">
        <v>41351</v>
      </c>
      <c r="F1159">
        <v>1552.1</v>
      </c>
      <c r="G1159">
        <v>507141280</v>
      </c>
    </row>
    <row r="1160" spans="5:7">
      <c r="E1160" s="2">
        <v>41348</v>
      </c>
      <c r="F1160">
        <v>1560.7</v>
      </c>
      <c r="G1160">
        <v>1447565312</v>
      </c>
    </row>
    <row r="1161" spans="5:7">
      <c r="E1161" s="2">
        <v>41347</v>
      </c>
      <c r="F1161">
        <v>1563.23</v>
      </c>
      <c r="G1161">
        <v>504222144</v>
      </c>
    </row>
    <row r="1162" spans="5:7">
      <c r="E1162" s="2">
        <v>41346</v>
      </c>
      <c r="F1162">
        <v>1554.52</v>
      </c>
      <c r="G1162">
        <v>420973952</v>
      </c>
    </row>
    <row r="1163" spans="5:7">
      <c r="E1163" s="2">
        <v>41345</v>
      </c>
      <c r="F1163">
        <v>1552.48</v>
      </c>
      <c r="G1163">
        <v>466648288</v>
      </c>
    </row>
    <row r="1164" spans="5:7">
      <c r="E1164" s="2">
        <v>41344</v>
      </c>
      <c r="F1164">
        <v>1556.22</v>
      </c>
      <c r="G1164">
        <v>450470304</v>
      </c>
    </row>
    <row r="1165" spans="5:7">
      <c r="E1165" s="2">
        <v>41341</v>
      </c>
      <c r="F1165">
        <v>1551.18</v>
      </c>
      <c r="G1165">
        <v>487435904</v>
      </c>
    </row>
    <row r="1166" spans="5:7">
      <c r="E1166" s="2">
        <v>41340</v>
      </c>
      <c r="F1166">
        <v>1544.26</v>
      </c>
      <c r="G1166">
        <v>498992384</v>
      </c>
    </row>
    <row r="1167" spans="5:7">
      <c r="E1167" s="2">
        <v>41339</v>
      </c>
      <c r="F1167">
        <v>1541.46</v>
      </c>
      <c r="G1167">
        <v>502355712</v>
      </c>
    </row>
    <row r="1168" spans="5:7">
      <c r="E1168" s="2">
        <v>41338</v>
      </c>
      <c r="F1168">
        <v>1539.79</v>
      </c>
      <c r="G1168">
        <v>522751872</v>
      </c>
    </row>
    <row r="1169" spans="5:7">
      <c r="E1169" s="2">
        <v>41337</v>
      </c>
      <c r="F1169">
        <v>1525.2</v>
      </c>
      <c r="G1169">
        <v>513849664</v>
      </c>
    </row>
    <row r="1170" spans="5:7">
      <c r="E1170" s="2">
        <v>41334</v>
      </c>
      <c r="F1170">
        <v>1518.2</v>
      </c>
      <c r="G1170">
        <v>548455808</v>
      </c>
    </row>
    <row r="1171" spans="5:7">
      <c r="E1171" s="2">
        <v>41333</v>
      </c>
      <c r="F1171">
        <v>1514.68</v>
      </c>
      <c r="G1171">
        <v>748922944</v>
      </c>
    </row>
    <row r="1172" spans="5:7">
      <c r="E1172" s="2">
        <v>41332</v>
      </c>
      <c r="F1172">
        <v>1515.99</v>
      </c>
      <c r="G1172">
        <v>492036288</v>
      </c>
    </row>
    <row r="1173" spans="5:7">
      <c r="E1173" s="2">
        <v>41331</v>
      </c>
      <c r="F1173">
        <v>1496.94</v>
      </c>
      <c r="G1173">
        <v>579446720</v>
      </c>
    </row>
    <row r="1174" spans="5:7">
      <c r="E1174" s="2">
        <v>41330</v>
      </c>
      <c r="F1174">
        <v>1487.85</v>
      </c>
      <c r="G1174">
        <v>637253824</v>
      </c>
    </row>
    <row r="1175" spans="5:7">
      <c r="E1175" s="2">
        <v>41327</v>
      </c>
      <c r="F1175">
        <v>1515.6</v>
      </c>
      <c r="G1175">
        <v>515547200</v>
      </c>
    </row>
    <row r="1176" spans="5:7">
      <c r="E1176" s="2">
        <v>41326</v>
      </c>
      <c r="F1176">
        <v>1502.42</v>
      </c>
      <c r="G1176">
        <v>599309760</v>
      </c>
    </row>
    <row r="1177" spans="5:7">
      <c r="E1177" s="2">
        <v>41325</v>
      </c>
      <c r="F1177">
        <v>1511.95</v>
      </c>
      <c r="G1177">
        <v>594170816</v>
      </c>
    </row>
    <row r="1178" spans="5:7">
      <c r="E1178" s="2">
        <v>41324</v>
      </c>
      <c r="F1178">
        <v>1530.94</v>
      </c>
      <c r="G1178">
        <v>571763136</v>
      </c>
    </row>
    <row r="1179" spans="5:7">
      <c r="E1179" s="2">
        <v>41320</v>
      </c>
      <c r="F1179">
        <v>1519.79</v>
      </c>
      <c r="G1179">
        <v>811687552</v>
      </c>
    </row>
    <row r="1180" spans="5:7">
      <c r="E1180" s="2">
        <v>41319</v>
      </c>
      <c r="F1180">
        <v>1521.38</v>
      </c>
      <c r="G1180">
        <v>533981152</v>
      </c>
    </row>
    <row r="1181" spans="5:7">
      <c r="E1181" s="2">
        <v>41318</v>
      </c>
      <c r="F1181">
        <v>1520.33</v>
      </c>
      <c r="G1181">
        <v>513566752</v>
      </c>
    </row>
    <row r="1182" spans="5:7">
      <c r="E1182" s="2">
        <v>41317</v>
      </c>
      <c r="F1182">
        <v>1519.43</v>
      </c>
      <c r="G1182">
        <v>489501408</v>
      </c>
    </row>
    <row r="1183" spans="5:7">
      <c r="E1183" s="2">
        <v>41316</v>
      </c>
      <c r="F1183">
        <v>1517.01</v>
      </c>
      <c r="G1183">
        <v>400159936</v>
      </c>
    </row>
    <row r="1184" spans="5:7">
      <c r="E1184" s="2">
        <v>41313</v>
      </c>
      <c r="F1184">
        <v>1517.93</v>
      </c>
      <c r="G1184">
        <v>477527360</v>
      </c>
    </row>
    <row r="1185" spans="5:7">
      <c r="E1185" s="2">
        <v>41312</v>
      </c>
      <c r="F1185">
        <v>1509.39</v>
      </c>
      <c r="G1185">
        <v>553191104</v>
      </c>
    </row>
    <row r="1186" spans="5:7">
      <c r="E1186" s="2">
        <v>41311</v>
      </c>
      <c r="F1186">
        <v>1512.12</v>
      </c>
      <c r="G1186">
        <v>556294272</v>
      </c>
    </row>
    <row r="1187" spans="5:7">
      <c r="E1187" s="2">
        <v>41310</v>
      </c>
      <c r="F1187">
        <v>1511.29</v>
      </c>
      <c r="G1187">
        <v>587275072</v>
      </c>
    </row>
    <row r="1188" spans="5:7">
      <c r="E1188" s="2">
        <v>41309</v>
      </c>
      <c r="F1188">
        <v>1495.71</v>
      </c>
      <c r="G1188">
        <v>584697152</v>
      </c>
    </row>
    <row r="1189" spans="5:7">
      <c r="E1189" s="2">
        <v>41306</v>
      </c>
      <c r="F1189">
        <v>1513.17</v>
      </c>
      <c r="G1189">
        <v>598682816</v>
      </c>
    </row>
    <row r="1190" spans="5:7">
      <c r="E1190" s="2">
        <v>41305</v>
      </c>
      <c r="F1190">
        <v>1498.11</v>
      </c>
      <c r="G1190">
        <v>740722944</v>
      </c>
    </row>
    <row r="1191" spans="5:7">
      <c r="E1191" s="2">
        <v>41304</v>
      </c>
      <c r="F1191">
        <v>1501.96</v>
      </c>
      <c r="G1191">
        <v>569791872</v>
      </c>
    </row>
    <row r="1192" spans="5:7">
      <c r="E1192" s="2">
        <v>41303</v>
      </c>
      <c r="F1192">
        <v>1507.84</v>
      </c>
      <c r="G1192">
        <v>607226816</v>
      </c>
    </row>
    <row r="1193" spans="5:7">
      <c r="E1193" s="2">
        <v>41302</v>
      </c>
      <c r="F1193">
        <v>1500.18</v>
      </c>
      <c r="G1193">
        <v>535161280</v>
      </c>
    </row>
    <row r="1194" spans="5:7">
      <c r="E1194" s="2">
        <v>41299</v>
      </c>
      <c r="F1194">
        <v>1502.96</v>
      </c>
      <c r="G1194">
        <v>570690752</v>
      </c>
    </row>
    <row r="1195" spans="5:7">
      <c r="E1195" s="2">
        <v>41298</v>
      </c>
      <c r="F1195">
        <v>1494.82</v>
      </c>
      <c r="G1195">
        <v>554969600</v>
      </c>
    </row>
    <row r="1196" spans="5:7">
      <c r="E1196" s="2">
        <v>41297</v>
      </c>
      <c r="F1196">
        <v>1494.81</v>
      </c>
      <c r="G1196">
        <v>494336352</v>
      </c>
    </row>
    <row r="1197" spans="5:7">
      <c r="E1197" s="2">
        <v>41296</v>
      </c>
      <c r="F1197">
        <v>1492.56</v>
      </c>
      <c r="G1197">
        <v>569950400</v>
      </c>
    </row>
    <row r="1198" spans="5:7">
      <c r="E1198" s="2">
        <v>41292</v>
      </c>
      <c r="F1198">
        <v>1485.98</v>
      </c>
      <c r="G1198">
        <v>930380416</v>
      </c>
    </row>
    <row r="1199" spans="5:7">
      <c r="E1199" s="2">
        <v>41291</v>
      </c>
      <c r="F1199">
        <v>1480.94</v>
      </c>
      <c r="G1199">
        <v>604124160</v>
      </c>
    </row>
    <row r="1200" spans="5:7">
      <c r="E1200" s="2">
        <v>41290</v>
      </c>
      <c r="F1200">
        <v>1472.63</v>
      </c>
      <c r="G1200">
        <v>513146656</v>
      </c>
    </row>
    <row r="1201" spans="5:7">
      <c r="E1201" s="2">
        <v>41289</v>
      </c>
      <c r="F1201">
        <v>1472.34</v>
      </c>
      <c r="G1201">
        <v>483929760</v>
      </c>
    </row>
    <row r="1202" spans="5:7">
      <c r="E1202" s="2">
        <v>41288</v>
      </c>
      <c r="F1202">
        <v>1470.68</v>
      </c>
      <c r="G1202">
        <v>491726656</v>
      </c>
    </row>
    <row r="1203" spans="5:7">
      <c r="E1203" s="2">
        <v>41285</v>
      </c>
      <c r="F1203">
        <v>1472.05</v>
      </c>
      <c r="G1203">
        <v>488474720</v>
      </c>
    </row>
    <row r="1204" spans="5:7">
      <c r="E1204" s="2">
        <v>41284</v>
      </c>
      <c r="F1204">
        <v>1472.12</v>
      </c>
      <c r="G1204">
        <v>569101632</v>
      </c>
    </row>
    <row r="1205" spans="5:7">
      <c r="E1205" s="2">
        <v>41283</v>
      </c>
      <c r="F1205">
        <v>1461.02</v>
      </c>
      <c r="G1205">
        <v>507352352</v>
      </c>
    </row>
    <row r="1206" spans="5:7">
      <c r="E1206" s="2">
        <v>41282</v>
      </c>
      <c r="F1206">
        <v>1457.15</v>
      </c>
      <c r="G1206">
        <v>546030208</v>
      </c>
    </row>
    <row r="1207" spans="5:7">
      <c r="E1207" s="2">
        <v>41281</v>
      </c>
      <c r="F1207">
        <v>1461.89</v>
      </c>
      <c r="G1207">
        <v>490281856</v>
      </c>
    </row>
    <row r="1208" spans="5:7">
      <c r="E1208" s="2">
        <v>41278</v>
      </c>
      <c r="F1208">
        <v>1466.47</v>
      </c>
      <c r="G1208">
        <v>499318240</v>
      </c>
    </row>
    <row r="1209" spans="5:7">
      <c r="E1209" s="2">
        <v>41277</v>
      </c>
      <c r="F1209">
        <v>1459.37</v>
      </c>
      <c r="G1209">
        <v>576168384</v>
      </c>
    </row>
    <row r="1210" spans="5:7">
      <c r="E1210" s="2">
        <v>41276</v>
      </c>
      <c r="F1210">
        <v>1462.42</v>
      </c>
      <c r="G1210">
        <v>680468864</v>
      </c>
    </row>
    <row r="1211" spans="5:7">
      <c r="E1211" s="2">
        <v>41274</v>
      </c>
      <c r="F1211">
        <v>1426.19</v>
      </c>
      <c r="G1211">
        <v>601105600</v>
      </c>
    </row>
    <row r="1212" spans="5:7">
      <c r="E1212" s="2">
        <v>41271</v>
      </c>
      <c r="F1212">
        <v>1402.43</v>
      </c>
      <c r="G1212">
        <v>411216000</v>
      </c>
    </row>
    <row r="1213" spans="5:7">
      <c r="E1213" s="2">
        <v>41270</v>
      </c>
      <c r="F1213">
        <v>1418.1</v>
      </c>
      <c r="G1213">
        <v>445660128</v>
      </c>
    </row>
    <row r="1214" spans="5:7">
      <c r="E1214" s="2">
        <v>41269</v>
      </c>
      <c r="F1214">
        <v>1419.83</v>
      </c>
      <c r="G1214">
        <v>363632128</v>
      </c>
    </row>
    <row r="1215" spans="5:7">
      <c r="E1215" s="2">
        <v>41267</v>
      </c>
      <c r="F1215">
        <v>1426.66</v>
      </c>
      <c r="G1215">
        <v>227982672</v>
      </c>
    </row>
    <row r="1216" spans="5:7">
      <c r="E1216" s="2">
        <v>41264</v>
      </c>
      <c r="F1216">
        <v>1430.15</v>
      </c>
      <c r="G1216">
        <v>1538060928</v>
      </c>
    </row>
    <row r="1217" spans="5:7">
      <c r="E1217" s="2">
        <v>41263</v>
      </c>
      <c r="F1217">
        <v>1443.69</v>
      </c>
      <c r="G1217">
        <v>532168256</v>
      </c>
    </row>
    <row r="1218" spans="5:7">
      <c r="E1218" s="2">
        <v>41262</v>
      </c>
      <c r="F1218">
        <v>1435.81</v>
      </c>
      <c r="G1218">
        <v>576888960</v>
      </c>
    </row>
    <row r="1219" spans="5:7">
      <c r="E1219" s="2">
        <v>41261</v>
      </c>
      <c r="F1219">
        <v>1446.79</v>
      </c>
      <c r="G1219">
        <v>655620160</v>
      </c>
    </row>
    <row r="1220" spans="5:7">
      <c r="E1220" s="2">
        <v>41260</v>
      </c>
      <c r="F1220">
        <v>1430.36</v>
      </c>
      <c r="G1220">
        <v>584239232</v>
      </c>
    </row>
    <row r="1221" spans="5:7">
      <c r="E1221" s="2">
        <v>41257</v>
      </c>
      <c r="F1221">
        <v>1413.58</v>
      </c>
      <c r="G1221">
        <v>533732544</v>
      </c>
    </row>
    <row r="1222" spans="5:7">
      <c r="E1222" s="2">
        <v>41256</v>
      </c>
      <c r="F1222">
        <v>1419.45</v>
      </c>
      <c r="G1222">
        <v>522071744</v>
      </c>
    </row>
    <row r="1223" spans="5:7">
      <c r="E1223" s="2">
        <v>41255</v>
      </c>
      <c r="F1223">
        <v>1428.48</v>
      </c>
      <c r="G1223">
        <v>569768192</v>
      </c>
    </row>
    <row r="1224" spans="5:7">
      <c r="E1224" s="2">
        <v>41254</v>
      </c>
      <c r="F1224">
        <v>1427.84</v>
      </c>
      <c r="G1224">
        <v>590599296</v>
      </c>
    </row>
    <row r="1225" spans="5:7">
      <c r="E1225" s="2">
        <v>41253</v>
      </c>
      <c r="F1225">
        <v>1418.55</v>
      </c>
      <c r="G1225">
        <v>488123616</v>
      </c>
    </row>
    <row r="1226" spans="5:7">
      <c r="E1226" s="2">
        <v>41250</v>
      </c>
      <c r="F1226">
        <v>1418.07</v>
      </c>
      <c r="G1226">
        <v>487081632</v>
      </c>
    </row>
    <row r="1227" spans="5:7">
      <c r="E1227" s="2">
        <v>41249</v>
      </c>
      <c r="F1227">
        <v>1413.94</v>
      </c>
      <c r="G1227">
        <v>523123968</v>
      </c>
    </row>
    <row r="1228" spans="5:7">
      <c r="E1228" s="2">
        <v>41248</v>
      </c>
      <c r="F1228">
        <v>1409.28</v>
      </c>
      <c r="G1228">
        <v>628384384</v>
      </c>
    </row>
    <row r="1229" spans="5:7">
      <c r="E1229" s="2">
        <v>41247</v>
      </c>
      <c r="F1229">
        <v>1407.05</v>
      </c>
      <c r="G1229">
        <v>559464768</v>
      </c>
    </row>
    <row r="1230" spans="5:7">
      <c r="E1230" s="2">
        <v>41246</v>
      </c>
      <c r="F1230">
        <v>1409.46</v>
      </c>
      <c r="G1230">
        <v>540951936</v>
      </c>
    </row>
    <row r="1231" spans="5:7">
      <c r="E1231" s="2">
        <v>41243</v>
      </c>
      <c r="F1231">
        <v>1416.18</v>
      </c>
      <c r="G1231">
        <v>855038976</v>
      </c>
    </row>
    <row r="1232" spans="5:7">
      <c r="E1232" s="2">
        <v>41242</v>
      </c>
      <c r="F1232">
        <v>1415.95</v>
      </c>
      <c r="G1232">
        <v>531923072</v>
      </c>
    </row>
    <row r="1233" spans="5:7">
      <c r="E1233" s="2">
        <v>41241</v>
      </c>
      <c r="F1233">
        <v>1409.93</v>
      </c>
      <c r="G1233">
        <v>577114240</v>
      </c>
    </row>
    <row r="1234" spans="5:7">
      <c r="E1234" s="2">
        <v>41240</v>
      </c>
      <c r="F1234">
        <v>1398.94</v>
      </c>
      <c r="G1234">
        <v>550774464</v>
      </c>
    </row>
    <row r="1235" spans="5:7">
      <c r="E1235" s="2">
        <v>41239</v>
      </c>
      <c r="F1235">
        <v>1406.29</v>
      </c>
      <c r="G1235">
        <v>532653760</v>
      </c>
    </row>
    <row r="1236" spans="5:7">
      <c r="E1236" s="2">
        <v>41236</v>
      </c>
      <c r="F1236">
        <v>1409.15</v>
      </c>
      <c r="G1236">
        <v>248312176</v>
      </c>
    </row>
    <row r="1237" spans="5:7">
      <c r="E1237" s="2">
        <v>41234</v>
      </c>
      <c r="F1237">
        <v>1391.03</v>
      </c>
      <c r="G1237">
        <v>408807168</v>
      </c>
    </row>
    <row r="1238" spans="5:7">
      <c r="E1238" s="2">
        <v>41233</v>
      </c>
      <c r="F1238">
        <v>1387.81</v>
      </c>
      <c r="G1238">
        <v>529088608</v>
      </c>
    </row>
    <row r="1239" spans="5:7">
      <c r="E1239" s="2">
        <v>41232</v>
      </c>
      <c r="F1239">
        <v>1386.89</v>
      </c>
      <c r="G1239">
        <v>589446592</v>
      </c>
    </row>
    <row r="1240" spans="5:7">
      <c r="E1240" s="2">
        <v>41229</v>
      </c>
      <c r="F1240">
        <v>1359.88</v>
      </c>
      <c r="G1240">
        <v>866366592</v>
      </c>
    </row>
    <row r="1241" spans="5:7">
      <c r="E1241" s="2">
        <v>41228</v>
      </c>
      <c r="F1241">
        <v>1353.33</v>
      </c>
      <c r="G1241">
        <v>631895680</v>
      </c>
    </row>
    <row r="1242" spans="5:7">
      <c r="E1242" s="2">
        <v>41227</v>
      </c>
      <c r="F1242">
        <v>1355.49</v>
      </c>
      <c r="G1242">
        <v>688834496</v>
      </c>
    </row>
    <row r="1243" spans="5:7">
      <c r="E1243" s="2">
        <v>41226</v>
      </c>
      <c r="F1243">
        <v>1374.53</v>
      </c>
      <c r="G1243">
        <v>575005888</v>
      </c>
    </row>
    <row r="1244" spans="5:7">
      <c r="E1244" s="2">
        <v>41225</v>
      </c>
      <c r="F1244">
        <v>1380.03</v>
      </c>
      <c r="G1244">
        <v>300848480</v>
      </c>
    </row>
    <row r="1245" spans="5:7">
      <c r="E1245" s="2">
        <v>41222</v>
      </c>
      <c r="F1245">
        <v>1379.85</v>
      </c>
      <c r="G1245">
        <v>595168960</v>
      </c>
    </row>
    <row r="1246" spans="5:7">
      <c r="E1246" s="2">
        <v>41221</v>
      </c>
      <c r="F1246">
        <v>1377.51</v>
      </c>
      <c r="G1246">
        <v>628285504</v>
      </c>
    </row>
    <row r="1247" spans="5:7">
      <c r="E1247" s="2">
        <v>41220</v>
      </c>
      <c r="F1247">
        <v>1394.53</v>
      </c>
      <c r="G1247">
        <v>712068608</v>
      </c>
    </row>
    <row r="1248" spans="5:7">
      <c r="E1248" s="2">
        <v>41219</v>
      </c>
      <c r="F1248">
        <v>1428.39</v>
      </c>
      <c r="G1248">
        <v>564275776</v>
      </c>
    </row>
    <row r="1249" spans="5:7">
      <c r="E1249" s="2">
        <v>41218</v>
      </c>
      <c r="F1249">
        <v>1417.26</v>
      </c>
      <c r="G1249">
        <v>485471520</v>
      </c>
    </row>
    <row r="1250" spans="5:7">
      <c r="E1250" s="2">
        <v>41215</v>
      </c>
      <c r="F1250">
        <v>1414.2</v>
      </c>
      <c r="G1250">
        <v>629411968</v>
      </c>
    </row>
    <row r="1251" spans="5:7">
      <c r="E1251" s="2">
        <v>41214</v>
      </c>
      <c r="F1251">
        <v>1427.59</v>
      </c>
      <c r="G1251">
        <v>616103488</v>
      </c>
    </row>
    <row r="1252" spans="5:7">
      <c r="E1252" s="2">
        <v>41213</v>
      </c>
      <c r="F1252">
        <v>1412.16</v>
      </c>
      <c r="G1252">
        <v>669957888</v>
      </c>
    </row>
    <row r="1253" spans="5:7">
      <c r="E1253" s="2">
        <v>41208</v>
      </c>
      <c r="F1253">
        <v>1411.94</v>
      </c>
      <c r="G1253">
        <v>624422848</v>
      </c>
    </row>
    <row r="1254" spans="5:7">
      <c r="E1254" s="2">
        <v>41207</v>
      </c>
      <c r="F1254">
        <v>1412.97</v>
      </c>
      <c r="G1254">
        <v>577411712</v>
      </c>
    </row>
    <row r="1255" spans="5:7">
      <c r="E1255" s="2">
        <v>41206</v>
      </c>
      <c r="F1255">
        <v>1408.75</v>
      </c>
      <c r="G1255">
        <v>561183104</v>
      </c>
    </row>
    <row r="1256" spans="5:7">
      <c r="E1256" s="2">
        <v>41205</v>
      </c>
      <c r="F1256">
        <v>1413.11</v>
      </c>
      <c r="G1256">
        <v>608605312</v>
      </c>
    </row>
    <row r="1257" spans="5:7">
      <c r="E1257" s="2">
        <v>41204</v>
      </c>
      <c r="F1257">
        <v>1433.82</v>
      </c>
      <c r="G1257">
        <v>537693504</v>
      </c>
    </row>
    <row r="1258" spans="5:7">
      <c r="E1258" s="2">
        <v>41201</v>
      </c>
      <c r="F1258">
        <v>1433.19</v>
      </c>
      <c r="G1258">
        <v>909848512</v>
      </c>
    </row>
    <row r="1259" spans="5:7">
      <c r="E1259" s="2">
        <v>41200</v>
      </c>
      <c r="F1259">
        <v>1457.34</v>
      </c>
      <c r="G1259">
        <v>586051968</v>
      </c>
    </row>
    <row r="1260" spans="5:7">
      <c r="E1260" s="2">
        <v>41199</v>
      </c>
      <c r="F1260">
        <v>1460.91</v>
      </c>
      <c r="G1260">
        <v>568299648</v>
      </c>
    </row>
    <row r="1261" spans="5:7">
      <c r="E1261" s="2">
        <v>41198</v>
      </c>
      <c r="F1261">
        <v>1454.92</v>
      </c>
      <c r="G1261">
        <v>502770016</v>
      </c>
    </row>
    <row r="1262" spans="5:7">
      <c r="E1262" s="2">
        <v>41197</v>
      </c>
      <c r="F1262">
        <v>1440.13</v>
      </c>
      <c r="G1262">
        <v>505754464</v>
      </c>
    </row>
    <row r="1263" spans="5:7">
      <c r="E1263" s="2">
        <v>41194</v>
      </c>
      <c r="F1263">
        <v>1428.59</v>
      </c>
      <c r="G1263">
        <v>523055968</v>
      </c>
    </row>
    <row r="1264" spans="5:7">
      <c r="E1264" s="2">
        <v>41193</v>
      </c>
      <c r="F1264">
        <v>1432.84</v>
      </c>
      <c r="G1264">
        <v>506534624</v>
      </c>
    </row>
    <row r="1265" spans="5:7">
      <c r="E1265" s="2">
        <v>41192</v>
      </c>
      <c r="F1265">
        <v>1432.56</v>
      </c>
      <c r="G1265">
        <v>463834208</v>
      </c>
    </row>
    <row r="1266" spans="5:7">
      <c r="E1266" s="2">
        <v>41191</v>
      </c>
      <c r="F1266">
        <v>1441.48</v>
      </c>
      <c r="G1266">
        <v>487372224</v>
      </c>
    </row>
    <row r="1267" spans="5:7">
      <c r="E1267" s="2">
        <v>41190</v>
      </c>
      <c r="F1267">
        <v>1455.88</v>
      </c>
      <c r="G1267">
        <v>359194368</v>
      </c>
    </row>
    <row r="1268" spans="5:7">
      <c r="E1268" s="2">
        <v>41187</v>
      </c>
      <c r="F1268">
        <v>1460.93</v>
      </c>
      <c r="G1268">
        <v>485459808</v>
      </c>
    </row>
    <row r="1269" spans="5:7">
      <c r="E1269" s="2">
        <v>41186</v>
      </c>
      <c r="F1269">
        <v>1461.4</v>
      </c>
      <c r="G1269">
        <v>510423104</v>
      </c>
    </row>
    <row r="1270" spans="5:7">
      <c r="E1270" s="2">
        <v>41185</v>
      </c>
      <c r="F1270">
        <v>1450.99</v>
      </c>
      <c r="G1270">
        <v>522672672</v>
      </c>
    </row>
    <row r="1271" spans="5:7">
      <c r="E1271" s="2">
        <v>41184</v>
      </c>
      <c r="F1271">
        <v>1445.75</v>
      </c>
      <c r="G1271">
        <v>468189248</v>
      </c>
    </row>
    <row r="1272" spans="5:7">
      <c r="E1272" s="2">
        <v>41183</v>
      </c>
      <c r="F1272">
        <v>1444.49</v>
      </c>
      <c r="G1272">
        <v>528217568</v>
      </c>
    </row>
    <row r="1273" spans="5:7">
      <c r="E1273" s="2">
        <v>41180</v>
      </c>
      <c r="F1273">
        <v>1440.67</v>
      </c>
      <c r="G1273">
        <v>640858624</v>
      </c>
    </row>
    <row r="1274" spans="5:7">
      <c r="E1274" s="2">
        <v>41179</v>
      </c>
      <c r="F1274">
        <v>1447.15</v>
      </c>
      <c r="G1274">
        <v>498622656</v>
      </c>
    </row>
    <row r="1275" spans="5:7">
      <c r="E1275" s="2">
        <v>41178</v>
      </c>
      <c r="F1275">
        <v>1433.32</v>
      </c>
      <c r="G1275">
        <v>545300736</v>
      </c>
    </row>
    <row r="1276" spans="5:7">
      <c r="E1276" s="2">
        <v>41177</v>
      </c>
      <c r="F1276">
        <v>1441.59</v>
      </c>
      <c r="G1276">
        <v>609070336</v>
      </c>
    </row>
    <row r="1277" spans="5:7">
      <c r="E1277" s="2">
        <v>41176</v>
      </c>
      <c r="F1277">
        <v>1456.89</v>
      </c>
      <c r="G1277">
        <v>509947968</v>
      </c>
    </row>
    <row r="1278" spans="5:7">
      <c r="E1278" s="2">
        <v>41173</v>
      </c>
      <c r="F1278">
        <v>1460.15</v>
      </c>
      <c r="G1278">
        <v>1501955072</v>
      </c>
    </row>
    <row r="1279" spans="5:7">
      <c r="E1279" s="2">
        <v>41172</v>
      </c>
      <c r="F1279">
        <v>1460.26</v>
      </c>
      <c r="G1279">
        <v>541019392</v>
      </c>
    </row>
    <row r="1280" spans="5:7">
      <c r="E1280" s="2">
        <v>41171</v>
      </c>
      <c r="F1280">
        <v>1461.05</v>
      </c>
      <c r="G1280">
        <v>536734496</v>
      </c>
    </row>
    <row r="1281" spans="5:7">
      <c r="E1281" s="2">
        <v>41170</v>
      </c>
      <c r="F1281">
        <v>1459.32</v>
      </c>
      <c r="G1281">
        <v>518979296</v>
      </c>
    </row>
    <row r="1282" spans="5:7">
      <c r="E1282" s="2">
        <v>41169</v>
      </c>
      <c r="F1282">
        <v>1461.19</v>
      </c>
      <c r="G1282">
        <v>525147488</v>
      </c>
    </row>
    <row r="1283" spans="5:7">
      <c r="E1283" s="2">
        <v>41166</v>
      </c>
      <c r="F1283">
        <v>1465.77</v>
      </c>
      <c r="G1283">
        <v>745929984</v>
      </c>
    </row>
    <row r="1284" spans="5:7">
      <c r="E1284" s="2">
        <v>41165</v>
      </c>
      <c r="F1284">
        <v>1459.99</v>
      </c>
      <c r="G1284">
        <v>617087360</v>
      </c>
    </row>
    <row r="1285" spans="5:7">
      <c r="E1285" s="2">
        <v>41164</v>
      </c>
      <c r="F1285">
        <v>1436.56</v>
      </c>
      <c r="G1285">
        <v>509502880</v>
      </c>
    </row>
    <row r="1286" spans="5:7">
      <c r="E1286" s="2">
        <v>41163</v>
      </c>
      <c r="F1286">
        <v>1433.56</v>
      </c>
      <c r="G1286">
        <v>527348704</v>
      </c>
    </row>
    <row r="1287" spans="5:7">
      <c r="E1287" s="2">
        <v>41162</v>
      </c>
      <c r="F1287">
        <v>1429.08</v>
      </c>
      <c r="G1287">
        <v>494991808</v>
      </c>
    </row>
    <row r="1288" spans="5:7">
      <c r="E1288" s="2">
        <v>41159</v>
      </c>
      <c r="F1288">
        <v>1437.92</v>
      </c>
      <c r="G1288">
        <v>550364736</v>
      </c>
    </row>
    <row r="1289" spans="5:7">
      <c r="E1289" s="2">
        <v>41158</v>
      </c>
      <c r="F1289">
        <v>1432.12</v>
      </c>
      <c r="G1289">
        <v>577384896</v>
      </c>
    </row>
    <row r="1290" spans="5:7">
      <c r="E1290" s="2">
        <v>41157</v>
      </c>
      <c r="F1290">
        <v>1403.44</v>
      </c>
      <c r="G1290">
        <v>485651136</v>
      </c>
    </row>
    <row r="1291" spans="5:7">
      <c r="E1291" s="2">
        <v>41156</v>
      </c>
      <c r="F1291">
        <v>1404.94</v>
      </c>
      <c r="G1291">
        <v>479796288</v>
      </c>
    </row>
    <row r="1292" spans="5:7">
      <c r="E1292" s="2">
        <v>41152</v>
      </c>
      <c r="F1292">
        <v>1406.58</v>
      </c>
      <c r="G1292">
        <v>575151936</v>
      </c>
    </row>
    <row r="1293" spans="5:7">
      <c r="E1293" s="2">
        <v>41151</v>
      </c>
      <c r="F1293">
        <v>1399.48</v>
      </c>
      <c r="G1293">
        <v>406387488</v>
      </c>
    </row>
    <row r="1294" spans="5:7">
      <c r="E1294" s="2">
        <v>41150</v>
      </c>
      <c r="F1294">
        <v>1410.49</v>
      </c>
      <c r="G1294">
        <v>408841248</v>
      </c>
    </row>
    <row r="1295" spans="5:7">
      <c r="E1295" s="2">
        <v>41149</v>
      </c>
      <c r="F1295">
        <v>1409.3</v>
      </c>
      <c r="G1295">
        <v>410787872</v>
      </c>
    </row>
    <row r="1296" spans="5:7">
      <c r="E1296" s="2">
        <v>41148</v>
      </c>
      <c r="F1296">
        <v>1410.44</v>
      </c>
      <c r="G1296">
        <v>421847040</v>
      </c>
    </row>
    <row r="1297" spans="5:7">
      <c r="E1297" s="2">
        <v>41145</v>
      </c>
      <c r="F1297">
        <v>1411.13</v>
      </c>
      <c r="G1297">
        <v>432340000</v>
      </c>
    </row>
    <row r="1298" spans="5:7">
      <c r="E1298" s="2">
        <v>41144</v>
      </c>
      <c r="F1298">
        <v>1402.08</v>
      </c>
      <c r="G1298">
        <v>462197984</v>
      </c>
    </row>
    <row r="1299" spans="5:7">
      <c r="E1299" s="2">
        <v>41143</v>
      </c>
      <c r="F1299">
        <v>1413.49</v>
      </c>
      <c r="G1299">
        <v>508463360</v>
      </c>
    </row>
    <row r="1300" spans="5:7">
      <c r="E1300" s="2">
        <v>41142</v>
      </c>
      <c r="F1300">
        <v>1413.17</v>
      </c>
      <c r="G1300">
        <v>531114464</v>
      </c>
    </row>
    <row r="1301" spans="5:7">
      <c r="E1301" s="2">
        <v>41141</v>
      </c>
      <c r="F1301">
        <v>1418.13</v>
      </c>
      <c r="G1301">
        <v>443600736</v>
      </c>
    </row>
    <row r="1302" spans="5:7">
      <c r="E1302" s="2">
        <v>41138</v>
      </c>
      <c r="F1302">
        <v>1418.16</v>
      </c>
      <c r="G1302">
        <v>600927168</v>
      </c>
    </row>
    <row r="1303" spans="5:7">
      <c r="E1303" s="2">
        <v>41137</v>
      </c>
      <c r="F1303">
        <v>1415.51</v>
      </c>
      <c r="G1303">
        <v>521541216</v>
      </c>
    </row>
    <row r="1304" spans="5:7">
      <c r="E1304" s="2">
        <v>41136</v>
      </c>
      <c r="F1304">
        <v>1405.53</v>
      </c>
      <c r="G1304">
        <v>438823200</v>
      </c>
    </row>
    <row r="1305" spans="5:7">
      <c r="E1305" s="2">
        <v>41135</v>
      </c>
      <c r="F1305">
        <v>1403.93</v>
      </c>
      <c r="G1305">
        <v>453956448</v>
      </c>
    </row>
    <row r="1306" spans="5:7">
      <c r="E1306" s="2">
        <v>41134</v>
      </c>
      <c r="F1306">
        <v>1404.11</v>
      </c>
      <c r="G1306">
        <v>396726848</v>
      </c>
    </row>
    <row r="1307" spans="5:7">
      <c r="E1307" s="2">
        <v>41131</v>
      </c>
      <c r="F1307">
        <v>1405.87</v>
      </c>
      <c r="G1307">
        <v>490295584</v>
      </c>
    </row>
    <row r="1308" spans="5:7">
      <c r="E1308" s="2">
        <v>41130</v>
      </c>
      <c r="F1308">
        <v>1402.8</v>
      </c>
      <c r="G1308">
        <v>456085664</v>
      </c>
    </row>
    <row r="1309" spans="5:7">
      <c r="E1309" s="2">
        <v>41129</v>
      </c>
      <c r="F1309">
        <v>1402.22</v>
      </c>
      <c r="G1309">
        <v>472937824</v>
      </c>
    </row>
    <row r="1310" spans="5:7">
      <c r="E1310" s="2">
        <v>41128</v>
      </c>
      <c r="F1310">
        <v>1401.35</v>
      </c>
      <c r="G1310">
        <v>533384416</v>
      </c>
    </row>
    <row r="1311" spans="5:7">
      <c r="E1311" s="2">
        <v>41127</v>
      </c>
      <c r="F1311">
        <v>1394.23</v>
      </c>
      <c r="G1311">
        <v>486460096</v>
      </c>
    </row>
    <row r="1312" spans="5:7">
      <c r="E1312" s="2">
        <v>41124</v>
      </c>
      <c r="F1312">
        <v>1390.99</v>
      </c>
      <c r="G1312">
        <v>558787136</v>
      </c>
    </row>
    <row r="1313" spans="5:7">
      <c r="E1313" s="2">
        <v>41123</v>
      </c>
      <c r="F1313">
        <v>1365</v>
      </c>
      <c r="G1313">
        <v>625895104</v>
      </c>
    </row>
    <row r="1314" spans="5:7">
      <c r="E1314" s="2">
        <v>41122</v>
      </c>
      <c r="F1314">
        <v>1375.14</v>
      </c>
      <c r="G1314">
        <v>703061120</v>
      </c>
    </row>
    <row r="1315" spans="5:7">
      <c r="E1315" s="2">
        <v>41121</v>
      </c>
      <c r="F1315">
        <v>1379.32</v>
      </c>
      <c r="G1315">
        <v>679418368</v>
      </c>
    </row>
    <row r="1316" spans="5:7">
      <c r="E1316" s="2">
        <v>41120</v>
      </c>
      <c r="F1316">
        <v>1385.3</v>
      </c>
      <c r="G1316">
        <v>492528736</v>
      </c>
    </row>
    <row r="1317" spans="5:7">
      <c r="E1317" s="2">
        <v>41117</v>
      </c>
      <c r="F1317">
        <v>1385.97</v>
      </c>
      <c r="G1317">
        <v>751211840</v>
      </c>
    </row>
    <row r="1318" spans="5:7">
      <c r="E1318" s="2">
        <v>41116</v>
      </c>
      <c r="F1318">
        <v>1360.02</v>
      </c>
      <c r="G1318">
        <v>714242048</v>
      </c>
    </row>
    <row r="1319" spans="5:7">
      <c r="E1319" s="2">
        <v>41115</v>
      </c>
      <c r="F1319">
        <v>1337.89</v>
      </c>
      <c r="G1319">
        <v>653733632</v>
      </c>
    </row>
    <row r="1320" spans="5:7">
      <c r="E1320" s="2">
        <v>41114</v>
      </c>
      <c r="F1320">
        <v>1338.31</v>
      </c>
      <c r="G1320">
        <v>632833408</v>
      </c>
    </row>
    <row r="1321" spans="5:7">
      <c r="E1321" s="2">
        <v>41113</v>
      </c>
      <c r="F1321">
        <v>1350.52</v>
      </c>
      <c r="G1321">
        <v>602347072</v>
      </c>
    </row>
    <row r="1322" spans="5:7">
      <c r="E1322" s="2">
        <v>41110</v>
      </c>
      <c r="F1322">
        <v>1362.66</v>
      </c>
      <c r="G1322">
        <v>863626752</v>
      </c>
    </row>
    <row r="1323" spans="5:7">
      <c r="E1323" s="2">
        <v>41109</v>
      </c>
      <c r="F1323">
        <v>1376.51</v>
      </c>
      <c r="G1323">
        <v>643162944</v>
      </c>
    </row>
    <row r="1324" spans="5:7">
      <c r="E1324" s="2">
        <v>41108</v>
      </c>
      <c r="F1324">
        <v>1372.78</v>
      </c>
      <c r="G1324">
        <v>589123776</v>
      </c>
    </row>
    <row r="1325" spans="5:7">
      <c r="E1325" s="2">
        <v>41107</v>
      </c>
      <c r="F1325">
        <v>1363.67</v>
      </c>
      <c r="G1325">
        <v>577939392</v>
      </c>
    </row>
    <row r="1326" spans="5:7">
      <c r="E1326" s="2">
        <v>41106</v>
      </c>
      <c r="F1326">
        <v>1353.64</v>
      </c>
      <c r="G1326">
        <v>471627040</v>
      </c>
    </row>
    <row r="1327" spans="5:7">
      <c r="E1327" s="2">
        <v>41103</v>
      </c>
      <c r="F1327">
        <v>1356.78</v>
      </c>
      <c r="G1327">
        <v>530837248</v>
      </c>
    </row>
    <row r="1328" spans="5:7">
      <c r="E1328" s="2">
        <v>41102</v>
      </c>
      <c r="F1328">
        <v>1334.76</v>
      </c>
      <c r="G1328">
        <v>611763840</v>
      </c>
    </row>
    <row r="1329" spans="5:7">
      <c r="E1329" s="2">
        <v>41101</v>
      </c>
      <c r="F1329">
        <v>1341.45</v>
      </c>
      <c r="G1329">
        <v>606265408</v>
      </c>
    </row>
    <row r="1330" spans="5:7">
      <c r="E1330" s="2">
        <v>41100</v>
      </c>
      <c r="F1330">
        <v>1341.47</v>
      </c>
      <c r="G1330">
        <v>568883904</v>
      </c>
    </row>
    <row r="1331" spans="5:7">
      <c r="E1331" s="2">
        <v>41099</v>
      </c>
      <c r="F1331">
        <v>1352.46</v>
      </c>
      <c r="G1331">
        <v>496238944</v>
      </c>
    </row>
    <row r="1332" spans="5:7">
      <c r="E1332" s="2">
        <v>41096</v>
      </c>
      <c r="F1332">
        <v>1354.68</v>
      </c>
      <c r="G1332">
        <v>483174464</v>
      </c>
    </row>
    <row r="1333" spans="5:7">
      <c r="E1333" s="2">
        <v>41095</v>
      </c>
      <c r="F1333">
        <v>1367.58</v>
      </c>
      <c r="G1333">
        <v>499612000</v>
      </c>
    </row>
    <row r="1334" spans="5:7">
      <c r="E1334" s="2">
        <v>41093</v>
      </c>
      <c r="F1334">
        <v>1374.02</v>
      </c>
      <c r="G1334">
        <v>340459616</v>
      </c>
    </row>
    <row r="1335" spans="5:7">
      <c r="E1335" s="2">
        <v>41092</v>
      </c>
      <c r="F1335">
        <v>1365.51</v>
      </c>
      <c r="G1335">
        <v>550391104</v>
      </c>
    </row>
    <row r="1336" spans="5:7">
      <c r="E1336" s="2">
        <v>41089</v>
      </c>
      <c r="F1336">
        <v>1362.16</v>
      </c>
      <c r="G1336">
        <v>862205952</v>
      </c>
    </row>
    <row r="1337" spans="5:7">
      <c r="E1337" s="2">
        <v>41088</v>
      </c>
      <c r="F1337">
        <v>1329.04</v>
      </c>
      <c r="G1337">
        <v>701561344</v>
      </c>
    </row>
    <row r="1338" spans="5:7">
      <c r="E1338" s="2">
        <v>41087</v>
      </c>
      <c r="F1338">
        <v>1331.85</v>
      </c>
      <c r="G1338">
        <v>508537824</v>
      </c>
    </row>
    <row r="1339" spans="5:7">
      <c r="E1339" s="2">
        <v>41086</v>
      </c>
      <c r="F1339">
        <v>1319.99</v>
      </c>
      <c r="G1339">
        <v>557936512</v>
      </c>
    </row>
    <row r="1340" spans="5:7">
      <c r="E1340" s="2">
        <v>41085</v>
      </c>
      <c r="F1340">
        <v>1313.72</v>
      </c>
      <c r="G1340">
        <v>605834880</v>
      </c>
    </row>
    <row r="1341" spans="5:7">
      <c r="E1341" s="2">
        <v>41082</v>
      </c>
      <c r="F1341">
        <v>1335.02</v>
      </c>
      <c r="G1341">
        <v>937475264</v>
      </c>
    </row>
    <row r="1342" spans="5:7">
      <c r="E1342" s="2">
        <v>41081</v>
      </c>
      <c r="F1342">
        <v>1325.51</v>
      </c>
      <c r="G1342">
        <v>687558976</v>
      </c>
    </row>
    <row r="1343" spans="5:7">
      <c r="E1343" s="2">
        <v>41080</v>
      </c>
      <c r="F1343">
        <v>1355.69</v>
      </c>
      <c r="G1343">
        <v>582090944</v>
      </c>
    </row>
    <row r="1344" spans="5:7">
      <c r="E1344" s="2">
        <v>41079</v>
      </c>
      <c r="F1344">
        <v>1357.98</v>
      </c>
      <c r="G1344">
        <v>594853952</v>
      </c>
    </row>
    <row r="1345" spans="5:7">
      <c r="E1345" s="2">
        <v>41078</v>
      </c>
      <c r="F1345">
        <v>1344.78</v>
      </c>
      <c r="G1345">
        <v>548918336</v>
      </c>
    </row>
    <row r="1346" spans="5:7">
      <c r="E1346" s="2">
        <v>41075</v>
      </c>
      <c r="F1346">
        <v>1342.84</v>
      </c>
      <c r="G1346">
        <v>1149111552</v>
      </c>
    </row>
    <row r="1347" spans="5:7">
      <c r="E1347" s="2">
        <v>41074</v>
      </c>
      <c r="F1347">
        <v>1329.1</v>
      </c>
      <c r="G1347">
        <v>616595840</v>
      </c>
    </row>
    <row r="1348" spans="5:7">
      <c r="E1348" s="2">
        <v>41073</v>
      </c>
      <c r="F1348">
        <v>1314.88</v>
      </c>
      <c r="G1348">
        <v>566078592</v>
      </c>
    </row>
    <row r="1349" spans="5:7">
      <c r="E1349" s="2">
        <v>41072</v>
      </c>
      <c r="F1349">
        <v>1324.18</v>
      </c>
      <c r="G1349">
        <v>586248896</v>
      </c>
    </row>
    <row r="1350" spans="5:7">
      <c r="E1350" s="2">
        <v>41071</v>
      </c>
      <c r="F1350">
        <v>1308.93</v>
      </c>
      <c r="G1350">
        <v>578636160</v>
      </c>
    </row>
    <row r="1351" spans="5:7">
      <c r="E1351" s="2">
        <v>41068</v>
      </c>
      <c r="F1351">
        <v>1325.66</v>
      </c>
      <c r="G1351">
        <v>539308864</v>
      </c>
    </row>
    <row r="1352" spans="5:7">
      <c r="E1352" s="2">
        <v>41067</v>
      </c>
      <c r="F1352">
        <v>1314.99</v>
      </c>
      <c r="G1352">
        <v>658585792</v>
      </c>
    </row>
    <row r="1353" spans="5:7">
      <c r="E1353" s="2">
        <v>41066</v>
      </c>
      <c r="F1353">
        <v>1315.13</v>
      </c>
      <c r="G1353">
        <v>666071424</v>
      </c>
    </row>
    <row r="1354" spans="5:7">
      <c r="E1354" s="2">
        <v>41065</v>
      </c>
      <c r="F1354">
        <v>1285.5</v>
      </c>
      <c r="G1354">
        <v>564873408</v>
      </c>
    </row>
    <row r="1355" spans="5:7">
      <c r="E1355" s="2">
        <v>41064</v>
      </c>
      <c r="F1355">
        <v>1278.18</v>
      </c>
      <c r="G1355">
        <v>647897664</v>
      </c>
    </row>
    <row r="1356" spans="5:7">
      <c r="E1356" s="2">
        <v>41061</v>
      </c>
      <c r="F1356">
        <v>1278.04</v>
      </c>
      <c r="G1356">
        <v>794839104</v>
      </c>
    </row>
    <row r="1357" spans="5:7">
      <c r="E1357" s="2">
        <v>41060</v>
      </c>
      <c r="F1357">
        <v>1310.33</v>
      </c>
      <c r="G1357">
        <v>951090816</v>
      </c>
    </row>
    <row r="1358" spans="5:7">
      <c r="E1358" s="2">
        <v>41059</v>
      </c>
      <c r="F1358">
        <v>1313.32</v>
      </c>
      <c r="G1358">
        <v>590658240</v>
      </c>
    </row>
    <row r="1359" spans="5:7">
      <c r="E1359" s="2">
        <v>41058</v>
      </c>
      <c r="F1359">
        <v>1332.42</v>
      </c>
      <c r="G1359">
        <v>560752832</v>
      </c>
    </row>
    <row r="1360" spans="5:7">
      <c r="E1360" s="2">
        <v>41054</v>
      </c>
      <c r="F1360">
        <v>1317.82</v>
      </c>
      <c r="G1360">
        <v>458230528</v>
      </c>
    </row>
    <row r="1361" spans="5:7">
      <c r="E1361" s="2">
        <v>41053</v>
      </c>
      <c r="F1361">
        <v>1320.68</v>
      </c>
      <c r="G1361">
        <v>624818240</v>
      </c>
    </row>
    <row r="1362" spans="5:7">
      <c r="E1362" s="2">
        <v>41052</v>
      </c>
      <c r="F1362">
        <v>1318.86</v>
      </c>
      <c r="G1362">
        <v>710563648</v>
      </c>
    </row>
    <row r="1363" spans="5:7">
      <c r="E1363" s="2">
        <v>41051</v>
      </c>
      <c r="F1363">
        <v>1316.63</v>
      </c>
      <c r="G1363">
        <v>649988224</v>
      </c>
    </row>
    <row r="1364" spans="5:7">
      <c r="E1364" s="2">
        <v>41050</v>
      </c>
      <c r="F1364">
        <v>1315.99</v>
      </c>
      <c r="G1364">
        <v>660701760</v>
      </c>
    </row>
    <row r="1365" spans="5:7">
      <c r="E1365" s="2">
        <v>41047</v>
      </c>
      <c r="F1365">
        <v>1295.22</v>
      </c>
      <c r="G1365">
        <v>999102144</v>
      </c>
    </row>
    <row r="1366" spans="5:7">
      <c r="E1366" s="2">
        <v>41046</v>
      </c>
      <c r="F1366">
        <v>1304.8599999999999</v>
      </c>
      <c r="G1366">
        <v>693854080</v>
      </c>
    </row>
    <row r="1367" spans="5:7">
      <c r="E1367" s="2">
        <v>41045</v>
      </c>
      <c r="F1367">
        <v>1324.8</v>
      </c>
      <c r="G1367">
        <v>677159360</v>
      </c>
    </row>
    <row r="1368" spans="5:7">
      <c r="E1368" s="2">
        <v>41044</v>
      </c>
      <c r="F1368">
        <v>1330.66</v>
      </c>
      <c r="G1368">
        <v>665603904</v>
      </c>
    </row>
    <row r="1369" spans="5:7">
      <c r="E1369" s="2">
        <v>41043</v>
      </c>
      <c r="F1369">
        <v>1338.35</v>
      </c>
      <c r="G1369">
        <v>641538624</v>
      </c>
    </row>
    <row r="1370" spans="5:7">
      <c r="E1370" s="2">
        <v>41040</v>
      </c>
      <c r="F1370">
        <v>1353.39</v>
      </c>
      <c r="G1370">
        <v>627982912</v>
      </c>
    </row>
    <row r="1371" spans="5:7">
      <c r="E1371" s="2">
        <v>41039</v>
      </c>
      <c r="F1371">
        <v>1357.99</v>
      </c>
      <c r="G1371">
        <v>657005760</v>
      </c>
    </row>
    <row r="1372" spans="5:7">
      <c r="E1372" s="2">
        <v>41038</v>
      </c>
      <c r="F1372">
        <v>1354.58</v>
      </c>
      <c r="G1372">
        <v>728912448</v>
      </c>
    </row>
    <row r="1373" spans="5:7">
      <c r="E1373" s="2">
        <v>41037</v>
      </c>
      <c r="F1373">
        <v>1363.72</v>
      </c>
      <c r="G1373">
        <v>690165760</v>
      </c>
    </row>
    <row r="1374" spans="5:7">
      <c r="E1374" s="2">
        <v>41036</v>
      </c>
      <c r="F1374">
        <v>1369.58</v>
      </c>
      <c r="G1374">
        <v>586001024</v>
      </c>
    </row>
    <row r="1375" spans="5:7">
      <c r="E1375" s="2">
        <v>41033</v>
      </c>
      <c r="F1375">
        <v>1369.1</v>
      </c>
      <c r="G1375">
        <v>596064448</v>
      </c>
    </row>
    <row r="1376" spans="5:7">
      <c r="E1376" s="2">
        <v>41032</v>
      </c>
      <c r="F1376">
        <v>1391.57</v>
      </c>
      <c r="G1376">
        <v>589986496</v>
      </c>
    </row>
    <row r="1377" spans="5:7">
      <c r="E1377" s="2">
        <v>41031</v>
      </c>
      <c r="F1377">
        <v>1402.31</v>
      </c>
      <c r="G1377">
        <v>554809152</v>
      </c>
    </row>
    <row r="1378" spans="5:7">
      <c r="E1378" s="2">
        <v>41030</v>
      </c>
      <c r="F1378">
        <v>1405.82</v>
      </c>
      <c r="G1378">
        <v>573667392</v>
      </c>
    </row>
    <row r="1379" spans="5:7">
      <c r="E1379" s="2">
        <v>41029</v>
      </c>
      <c r="F1379">
        <v>1397.91</v>
      </c>
      <c r="G1379">
        <v>614539008</v>
      </c>
    </row>
    <row r="1380" spans="5:7">
      <c r="E1380" s="2">
        <v>41026</v>
      </c>
      <c r="F1380">
        <v>1403.36</v>
      </c>
      <c r="G1380">
        <v>582286848</v>
      </c>
    </row>
    <row r="1381" spans="5:7">
      <c r="E1381" s="2">
        <v>41025</v>
      </c>
      <c r="F1381">
        <v>1399.98</v>
      </c>
      <c r="G1381">
        <v>599315136</v>
      </c>
    </row>
    <row r="1382" spans="5:7">
      <c r="E1382" s="2">
        <v>41024</v>
      </c>
      <c r="F1382">
        <v>1390.69</v>
      </c>
      <c r="G1382">
        <v>641079296</v>
      </c>
    </row>
    <row r="1383" spans="5:7">
      <c r="E1383" s="2">
        <v>41023</v>
      </c>
      <c r="F1383">
        <v>1371.97</v>
      </c>
      <c r="G1383">
        <v>617978304</v>
      </c>
    </row>
    <row r="1384" spans="5:7">
      <c r="E1384" s="2">
        <v>41022</v>
      </c>
      <c r="F1384">
        <v>1366.94</v>
      </c>
      <c r="G1384">
        <v>642154880</v>
      </c>
    </row>
    <row r="1385" spans="5:7">
      <c r="E1385" s="2">
        <v>41019</v>
      </c>
      <c r="F1385">
        <v>1378.53</v>
      </c>
      <c r="G1385">
        <v>887960832</v>
      </c>
    </row>
    <row r="1386" spans="5:7">
      <c r="E1386" s="2">
        <v>41018</v>
      </c>
      <c r="F1386">
        <v>1376.92</v>
      </c>
      <c r="G1386">
        <v>676165056</v>
      </c>
    </row>
    <row r="1387" spans="5:7">
      <c r="E1387" s="2">
        <v>41017</v>
      </c>
      <c r="F1387">
        <v>1385.14</v>
      </c>
      <c r="G1387">
        <v>582061888</v>
      </c>
    </row>
    <row r="1388" spans="5:7">
      <c r="E1388" s="2">
        <v>41016</v>
      </c>
      <c r="F1388">
        <v>1390.78</v>
      </c>
      <c r="G1388">
        <v>566529216</v>
      </c>
    </row>
    <row r="1389" spans="5:7">
      <c r="E1389" s="2">
        <v>41015</v>
      </c>
      <c r="F1389">
        <v>1369.57</v>
      </c>
      <c r="G1389">
        <v>596952128</v>
      </c>
    </row>
    <row r="1390" spans="5:7">
      <c r="E1390" s="2">
        <v>41012</v>
      </c>
      <c r="F1390">
        <v>1370.26</v>
      </c>
      <c r="G1390">
        <v>631237824</v>
      </c>
    </row>
    <row r="1391" spans="5:7">
      <c r="E1391" s="2">
        <v>41011</v>
      </c>
      <c r="F1391">
        <v>1387.57</v>
      </c>
      <c r="G1391">
        <v>547368832</v>
      </c>
    </row>
    <row r="1392" spans="5:7">
      <c r="E1392" s="2">
        <v>41010</v>
      </c>
      <c r="F1392">
        <v>1368.71</v>
      </c>
      <c r="G1392">
        <v>593003200</v>
      </c>
    </row>
    <row r="1393" spans="5:7">
      <c r="E1393" s="2">
        <v>41009</v>
      </c>
      <c r="F1393">
        <v>1358.59</v>
      </c>
      <c r="G1393">
        <v>733544256</v>
      </c>
    </row>
    <row r="1394" spans="5:7">
      <c r="E1394" s="2">
        <v>41008</v>
      </c>
      <c r="F1394">
        <v>1382.2</v>
      </c>
      <c r="G1394">
        <v>538616704</v>
      </c>
    </row>
    <row r="1395" spans="5:7">
      <c r="E1395" s="2">
        <v>41004</v>
      </c>
      <c r="F1395">
        <v>1398.08</v>
      </c>
      <c r="G1395">
        <v>595254336</v>
      </c>
    </row>
    <row r="1396" spans="5:7">
      <c r="E1396" s="2">
        <v>41003</v>
      </c>
      <c r="F1396">
        <v>1398.96</v>
      </c>
      <c r="G1396">
        <v>640463488</v>
      </c>
    </row>
    <row r="1397" spans="5:7">
      <c r="E1397" s="2">
        <v>41002</v>
      </c>
      <c r="F1397">
        <v>1413.38</v>
      </c>
      <c r="G1397">
        <v>652731648</v>
      </c>
    </row>
    <row r="1398" spans="5:7">
      <c r="E1398" s="2">
        <v>41001</v>
      </c>
      <c r="F1398">
        <v>1419.04</v>
      </c>
      <c r="G1398">
        <v>588870656</v>
      </c>
    </row>
    <row r="1399" spans="5:7">
      <c r="E1399" s="2">
        <v>40998</v>
      </c>
      <c r="F1399">
        <v>1408.47</v>
      </c>
      <c r="G1399">
        <v>755153792</v>
      </c>
    </row>
    <row r="1400" spans="5:7">
      <c r="E1400" s="2">
        <v>40997</v>
      </c>
      <c r="F1400">
        <v>1403.28</v>
      </c>
      <c r="G1400">
        <v>628170560</v>
      </c>
    </row>
    <row r="1401" spans="5:7">
      <c r="E1401" s="2">
        <v>40996</v>
      </c>
      <c r="F1401">
        <v>1405.54</v>
      </c>
      <c r="G1401">
        <v>645212416</v>
      </c>
    </row>
    <row r="1402" spans="5:7">
      <c r="E1402" s="2">
        <v>40995</v>
      </c>
      <c r="F1402">
        <v>1412.52</v>
      </c>
      <c r="G1402">
        <v>562274112</v>
      </c>
    </row>
    <row r="1403" spans="5:7">
      <c r="E1403" s="2">
        <v>40994</v>
      </c>
      <c r="F1403">
        <v>1416.51</v>
      </c>
      <c r="G1403">
        <v>565915584</v>
      </c>
    </row>
    <row r="1404" spans="5:7">
      <c r="E1404" s="2">
        <v>40991</v>
      </c>
      <c r="F1404">
        <v>1397.11</v>
      </c>
      <c r="G1404">
        <v>576321792</v>
      </c>
    </row>
    <row r="1405" spans="5:7">
      <c r="E1405" s="2">
        <v>40990</v>
      </c>
      <c r="F1405">
        <v>1392.78</v>
      </c>
      <c r="G1405">
        <v>580947520</v>
      </c>
    </row>
    <row r="1406" spans="5:7">
      <c r="E1406" s="2">
        <v>40989</v>
      </c>
      <c r="F1406">
        <v>1402.89</v>
      </c>
      <c r="G1406">
        <v>589411968</v>
      </c>
    </row>
    <row r="1407" spans="5:7">
      <c r="E1407" s="2">
        <v>40988</v>
      </c>
      <c r="F1407">
        <v>1405.52</v>
      </c>
      <c r="G1407">
        <v>560849536</v>
      </c>
    </row>
    <row r="1408" spans="5:7">
      <c r="E1408" s="2">
        <v>40987</v>
      </c>
      <c r="F1408">
        <v>1409.75</v>
      </c>
      <c r="G1408">
        <v>558778368</v>
      </c>
    </row>
    <row r="1409" spans="5:7">
      <c r="E1409" s="2">
        <v>40984</v>
      </c>
      <c r="F1409">
        <v>1404.17</v>
      </c>
      <c r="G1409">
        <v>1362302336</v>
      </c>
    </row>
    <row r="1410" spans="5:7">
      <c r="E1410" s="2">
        <v>40983</v>
      </c>
      <c r="F1410">
        <v>1402.6</v>
      </c>
      <c r="G1410">
        <v>677947840</v>
      </c>
    </row>
    <row r="1411" spans="5:7">
      <c r="E1411" s="2">
        <v>40982</v>
      </c>
      <c r="F1411">
        <v>1394.28</v>
      </c>
      <c r="G1411">
        <v>688684032</v>
      </c>
    </row>
    <row r="1412" spans="5:7">
      <c r="E1412" s="2">
        <v>40981</v>
      </c>
      <c r="F1412">
        <v>1395.95</v>
      </c>
      <c r="G1412">
        <v>684474432</v>
      </c>
    </row>
    <row r="1413" spans="5:7">
      <c r="E1413" s="2">
        <v>40980</v>
      </c>
      <c r="F1413">
        <v>1371.09</v>
      </c>
      <c r="G1413">
        <v>481857344</v>
      </c>
    </row>
    <row r="1414" spans="5:7">
      <c r="E1414" s="2">
        <v>40977</v>
      </c>
      <c r="F1414">
        <v>1370.87</v>
      </c>
      <c r="G1414">
        <v>524496608</v>
      </c>
    </row>
    <row r="1415" spans="5:7">
      <c r="E1415" s="2">
        <v>40976</v>
      </c>
      <c r="F1415">
        <v>1365.91</v>
      </c>
      <c r="G1415">
        <v>540003712</v>
      </c>
    </row>
    <row r="1416" spans="5:7">
      <c r="E1416" s="2">
        <v>40975</v>
      </c>
      <c r="F1416">
        <v>1352.63</v>
      </c>
      <c r="G1416">
        <v>625659776</v>
      </c>
    </row>
    <row r="1417" spans="5:7">
      <c r="E1417" s="2">
        <v>40974</v>
      </c>
      <c r="F1417">
        <v>1343.36</v>
      </c>
      <c r="G1417">
        <v>667561856</v>
      </c>
    </row>
    <row r="1418" spans="5:7">
      <c r="E1418" s="2">
        <v>40973</v>
      </c>
      <c r="F1418">
        <v>1364.33</v>
      </c>
      <c r="G1418">
        <v>538399168</v>
      </c>
    </row>
    <row r="1419" spans="5:7">
      <c r="E1419" s="2">
        <v>40970</v>
      </c>
      <c r="F1419">
        <v>1369.63</v>
      </c>
      <c r="G1419">
        <v>478462848</v>
      </c>
    </row>
    <row r="1420" spans="5:7">
      <c r="E1420" s="2">
        <v>40969</v>
      </c>
      <c r="F1420">
        <v>1374.09</v>
      </c>
      <c r="G1420">
        <v>626351040</v>
      </c>
    </row>
    <row r="1421" spans="5:7">
      <c r="E1421" s="2">
        <v>40968</v>
      </c>
      <c r="F1421">
        <v>1365.68</v>
      </c>
      <c r="G1421">
        <v>855129856</v>
      </c>
    </row>
    <row r="1422" spans="5:7">
      <c r="E1422" s="2">
        <v>40967</v>
      </c>
      <c r="F1422">
        <v>1372.18</v>
      </c>
      <c r="G1422">
        <v>596843712</v>
      </c>
    </row>
    <row r="1423" spans="5:7">
      <c r="E1423" s="2">
        <v>40966</v>
      </c>
      <c r="F1423">
        <v>1367.59</v>
      </c>
      <c r="G1423">
        <v>582264128</v>
      </c>
    </row>
    <row r="1424" spans="5:7">
      <c r="E1424" s="2">
        <v>40963</v>
      </c>
      <c r="F1424">
        <v>1365.74</v>
      </c>
      <c r="G1424">
        <v>481739680</v>
      </c>
    </row>
    <row r="1425" spans="5:7">
      <c r="E1425" s="2">
        <v>40962</v>
      </c>
      <c r="F1425">
        <v>1363.46</v>
      </c>
      <c r="G1425">
        <v>580674240</v>
      </c>
    </row>
    <row r="1426" spans="5:7">
      <c r="E1426" s="2">
        <v>40961</v>
      </c>
      <c r="F1426">
        <v>1357.66</v>
      </c>
      <c r="G1426">
        <v>584640384</v>
      </c>
    </row>
    <row r="1427" spans="5:7">
      <c r="E1427" s="2">
        <v>40960</v>
      </c>
      <c r="F1427">
        <v>1362.21</v>
      </c>
      <c r="G1427">
        <v>645263296</v>
      </c>
    </row>
    <row r="1428" spans="5:7">
      <c r="E1428" s="2">
        <v>40956</v>
      </c>
      <c r="F1428">
        <v>1361.23</v>
      </c>
      <c r="G1428">
        <v>864006912</v>
      </c>
    </row>
    <row r="1429" spans="5:7">
      <c r="E1429" s="2">
        <v>40955</v>
      </c>
      <c r="F1429">
        <v>1358.04</v>
      </c>
      <c r="G1429">
        <v>626443520</v>
      </c>
    </row>
    <row r="1430" spans="5:7">
      <c r="E1430" s="2">
        <v>40954</v>
      </c>
      <c r="F1430">
        <v>1343.23</v>
      </c>
      <c r="G1430">
        <v>641017600</v>
      </c>
    </row>
    <row r="1431" spans="5:7">
      <c r="E1431" s="2">
        <v>40953</v>
      </c>
      <c r="F1431">
        <v>1350.5</v>
      </c>
      <c r="G1431">
        <v>642037056</v>
      </c>
    </row>
    <row r="1432" spans="5:7">
      <c r="E1432" s="2">
        <v>40952</v>
      </c>
      <c r="F1432">
        <v>1351.77</v>
      </c>
      <c r="G1432">
        <v>516968160</v>
      </c>
    </row>
    <row r="1433" spans="5:7">
      <c r="E1433" s="2">
        <v>40949</v>
      </c>
      <c r="F1433">
        <v>1342.64</v>
      </c>
      <c r="G1433">
        <v>585432192</v>
      </c>
    </row>
    <row r="1434" spans="5:7">
      <c r="E1434" s="2">
        <v>40948</v>
      </c>
      <c r="F1434">
        <v>1351.95</v>
      </c>
      <c r="G1434">
        <v>626872192</v>
      </c>
    </row>
    <row r="1435" spans="5:7">
      <c r="E1435" s="2">
        <v>40947</v>
      </c>
      <c r="F1435">
        <v>1349.96</v>
      </c>
      <c r="G1435">
        <v>610168512</v>
      </c>
    </row>
    <row r="1436" spans="5:7">
      <c r="E1436" s="2">
        <v>40946</v>
      </c>
      <c r="F1436">
        <v>1347.05</v>
      </c>
      <c r="G1436">
        <v>545415168</v>
      </c>
    </row>
    <row r="1437" spans="5:7">
      <c r="E1437" s="2">
        <v>40945</v>
      </c>
      <c r="F1437">
        <v>1344.33</v>
      </c>
      <c r="G1437">
        <v>539291520</v>
      </c>
    </row>
    <row r="1438" spans="5:7">
      <c r="E1438" s="2">
        <v>40942</v>
      </c>
      <c r="F1438">
        <v>1344.9</v>
      </c>
      <c r="G1438">
        <v>676318592</v>
      </c>
    </row>
    <row r="1439" spans="5:7">
      <c r="E1439" s="2">
        <v>40941</v>
      </c>
      <c r="F1439">
        <v>1325.54</v>
      </c>
      <c r="G1439">
        <v>592382336</v>
      </c>
    </row>
    <row r="1440" spans="5:7">
      <c r="E1440" s="2">
        <v>40940</v>
      </c>
      <c r="F1440">
        <v>1324.09</v>
      </c>
      <c r="G1440">
        <v>684278912</v>
      </c>
    </row>
    <row r="1441" spans="5:7">
      <c r="E1441" s="2">
        <v>40939</v>
      </c>
      <c r="F1441">
        <v>1312.41</v>
      </c>
      <c r="G1441">
        <v>805851584</v>
      </c>
    </row>
    <row r="1442" spans="5:7">
      <c r="E1442" s="2">
        <v>40938</v>
      </c>
      <c r="F1442">
        <v>1313.01</v>
      </c>
      <c r="G1442">
        <v>585224960</v>
      </c>
    </row>
    <row r="1443" spans="5:7">
      <c r="E1443" s="2">
        <v>40935</v>
      </c>
      <c r="F1443">
        <v>1316.33</v>
      </c>
      <c r="G1443">
        <v>684854528</v>
      </c>
    </row>
    <row r="1444" spans="5:7">
      <c r="E1444" s="2">
        <v>40934</v>
      </c>
      <c r="F1444">
        <v>1318.43</v>
      </c>
      <c r="G1444">
        <v>713939968</v>
      </c>
    </row>
    <row r="1445" spans="5:7">
      <c r="E1445" s="2">
        <v>40933</v>
      </c>
      <c r="F1445">
        <v>1326.05</v>
      </c>
      <c r="G1445">
        <v>715988288</v>
      </c>
    </row>
    <row r="1446" spans="5:7">
      <c r="E1446" s="2">
        <v>40932</v>
      </c>
      <c r="F1446">
        <v>1314.65</v>
      </c>
      <c r="G1446">
        <v>602734336</v>
      </c>
    </row>
    <row r="1447" spans="5:7">
      <c r="E1447" s="2">
        <v>40931</v>
      </c>
      <c r="F1447">
        <v>1316</v>
      </c>
      <c r="G1447">
        <v>597476352</v>
      </c>
    </row>
    <row r="1448" spans="5:7">
      <c r="E1448" s="2">
        <v>40928</v>
      </c>
      <c r="F1448">
        <v>1315.38</v>
      </c>
      <c r="G1448">
        <v>893773376</v>
      </c>
    </row>
    <row r="1449" spans="5:7">
      <c r="E1449" s="2">
        <v>40927</v>
      </c>
      <c r="F1449">
        <v>1314.5</v>
      </c>
      <c r="G1449">
        <v>682343744</v>
      </c>
    </row>
    <row r="1450" spans="5:7">
      <c r="E1450" s="2">
        <v>40926</v>
      </c>
      <c r="F1450">
        <v>1308.04</v>
      </c>
      <c r="G1450">
        <v>704686400</v>
      </c>
    </row>
    <row r="1451" spans="5:7">
      <c r="E1451" s="2">
        <v>40925</v>
      </c>
      <c r="F1451">
        <v>1293.67</v>
      </c>
      <c r="G1451">
        <v>654204800</v>
      </c>
    </row>
    <row r="1452" spans="5:7">
      <c r="E1452" s="2">
        <v>40921</v>
      </c>
      <c r="F1452">
        <v>1289.0899999999999</v>
      </c>
      <c r="G1452">
        <v>665046464</v>
      </c>
    </row>
    <row r="1453" spans="5:7">
      <c r="E1453" s="2">
        <v>40920</v>
      </c>
      <c r="F1453">
        <v>1295.5</v>
      </c>
      <c r="G1453">
        <v>590075648</v>
      </c>
    </row>
    <row r="1454" spans="5:7">
      <c r="E1454" s="2">
        <v>40919</v>
      </c>
      <c r="F1454">
        <v>1292.48</v>
      </c>
      <c r="G1454">
        <v>577531904</v>
      </c>
    </row>
    <row r="1455" spans="5:7">
      <c r="E1455" s="2">
        <v>40918</v>
      </c>
      <c r="F1455">
        <v>1292.08</v>
      </c>
      <c r="G1455">
        <v>665245376</v>
      </c>
    </row>
    <row r="1456" spans="5:7">
      <c r="E1456" s="2">
        <v>40917</v>
      </c>
      <c r="F1456">
        <v>1280.7</v>
      </c>
      <c r="G1456">
        <v>592425728</v>
      </c>
    </row>
    <row r="1457" spans="5:7">
      <c r="E1457" s="2">
        <v>40914</v>
      </c>
      <c r="F1457">
        <v>1277.81</v>
      </c>
      <c r="G1457">
        <v>596105152</v>
      </c>
    </row>
    <row r="1458" spans="5:7">
      <c r="E1458" s="2">
        <v>40913</v>
      </c>
      <c r="F1458">
        <v>1281.06</v>
      </c>
      <c r="G1458">
        <v>676180992</v>
      </c>
    </row>
    <row r="1459" spans="5:7">
      <c r="E1459" s="2">
        <v>40912</v>
      </c>
      <c r="F1459">
        <v>1277.3</v>
      </c>
      <c r="G1459">
        <v>640869440</v>
      </c>
    </row>
    <row r="1460" spans="5:7">
      <c r="E1460" s="2">
        <v>40911</v>
      </c>
      <c r="F1460">
        <v>1277.06</v>
      </c>
      <c r="G1460">
        <v>678971776</v>
      </c>
    </row>
    <row r="1461" spans="5:7">
      <c r="E1461" s="2">
        <v>40907</v>
      </c>
      <c r="F1461">
        <v>1257.5999999999999</v>
      </c>
      <c r="G1461">
        <v>423308640</v>
      </c>
    </row>
    <row r="1462" spans="5:7">
      <c r="E1462" s="2">
        <v>40906</v>
      </c>
      <c r="F1462">
        <v>1263.02</v>
      </c>
      <c r="G1462">
        <v>375277760</v>
      </c>
    </row>
    <row r="1463" spans="5:7">
      <c r="E1463" s="2">
        <v>40905</v>
      </c>
      <c r="F1463">
        <v>1249.6400000000001</v>
      </c>
      <c r="G1463">
        <v>388452384</v>
      </c>
    </row>
    <row r="1464" spans="5:7">
      <c r="E1464" s="2">
        <v>40904</v>
      </c>
      <c r="F1464">
        <v>1265.43</v>
      </c>
      <c r="G1464">
        <v>347169408</v>
      </c>
    </row>
    <row r="1465" spans="5:7">
      <c r="E1465" s="2">
        <v>40900</v>
      </c>
      <c r="F1465">
        <v>1265.33</v>
      </c>
      <c r="G1465">
        <v>352978240</v>
      </c>
    </row>
    <row r="1466" spans="5:7">
      <c r="E1466" s="2">
        <v>40899</v>
      </c>
      <c r="F1466">
        <v>1254</v>
      </c>
      <c r="G1466">
        <v>615205248</v>
      </c>
    </row>
    <row r="1467" spans="5:7">
      <c r="E1467" s="2">
        <v>40898</v>
      </c>
      <c r="F1467">
        <v>1243.72</v>
      </c>
      <c r="G1467">
        <v>716011712</v>
      </c>
    </row>
    <row r="1468" spans="5:7">
      <c r="E1468" s="2">
        <v>40897</v>
      </c>
      <c r="F1468">
        <v>1241.3</v>
      </c>
      <c r="G1468">
        <v>742044672</v>
      </c>
    </row>
    <row r="1469" spans="5:7">
      <c r="E1469" s="2">
        <v>40896</v>
      </c>
      <c r="F1469">
        <v>1205.3499999999999</v>
      </c>
      <c r="G1469">
        <v>571465536</v>
      </c>
    </row>
    <row r="1470" spans="5:7">
      <c r="E1470" s="2">
        <v>40893</v>
      </c>
      <c r="F1470">
        <v>1219.6600000000001</v>
      </c>
      <c r="G1470">
        <v>1403694336</v>
      </c>
    </row>
    <row r="1471" spans="5:7">
      <c r="E1471" s="2">
        <v>40892</v>
      </c>
      <c r="F1471">
        <v>1215.75</v>
      </c>
      <c r="G1471">
        <v>651875264</v>
      </c>
    </row>
    <row r="1472" spans="5:7">
      <c r="E1472" s="2">
        <v>40891</v>
      </c>
      <c r="F1472">
        <v>1211.82</v>
      </c>
      <c r="G1472">
        <v>698691520</v>
      </c>
    </row>
    <row r="1473" spans="5:7">
      <c r="E1473" s="2">
        <v>40890</v>
      </c>
      <c r="F1473">
        <v>1225.73</v>
      </c>
      <c r="G1473">
        <v>735700608</v>
      </c>
    </row>
    <row r="1474" spans="5:7">
      <c r="E1474" s="2">
        <v>40889</v>
      </c>
      <c r="F1474">
        <v>1236.47</v>
      </c>
      <c r="G1474">
        <v>619167936</v>
      </c>
    </row>
    <row r="1475" spans="5:7">
      <c r="E1475" s="2">
        <v>40886</v>
      </c>
      <c r="F1475">
        <v>1255.19</v>
      </c>
      <c r="G1475">
        <v>608042688</v>
      </c>
    </row>
    <row r="1476" spans="5:7">
      <c r="E1476" s="2">
        <v>40885</v>
      </c>
      <c r="F1476">
        <v>1234.3499999999999</v>
      </c>
      <c r="G1476">
        <v>711271040</v>
      </c>
    </row>
    <row r="1477" spans="5:7">
      <c r="E1477" s="2">
        <v>40884</v>
      </c>
      <c r="F1477">
        <v>1261.01</v>
      </c>
      <c r="G1477">
        <v>717721728</v>
      </c>
    </row>
    <row r="1478" spans="5:7">
      <c r="E1478" s="2">
        <v>40883</v>
      </c>
      <c r="F1478">
        <v>1258.47</v>
      </c>
      <c r="G1478">
        <v>595272128</v>
      </c>
    </row>
    <row r="1479" spans="5:7">
      <c r="E1479" s="2">
        <v>40882</v>
      </c>
      <c r="F1479">
        <v>1257.08</v>
      </c>
      <c r="G1479">
        <v>682966016</v>
      </c>
    </row>
    <row r="1480" spans="5:7">
      <c r="E1480" s="2">
        <v>40879</v>
      </c>
      <c r="F1480">
        <v>1244.28</v>
      </c>
      <c r="G1480">
        <v>665004352</v>
      </c>
    </row>
    <row r="1481" spans="5:7">
      <c r="E1481" s="2">
        <v>40878</v>
      </c>
      <c r="F1481">
        <v>1244.58</v>
      </c>
      <c r="G1481">
        <v>616441472</v>
      </c>
    </row>
    <row r="1482" spans="5:7">
      <c r="E1482" s="2">
        <v>40877</v>
      </c>
      <c r="F1482">
        <v>1246.96</v>
      </c>
      <c r="G1482">
        <v>1174718848</v>
      </c>
    </row>
    <row r="1483" spans="5:7">
      <c r="E1483" s="2">
        <v>40876</v>
      </c>
      <c r="F1483">
        <v>1195.19</v>
      </c>
      <c r="G1483">
        <v>647776448</v>
      </c>
    </row>
    <row r="1484" spans="5:7">
      <c r="E1484" s="2">
        <v>40875</v>
      </c>
      <c r="F1484">
        <v>1192.55</v>
      </c>
      <c r="G1484">
        <v>739485760</v>
      </c>
    </row>
    <row r="1485" spans="5:7">
      <c r="E1485" s="2">
        <v>40872</v>
      </c>
      <c r="F1485">
        <v>1158.67</v>
      </c>
      <c r="G1485">
        <v>336106560</v>
      </c>
    </row>
    <row r="1486" spans="5:7">
      <c r="E1486" s="2">
        <v>40870</v>
      </c>
      <c r="F1486">
        <v>1161.79</v>
      </c>
      <c r="G1486">
        <v>689939008</v>
      </c>
    </row>
    <row r="1487" spans="5:7">
      <c r="E1487" s="2">
        <v>40869</v>
      </c>
      <c r="F1487">
        <v>1188.04</v>
      </c>
      <c r="G1487">
        <v>675118592</v>
      </c>
    </row>
    <row r="1488" spans="5:7">
      <c r="E1488" s="2">
        <v>40868</v>
      </c>
      <c r="F1488">
        <v>1192.98</v>
      </c>
      <c r="G1488">
        <v>735888640</v>
      </c>
    </row>
    <row r="1489" spans="5:7">
      <c r="E1489" s="2">
        <v>40865</v>
      </c>
      <c r="F1489">
        <v>1215.6500000000001</v>
      </c>
      <c r="G1489">
        <v>788257152</v>
      </c>
    </row>
    <row r="1490" spans="5:7">
      <c r="E1490" s="2">
        <v>40864</v>
      </c>
      <c r="F1490">
        <v>1216.1300000000001</v>
      </c>
      <c r="G1490">
        <v>823107392</v>
      </c>
    </row>
    <row r="1491" spans="5:7">
      <c r="E1491" s="2">
        <v>40863</v>
      </c>
      <c r="F1491">
        <v>1236.9100000000001</v>
      </c>
      <c r="G1491">
        <v>754136704</v>
      </c>
    </row>
    <row r="1492" spans="5:7">
      <c r="E1492" s="2">
        <v>40862</v>
      </c>
      <c r="F1492">
        <v>1257.81</v>
      </c>
      <c r="G1492">
        <v>624798272</v>
      </c>
    </row>
    <row r="1493" spans="5:7">
      <c r="E1493" s="2">
        <v>40861</v>
      </c>
      <c r="F1493">
        <v>1251.78</v>
      </c>
      <c r="G1493">
        <v>533713376</v>
      </c>
    </row>
    <row r="1494" spans="5:7">
      <c r="E1494" s="2">
        <v>40858</v>
      </c>
      <c r="F1494">
        <v>1263.8499999999999</v>
      </c>
      <c r="G1494">
        <v>576876416</v>
      </c>
    </row>
    <row r="1495" spans="5:7">
      <c r="E1495" s="2">
        <v>40857</v>
      </c>
      <c r="F1495">
        <v>1239.69</v>
      </c>
      <c r="G1495">
        <v>694675520</v>
      </c>
    </row>
    <row r="1496" spans="5:7">
      <c r="E1496" s="2">
        <v>40856</v>
      </c>
      <c r="F1496">
        <v>1229.0999999999999</v>
      </c>
      <c r="G1496">
        <v>853225920</v>
      </c>
    </row>
    <row r="1497" spans="5:7">
      <c r="E1497" s="2">
        <v>40855</v>
      </c>
      <c r="F1497">
        <v>1275.92</v>
      </c>
      <c r="G1497">
        <v>659229568</v>
      </c>
    </row>
    <row r="1498" spans="5:7">
      <c r="E1498" s="2">
        <v>40854</v>
      </c>
      <c r="F1498">
        <v>1261.1199999999999</v>
      </c>
      <c r="G1498">
        <v>599872256</v>
      </c>
    </row>
    <row r="1499" spans="5:7">
      <c r="E1499" s="2">
        <v>40851</v>
      </c>
      <c r="F1499">
        <v>1253.23</v>
      </c>
      <c r="G1499">
        <v>650549504</v>
      </c>
    </row>
    <row r="1500" spans="5:7">
      <c r="E1500" s="2">
        <v>40850</v>
      </c>
      <c r="F1500">
        <v>1261.1500000000001</v>
      </c>
      <c r="G1500">
        <v>794789568</v>
      </c>
    </row>
    <row r="1501" spans="5:7">
      <c r="E1501" s="2">
        <v>40849</v>
      </c>
      <c r="F1501">
        <v>1237.9000000000001</v>
      </c>
      <c r="G1501">
        <v>752824832</v>
      </c>
    </row>
    <row r="1502" spans="5:7">
      <c r="E1502" s="2">
        <v>40848</v>
      </c>
      <c r="F1502">
        <v>1218.28</v>
      </c>
      <c r="G1502">
        <v>1000933568</v>
      </c>
    </row>
    <row r="1503" spans="5:7">
      <c r="E1503" s="2">
        <v>40847</v>
      </c>
      <c r="F1503">
        <v>1253.3</v>
      </c>
      <c r="G1503">
        <v>860682432</v>
      </c>
    </row>
    <row r="1504" spans="5:7">
      <c r="E1504" s="2">
        <v>40844</v>
      </c>
      <c r="F1504">
        <v>1285.0899999999999</v>
      </c>
      <c r="G1504">
        <v>773868032</v>
      </c>
    </row>
    <row r="1505" spans="5:7">
      <c r="E1505" s="2">
        <v>40843</v>
      </c>
      <c r="F1505">
        <v>1284.5899999999999</v>
      </c>
      <c r="G1505">
        <v>1061435392</v>
      </c>
    </row>
    <row r="1506" spans="5:7">
      <c r="E1506" s="2">
        <v>40842</v>
      </c>
      <c r="F1506">
        <v>1242</v>
      </c>
      <c r="G1506">
        <v>893196416</v>
      </c>
    </row>
    <row r="1507" spans="5:7">
      <c r="E1507" s="2">
        <v>40841</v>
      </c>
      <c r="F1507">
        <v>1229.05</v>
      </c>
      <c r="G1507">
        <v>775854656</v>
      </c>
    </row>
    <row r="1508" spans="5:7">
      <c r="E1508" s="2">
        <v>40840</v>
      </c>
      <c r="F1508">
        <v>1254.19</v>
      </c>
      <c r="G1508">
        <v>702781056</v>
      </c>
    </row>
    <row r="1509" spans="5:7">
      <c r="E1509" s="2">
        <v>40837</v>
      </c>
      <c r="F1509">
        <v>1238.25</v>
      </c>
      <c r="G1509">
        <v>1040171136</v>
      </c>
    </row>
    <row r="1510" spans="5:7">
      <c r="E1510" s="2">
        <v>40836</v>
      </c>
      <c r="F1510">
        <v>1215.3900000000001</v>
      </c>
      <c r="G1510">
        <v>769308288</v>
      </c>
    </row>
    <row r="1511" spans="5:7">
      <c r="E1511" s="2">
        <v>40835</v>
      </c>
      <c r="F1511">
        <v>1209.8800000000001</v>
      </c>
      <c r="G1511">
        <v>777040576</v>
      </c>
    </row>
    <row r="1512" spans="5:7">
      <c r="E1512" s="2">
        <v>40834</v>
      </c>
      <c r="F1512">
        <v>1225.3800000000001</v>
      </c>
      <c r="G1512">
        <v>857912320</v>
      </c>
    </row>
    <row r="1513" spans="5:7">
      <c r="E1513" s="2">
        <v>40833</v>
      </c>
      <c r="F1513">
        <v>1200.8599999999999</v>
      </c>
      <c r="G1513">
        <v>679536576</v>
      </c>
    </row>
    <row r="1514" spans="5:7">
      <c r="E1514" s="2">
        <v>40830</v>
      </c>
      <c r="F1514">
        <v>1224.58</v>
      </c>
      <c r="G1514">
        <v>628090496</v>
      </c>
    </row>
    <row r="1515" spans="5:7">
      <c r="E1515" s="2">
        <v>40829</v>
      </c>
      <c r="F1515">
        <v>1203.6600000000001</v>
      </c>
      <c r="G1515">
        <v>678827456</v>
      </c>
    </row>
    <row r="1516" spans="5:7">
      <c r="E1516" s="2">
        <v>40828</v>
      </c>
      <c r="F1516">
        <v>1207.25</v>
      </c>
      <c r="G1516">
        <v>806641600</v>
      </c>
    </row>
    <row r="1517" spans="5:7">
      <c r="E1517" s="2">
        <v>40827</v>
      </c>
      <c r="F1517">
        <v>1195.54</v>
      </c>
      <c r="G1517">
        <v>650633344</v>
      </c>
    </row>
    <row r="1518" spans="5:7">
      <c r="E1518" s="2">
        <v>40826</v>
      </c>
      <c r="F1518">
        <v>1194.8900000000001</v>
      </c>
      <c r="G1518">
        <v>655061120</v>
      </c>
    </row>
    <row r="1519" spans="5:7">
      <c r="E1519" s="2">
        <v>40823</v>
      </c>
      <c r="F1519">
        <v>1155.46</v>
      </c>
      <c r="G1519">
        <v>882058496</v>
      </c>
    </row>
    <row r="1520" spans="5:7">
      <c r="E1520" s="2">
        <v>40822</v>
      </c>
      <c r="F1520">
        <v>1164.97</v>
      </c>
      <c r="G1520">
        <v>851418304</v>
      </c>
    </row>
    <row r="1521" spans="5:7">
      <c r="E1521" s="2">
        <v>40821</v>
      </c>
      <c r="F1521">
        <v>1144.03</v>
      </c>
      <c r="G1521">
        <v>974371648</v>
      </c>
    </row>
    <row r="1522" spans="5:7">
      <c r="E1522" s="2">
        <v>40820</v>
      </c>
      <c r="F1522">
        <v>1123.95</v>
      </c>
      <c r="G1522">
        <v>1235087744</v>
      </c>
    </row>
    <row r="1523" spans="5:7">
      <c r="E1523" s="2">
        <v>40819</v>
      </c>
      <c r="F1523">
        <v>1099.23</v>
      </c>
      <c r="G1523">
        <v>1066090112</v>
      </c>
    </row>
    <row r="1524" spans="5:7">
      <c r="E1524" s="2">
        <v>40816</v>
      </c>
      <c r="F1524">
        <v>1131.42</v>
      </c>
      <c r="G1524">
        <v>986894208</v>
      </c>
    </row>
    <row r="1525" spans="5:7">
      <c r="E1525" s="2">
        <v>40815</v>
      </c>
      <c r="F1525">
        <v>1160.4000000000001</v>
      </c>
      <c r="G1525">
        <v>883559040</v>
      </c>
    </row>
    <row r="1526" spans="5:7">
      <c r="E1526" s="2">
        <v>40814</v>
      </c>
      <c r="F1526">
        <v>1151.06</v>
      </c>
      <c r="G1526">
        <v>790025856</v>
      </c>
    </row>
    <row r="1527" spans="5:7">
      <c r="E1527" s="2">
        <v>40813</v>
      </c>
      <c r="F1527">
        <v>1175.3800000000001</v>
      </c>
      <c r="G1527">
        <v>900483648</v>
      </c>
    </row>
    <row r="1528" spans="5:7">
      <c r="E1528" s="2">
        <v>40812</v>
      </c>
      <c r="F1528">
        <v>1162.95</v>
      </c>
      <c r="G1528">
        <v>918172544</v>
      </c>
    </row>
    <row r="1529" spans="5:7">
      <c r="E1529" s="2">
        <v>40809</v>
      </c>
      <c r="F1529">
        <v>1136.43</v>
      </c>
      <c r="G1529">
        <v>951936960</v>
      </c>
    </row>
    <row r="1530" spans="5:7">
      <c r="E1530" s="2">
        <v>40808</v>
      </c>
      <c r="F1530">
        <v>1129.56</v>
      </c>
      <c r="G1530">
        <v>1347622656</v>
      </c>
    </row>
    <row r="1531" spans="5:7">
      <c r="E1531" s="2">
        <v>40807</v>
      </c>
      <c r="F1531">
        <v>1166.76</v>
      </c>
      <c r="G1531">
        <v>968066240</v>
      </c>
    </row>
    <row r="1532" spans="5:7">
      <c r="E1532" s="2">
        <v>40806</v>
      </c>
      <c r="F1532">
        <v>1202.0899999999999</v>
      </c>
      <c r="G1532">
        <v>722507520</v>
      </c>
    </row>
    <row r="1533" spans="5:7">
      <c r="E1533" s="2">
        <v>40805</v>
      </c>
      <c r="F1533">
        <v>1204.0899999999999</v>
      </c>
      <c r="G1533">
        <v>739064576</v>
      </c>
    </row>
    <row r="1534" spans="5:7">
      <c r="E1534" s="2">
        <v>40802</v>
      </c>
      <c r="F1534">
        <v>1216.01</v>
      </c>
      <c r="G1534">
        <v>1568483840</v>
      </c>
    </row>
    <row r="1535" spans="5:7">
      <c r="E1535" s="2">
        <v>40801</v>
      </c>
      <c r="F1535">
        <v>1209.1099999999999</v>
      </c>
      <c r="G1535">
        <v>802681984</v>
      </c>
    </row>
    <row r="1536" spans="5:7">
      <c r="E1536" s="2">
        <v>40800</v>
      </c>
      <c r="F1536">
        <v>1188.68</v>
      </c>
      <c r="G1536">
        <v>887705600</v>
      </c>
    </row>
    <row r="1537" spans="5:7">
      <c r="E1537" s="2">
        <v>40799</v>
      </c>
      <c r="F1537">
        <v>1172.8699999999999</v>
      </c>
      <c r="G1537">
        <v>832666176</v>
      </c>
    </row>
    <row r="1538" spans="5:7">
      <c r="E1538" s="2">
        <v>40798</v>
      </c>
      <c r="F1538">
        <v>1162.27</v>
      </c>
      <c r="G1538">
        <v>858044096</v>
      </c>
    </row>
    <row r="1539" spans="5:7">
      <c r="E1539" s="2">
        <v>40795</v>
      </c>
      <c r="F1539">
        <v>1154.23</v>
      </c>
      <c r="G1539">
        <v>993797696</v>
      </c>
    </row>
    <row r="1540" spans="5:7">
      <c r="E1540" s="2">
        <v>40794</v>
      </c>
      <c r="F1540">
        <v>1185.9000000000001</v>
      </c>
      <c r="G1540">
        <v>782569152</v>
      </c>
    </row>
    <row r="1541" spans="5:7">
      <c r="E1541" s="2">
        <v>40793</v>
      </c>
      <c r="F1541">
        <v>1198.6199999999999</v>
      </c>
      <c r="G1541">
        <v>771230784</v>
      </c>
    </row>
    <row r="1542" spans="5:7">
      <c r="E1542" s="2">
        <v>40792</v>
      </c>
      <c r="F1542">
        <v>1165.24</v>
      </c>
      <c r="G1542">
        <v>861354304</v>
      </c>
    </row>
    <row r="1543" spans="5:7">
      <c r="E1543" s="2">
        <v>40788</v>
      </c>
      <c r="F1543">
        <v>1173.97</v>
      </c>
      <c r="G1543">
        <v>724104576</v>
      </c>
    </row>
    <row r="1544" spans="5:7">
      <c r="E1544" s="2">
        <v>40787</v>
      </c>
      <c r="F1544">
        <v>1204.42</v>
      </c>
      <c r="G1544">
        <v>742519936</v>
      </c>
    </row>
    <row r="1545" spans="5:7">
      <c r="E1545" s="2">
        <v>40786</v>
      </c>
      <c r="F1545">
        <v>1218.8900000000001</v>
      </c>
      <c r="G1545">
        <v>963997184</v>
      </c>
    </row>
    <row r="1546" spans="5:7">
      <c r="E1546" s="2">
        <v>40785</v>
      </c>
      <c r="F1546">
        <v>1212.92</v>
      </c>
      <c r="G1546">
        <v>795066176</v>
      </c>
    </row>
    <row r="1547" spans="5:7">
      <c r="E1547" s="2">
        <v>40784</v>
      </c>
      <c r="F1547">
        <v>1210.08</v>
      </c>
      <c r="G1547">
        <v>686586496</v>
      </c>
    </row>
    <row r="1548" spans="5:7">
      <c r="E1548" s="2">
        <v>40781</v>
      </c>
      <c r="F1548">
        <v>1176.8</v>
      </c>
      <c r="G1548">
        <v>917897856</v>
      </c>
    </row>
    <row r="1549" spans="5:7">
      <c r="E1549" s="2">
        <v>40780</v>
      </c>
      <c r="F1549">
        <v>1159.27</v>
      </c>
      <c r="G1549">
        <v>944315968</v>
      </c>
    </row>
    <row r="1550" spans="5:7">
      <c r="E1550" s="2">
        <v>40779</v>
      </c>
      <c r="F1550">
        <v>1177.5999999999999</v>
      </c>
      <c r="G1550">
        <v>877416192</v>
      </c>
    </row>
    <row r="1551" spans="5:7">
      <c r="E1551" s="2">
        <v>40778</v>
      </c>
      <c r="F1551">
        <v>1162.3499999999999</v>
      </c>
      <c r="G1551">
        <v>962568256</v>
      </c>
    </row>
    <row r="1552" spans="5:7">
      <c r="E1552" s="2">
        <v>40777</v>
      </c>
      <c r="F1552">
        <v>1123.82</v>
      </c>
      <c r="G1552">
        <v>911790784</v>
      </c>
    </row>
    <row r="1553" spans="5:7">
      <c r="E1553" s="2">
        <v>40774</v>
      </c>
      <c r="F1553">
        <v>1123.53</v>
      </c>
      <c r="G1553">
        <v>1274118016</v>
      </c>
    </row>
    <row r="1554" spans="5:7">
      <c r="E1554" s="2">
        <v>40773</v>
      </c>
      <c r="F1554">
        <v>1140.6500000000001</v>
      </c>
      <c r="G1554">
        <v>1304441088</v>
      </c>
    </row>
    <row r="1555" spans="5:7">
      <c r="E1555" s="2">
        <v>40772</v>
      </c>
      <c r="F1555">
        <v>1193.8900000000001</v>
      </c>
      <c r="G1555">
        <v>785756288</v>
      </c>
    </row>
    <row r="1556" spans="5:7">
      <c r="E1556" s="2">
        <v>40771</v>
      </c>
      <c r="F1556">
        <v>1192.76</v>
      </c>
      <c r="G1556">
        <v>872991296</v>
      </c>
    </row>
    <row r="1557" spans="5:7">
      <c r="E1557" s="2">
        <v>40770</v>
      </c>
      <c r="F1557">
        <v>1204.49</v>
      </c>
      <c r="G1557">
        <v>855961280</v>
      </c>
    </row>
    <row r="1558" spans="5:7">
      <c r="E1558" s="2">
        <v>40767</v>
      </c>
      <c r="F1558">
        <v>1178.81</v>
      </c>
      <c r="G1558">
        <v>1000971648</v>
      </c>
    </row>
    <row r="1559" spans="5:7">
      <c r="E1559" s="2">
        <v>40766</v>
      </c>
      <c r="F1559">
        <v>1172.6400000000001</v>
      </c>
      <c r="G1559">
        <v>1530723584</v>
      </c>
    </row>
    <row r="1560" spans="5:7">
      <c r="E1560" s="2">
        <v>40765</v>
      </c>
      <c r="F1560">
        <v>1120.76</v>
      </c>
      <c r="G1560">
        <v>1724517248</v>
      </c>
    </row>
    <row r="1561" spans="5:7">
      <c r="E1561" s="2">
        <v>40764</v>
      </c>
      <c r="F1561">
        <v>1172.53</v>
      </c>
      <c r="G1561">
        <v>1861833472</v>
      </c>
    </row>
    <row r="1562" spans="5:7">
      <c r="E1562" s="2">
        <v>40763</v>
      </c>
      <c r="F1562">
        <v>1119.46</v>
      </c>
      <c r="G1562">
        <v>1938566656</v>
      </c>
    </row>
    <row r="1563" spans="5:7">
      <c r="E1563" s="2">
        <v>40760</v>
      </c>
      <c r="F1563">
        <v>1199.3800000000001</v>
      </c>
      <c r="G1563">
        <v>1724234624</v>
      </c>
    </row>
    <row r="1564" spans="5:7">
      <c r="E1564" s="2">
        <v>40759</v>
      </c>
      <c r="F1564">
        <v>1200.07</v>
      </c>
      <c r="G1564">
        <v>1354956800</v>
      </c>
    </row>
    <row r="1565" spans="5:7">
      <c r="E1565" s="2">
        <v>40758</v>
      </c>
      <c r="F1565">
        <v>1260.3399999999999</v>
      </c>
      <c r="G1565">
        <v>1018153088</v>
      </c>
    </row>
    <row r="1566" spans="5:7">
      <c r="E1566" s="2">
        <v>40757</v>
      </c>
      <c r="F1566">
        <v>1254.05</v>
      </c>
      <c r="G1566">
        <v>960468544</v>
      </c>
    </row>
    <row r="1567" spans="5:7">
      <c r="E1567" s="2">
        <v>40756</v>
      </c>
      <c r="F1567">
        <v>1286.94</v>
      </c>
      <c r="G1567">
        <v>852179648</v>
      </c>
    </row>
    <row r="1568" spans="5:7">
      <c r="E1568" s="2">
        <v>40753</v>
      </c>
      <c r="F1568">
        <v>1292.28</v>
      </c>
      <c r="G1568">
        <v>952022656</v>
      </c>
    </row>
    <row r="1569" spans="5:7">
      <c r="E1569" s="2">
        <v>40752</v>
      </c>
      <c r="F1569">
        <v>1300.67</v>
      </c>
      <c r="G1569">
        <v>748755136</v>
      </c>
    </row>
    <row r="1570" spans="5:7">
      <c r="E1570" s="2">
        <v>40751</v>
      </c>
      <c r="F1570">
        <v>1304.8900000000001</v>
      </c>
      <c r="G1570">
        <v>853950144</v>
      </c>
    </row>
    <row r="1571" spans="5:7">
      <c r="E1571" s="2">
        <v>40750</v>
      </c>
      <c r="F1571">
        <v>1331.94</v>
      </c>
      <c r="G1571">
        <v>652771456</v>
      </c>
    </row>
    <row r="1572" spans="5:7">
      <c r="E1572" s="2">
        <v>40749</v>
      </c>
      <c r="F1572">
        <v>1337.43</v>
      </c>
      <c r="G1572">
        <v>577708992</v>
      </c>
    </row>
    <row r="1573" spans="5:7">
      <c r="E1573" s="2">
        <v>40746</v>
      </c>
      <c r="F1573">
        <v>1345.02</v>
      </c>
      <c r="G1573">
        <v>585978432</v>
      </c>
    </row>
    <row r="1574" spans="5:7">
      <c r="E1574" s="2">
        <v>40745</v>
      </c>
      <c r="F1574">
        <v>1343.8</v>
      </c>
      <c r="G1574">
        <v>831227072</v>
      </c>
    </row>
    <row r="1575" spans="5:7">
      <c r="E1575" s="2">
        <v>40744</v>
      </c>
      <c r="F1575">
        <v>1325.84</v>
      </c>
      <c r="G1575">
        <v>645975360</v>
      </c>
    </row>
    <row r="1576" spans="5:7">
      <c r="E1576" s="2">
        <v>40743</v>
      </c>
      <c r="F1576">
        <v>1326.73</v>
      </c>
      <c r="G1576">
        <v>698819904</v>
      </c>
    </row>
    <row r="1577" spans="5:7">
      <c r="E1577" s="2">
        <v>40742</v>
      </c>
      <c r="F1577">
        <v>1305.44</v>
      </c>
      <c r="G1577">
        <v>679143936</v>
      </c>
    </row>
    <row r="1578" spans="5:7">
      <c r="E1578" s="2">
        <v>40739</v>
      </c>
      <c r="F1578">
        <v>1316.14</v>
      </c>
      <c r="G1578">
        <v>884946752</v>
      </c>
    </row>
    <row r="1579" spans="5:7">
      <c r="E1579" s="2">
        <v>40738</v>
      </c>
      <c r="F1579">
        <v>1308.8699999999999</v>
      </c>
      <c r="G1579">
        <v>720810112</v>
      </c>
    </row>
    <row r="1580" spans="5:7">
      <c r="E1580" s="2">
        <v>40737</v>
      </c>
      <c r="F1580">
        <v>1317.72</v>
      </c>
      <c r="G1580">
        <v>665499520</v>
      </c>
    </row>
    <row r="1581" spans="5:7">
      <c r="E1581" s="2">
        <v>40736</v>
      </c>
      <c r="F1581">
        <v>1313.64</v>
      </c>
      <c r="G1581">
        <v>727893760</v>
      </c>
    </row>
    <row r="1582" spans="5:7">
      <c r="E1582" s="2">
        <v>40735</v>
      </c>
      <c r="F1582">
        <v>1319.49</v>
      </c>
      <c r="G1582">
        <v>635101952</v>
      </c>
    </row>
    <row r="1583" spans="5:7">
      <c r="E1583" s="2">
        <v>40732</v>
      </c>
      <c r="F1583">
        <v>1343.8</v>
      </c>
      <c r="G1583">
        <v>604649472</v>
      </c>
    </row>
    <row r="1584" spans="5:7">
      <c r="E1584" s="2">
        <v>40731</v>
      </c>
      <c r="F1584">
        <v>1353.22</v>
      </c>
      <c r="G1584">
        <v>651180928</v>
      </c>
    </row>
    <row r="1585" spans="5:7">
      <c r="E1585" s="2">
        <v>40730</v>
      </c>
      <c r="F1585">
        <v>1339.22</v>
      </c>
      <c r="G1585">
        <v>615723648</v>
      </c>
    </row>
    <row r="1586" spans="5:7">
      <c r="E1586" s="2">
        <v>40729</v>
      </c>
      <c r="F1586">
        <v>1337.88</v>
      </c>
      <c r="G1586">
        <v>677972608</v>
      </c>
    </row>
    <row r="1587" spans="5:7">
      <c r="E1587" s="2">
        <v>40725</v>
      </c>
      <c r="F1587">
        <v>1339.67</v>
      </c>
      <c r="G1587">
        <v>638345664</v>
      </c>
    </row>
    <row r="1588" spans="5:7">
      <c r="E1588" s="2">
        <v>40724</v>
      </c>
      <c r="F1588">
        <v>1320.64</v>
      </c>
      <c r="G1588">
        <v>758858240</v>
      </c>
    </row>
    <row r="1589" spans="5:7">
      <c r="E1589" s="2">
        <v>40723</v>
      </c>
      <c r="F1589">
        <v>1307.4100000000001</v>
      </c>
      <c r="G1589">
        <v>706605312</v>
      </c>
    </row>
    <row r="1590" spans="5:7">
      <c r="E1590" s="2">
        <v>40722</v>
      </c>
      <c r="F1590">
        <v>1296.67</v>
      </c>
      <c r="G1590">
        <v>604462144</v>
      </c>
    </row>
    <row r="1591" spans="5:7">
      <c r="E1591" s="2">
        <v>40721</v>
      </c>
      <c r="F1591">
        <v>1280.0999999999999</v>
      </c>
      <c r="G1591">
        <v>666182336</v>
      </c>
    </row>
    <row r="1592" spans="5:7">
      <c r="E1592" s="2">
        <v>40718</v>
      </c>
      <c r="F1592">
        <v>1268.45</v>
      </c>
      <c r="G1592">
        <v>1122633344</v>
      </c>
    </row>
    <row r="1593" spans="5:7">
      <c r="E1593" s="2">
        <v>40717</v>
      </c>
      <c r="F1593">
        <v>1283.5</v>
      </c>
      <c r="G1593">
        <v>890506432</v>
      </c>
    </row>
    <row r="1594" spans="5:7">
      <c r="E1594" s="2">
        <v>40716</v>
      </c>
      <c r="F1594">
        <v>1287.1400000000001</v>
      </c>
      <c r="G1594">
        <v>619495680</v>
      </c>
    </row>
    <row r="1595" spans="5:7">
      <c r="E1595" s="2">
        <v>40715</v>
      </c>
      <c r="F1595">
        <v>1295.52</v>
      </c>
      <c r="G1595">
        <v>641187584</v>
      </c>
    </row>
    <row r="1596" spans="5:7">
      <c r="E1596" s="2">
        <v>40714</v>
      </c>
      <c r="F1596">
        <v>1278.3599999999999</v>
      </c>
      <c r="G1596">
        <v>594728704</v>
      </c>
    </row>
    <row r="1597" spans="5:7">
      <c r="E1597" s="2">
        <v>40711</v>
      </c>
      <c r="F1597">
        <v>1271.5</v>
      </c>
      <c r="G1597">
        <v>1273126656</v>
      </c>
    </row>
    <row r="1598" spans="5:7">
      <c r="E1598" s="2">
        <v>40710</v>
      </c>
      <c r="F1598">
        <v>1267.6400000000001</v>
      </c>
      <c r="G1598">
        <v>833858880</v>
      </c>
    </row>
    <row r="1599" spans="5:7">
      <c r="E1599" s="2">
        <v>40709</v>
      </c>
      <c r="F1599">
        <v>1265.42</v>
      </c>
      <c r="G1599">
        <v>827218048</v>
      </c>
    </row>
    <row r="1600" spans="5:7">
      <c r="E1600" s="2">
        <v>40708</v>
      </c>
      <c r="F1600">
        <v>1287.8699999999999</v>
      </c>
      <c r="G1600">
        <v>698113472</v>
      </c>
    </row>
    <row r="1601" spans="5:7">
      <c r="E1601" s="2">
        <v>40707</v>
      </c>
      <c r="F1601">
        <v>1271.83</v>
      </c>
      <c r="G1601">
        <v>683880768</v>
      </c>
    </row>
    <row r="1602" spans="5:7">
      <c r="E1602" s="2">
        <v>40704</v>
      </c>
      <c r="F1602">
        <v>1270.98</v>
      </c>
      <c r="G1602">
        <v>785434368</v>
      </c>
    </row>
    <row r="1603" spans="5:7">
      <c r="E1603" s="2">
        <v>40703</v>
      </c>
      <c r="F1603">
        <v>1289</v>
      </c>
      <c r="G1603">
        <v>682780928</v>
      </c>
    </row>
    <row r="1604" spans="5:7">
      <c r="E1604" s="2">
        <v>40702</v>
      </c>
      <c r="F1604">
        <v>1279.56</v>
      </c>
      <c r="G1604">
        <v>761744640</v>
      </c>
    </row>
    <row r="1605" spans="5:7">
      <c r="E1605" s="2">
        <v>40701</v>
      </c>
      <c r="F1605">
        <v>1284.94</v>
      </c>
      <c r="G1605">
        <v>751073408</v>
      </c>
    </row>
    <row r="1606" spans="5:7">
      <c r="E1606" s="2">
        <v>40700</v>
      </c>
      <c r="F1606">
        <v>1286.17</v>
      </c>
      <c r="G1606">
        <v>746934464</v>
      </c>
    </row>
    <row r="1607" spans="5:7">
      <c r="E1607" s="2">
        <v>40697</v>
      </c>
      <c r="F1607">
        <v>1300.1600000000001</v>
      </c>
      <c r="G1607">
        <v>723597120</v>
      </c>
    </row>
    <row r="1608" spans="5:7">
      <c r="E1608" s="2">
        <v>40696</v>
      </c>
      <c r="F1608">
        <v>1312.94</v>
      </c>
      <c r="G1608">
        <v>761836352</v>
      </c>
    </row>
    <row r="1609" spans="5:7">
      <c r="E1609" s="2">
        <v>40695</v>
      </c>
      <c r="F1609">
        <v>1314.55</v>
      </c>
      <c r="G1609">
        <v>885135296</v>
      </c>
    </row>
    <row r="1610" spans="5:7">
      <c r="E1610" s="2">
        <v>40694</v>
      </c>
      <c r="F1610">
        <v>1345.2</v>
      </c>
      <c r="G1610">
        <v>956089728</v>
      </c>
    </row>
    <row r="1611" spans="5:7">
      <c r="E1611" s="2">
        <v>40690</v>
      </c>
      <c r="F1611">
        <v>1331.1</v>
      </c>
      <c r="G1611">
        <v>537456576</v>
      </c>
    </row>
    <row r="1612" spans="5:7">
      <c r="E1612" s="2">
        <v>40689</v>
      </c>
      <c r="F1612">
        <v>1325.69</v>
      </c>
      <c r="G1612">
        <v>689090112</v>
      </c>
    </row>
    <row r="1613" spans="5:7">
      <c r="E1613" s="2">
        <v>40688</v>
      </c>
      <c r="F1613">
        <v>1320.47</v>
      </c>
      <c r="G1613">
        <v>747085056</v>
      </c>
    </row>
    <row r="1614" spans="5:7">
      <c r="E1614" s="2">
        <v>40687</v>
      </c>
      <c r="F1614">
        <v>1316.28</v>
      </c>
      <c r="G1614">
        <v>658650688</v>
      </c>
    </row>
    <row r="1615" spans="5:7">
      <c r="E1615" s="2">
        <v>40686</v>
      </c>
      <c r="F1615">
        <v>1317.37</v>
      </c>
      <c r="G1615">
        <v>667372736</v>
      </c>
    </row>
    <row r="1616" spans="5:7">
      <c r="E1616" s="2">
        <v>40683</v>
      </c>
      <c r="F1616">
        <v>1333.27</v>
      </c>
      <c r="G1616">
        <v>762001472</v>
      </c>
    </row>
    <row r="1617" spans="5:7">
      <c r="E1617" s="2">
        <v>40682</v>
      </c>
      <c r="F1617">
        <v>1343.6</v>
      </c>
      <c r="G1617">
        <v>669714240</v>
      </c>
    </row>
    <row r="1618" spans="5:7">
      <c r="E1618" s="2">
        <v>40681</v>
      </c>
      <c r="F1618">
        <v>1340.68</v>
      </c>
      <c r="G1618">
        <v>721931648</v>
      </c>
    </row>
    <row r="1619" spans="5:7">
      <c r="E1619" s="2">
        <v>40680</v>
      </c>
      <c r="F1619">
        <v>1328.98</v>
      </c>
      <c r="G1619">
        <v>779705088</v>
      </c>
    </row>
    <row r="1620" spans="5:7">
      <c r="E1620" s="2">
        <v>40679</v>
      </c>
      <c r="F1620">
        <v>1329.47</v>
      </c>
      <c r="G1620">
        <v>744597632</v>
      </c>
    </row>
    <row r="1621" spans="5:7">
      <c r="E1621" s="2">
        <v>40676</v>
      </c>
      <c r="F1621">
        <v>1337.77</v>
      </c>
      <c r="G1621">
        <v>737479168</v>
      </c>
    </row>
    <row r="1622" spans="5:7">
      <c r="E1622" s="2">
        <v>40675</v>
      </c>
      <c r="F1622">
        <v>1348.65</v>
      </c>
      <c r="G1622">
        <v>791049280</v>
      </c>
    </row>
    <row r="1623" spans="5:7">
      <c r="E1623" s="2">
        <v>40674</v>
      </c>
      <c r="F1623">
        <v>1342.08</v>
      </c>
      <c r="G1623">
        <v>798605440</v>
      </c>
    </row>
    <row r="1624" spans="5:7">
      <c r="E1624" s="2">
        <v>40673</v>
      </c>
      <c r="F1624">
        <v>1357.16</v>
      </c>
      <c r="G1624">
        <v>641270208</v>
      </c>
    </row>
    <row r="1625" spans="5:7">
      <c r="E1625" s="2">
        <v>40672</v>
      </c>
      <c r="F1625">
        <v>1346.29</v>
      </c>
      <c r="G1625">
        <v>585192768</v>
      </c>
    </row>
    <row r="1626" spans="5:7">
      <c r="E1626" s="2">
        <v>40669</v>
      </c>
      <c r="F1626">
        <v>1340.2</v>
      </c>
      <c r="G1626">
        <v>784480448</v>
      </c>
    </row>
    <row r="1627" spans="5:7">
      <c r="E1627" s="2">
        <v>40668</v>
      </c>
      <c r="F1627">
        <v>1335.1</v>
      </c>
      <c r="G1627">
        <v>836913536</v>
      </c>
    </row>
    <row r="1628" spans="5:7">
      <c r="E1628" s="2">
        <v>40667</v>
      </c>
      <c r="F1628">
        <v>1347.32</v>
      </c>
      <c r="G1628">
        <v>832483328</v>
      </c>
    </row>
    <row r="1629" spans="5:7">
      <c r="E1629" s="2">
        <v>40666</v>
      </c>
      <c r="F1629">
        <v>1356.62</v>
      </c>
      <c r="G1629">
        <v>791960960</v>
      </c>
    </row>
    <row r="1630" spans="5:7">
      <c r="E1630" s="2">
        <v>40665</v>
      </c>
      <c r="F1630">
        <v>1361.22</v>
      </c>
      <c r="G1630">
        <v>733240640</v>
      </c>
    </row>
    <row r="1631" spans="5:7">
      <c r="E1631" s="2">
        <v>40662</v>
      </c>
      <c r="F1631">
        <v>1363.61</v>
      </c>
      <c r="G1631">
        <v>1142506624</v>
      </c>
    </row>
    <row r="1632" spans="5:7">
      <c r="E1632" s="2">
        <v>40661</v>
      </c>
      <c r="F1632">
        <v>1360.48</v>
      </c>
      <c r="G1632">
        <v>771224960</v>
      </c>
    </row>
    <row r="1633" spans="5:7">
      <c r="E1633" s="2">
        <v>40660</v>
      </c>
      <c r="F1633">
        <v>1355.66</v>
      </c>
      <c r="G1633">
        <v>752592128</v>
      </c>
    </row>
    <row r="1634" spans="5:7">
      <c r="E1634" s="2">
        <v>40659</v>
      </c>
      <c r="F1634">
        <v>1347.24</v>
      </c>
      <c r="G1634">
        <v>767573248</v>
      </c>
    </row>
    <row r="1635" spans="5:7">
      <c r="E1635" s="2">
        <v>40658</v>
      </c>
      <c r="F1635">
        <v>1335.25</v>
      </c>
      <c r="G1635">
        <v>564300800</v>
      </c>
    </row>
    <row r="1636" spans="5:7">
      <c r="E1636" s="2">
        <v>40654</v>
      </c>
      <c r="F1636">
        <v>1337.38</v>
      </c>
      <c r="G1636">
        <v>698558464</v>
      </c>
    </row>
    <row r="1637" spans="5:7">
      <c r="E1637" s="2">
        <v>40653</v>
      </c>
      <c r="F1637">
        <v>1330.36</v>
      </c>
      <c r="G1637">
        <v>810093184</v>
      </c>
    </row>
    <row r="1638" spans="5:7">
      <c r="E1638" s="2">
        <v>40652</v>
      </c>
      <c r="F1638">
        <v>1312.62</v>
      </c>
      <c r="G1638">
        <v>681330880</v>
      </c>
    </row>
    <row r="1639" spans="5:7">
      <c r="E1639" s="2">
        <v>40651</v>
      </c>
      <c r="F1639">
        <v>1305.1400000000001</v>
      </c>
      <c r="G1639">
        <v>822628928</v>
      </c>
    </row>
    <row r="1640" spans="5:7">
      <c r="E1640" s="2">
        <v>40648</v>
      </c>
      <c r="F1640">
        <v>1319.68</v>
      </c>
      <c r="G1640">
        <v>895345600</v>
      </c>
    </row>
    <row r="1641" spans="5:7">
      <c r="E1641" s="2">
        <v>40647</v>
      </c>
      <c r="F1641">
        <v>1314.52</v>
      </c>
      <c r="G1641">
        <v>683765696</v>
      </c>
    </row>
    <row r="1642" spans="5:7">
      <c r="E1642" s="2">
        <v>40646</v>
      </c>
      <c r="F1642">
        <v>1314.41</v>
      </c>
      <c r="G1642">
        <v>663351360</v>
      </c>
    </row>
    <row r="1643" spans="5:7">
      <c r="E1643" s="2">
        <v>40645</v>
      </c>
      <c r="F1643">
        <v>1314.16</v>
      </c>
      <c r="G1643">
        <v>697977856</v>
      </c>
    </row>
    <row r="1644" spans="5:7">
      <c r="E1644" s="2">
        <v>40644</v>
      </c>
      <c r="F1644">
        <v>1324.46</v>
      </c>
      <c r="G1644">
        <v>601176000</v>
      </c>
    </row>
    <row r="1645" spans="5:7">
      <c r="E1645" s="2">
        <v>40641</v>
      </c>
      <c r="F1645">
        <v>1328.17</v>
      </c>
      <c r="G1645">
        <v>601538304</v>
      </c>
    </row>
    <row r="1646" spans="5:7">
      <c r="E1646" s="2">
        <v>40640</v>
      </c>
      <c r="F1646">
        <v>1333.51</v>
      </c>
      <c r="G1646">
        <v>726433856</v>
      </c>
    </row>
    <row r="1647" spans="5:7">
      <c r="E1647" s="2">
        <v>40639</v>
      </c>
      <c r="F1647">
        <v>1335.54</v>
      </c>
      <c r="G1647">
        <v>735630720</v>
      </c>
    </row>
    <row r="1648" spans="5:7">
      <c r="E1648" s="2">
        <v>40638</v>
      </c>
      <c r="F1648">
        <v>1332.63</v>
      </c>
      <c r="G1648">
        <v>662639680</v>
      </c>
    </row>
    <row r="1649" spans="5:7">
      <c r="E1649" s="2">
        <v>40637</v>
      </c>
      <c r="F1649">
        <v>1332.87</v>
      </c>
      <c r="G1649">
        <v>593163264</v>
      </c>
    </row>
    <row r="1650" spans="5:7">
      <c r="E1650" s="2">
        <v>40634</v>
      </c>
      <c r="F1650">
        <v>1332.41</v>
      </c>
      <c r="G1650">
        <v>735964736</v>
      </c>
    </row>
    <row r="1651" spans="5:7">
      <c r="E1651" s="2">
        <v>40633</v>
      </c>
      <c r="F1651">
        <v>1325.83</v>
      </c>
      <c r="G1651">
        <v>819521408</v>
      </c>
    </row>
    <row r="1652" spans="5:7">
      <c r="E1652" s="2">
        <v>40632</v>
      </c>
      <c r="F1652">
        <v>1328.26</v>
      </c>
      <c r="G1652">
        <v>680631424</v>
      </c>
    </row>
    <row r="1653" spans="5:7">
      <c r="E1653" s="2">
        <v>40631</v>
      </c>
      <c r="F1653">
        <v>1319.44</v>
      </c>
      <c r="G1653">
        <v>592025856</v>
      </c>
    </row>
    <row r="1654" spans="5:7">
      <c r="E1654" s="2">
        <v>40630</v>
      </c>
      <c r="F1654">
        <v>1310.19</v>
      </c>
      <c r="G1654">
        <v>594646080</v>
      </c>
    </row>
    <row r="1655" spans="5:7">
      <c r="E1655" s="2">
        <v>40627</v>
      </c>
      <c r="F1655">
        <v>1313.8</v>
      </c>
      <c r="G1655">
        <v>652183936</v>
      </c>
    </row>
    <row r="1656" spans="5:7">
      <c r="E1656" s="2">
        <v>40626</v>
      </c>
      <c r="F1656">
        <v>1309.6600000000001</v>
      </c>
      <c r="G1656">
        <v>692379968</v>
      </c>
    </row>
    <row r="1657" spans="5:7">
      <c r="E1657" s="2">
        <v>40625</v>
      </c>
      <c r="F1657">
        <v>1297.54</v>
      </c>
      <c r="G1657">
        <v>688637568</v>
      </c>
    </row>
    <row r="1658" spans="5:7">
      <c r="E1658" s="2">
        <v>40624</v>
      </c>
      <c r="F1658">
        <v>1293.77</v>
      </c>
      <c r="G1658">
        <v>623999808</v>
      </c>
    </row>
    <row r="1659" spans="5:7">
      <c r="E1659" s="2">
        <v>40623</v>
      </c>
      <c r="F1659">
        <v>1298.3800000000001</v>
      </c>
      <c r="G1659">
        <v>786935744</v>
      </c>
    </row>
    <row r="1660" spans="5:7">
      <c r="E1660" s="2">
        <v>40620</v>
      </c>
      <c r="F1660">
        <v>1279.2</v>
      </c>
      <c r="G1660">
        <v>1481771136</v>
      </c>
    </row>
    <row r="1661" spans="5:7">
      <c r="E1661" s="2">
        <v>40619</v>
      </c>
      <c r="F1661">
        <v>1273.72</v>
      </c>
      <c r="G1661">
        <v>841360576</v>
      </c>
    </row>
    <row r="1662" spans="5:7">
      <c r="E1662" s="2">
        <v>40618</v>
      </c>
      <c r="F1662">
        <v>1256.8800000000001</v>
      </c>
      <c r="G1662">
        <v>1174010880</v>
      </c>
    </row>
    <row r="1663" spans="5:7">
      <c r="E1663" s="2">
        <v>40617</v>
      </c>
      <c r="F1663">
        <v>1281.8699999999999</v>
      </c>
      <c r="G1663">
        <v>1019904384</v>
      </c>
    </row>
    <row r="1664" spans="5:7">
      <c r="E1664" s="2">
        <v>40616</v>
      </c>
      <c r="F1664">
        <v>1296.3900000000001</v>
      </c>
      <c r="G1664">
        <v>750955776</v>
      </c>
    </row>
    <row r="1665" spans="5:7">
      <c r="E1665" s="2">
        <v>40613</v>
      </c>
      <c r="F1665">
        <v>1304.28</v>
      </c>
      <c r="G1665">
        <v>725775744</v>
      </c>
    </row>
    <row r="1666" spans="5:7">
      <c r="E1666" s="2">
        <v>40612</v>
      </c>
      <c r="F1666">
        <v>1295.1099999999999</v>
      </c>
      <c r="G1666">
        <v>895568640</v>
      </c>
    </row>
    <row r="1667" spans="5:7">
      <c r="E1667" s="2">
        <v>40611</v>
      </c>
      <c r="F1667">
        <v>1320.02</v>
      </c>
      <c r="G1667">
        <v>686103232</v>
      </c>
    </row>
    <row r="1668" spans="5:7">
      <c r="E1668" s="2">
        <v>40610</v>
      </c>
      <c r="F1668">
        <v>1321.82</v>
      </c>
      <c r="G1668">
        <v>765915264</v>
      </c>
    </row>
    <row r="1669" spans="5:7">
      <c r="E1669" s="2">
        <v>40609</v>
      </c>
      <c r="F1669">
        <v>1310.1300000000001</v>
      </c>
      <c r="G1669">
        <v>821806592</v>
      </c>
    </row>
    <row r="1670" spans="5:7">
      <c r="E1670" s="2">
        <v>40606</v>
      </c>
      <c r="F1670">
        <v>1321.15</v>
      </c>
      <c r="G1670">
        <v>811855488</v>
      </c>
    </row>
    <row r="1671" spans="5:7">
      <c r="E1671" s="2">
        <v>40605</v>
      </c>
      <c r="F1671">
        <v>1330.97</v>
      </c>
      <c r="G1671">
        <v>814803392</v>
      </c>
    </row>
    <row r="1672" spans="5:7">
      <c r="E1672" s="2">
        <v>40604</v>
      </c>
      <c r="F1672">
        <v>1308.44</v>
      </c>
      <c r="G1672">
        <v>792049088</v>
      </c>
    </row>
    <row r="1673" spans="5:7">
      <c r="E1673" s="2">
        <v>40603</v>
      </c>
      <c r="F1673">
        <v>1306.33</v>
      </c>
      <c r="G1673">
        <v>909351936</v>
      </c>
    </row>
    <row r="1674" spans="5:7">
      <c r="E1674" s="2">
        <v>40602</v>
      </c>
      <c r="F1674">
        <v>1327.22</v>
      </c>
      <c r="G1674">
        <v>951366784</v>
      </c>
    </row>
    <row r="1675" spans="5:7">
      <c r="E1675" s="2">
        <v>40599</v>
      </c>
      <c r="F1675">
        <v>1319.88</v>
      </c>
      <c r="G1675">
        <v>718553408</v>
      </c>
    </row>
    <row r="1676" spans="5:7">
      <c r="E1676" s="2">
        <v>40598</v>
      </c>
      <c r="F1676">
        <v>1306.0999999999999</v>
      </c>
      <c r="G1676">
        <v>921354432</v>
      </c>
    </row>
    <row r="1677" spans="5:7">
      <c r="E1677" s="2">
        <v>40597</v>
      </c>
      <c r="F1677">
        <v>1307.4000000000001</v>
      </c>
      <c r="G1677">
        <v>1027870592</v>
      </c>
    </row>
    <row r="1678" spans="5:7">
      <c r="E1678" s="2">
        <v>40596</v>
      </c>
      <c r="F1678">
        <v>1315.44</v>
      </c>
      <c r="G1678">
        <v>1016957888</v>
      </c>
    </row>
    <row r="1679" spans="5:7">
      <c r="E1679" s="2">
        <v>40592</v>
      </c>
      <c r="F1679">
        <v>1343.01</v>
      </c>
      <c r="G1679">
        <v>1000324800</v>
      </c>
    </row>
    <row r="1680" spans="5:7">
      <c r="E1680" s="2">
        <v>40591</v>
      </c>
      <c r="F1680">
        <v>1340.43</v>
      </c>
      <c r="G1680">
        <v>698408384</v>
      </c>
    </row>
    <row r="1681" spans="5:7">
      <c r="E1681" s="2">
        <v>40590</v>
      </c>
      <c r="F1681">
        <v>1336.32</v>
      </c>
      <c r="G1681">
        <v>767089600</v>
      </c>
    </row>
    <row r="1682" spans="5:7">
      <c r="E1682" s="2">
        <v>40589</v>
      </c>
      <c r="F1682">
        <v>1328.01</v>
      </c>
      <c r="G1682">
        <v>721474560</v>
      </c>
    </row>
    <row r="1683" spans="5:7">
      <c r="E1683" s="2">
        <v>40588</v>
      </c>
      <c r="F1683">
        <v>1332.32</v>
      </c>
      <c r="G1683">
        <v>667486016</v>
      </c>
    </row>
    <row r="1684" spans="5:7">
      <c r="E1684" s="2">
        <v>40585</v>
      </c>
      <c r="F1684">
        <v>1329.15</v>
      </c>
      <c r="G1684">
        <v>770483200</v>
      </c>
    </row>
    <row r="1685" spans="5:7">
      <c r="E1685" s="2">
        <v>40584</v>
      </c>
      <c r="F1685">
        <v>1321.87</v>
      </c>
      <c r="G1685">
        <v>911824640</v>
      </c>
    </row>
    <row r="1686" spans="5:7">
      <c r="E1686" s="2">
        <v>40583</v>
      </c>
      <c r="F1686">
        <v>1320.88</v>
      </c>
      <c r="G1686">
        <v>745249856</v>
      </c>
    </row>
    <row r="1687" spans="5:7">
      <c r="E1687" s="2">
        <v>40582</v>
      </c>
      <c r="F1687">
        <v>1324.57</v>
      </c>
      <c r="G1687">
        <v>652835712</v>
      </c>
    </row>
    <row r="1688" spans="5:7">
      <c r="E1688" s="2">
        <v>40581</v>
      </c>
      <c r="F1688">
        <v>1319.05</v>
      </c>
      <c r="G1688">
        <v>684449216</v>
      </c>
    </row>
    <row r="1689" spans="5:7">
      <c r="E1689" s="2">
        <v>40578</v>
      </c>
      <c r="F1689">
        <v>1310.87</v>
      </c>
      <c r="G1689">
        <v>703152128</v>
      </c>
    </row>
    <row r="1690" spans="5:7">
      <c r="E1690" s="2">
        <v>40577</v>
      </c>
      <c r="F1690">
        <v>1307.0999999999999</v>
      </c>
      <c r="G1690">
        <v>769424576</v>
      </c>
    </row>
    <row r="1691" spans="5:7">
      <c r="E1691" s="2">
        <v>40576</v>
      </c>
      <c r="F1691">
        <v>1304.03</v>
      </c>
      <c r="G1691">
        <v>714781952</v>
      </c>
    </row>
    <row r="1692" spans="5:7">
      <c r="E1692" s="2">
        <v>40575</v>
      </c>
      <c r="F1692">
        <v>1307.5899999999999</v>
      </c>
      <c r="G1692">
        <v>826667584</v>
      </c>
    </row>
    <row r="1693" spans="5:7">
      <c r="E1693" s="2">
        <v>40574</v>
      </c>
      <c r="F1693">
        <v>1286.1199999999999</v>
      </c>
      <c r="G1693">
        <v>932758976</v>
      </c>
    </row>
    <row r="1694" spans="5:7">
      <c r="E1694" s="2">
        <v>40571</v>
      </c>
      <c r="F1694">
        <v>1276.3399999999999</v>
      </c>
      <c r="G1694">
        <v>1023268416</v>
      </c>
    </row>
    <row r="1695" spans="5:7">
      <c r="E1695" s="2">
        <v>40570</v>
      </c>
      <c r="F1695">
        <v>1299.54</v>
      </c>
      <c r="G1695">
        <v>779711552</v>
      </c>
    </row>
    <row r="1696" spans="5:7">
      <c r="E1696" s="2">
        <v>40569</v>
      </c>
      <c r="F1696">
        <v>1296.6300000000001</v>
      </c>
      <c r="G1696">
        <v>834079616</v>
      </c>
    </row>
    <row r="1697" spans="5:7">
      <c r="E1697" s="2">
        <v>40568</v>
      </c>
      <c r="F1697">
        <v>1291.18</v>
      </c>
      <c r="G1697">
        <v>828357952</v>
      </c>
    </row>
    <row r="1698" spans="5:7">
      <c r="E1698" s="2">
        <v>40567</v>
      </c>
      <c r="F1698">
        <v>1290.8399999999999</v>
      </c>
      <c r="G1698">
        <v>744582336</v>
      </c>
    </row>
    <row r="1699" spans="5:7">
      <c r="E1699" s="2">
        <v>40564</v>
      </c>
      <c r="F1699">
        <v>1283.3499999999999</v>
      </c>
      <c r="G1699">
        <v>1051357504</v>
      </c>
    </row>
    <row r="1700" spans="5:7">
      <c r="E1700" s="2">
        <v>40563</v>
      </c>
      <c r="F1700">
        <v>1280.26</v>
      </c>
      <c r="G1700">
        <v>957492096</v>
      </c>
    </row>
    <row r="1701" spans="5:7">
      <c r="E1701" s="2">
        <v>40562</v>
      </c>
      <c r="F1701">
        <v>1281.92</v>
      </c>
      <c r="G1701">
        <v>830311040</v>
      </c>
    </row>
    <row r="1702" spans="5:7">
      <c r="E1702" s="2">
        <v>40561</v>
      </c>
      <c r="F1702">
        <v>1295.02</v>
      </c>
      <c r="G1702">
        <v>987720128</v>
      </c>
    </row>
    <row r="1703" spans="5:7">
      <c r="E1703" s="2">
        <v>40557</v>
      </c>
      <c r="F1703">
        <v>1293.24</v>
      </c>
      <c r="G1703">
        <v>854002944</v>
      </c>
    </row>
    <row r="1704" spans="5:7">
      <c r="E1704" s="2">
        <v>40556</v>
      </c>
      <c r="F1704">
        <v>1283.76</v>
      </c>
      <c r="G1704">
        <v>740164480</v>
      </c>
    </row>
    <row r="1705" spans="5:7">
      <c r="E1705" s="2">
        <v>40555</v>
      </c>
      <c r="F1705">
        <v>1285.96</v>
      </c>
      <c r="G1705">
        <v>735356352</v>
      </c>
    </row>
    <row r="1706" spans="5:7">
      <c r="E1706" s="2">
        <v>40554</v>
      </c>
      <c r="F1706">
        <v>1274.48</v>
      </c>
      <c r="G1706">
        <v>711961216</v>
      </c>
    </row>
    <row r="1707" spans="5:7">
      <c r="E1707" s="2">
        <v>40553</v>
      </c>
      <c r="F1707">
        <v>1269.75</v>
      </c>
      <c r="G1707">
        <v>735536384</v>
      </c>
    </row>
    <row r="1708" spans="5:7">
      <c r="E1708" s="2">
        <v>40550</v>
      </c>
      <c r="F1708">
        <v>1271.5</v>
      </c>
      <c r="G1708">
        <v>849398208</v>
      </c>
    </row>
    <row r="1709" spans="5:7">
      <c r="E1709" s="2">
        <v>40549</v>
      </c>
      <c r="F1709">
        <v>1273.8499999999999</v>
      </c>
      <c r="G1709">
        <v>864749888</v>
      </c>
    </row>
    <row r="1710" spans="5:7">
      <c r="E1710" s="2">
        <v>40548</v>
      </c>
      <c r="F1710">
        <v>1276.56</v>
      </c>
      <c r="G1710">
        <v>798240896</v>
      </c>
    </row>
    <row r="1711" spans="5:7">
      <c r="E1711" s="2">
        <v>40547</v>
      </c>
      <c r="F1711">
        <v>1270.2</v>
      </c>
      <c r="G1711">
        <v>827357952</v>
      </c>
    </row>
    <row r="1712" spans="5:7">
      <c r="E1712" s="2">
        <v>40546</v>
      </c>
      <c r="F1712">
        <v>1271.8699999999999</v>
      </c>
      <c r="G1712">
        <v>850007616</v>
      </c>
    </row>
    <row r="1713" spans="5:7">
      <c r="E1713" s="2">
        <v>40543</v>
      </c>
      <c r="F1713">
        <v>1257.6400000000001</v>
      </c>
      <c r="G1713">
        <v>426737536</v>
      </c>
    </row>
    <row r="1714" spans="5:7">
      <c r="E1714" s="2">
        <v>40542</v>
      </c>
      <c r="F1714">
        <v>1257.8800000000001</v>
      </c>
      <c r="G1714">
        <v>339290080</v>
      </c>
    </row>
    <row r="1715" spans="5:7">
      <c r="E1715" s="2">
        <v>40541</v>
      </c>
      <c r="F1715">
        <v>1259.78</v>
      </c>
      <c r="G1715">
        <v>362516416</v>
      </c>
    </row>
    <row r="1716" spans="5:7">
      <c r="E1716" s="2">
        <v>40540</v>
      </c>
      <c r="F1716">
        <v>1258.51</v>
      </c>
      <c r="G1716">
        <v>417475488</v>
      </c>
    </row>
    <row r="1717" spans="5:7">
      <c r="E1717" s="2">
        <v>40539</v>
      </c>
      <c r="F1717">
        <v>1257.54</v>
      </c>
      <c r="G1717">
        <v>355625888</v>
      </c>
    </row>
    <row r="1718" spans="5:7">
      <c r="E1718" s="2">
        <v>40535</v>
      </c>
      <c r="F1718">
        <v>1256.77</v>
      </c>
      <c r="G1718">
        <v>450873888</v>
      </c>
    </row>
    <row r="1719" spans="5:7">
      <c r="E1719" s="2">
        <v>40534</v>
      </c>
      <c r="F1719">
        <v>1258.8399999999999</v>
      </c>
      <c r="G1719">
        <v>616196352</v>
      </c>
    </row>
    <row r="1720" spans="5:7">
      <c r="E1720" s="2">
        <v>40533</v>
      </c>
      <c r="F1720">
        <v>1254.5999999999999</v>
      </c>
      <c r="G1720">
        <v>606871616</v>
      </c>
    </row>
    <row r="1721" spans="5:7">
      <c r="E1721" s="2">
        <v>40532</v>
      </c>
      <c r="F1721">
        <v>1247.08</v>
      </c>
      <c r="G1721">
        <v>640782464</v>
      </c>
    </row>
    <row r="1722" spans="5:7">
      <c r="E1722" s="2">
        <v>40529</v>
      </c>
      <c r="F1722">
        <v>1243.9100000000001</v>
      </c>
      <c r="G1722">
        <v>1700705920</v>
      </c>
    </row>
    <row r="1723" spans="5:7">
      <c r="E1723" s="2">
        <v>40528</v>
      </c>
      <c r="F1723">
        <v>1242.8699999999999</v>
      </c>
      <c r="G1723">
        <v>783819712</v>
      </c>
    </row>
    <row r="1724" spans="5:7">
      <c r="E1724" s="2">
        <v>40527</v>
      </c>
      <c r="F1724">
        <v>1235.23</v>
      </c>
      <c r="G1724">
        <v>878111296</v>
      </c>
    </row>
    <row r="1725" spans="5:7">
      <c r="E1725" s="2">
        <v>40526</v>
      </c>
      <c r="F1725">
        <v>1241.5899999999999</v>
      </c>
      <c r="G1725">
        <v>765828672</v>
      </c>
    </row>
    <row r="1726" spans="5:7">
      <c r="E1726" s="2">
        <v>40525</v>
      </c>
      <c r="F1726">
        <v>1240.46</v>
      </c>
      <c r="G1726">
        <v>787282560</v>
      </c>
    </row>
    <row r="1727" spans="5:7">
      <c r="E1727" s="2">
        <v>40522</v>
      </c>
      <c r="F1727">
        <v>1240.4000000000001</v>
      </c>
      <c r="G1727">
        <v>755074560</v>
      </c>
    </row>
    <row r="1728" spans="5:7">
      <c r="E1728" s="2">
        <v>40521</v>
      </c>
      <c r="F1728">
        <v>1233</v>
      </c>
      <c r="G1728">
        <v>766754048</v>
      </c>
    </row>
    <row r="1729" spans="5:7">
      <c r="E1729" s="2">
        <v>40520</v>
      </c>
      <c r="F1729">
        <v>1228.28</v>
      </c>
      <c r="G1729">
        <v>851137920</v>
      </c>
    </row>
    <row r="1730" spans="5:7">
      <c r="E1730" s="2">
        <v>40519</v>
      </c>
      <c r="F1730">
        <v>1223.75</v>
      </c>
      <c r="G1730">
        <v>1352082944</v>
      </c>
    </row>
    <row r="1731" spans="5:7">
      <c r="E1731" s="2">
        <v>40518</v>
      </c>
      <c r="F1731">
        <v>1223.1199999999999</v>
      </c>
      <c r="G1731">
        <v>610046336</v>
      </c>
    </row>
    <row r="1732" spans="5:7">
      <c r="E1732" s="2">
        <v>40515</v>
      </c>
      <c r="F1732">
        <v>1224.71</v>
      </c>
      <c r="G1732">
        <v>699432768</v>
      </c>
    </row>
    <row r="1733" spans="5:7">
      <c r="E1733" s="2">
        <v>40514</v>
      </c>
      <c r="F1733">
        <v>1221.53</v>
      </c>
      <c r="G1733">
        <v>893320000</v>
      </c>
    </row>
    <row r="1734" spans="5:7">
      <c r="E1734" s="2">
        <v>40513</v>
      </c>
      <c r="F1734">
        <v>1206.07</v>
      </c>
      <c r="G1734">
        <v>880217344</v>
      </c>
    </row>
    <row r="1735" spans="5:7">
      <c r="E1735" s="2">
        <v>40512</v>
      </c>
      <c r="F1735">
        <v>1180.55</v>
      </c>
      <c r="G1735">
        <v>1114331008</v>
      </c>
    </row>
    <row r="1736" spans="5:7">
      <c r="E1736" s="2">
        <v>40511</v>
      </c>
      <c r="F1736">
        <v>1187.76</v>
      </c>
      <c r="G1736">
        <v>735663872</v>
      </c>
    </row>
    <row r="1737" spans="5:7">
      <c r="E1737" s="2">
        <v>40508</v>
      </c>
      <c r="F1737">
        <v>1189.4000000000001</v>
      </c>
      <c r="G1737">
        <v>321585280</v>
      </c>
    </row>
    <row r="1738" spans="5:7">
      <c r="E1738" s="2">
        <v>40506</v>
      </c>
      <c r="F1738">
        <v>1198.3499999999999</v>
      </c>
      <c r="G1738">
        <v>680198400</v>
      </c>
    </row>
    <row r="1739" spans="5:7">
      <c r="E1739" s="2">
        <v>40505</v>
      </c>
      <c r="F1739">
        <v>1180.73</v>
      </c>
      <c r="G1739">
        <v>828532800</v>
      </c>
    </row>
    <row r="1740" spans="5:7">
      <c r="E1740" s="2">
        <v>40504</v>
      </c>
      <c r="F1740">
        <v>1197.8399999999999</v>
      </c>
      <c r="G1740">
        <v>737190656</v>
      </c>
    </row>
    <row r="1741" spans="5:7">
      <c r="E1741" s="2">
        <v>40501</v>
      </c>
      <c r="F1741">
        <v>1199.73</v>
      </c>
      <c r="G1741">
        <v>959210304</v>
      </c>
    </row>
    <row r="1742" spans="5:7">
      <c r="E1742" s="2">
        <v>40500</v>
      </c>
      <c r="F1742">
        <v>1196.69</v>
      </c>
      <c r="G1742">
        <v>833226368</v>
      </c>
    </row>
    <row r="1743" spans="5:7">
      <c r="E1743" s="2">
        <v>40499</v>
      </c>
      <c r="F1743">
        <v>1178.5899999999999</v>
      </c>
      <c r="G1743">
        <v>769063424</v>
      </c>
    </row>
    <row r="1744" spans="5:7">
      <c r="E1744" s="2">
        <v>40498</v>
      </c>
      <c r="F1744">
        <v>1178.3399999999999</v>
      </c>
      <c r="G1744">
        <v>1057278592</v>
      </c>
    </row>
    <row r="1745" spans="5:7">
      <c r="E1745" s="2">
        <v>40497</v>
      </c>
      <c r="F1745">
        <v>1197.75</v>
      </c>
      <c r="G1745">
        <v>731205248</v>
      </c>
    </row>
    <row r="1746" spans="5:7">
      <c r="E1746" s="2">
        <v>40494</v>
      </c>
      <c r="F1746">
        <v>1199.21</v>
      </c>
      <c r="G1746">
        <v>870493184</v>
      </c>
    </row>
    <row r="1747" spans="5:7">
      <c r="E1747" s="2">
        <v>40493</v>
      </c>
      <c r="F1747">
        <v>1213.54</v>
      </c>
      <c r="G1747">
        <v>900259840</v>
      </c>
    </row>
    <row r="1748" spans="5:7">
      <c r="E1748" s="2">
        <v>40492</v>
      </c>
      <c r="F1748">
        <v>1218.71</v>
      </c>
      <c r="G1748">
        <v>856980928</v>
      </c>
    </row>
    <row r="1749" spans="5:7">
      <c r="E1749" s="2">
        <v>40491</v>
      </c>
      <c r="F1749">
        <v>1213.4000000000001</v>
      </c>
      <c r="G1749">
        <v>822816640</v>
      </c>
    </row>
    <row r="1750" spans="5:7">
      <c r="E1750" s="2">
        <v>40490</v>
      </c>
      <c r="F1750">
        <v>1223.25</v>
      </c>
      <c r="G1750">
        <v>699826304</v>
      </c>
    </row>
    <row r="1751" spans="5:7">
      <c r="E1751" s="2">
        <v>40487</v>
      </c>
      <c r="F1751">
        <v>1225.8499999999999</v>
      </c>
      <c r="G1751">
        <v>1002675776</v>
      </c>
    </row>
    <row r="1752" spans="5:7">
      <c r="E1752" s="2">
        <v>40486</v>
      </c>
      <c r="F1752">
        <v>1221.06</v>
      </c>
      <c r="G1752">
        <v>1094592512</v>
      </c>
    </row>
    <row r="1753" spans="5:7">
      <c r="E1753" s="2">
        <v>40485</v>
      </c>
      <c r="F1753">
        <v>1197.96</v>
      </c>
      <c r="G1753">
        <v>860295680</v>
      </c>
    </row>
    <row r="1754" spans="5:7">
      <c r="E1754" s="2">
        <v>40484</v>
      </c>
      <c r="F1754">
        <v>1193.57</v>
      </c>
      <c r="G1754">
        <v>696978368</v>
      </c>
    </row>
    <row r="1755" spans="5:7">
      <c r="E1755" s="2">
        <v>40483</v>
      </c>
      <c r="F1755">
        <v>1184.3800000000001</v>
      </c>
      <c r="G1755">
        <v>715991680</v>
      </c>
    </row>
    <row r="1756" spans="5:7">
      <c r="E1756" s="2">
        <v>40480</v>
      </c>
      <c r="F1756">
        <v>1183.26</v>
      </c>
      <c r="G1756">
        <v>863451776</v>
      </c>
    </row>
    <row r="1757" spans="5:7">
      <c r="E1757" s="2">
        <v>40479</v>
      </c>
      <c r="F1757">
        <v>1183.78</v>
      </c>
      <c r="G1757">
        <v>783994432</v>
      </c>
    </row>
    <row r="1758" spans="5:7">
      <c r="E1758" s="2">
        <v>40478</v>
      </c>
      <c r="F1758">
        <v>1182.45</v>
      </c>
      <c r="G1758">
        <v>823039680</v>
      </c>
    </row>
    <row r="1759" spans="5:7">
      <c r="E1759" s="2">
        <v>40477</v>
      </c>
      <c r="F1759">
        <v>1185.6400000000001</v>
      </c>
      <c r="G1759">
        <v>773201216</v>
      </c>
    </row>
    <row r="1760" spans="5:7">
      <c r="E1760" s="2">
        <v>40476</v>
      </c>
      <c r="F1760">
        <v>1185.6199999999999</v>
      </c>
      <c r="G1760">
        <v>829321856</v>
      </c>
    </row>
    <row r="1761" spans="5:7">
      <c r="E1761" s="2">
        <v>40473</v>
      </c>
      <c r="F1761">
        <v>1183.08</v>
      </c>
      <c r="G1761">
        <v>615741888</v>
      </c>
    </row>
    <row r="1762" spans="5:7">
      <c r="E1762" s="2">
        <v>40472</v>
      </c>
      <c r="F1762">
        <v>1180.26</v>
      </c>
      <c r="G1762">
        <v>834850048</v>
      </c>
    </row>
    <row r="1763" spans="5:7">
      <c r="E1763" s="2">
        <v>40471</v>
      </c>
      <c r="F1763">
        <v>1178.17</v>
      </c>
      <c r="G1763">
        <v>910818624</v>
      </c>
    </row>
    <row r="1764" spans="5:7">
      <c r="E1764" s="2">
        <v>40470</v>
      </c>
      <c r="F1764">
        <v>1165.9000000000001</v>
      </c>
      <c r="G1764">
        <v>1042907456</v>
      </c>
    </row>
    <row r="1765" spans="5:7">
      <c r="E1765" s="2">
        <v>40469</v>
      </c>
      <c r="F1765">
        <v>1184.71</v>
      </c>
      <c r="G1765">
        <v>849621568</v>
      </c>
    </row>
    <row r="1766" spans="5:7">
      <c r="E1766" s="2">
        <v>40466</v>
      </c>
      <c r="F1766">
        <v>1176.19</v>
      </c>
      <c r="G1766">
        <v>1237985920</v>
      </c>
    </row>
    <row r="1767" spans="5:7">
      <c r="E1767" s="2">
        <v>40465</v>
      </c>
      <c r="F1767">
        <v>1173.81</v>
      </c>
      <c r="G1767">
        <v>927189952</v>
      </c>
    </row>
    <row r="1768" spans="5:7">
      <c r="E1768" s="2">
        <v>40464</v>
      </c>
      <c r="F1768">
        <v>1178.0999999999999</v>
      </c>
      <c r="G1768">
        <v>1082232320</v>
      </c>
    </row>
    <row r="1769" spans="5:7">
      <c r="E1769" s="2">
        <v>40463</v>
      </c>
      <c r="F1769">
        <v>1169.77</v>
      </c>
      <c r="G1769">
        <v>776821248</v>
      </c>
    </row>
    <row r="1770" spans="5:7">
      <c r="E1770" s="2">
        <v>40462</v>
      </c>
      <c r="F1770">
        <v>1165.32</v>
      </c>
      <c r="G1770">
        <v>645495680</v>
      </c>
    </row>
    <row r="1771" spans="5:7">
      <c r="E1771" s="2">
        <v>40459</v>
      </c>
      <c r="F1771">
        <v>1165.1500000000001</v>
      </c>
      <c r="G1771">
        <v>767235904</v>
      </c>
    </row>
    <row r="1772" spans="5:7">
      <c r="E1772" s="2">
        <v>40458</v>
      </c>
      <c r="F1772">
        <v>1158.06</v>
      </c>
      <c r="G1772">
        <v>740276672</v>
      </c>
    </row>
    <row r="1773" spans="5:7">
      <c r="E1773" s="2">
        <v>40457</v>
      </c>
      <c r="F1773">
        <v>1159.97</v>
      </c>
      <c r="G1773">
        <v>809454208</v>
      </c>
    </row>
    <row r="1774" spans="5:7">
      <c r="E1774" s="2">
        <v>40456</v>
      </c>
      <c r="F1774">
        <v>1160.75</v>
      </c>
      <c r="G1774">
        <v>1011688640</v>
      </c>
    </row>
    <row r="1775" spans="5:7">
      <c r="E1775" s="2">
        <v>40455</v>
      </c>
      <c r="F1775">
        <v>1137.03</v>
      </c>
      <c r="G1775">
        <v>767226752</v>
      </c>
    </row>
    <row r="1776" spans="5:7">
      <c r="E1776" s="2">
        <v>40452</v>
      </c>
      <c r="F1776">
        <v>1146.24</v>
      </c>
      <c r="G1776">
        <v>845788608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O230"/>
  <sheetViews>
    <sheetView showGridLines="0" workbookViewId="0">
      <pane ySplit="3" topLeftCell="A4" activePane="bottomLeft" state="frozen"/>
      <selection pane="bottomLeft" activeCell="C8" sqref="C8"/>
    </sheetView>
  </sheetViews>
  <sheetFormatPr baseColWidth="10" defaultColWidth="8.83203125" defaultRowHeight="15"/>
  <cols>
    <col min="1" max="1" width="28.33203125" bestFit="1" customWidth="1"/>
    <col min="2" max="2" width="27.5" bestFit="1" customWidth="1"/>
    <col min="3" max="3" width="13.5" bestFit="1" customWidth="1"/>
    <col min="4" max="5" width="15" bestFit="1" customWidth="1"/>
    <col min="6" max="6" width="16" bestFit="1" customWidth="1"/>
    <col min="7" max="7" width="14.1640625" bestFit="1" customWidth="1"/>
    <col min="8" max="9" width="16.1640625" bestFit="1" customWidth="1"/>
    <col min="10" max="10" width="28.83203125" bestFit="1" customWidth="1"/>
    <col min="11" max="11" width="11.5" bestFit="1" customWidth="1"/>
  </cols>
  <sheetData>
    <row r="1" spans="1:15" s="31" customFormat="1" ht="30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5" s="31" customFormat="1" ht="20">
      <c r="A2" s="6" t="s">
        <v>595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5" s="31" customForma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5">
      <c r="A4" s="532" t="s">
        <v>454</v>
      </c>
      <c r="B4" s="532"/>
      <c r="C4" s="532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352"/>
    </row>
    <row r="5" spans="1:15">
      <c r="A5" s="34"/>
      <c r="B5" s="34"/>
      <c r="C5" s="34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  <c r="O5" s="352"/>
    </row>
    <row r="6" spans="1:15">
      <c r="A6" s="531" t="s">
        <v>455</v>
      </c>
      <c r="B6" s="531" t="s">
        <v>456</v>
      </c>
      <c r="C6" s="531" t="s">
        <v>457</v>
      </c>
      <c r="D6" s="531" t="s">
        <v>458</v>
      </c>
      <c r="E6" s="531" t="s">
        <v>459</v>
      </c>
      <c r="F6" s="531" t="s">
        <v>460</v>
      </c>
      <c r="G6" s="531" t="s">
        <v>461</v>
      </c>
      <c r="H6" s="531" t="s">
        <v>462</v>
      </c>
      <c r="I6" s="531" t="s">
        <v>463</v>
      </c>
      <c r="J6" s="531" t="s">
        <v>464</v>
      </c>
      <c r="K6" s="531" t="s">
        <v>465</v>
      </c>
      <c r="L6" s="352"/>
      <c r="M6" s="352"/>
      <c r="N6" s="352"/>
      <c r="O6" s="352"/>
    </row>
    <row r="7" spans="1:15">
      <c r="A7" s="352" t="s">
        <v>466</v>
      </c>
      <c r="B7" s="352" t="s">
        <v>467</v>
      </c>
      <c r="C7" s="352" t="s">
        <v>468</v>
      </c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</row>
    <row r="8" spans="1:15">
      <c r="A8" s="352" t="s">
        <v>8</v>
      </c>
      <c r="B8" s="352"/>
      <c r="C8" s="352" t="s">
        <v>469</v>
      </c>
      <c r="D8" s="352"/>
      <c r="E8" s="352"/>
      <c r="F8" s="352"/>
      <c r="G8" s="352"/>
      <c r="H8" s="352"/>
      <c r="I8" s="352"/>
      <c r="J8" s="352"/>
      <c r="K8" s="352"/>
      <c r="L8" s="352"/>
      <c r="M8" s="352"/>
      <c r="N8" s="352"/>
      <c r="O8" s="352"/>
    </row>
    <row r="9" spans="1:15">
      <c r="A9" s="352" t="s">
        <v>470</v>
      </c>
      <c r="B9" s="352" t="s">
        <v>471</v>
      </c>
      <c r="C9" s="330">
        <v>85964.707235879992</v>
      </c>
      <c r="D9" s="330">
        <v>52.69</v>
      </c>
      <c r="E9" s="330">
        <v>0.74569790000000002</v>
      </c>
      <c r="F9" s="330">
        <v>-1.624349</v>
      </c>
      <c r="G9" s="330">
        <v>6.0971089696071168</v>
      </c>
      <c r="H9" s="330">
        <v>16.203703703703685</v>
      </c>
      <c r="I9" s="330">
        <v>22.421276011365524</v>
      </c>
      <c r="J9" s="330">
        <v>32.626873085520323</v>
      </c>
      <c r="K9" s="330">
        <v>1.3659647668568193</v>
      </c>
      <c r="L9" s="352"/>
      <c r="M9" s="352"/>
      <c r="N9" s="352"/>
      <c r="O9" s="352"/>
    </row>
    <row r="10" spans="1:15">
      <c r="A10" s="352" t="s">
        <v>472</v>
      </c>
      <c r="B10" s="352" t="s">
        <v>473</v>
      </c>
      <c r="C10" s="330">
        <v>46130.50552646703</v>
      </c>
      <c r="D10" s="330">
        <v>220.49199999999999</v>
      </c>
      <c r="E10" s="330">
        <v>-1.337964E-2</v>
      </c>
      <c r="F10" s="330">
        <v>-3.738127</v>
      </c>
      <c r="G10" s="330">
        <v>14.04670410877919</v>
      </c>
      <c r="H10" s="330">
        <v>34.212307832072696</v>
      </c>
      <c r="I10" s="330">
        <v>31.881570653296986</v>
      </c>
      <c r="J10" s="330">
        <v>19.927040978798289</v>
      </c>
      <c r="K10" s="330">
        <v>1.070663811563169</v>
      </c>
      <c r="L10" s="352"/>
      <c r="M10" s="352"/>
      <c r="N10" s="352"/>
      <c r="O10" s="352"/>
    </row>
    <row r="11" spans="1:15">
      <c r="A11" s="352" t="s">
        <v>474</v>
      </c>
      <c r="B11" s="352" t="s">
        <v>475</v>
      </c>
      <c r="C11" s="330">
        <v>25723.155157149999</v>
      </c>
      <c r="D11" s="330">
        <v>65.349999999999994</v>
      </c>
      <c r="E11" s="330">
        <v>0.43030580000000002</v>
      </c>
      <c r="F11" s="330">
        <v>5.1826800000000004</v>
      </c>
      <c r="G11" s="330">
        <v>-0.11345791930376166</v>
      </c>
      <c r="H11" s="330">
        <v>0.82440774463525579</v>
      </c>
      <c r="I11" s="330">
        <v>22.367987276130535</v>
      </c>
      <c r="J11" s="330">
        <v>29.295703875276509</v>
      </c>
      <c r="K11" s="330">
        <v>2.5703793567134525</v>
      </c>
      <c r="L11" s="352"/>
      <c r="M11" s="352"/>
      <c r="N11" s="352"/>
      <c r="O11" s="352"/>
    </row>
    <row r="12" spans="1:15">
      <c r="A12" s="352" t="s">
        <v>476</v>
      </c>
      <c r="B12" s="352" t="s">
        <v>477</v>
      </c>
      <c r="C12" s="330">
        <v>8135.1073244100007</v>
      </c>
      <c r="D12" s="330">
        <v>60.09</v>
      </c>
      <c r="E12" s="330">
        <v>0.61955789999999999</v>
      </c>
      <c r="F12" s="330">
        <v>2.6127030000000002</v>
      </c>
      <c r="G12" s="330">
        <v>13.776550904794544</v>
      </c>
      <c r="H12" s="330">
        <v>15.169173931889963</v>
      </c>
      <c r="I12" s="330">
        <v>28.158480441401579</v>
      </c>
      <c r="J12" s="330">
        <v>22.911483889693507</v>
      </c>
      <c r="K12" s="330" t="s">
        <v>478</v>
      </c>
      <c r="L12" s="352"/>
      <c r="M12" s="352"/>
      <c r="N12" s="352"/>
      <c r="O12" s="352"/>
    </row>
    <row r="13" spans="1:15">
      <c r="A13" s="352" t="s">
        <v>479</v>
      </c>
      <c r="B13" s="352" t="s">
        <v>480</v>
      </c>
      <c r="C13" s="330">
        <v>6912.75495778</v>
      </c>
      <c r="D13" s="330">
        <v>16.45</v>
      </c>
      <c r="E13" s="330">
        <v>0.73484380000000005</v>
      </c>
      <c r="F13" s="330">
        <v>-0.54414090000000004</v>
      </c>
      <c r="G13" s="330">
        <v>21.750035891689603</v>
      </c>
      <c r="H13" s="330">
        <v>81.055023079578064</v>
      </c>
      <c r="I13" s="330">
        <v>34.060088127501608</v>
      </c>
      <c r="J13" s="330">
        <v>11.491908422370948</v>
      </c>
      <c r="K13" s="330" t="s">
        <v>478</v>
      </c>
      <c r="L13" s="352"/>
      <c r="M13" s="352"/>
      <c r="N13" s="352"/>
      <c r="O13" s="352"/>
    </row>
    <row r="14" spans="1:15">
      <c r="A14" s="352" t="s">
        <v>481</v>
      </c>
      <c r="B14" s="352" t="s">
        <v>482</v>
      </c>
      <c r="C14" s="330">
        <v>6166.9223593616434</v>
      </c>
      <c r="D14" s="330">
        <v>408.88029999999998</v>
      </c>
      <c r="E14" s="330">
        <v>0.85880639999999997</v>
      </c>
      <c r="F14" s="330">
        <v>7.5764670000000001</v>
      </c>
      <c r="G14" s="330">
        <v>7.0644151856881292</v>
      </c>
      <c r="H14" s="330">
        <v>145.75629581704919</v>
      </c>
      <c r="I14" s="330">
        <v>48.727146583267412</v>
      </c>
      <c r="J14" s="330">
        <v>6.5949486031795024</v>
      </c>
      <c r="K14" s="330">
        <v>0.21648145475537595</v>
      </c>
      <c r="L14" s="352"/>
      <c r="M14" s="352"/>
      <c r="N14" s="352"/>
      <c r="O14" s="352"/>
    </row>
    <row r="15" spans="1:15">
      <c r="A15" s="352" t="s">
        <v>483</v>
      </c>
      <c r="B15" s="352" t="s">
        <v>484</v>
      </c>
      <c r="C15" s="330">
        <v>4240.6149855999993</v>
      </c>
      <c r="D15" s="330">
        <v>60.8</v>
      </c>
      <c r="E15" s="330">
        <v>0.2473207</v>
      </c>
      <c r="F15" s="330">
        <v>3.7011750000000001</v>
      </c>
      <c r="G15" s="330">
        <v>2.1866321608817993</v>
      </c>
      <c r="H15" s="330">
        <v>15.139858435846497</v>
      </c>
      <c r="I15" s="330">
        <v>21.93089216423661</v>
      </c>
      <c r="J15" s="330">
        <v>13.244098517663739</v>
      </c>
      <c r="K15" s="330">
        <v>1.1844053768880236</v>
      </c>
      <c r="L15" s="352"/>
      <c r="M15" s="352"/>
      <c r="N15" s="352"/>
      <c r="O15" s="352"/>
    </row>
    <row r="16" spans="1:15">
      <c r="A16" s="352" t="s">
        <v>485</v>
      </c>
      <c r="B16" s="352" t="s">
        <v>486</v>
      </c>
      <c r="C16" s="330">
        <v>3807.0976989599999</v>
      </c>
      <c r="D16" s="330">
        <v>24.03</v>
      </c>
      <c r="E16" s="330">
        <v>-4.2247909999999997</v>
      </c>
      <c r="F16" s="330">
        <v>-6.8243539999999996</v>
      </c>
      <c r="G16" s="330">
        <v>13.217200776660048</v>
      </c>
      <c r="H16" s="330">
        <v>3.078792696155396</v>
      </c>
      <c r="I16" s="330">
        <v>14.919276155387399</v>
      </c>
      <c r="J16" s="330">
        <v>14.521452126242304</v>
      </c>
      <c r="K16" s="330" t="s">
        <v>478</v>
      </c>
      <c r="L16" s="352"/>
      <c r="M16" s="352"/>
      <c r="N16" s="352"/>
      <c r="O16" s="352"/>
    </row>
    <row r="17" spans="1:15">
      <c r="A17" s="352" t="s">
        <v>487</v>
      </c>
      <c r="B17" s="352" t="s">
        <v>488</v>
      </c>
      <c r="C17" s="330">
        <v>3042.9534265874559</v>
      </c>
      <c r="D17" s="330">
        <v>15.21758</v>
      </c>
      <c r="E17" s="330">
        <v>0.34924329999999998</v>
      </c>
      <c r="F17" s="330">
        <v>2.0118339999999999</v>
      </c>
      <c r="G17" s="330">
        <v>-6.8570095093635146</v>
      </c>
      <c r="H17" s="330">
        <v>57.865104941808006</v>
      </c>
      <c r="I17" s="330">
        <v>21.243299858295853</v>
      </c>
      <c r="J17" s="330">
        <v>8.7080898985433812</v>
      </c>
      <c r="K17" s="330">
        <v>1.3631090487238979</v>
      </c>
      <c r="L17" s="352"/>
      <c r="M17" s="352"/>
      <c r="N17" s="352"/>
      <c r="O17" s="352"/>
    </row>
    <row r="18" spans="1:15">
      <c r="A18" s="352" t="s">
        <v>489</v>
      </c>
      <c r="B18" s="352" t="s">
        <v>490</v>
      </c>
      <c r="C18" s="330">
        <v>1080.4969391038737</v>
      </c>
      <c r="D18" s="330">
        <v>4.1684659999999996</v>
      </c>
      <c r="E18" s="330">
        <v>-1.450893</v>
      </c>
      <c r="F18" s="330">
        <v>3.0338400000000001</v>
      </c>
      <c r="G18" s="330">
        <v>3.0262929141351362</v>
      </c>
      <c r="H18" s="330">
        <v>-45.725000000000001</v>
      </c>
      <c r="I18" s="330">
        <v>93.821390449180626</v>
      </c>
      <c r="J18" s="330">
        <v>5.3629584634715499</v>
      </c>
      <c r="K18" s="330">
        <v>0.56401577983545303</v>
      </c>
      <c r="L18" s="352"/>
      <c r="M18" s="352"/>
      <c r="N18" s="352"/>
      <c r="O18" s="352"/>
    </row>
    <row r="19" spans="1:15">
      <c r="A19" s="352" t="s">
        <v>428</v>
      </c>
      <c r="B19" s="352" t="s">
        <v>428</v>
      </c>
      <c r="C19" s="330">
        <v>6539.8386585708213</v>
      </c>
      <c r="D19" s="330">
        <v>56.39</v>
      </c>
      <c r="E19" s="330">
        <v>0.38977455</v>
      </c>
      <c r="F19" s="330">
        <v>2.3122685000000001</v>
      </c>
      <c r="G19" s="330">
        <v>6.5807620776476234</v>
      </c>
      <c r="H19" s="330">
        <v>15.686438817796823</v>
      </c>
      <c r="I19" s="330">
        <v>25.28987822638355</v>
      </c>
      <c r="J19" s="330">
        <v>13.882775321953021</v>
      </c>
      <c r="K19" s="330">
        <v>1.1844053768880236</v>
      </c>
      <c r="L19" s="352"/>
      <c r="M19" s="352"/>
      <c r="N19" s="352"/>
      <c r="O19" s="352"/>
    </row>
    <row r="20" spans="1:15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</row>
    <row r="21" spans="1:15">
      <c r="A21" s="352"/>
      <c r="B21" s="352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</row>
    <row r="22" spans="1:15">
      <c r="A22" s="352"/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</row>
    <row r="23" spans="1:15">
      <c r="A23" s="531" t="s">
        <v>455</v>
      </c>
      <c r="B23" s="531" t="s">
        <v>456</v>
      </c>
      <c r="C23" s="531" t="s">
        <v>455</v>
      </c>
      <c r="D23" s="531" t="s">
        <v>491</v>
      </c>
      <c r="E23" s="531" t="s">
        <v>492</v>
      </c>
      <c r="F23" s="531" t="s">
        <v>493</v>
      </c>
      <c r="G23" s="531" t="s">
        <v>494</v>
      </c>
      <c r="H23" s="531" t="s">
        <v>495</v>
      </c>
      <c r="I23" s="531" t="s">
        <v>496</v>
      </c>
      <c r="J23" s="531" t="s">
        <v>497</v>
      </c>
      <c r="K23" s="531" t="s">
        <v>458</v>
      </c>
      <c r="L23" s="531" t="s">
        <v>498</v>
      </c>
      <c r="M23" s="352"/>
      <c r="N23" s="352"/>
      <c r="O23" s="352"/>
    </row>
    <row r="24" spans="1:15">
      <c r="A24" s="352" t="s">
        <v>466</v>
      </c>
      <c r="B24" s="352" t="s">
        <v>467</v>
      </c>
      <c r="C24" s="352" t="s">
        <v>468</v>
      </c>
      <c r="D24" s="353"/>
      <c r="E24" s="353"/>
      <c r="F24" s="353"/>
      <c r="G24" s="353"/>
      <c r="H24" s="353"/>
      <c r="I24" s="353"/>
      <c r="J24" s="353"/>
      <c r="K24" s="353"/>
      <c r="L24" s="353"/>
      <c r="M24" s="352"/>
      <c r="N24" s="352"/>
      <c r="O24" s="352"/>
    </row>
    <row r="25" spans="1:15">
      <c r="A25" s="352" t="s">
        <v>8</v>
      </c>
      <c r="B25" s="352"/>
      <c r="C25" s="352" t="s">
        <v>469</v>
      </c>
      <c r="D25" s="353"/>
      <c r="E25" s="353"/>
      <c r="F25" s="353"/>
      <c r="G25" s="353"/>
      <c r="H25" s="353"/>
      <c r="I25" s="353"/>
      <c r="J25" s="353"/>
      <c r="K25" s="353"/>
      <c r="L25" s="353"/>
      <c r="M25" s="352"/>
      <c r="N25" s="352"/>
      <c r="O25" s="352"/>
    </row>
    <row r="26" spans="1:15">
      <c r="A26" s="352" t="s">
        <v>470</v>
      </c>
      <c r="B26" s="352" t="s">
        <v>471</v>
      </c>
      <c r="C26" s="352" t="s">
        <v>499</v>
      </c>
      <c r="D26" s="330">
        <v>85964.707235879992</v>
      </c>
      <c r="E26" s="330">
        <v>1631.01</v>
      </c>
      <c r="F26" s="330">
        <v>7.0172136697025875</v>
      </c>
      <c r="G26" s="330">
        <v>7.1919893064222968</v>
      </c>
      <c r="H26" s="330">
        <v>11992999936</v>
      </c>
      <c r="I26" s="330">
        <v>2.3500000238418601</v>
      </c>
      <c r="J26" s="330">
        <v>2.3899999999999997</v>
      </c>
      <c r="K26" s="330">
        <v>52.69</v>
      </c>
      <c r="L26" s="354" t="s">
        <v>500</v>
      </c>
      <c r="M26" s="352"/>
      <c r="N26" s="352"/>
      <c r="O26" s="352"/>
    </row>
    <row r="27" spans="1:15">
      <c r="A27" s="352" t="s">
        <v>472</v>
      </c>
      <c r="B27" s="352" t="s">
        <v>473</v>
      </c>
      <c r="C27" s="352" t="s">
        <v>501</v>
      </c>
      <c r="D27" s="330">
        <v>46263.220627701034</v>
      </c>
      <c r="E27" s="330">
        <v>209.21619999999999</v>
      </c>
      <c r="F27" s="330">
        <v>4.6745395390142148</v>
      </c>
      <c r="G27" s="330">
        <v>6.1810325313566405</v>
      </c>
      <c r="H27" s="330">
        <v>6990462492.4888897</v>
      </c>
      <c r="I27" s="330">
        <v>5.2787512471833198</v>
      </c>
      <c r="J27" s="330">
        <v>6.4398756211252124</v>
      </c>
      <c r="K27" s="330">
        <v>187.3</v>
      </c>
      <c r="L27" s="354" t="s">
        <v>500</v>
      </c>
      <c r="M27" s="352"/>
      <c r="N27" s="352"/>
      <c r="O27" s="352"/>
    </row>
    <row r="28" spans="1:15">
      <c r="A28" s="352" t="s">
        <v>474</v>
      </c>
      <c r="B28" s="352" t="s">
        <v>475</v>
      </c>
      <c r="C28" s="352" t="s">
        <v>502</v>
      </c>
      <c r="D28" s="330">
        <v>25723.155157149999</v>
      </c>
      <c r="E28" s="330">
        <v>393.62129999999996</v>
      </c>
      <c r="F28" s="330">
        <v>4.4703388489514397</v>
      </c>
      <c r="G28" s="330">
        <v>7.0527801884672581</v>
      </c>
      <c r="H28" s="330">
        <v>3644338944</v>
      </c>
      <c r="I28" s="330">
        <v>2.5900000631809199</v>
      </c>
      <c r="J28" s="330">
        <v>2.9520119999999999</v>
      </c>
      <c r="K28" s="330">
        <v>65.349999999999994</v>
      </c>
      <c r="L28" s="354" t="s">
        <v>500</v>
      </c>
      <c r="M28" s="352"/>
      <c r="N28" s="352"/>
      <c r="O28" s="352"/>
    </row>
    <row r="29" spans="1:15">
      <c r="A29" s="352" t="s">
        <v>476</v>
      </c>
      <c r="B29" s="352" t="s">
        <v>477</v>
      </c>
      <c r="C29" s="352" t="s">
        <v>503</v>
      </c>
      <c r="D29" s="330">
        <v>8135.1073244100007</v>
      </c>
      <c r="E29" s="330">
        <v>125.60109999999999</v>
      </c>
      <c r="F29" s="330">
        <v>6.7354423212813774</v>
      </c>
      <c r="G29" s="330">
        <v>5.8240239121885056</v>
      </c>
      <c r="H29" s="330">
        <v>1397809024</v>
      </c>
      <c r="I29" s="330">
        <v>2.0800000280141799</v>
      </c>
      <c r="J29" s="330">
        <v>2.1372599999999999</v>
      </c>
      <c r="K29" s="330">
        <v>60.09</v>
      </c>
      <c r="L29" s="354" t="s">
        <v>500</v>
      </c>
      <c r="M29" s="352"/>
      <c r="N29" s="352"/>
      <c r="O29" s="352"/>
    </row>
    <row r="30" spans="1:15">
      <c r="A30" s="352" t="s">
        <v>479</v>
      </c>
      <c r="B30" s="352" t="s">
        <v>480</v>
      </c>
      <c r="C30" s="352" t="s">
        <v>504</v>
      </c>
      <c r="D30" s="330">
        <v>6912.75495778</v>
      </c>
      <c r="E30" s="330">
        <v>184.95050000000001</v>
      </c>
      <c r="F30" s="330">
        <v>6.2714322511940521</v>
      </c>
      <c r="G30" s="330">
        <v>3.5839908977830173</v>
      </c>
      <c r="H30" s="330">
        <v>2023771008</v>
      </c>
      <c r="I30" s="330">
        <v>0.48029001057148002</v>
      </c>
      <c r="J30" s="330">
        <v>0.49800699999999998</v>
      </c>
      <c r="K30" s="330">
        <v>16.45</v>
      </c>
      <c r="L30" s="354" t="s">
        <v>500</v>
      </c>
      <c r="M30" s="352"/>
      <c r="N30" s="352"/>
      <c r="O30" s="352"/>
    </row>
    <row r="31" spans="1:15">
      <c r="A31" s="352" t="s">
        <v>481</v>
      </c>
      <c r="B31" s="352" t="s">
        <v>482</v>
      </c>
      <c r="C31" s="352" t="s">
        <v>505</v>
      </c>
      <c r="D31" s="330">
        <v>6274.9605833198939</v>
      </c>
      <c r="E31" s="330">
        <v>15.082459999999999</v>
      </c>
      <c r="F31" s="330">
        <v>2.185101224705607</v>
      </c>
      <c r="G31" s="330">
        <v>3.2330050009391393</v>
      </c>
      <c r="H31" s="330">
        <v>1876297139.1677899</v>
      </c>
      <c r="I31" s="330">
        <v>7.7565590218473703</v>
      </c>
      <c r="J31" s="330">
        <v>7.7844173191083925</v>
      </c>
      <c r="K31" s="330">
        <v>352.4</v>
      </c>
      <c r="L31" s="354" t="s">
        <v>500</v>
      </c>
      <c r="M31" s="352"/>
      <c r="N31" s="352"/>
      <c r="O31" s="352"/>
    </row>
    <row r="32" spans="1:15">
      <c r="A32" s="352" t="s">
        <v>483</v>
      </c>
      <c r="B32" s="352" t="s">
        <v>484</v>
      </c>
      <c r="C32" s="352" t="s">
        <v>506</v>
      </c>
      <c r="D32" s="330">
        <v>4240.6149855999993</v>
      </c>
      <c r="E32" s="330">
        <v>69.746960000000001</v>
      </c>
      <c r="F32" s="330">
        <v>2.6099075485962508</v>
      </c>
      <c r="G32" s="330">
        <v>2.7391268137869558</v>
      </c>
      <c r="H32" s="330">
        <v>1572199936</v>
      </c>
      <c r="I32" s="330">
        <v>2.7199999839067499</v>
      </c>
      <c r="J32" s="330">
        <v>2.8154760000000003</v>
      </c>
      <c r="K32" s="330">
        <v>60.8</v>
      </c>
      <c r="L32" s="354" t="s">
        <v>500</v>
      </c>
      <c r="M32" s="352"/>
      <c r="N32" s="352"/>
      <c r="O32" s="352"/>
    </row>
    <row r="33" spans="1:15">
      <c r="A33" s="352" t="s">
        <v>485</v>
      </c>
      <c r="B33" s="352" t="s">
        <v>486</v>
      </c>
      <c r="C33" s="352" t="s">
        <v>507</v>
      </c>
      <c r="D33" s="330">
        <v>3807.0976989599999</v>
      </c>
      <c r="E33" s="330">
        <v>133.88579999999999</v>
      </c>
      <c r="F33" s="330">
        <v>2.3747353540367402</v>
      </c>
      <c r="G33" s="330">
        <v>2.0220361799454194</v>
      </c>
      <c r="H33" s="330">
        <v>1999697024</v>
      </c>
      <c r="I33" s="330">
        <v>1.6099999919533701</v>
      </c>
      <c r="J33" s="330">
        <v>1.6224689999999999</v>
      </c>
      <c r="K33" s="330">
        <v>24.03</v>
      </c>
      <c r="L33" s="354" t="s">
        <v>500</v>
      </c>
      <c r="M33" s="352"/>
      <c r="N33" s="352"/>
      <c r="O33" s="352"/>
    </row>
    <row r="34" spans="1:15">
      <c r="A34" s="352" t="s">
        <v>487</v>
      </c>
      <c r="B34" s="352" t="s">
        <v>488</v>
      </c>
      <c r="C34" s="352" t="s">
        <v>508</v>
      </c>
      <c r="D34" s="330">
        <v>3042.1478769183714</v>
      </c>
      <c r="E34" s="330">
        <v>199.96299999999999</v>
      </c>
      <c r="F34" s="330">
        <v>2.214882756798489</v>
      </c>
      <c r="G34" s="330">
        <v>1.6629616656740687</v>
      </c>
      <c r="H34" s="330">
        <v>1762937236.0127201</v>
      </c>
      <c r="I34" s="330">
        <v>0.69576745311495503</v>
      </c>
      <c r="J34" s="330">
        <v>0.78148881144896531</v>
      </c>
      <c r="K34" s="330">
        <v>1724</v>
      </c>
      <c r="L34" s="354" t="s">
        <v>500</v>
      </c>
      <c r="M34" s="352"/>
      <c r="N34" s="352"/>
      <c r="O34" s="352"/>
    </row>
    <row r="35" spans="1:15">
      <c r="A35" s="352" t="s">
        <v>489</v>
      </c>
      <c r="B35" s="352" t="s">
        <v>490</v>
      </c>
      <c r="C35" s="352" t="s">
        <v>509</v>
      </c>
      <c r="D35" s="330">
        <v>1086.3715565327634</v>
      </c>
      <c r="E35" s="330">
        <v>259.20729999999998</v>
      </c>
      <c r="F35" s="330">
        <v>1.5924968836891225</v>
      </c>
      <c r="G35" s="330">
        <v>2.6587440918180145</v>
      </c>
      <c r="H35" s="330">
        <v>395001616.33268702</v>
      </c>
      <c r="I35" s="330">
        <v>4.0883024387874001E-2</v>
      </c>
      <c r="J35" s="330">
        <v>7.8538339164098317E-2</v>
      </c>
      <c r="K35" s="330">
        <v>3.55</v>
      </c>
      <c r="L35" s="354" t="s">
        <v>500</v>
      </c>
      <c r="M35" s="352"/>
      <c r="N35" s="352"/>
      <c r="O35" s="352"/>
    </row>
    <row r="36" spans="1:15">
      <c r="A36" s="352" t="s">
        <v>428</v>
      </c>
      <c r="B36" s="352" t="s">
        <v>428</v>
      </c>
      <c r="C36" s="352"/>
      <c r="D36" s="330">
        <v>6593.8577705499465</v>
      </c>
      <c r="E36" s="330">
        <v>192.45675</v>
      </c>
      <c r="F36" s="330">
        <v>3.5401231987738453</v>
      </c>
      <c r="G36" s="330">
        <v>3.4084979493610783</v>
      </c>
      <c r="H36" s="330">
        <v>1937997081.583895</v>
      </c>
      <c r="I36" s="330">
        <v>2.21500002592802</v>
      </c>
      <c r="J36" s="330">
        <v>2.26363</v>
      </c>
      <c r="K36" s="330">
        <v>60.445</v>
      </c>
      <c r="L36" s="354" t="s">
        <v>500</v>
      </c>
      <c r="M36" s="352"/>
      <c r="N36" s="352"/>
      <c r="O36" s="352"/>
    </row>
    <row r="37" spans="1:15">
      <c r="A37" s="352"/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</row>
    <row r="38" spans="1:15">
      <c r="A38" s="352"/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</row>
    <row r="39" spans="1:15">
      <c r="A39" s="352"/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</row>
    <row r="40" spans="1:15">
      <c r="A40" s="531" t="s">
        <v>455</v>
      </c>
      <c r="B40" s="531" t="s">
        <v>456</v>
      </c>
      <c r="C40" s="531" t="s">
        <v>455</v>
      </c>
      <c r="D40" s="531" t="s">
        <v>491</v>
      </c>
      <c r="E40" s="531" t="s">
        <v>510</v>
      </c>
      <c r="F40" s="531" t="s">
        <v>511</v>
      </c>
      <c r="G40" s="352"/>
      <c r="H40" s="352"/>
      <c r="I40" s="352"/>
      <c r="J40" s="352"/>
      <c r="K40" s="352"/>
      <c r="L40" s="352"/>
      <c r="M40" s="352"/>
      <c r="N40" s="352"/>
      <c r="O40" s="352"/>
    </row>
    <row r="41" spans="1:15">
      <c r="A41" s="352" t="s">
        <v>466</v>
      </c>
      <c r="B41" s="352" t="s">
        <v>467</v>
      </c>
      <c r="C41" s="352" t="s">
        <v>468</v>
      </c>
      <c r="D41" s="353"/>
      <c r="E41" s="353"/>
      <c r="F41" s="353"/>
      <c r="G41" s="352"/>
      <c r="H41" s="352"/>
      <c r="I41" s="352"/>
      <c r="J41" s="352"/>
      <c r="K41" s="352"/>
      <c r="L41" s="352"/>
      <c r="M41" s="352"/>
      <c r="N41" s="352"/>
      <c r="O41" s="352"/>
    </row>
    <row r="42" spans="1:15">
      <c r="A42" s="352" t="s">
        <v>8</v>
      </c>
      <c r="B42" s="352"/>
      <c r="C42" s="352" t="s">
        <v>469</v>
      </c>
      <c r="D42" s="353"/>
      <c r="E42" s="353"/>
      <c r="F42" s="353"/>
      <c r="G42" s="352"/>
      <c r="H42" s="352"/>
      <c r="I42" s="352"/>
      <c r="J42" s="352"/>
      <c r="K42" s="352"/>
      <c r="L42" s="352"/>
      <c r="M42" s="352"/>
      <c r="N42" s="352"/>
      <c r="O42" s="352"/>
    </row>
    <row r="43" spans="1:15">
      <c r="A43" s="352" t="s">
        <v>470</v>
      </c>
      <c r="B43" s="352" t="s">
        <v>471</v>
      </c>
      <c r="C43" s="352" t="s">
        <v>499</v>
      </c>
      <c r="D43" s="355">
        <v>85964.707235879992</v>
      </c>
      <c r="E43" s="355">
        <v>5341</v>
      </c>
      <c r="F43" s="355">
        <v>5340999936</v>
      </c>
      <c r="G43" s="352"/>
      <c r="H43" s="352"/>
      <c r="I43" s="352"/>
      <c r="J43" s="352"/>
      <c r="K43" s="352"/>
      <c r="L43" s="352"/>
      <c r="M43" s="352"/>
      <c r="N43" s="352"/>
      <c r="O43" s="352"/>
    </row>
    <row r="44" spans="1:15">
      <c r="A44" s="352" t="s">
        <v>472</v>
      </c>
      <c r="B44" s="352" t="s">
        <v>473</v>
      </c>
      <c r="C44" s="352" t="s">
        <v>501</v>
      </c>
      <c r="D44" s="355">
        <v>46360.309773394147</v>
      </c>
      <c r="E44" s="355">
        <v>2367.9243845699825</v>
      </c>
      <c r="F44" s="355">
        <v>2371420807.30164</v>
      </c>
      <c r="G44" s="352"/>
      <c r="H44" s="352"/>
      <c r="I44" s="352"/>
      <c r="J44" s="352"/>
      <c r="K44" s="352"/>
      <c r="L44" s="352"/>
      <c r="M44" s="352"/>
      <c r="N44" s="352"/>
      <c r="O44" s="352"/>
    </row>
    <row r="45" spans="1:15">
      <c r="A45" s="352" t="s">
        <v>474</v>
      </c>
      <c r="B45" s="352" t="s">
        <v>475</v>
      </c>
      <c r="C45" s="352" t="s">
        <v>502</v>
      </c>
      <c r="D45" s="355">
        <v>25723.155157149999</v>
      </c>
      <c r="E45" s="355">
        <v>1888.7020000000002</v>
      </c>
      <c r="F45" s="355">
        <v>1888702016</v>
      </c>
      <c r="G45" s="352"/>
      <c r="H45" s="352"/>
      <c r="I45" s="352"/>
      <c r="J45" s="352"/>
      <c r="K45" s="352"/>
      <c r="L45" s="352"/>
      <c r="M45" s="352"/>
      <c r="N45" s="352"/>
      <c r="O45" s="352"/>
    </row>
    <row r="46" spans="1:15">
      <c r="A46" s="352" t="s">
        <v>476</v>
      </c>
      <c r="B46" s="352" t="s">
        <v>477</v>
      </c>
      <c r="C46" s="352" t="s">
        <v>503</v>
      </c>
      <c r="D46" s="355">
        <v>8135.1073244100007</v>
      </c>
      <c r="E46" s="355">
        <v>518.83899999999994</v>
      </c>
      <c r="F46" s="355">
        <v>518838992</v>
      </c>
      <c r="G46" s="352"/>
      <c r="H46" s="352"/>
      <c r="I46" s="352"/>
      <c r="J46" s="352"/>
      <c r="K46" s="352"/>
      <c r="L46" s="352"/>
      <c r="M46" s="352"/>
      <c r="N46" s="352"/>
      <c r="O46" s="352"/>
    </row>
    <row r="47" spans="1:15">
      <c r="A47" s="352" t="s">
        <v>479</v>
      </c>
      <c r="B47" s="352" t="s">
        <v>480</v>
      </c>
      <c r="C47" s="352" t="s">
        <v>504</v>
      </c>
      <c r="D47" s="355">
        <v>6912.75495778</v>
      </c>
      <c r="E47" s="355">
        <v>528.19299999999998</v>
      </c>
      <c r="F47" s="355">
        <v>528193000</v>
      </c>
      <c r="G47" s="352"/>
      <c r="H47" s="352"/>
      <c r="I47" s="352"/>
      <c r="J47" s="352"/>
      <c r="K47" s="352"/>
      <c r="L47" s="352"/>
      <c r="M47" s="352"/>
      <c r="N47" s="352"/>
      <c r="O47" s="352"/>
    </row>
    <row r="48" spans="1:15">
      <c r="A48" s="352" t="s">
        <v>481</v>
      </c>
      <c r="B48" s="352" t="s">
        <v>482</v>
      </c>
      <c r="C48" s="352" t="s">
        <v>505</v>
      </c>
      <c r="D48" s="355">
        <v>6223.0837233132706</v>
      </c>
      <c r="E48" s="330" t="s">
        <v>423</v>
      </c>
      <c r="F48" s="355"/>
      <c r="G48" s="352"/>
      <c r="H48" s="352"/>
      <c r="I48" s="352"/>
      <c r="J48" s="352"/>
      <c r="K48" s="352"/>
      <c r="L48" s="352"/>
      <c r="M48" s="352"/>
      <c r="N48" s="352"/>
      <c r="O48" s="352"/>
    </row>
    <row r="49" spans="1:15">
      <c r="A49" s="352" t="s">
        <v>483</v>
      </c>
      <c r="B49" s="352" t="s">
        <v>484</v>
      </c>
      <c r="C49" s="352" t="s">
        <v>506</v>
      </c>
      <c r="D49" s="355">
        <v>4240.6149855999993</v>
      </c>
      <c r="E49" s="355">
        <v>320.99200000000002</v>
      </c>
      <c r="F49" s="355">
        <v>320992008</v>
      </c>
      <c r="G49" s="352"/>
      <c r="H49" s="352"/>
      <c r="I49" s="352"/>
      <c r="J49" s="352"/>
      <c r="K49" s="352"/>
      <c r="L49" s="352"/>
      <c r="M49" s="352"/>
      <c r="N49" s="352"/>
      <c r="O49" s="352"/>
    </row>
    <row r="50" spans="1:15">
      <c r="A50" s="352" t="s">
        <v>485</v>
      </c>
      <c r="B50" s="352" t="s">
        <v>486</v>
      </c>
      <c r="C50" s="352" t="s">
        <v>507</v>
      </c>
      <c r="D50" s="355">
        <v>3807.0976989599999</v>
      </c>
      <c r="E50" s="355">
        <v>417.08699999999999</v>
      </c>
      <c r="F50" s="355">
        <v>417087008</v>
      </c>
      <c r="G50" s="352"/>
      <c r="H50" s="352"/>
      <c r="I50" s="352"/>
      <c r="J50" s="352"/>
      <c r="K50" s="352"/>
      <c r="L50" s="352"/>
      <c r="M50" s="352"/>
      <c r="N50" s="352"/>
      <c r="O50" s="352"/>
    </row>
    <row r="51" spans="1:15">
      <c r="A51" s="352" t="s">
        <v>487</v>
      </c>
      <c r="B51" s="352" t="s">
        <v>488</v>
      </c>
      <c r="C51" s="352" t="s">
        <v>508</v>
      </c>
      <c r="D51" s="355">
        <v>3046.4491457013964</v>
      </c>
      <c r="E51" s="355">
        <v>296.32195655134268</v>
      </c>
      <c r="F51" s="355">
        <v>296791420.10671699</v>
      </c>
      <c r="G51" s="352"/>
      <c r="H51" s="352"/>
      <c r="I51" s="352"/>
      <c r="J51" s="352"/>
      <c r="K51" s="352"/>
      <c r="L51" s="352"/>
      <c r="M51" s="352"/>
      <c r="N51" s="352"/>
      <c r="O51" s="352"/>
    </row>
    <row r="52" spans="1:15">
      <c r="A52" s="352" t="s">
        <v>489</v>
      </c>
      <c r="B52" s="352" t="s">
        <v>490</v>
      </c>
      <c r="C52" s="352" t="s">
        <v>509</v>
      </c>
      <c r="D52" s="355">
        <v>1088.3324627611478</v>
      </c>
      <c r="E52" s="355">
        <v>78.420597067627995</v>
      </c>
      <c r="F52" s="355">
        <v>78344502.8076666</v>
      </c>
      <c r="G52" s="352"/>
      <c r="H52" s="352"/>
      <c r="I52" s="352"/>
      <c r="J52" s="352"/>
      <c r="K52" s="352"/>
      <c r="L52" s="352"/>
      <c r="M52" s="352"/>
      <c r="N52" s="352"/>
      <c r="O52" s="352"/>
    </row>
    <row r="53" spans="1:15">
      <c r="A53" s="352" t="s">
        <v>428</v>
      </c>
      <c r="B53" s="352" t="s">
        <v>428</v>
      </c>
      <c r="C53" s="352"/>
      <c r="D53" s="355">
        <v>6567.9193405466358</v>
      </c>
      <c r="E53" s="355">
        <v>518.83899999999994</v>
      </c>
      <c r="F53" s="355">
        <v>518838992</v>
      </c>
      <c r="G53" s="352"/>
      <c r="H53" s="352"/>
      <c r="I53" s="352"/>
      <c r="J53" s="352"/>
      <c r="K53" s="352"/>
      <c r="L53" s="352"/>
      <c r="M53" s="352"/>
      <c r="N53" s="352"/>
      <c r="O53" s="352"/>
    </row>
    <row r="54" spans="1:15">
      <c r="A54" s="352"/>
      <c r="B54" s="352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</row>
    <row r="55" spans="1:15">
      <c r="A55" s="352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</row>
    <row r="56" spans="1:15">
      <c r="A56" s="352"/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  <c r="N56" s="352"/>
      <c r="O56" s="352"/>
    </row>
    <row r="57" spans="1:15">
      <c r="A57" s="531" t="s">
        <v>455</v>
      </c>
      <c r="B57" s="531" t="s">
        <v>456</v>
      </c>
      <c r="C57" s="531" t="s">
        <v>491</v>
      </c>
      <c r="D57" s="531" t="s">
        <v>512</v>
      </c>
      <c r="E57" s="531" t="s">
        <v>513</v>
      </c>
      <c r="F57" s="531" t="s">
        <v>514</v>
      </c>
      <c r="G57" s="531" t="s">
        <v>515</v>
      </c>
      <c r="H57" s="531" t="s">
        <v>463</v>
      </c>
      <c r="I57" s="531" t="s">
        <v>516</v>
      </c>
      <c r="J57" s="531" t="s">
        <v>517</v>
      </c>
      <c r="K57" s="531" t="s">
        <v>518</v>
      </c>
      <c r="L57" s="531" t="s">
        <v>519</v>
      </c>
      <c r="M57" s="352"/>
      <c r="N57" s="352"/>
      <c r="O57" s="352"/>
    </row>
    <row r="58" spans="1:15">
      <c r="A58" s="352" t="s">
        <v>466</v>
      </c>
      <c r="B58" s="352" t="s">
        <v>467</v>
      </c>
      <c r="C58" s="352" t="s">
        <v>468</v>
      </c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</row>
    <row r="59" spans="1:15">
      <c r="A59" s="352" t="s">
        <v>8</v>
      </c>
      <c r="B59" s="352"/>
      <c r="C59" s="352" t="s">
        <v>469</v>
      </c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</row>
    <row r="60" spans="1:15">
      <c r="A60" s="352" t="s">
        <v>470</v>
      </c>
      <c r="B60" s="352" t="s">
        <v>471</v>
      </c>
      <c r="C60" s="330">
        <v>85964.707235879992</v>
      </c>
      <c r="D60" s="330">
        <v>84259.707235879992</v>
      </c>
      <c r="E60" s="330">
        <v>15.776017082171876</v>
      </c>
      <c r="F60" s="330">
        <v>15.517644380963359</v>
      </c>
      <c r="G60" s="330">
        <v>13.947809458932033</v>
      </c>
      <c r="H60" s="330">
        <v>22.421276011365524</v>
      </c>
      <c r="I60" s="330">
        <v>22.53635585970915</v>
      </c>
      <c r="J60" s="330">
        <v>19.860535243120996</v>
      </c>
      <c r="K60" s="330">
        <v>36.321481002112073</v>
      </c>
      <c r="L60" s="330">
        <v>1.3659647668568193</v>
      </c>
      <c r="M60" s="352"/>
      <c r="N60" s="352"/>
      <c r="O60" s="352"/>
    </row>
    <row r="61" spans="1:15">
      <c r="A61" s="352" t="s">
        <v>472</v>
      </c>
      <c r="B61" s="352" t="s">
        <v>473</v>
      </c>
      <c r="C61" s="330">
        <v>46107.831452350787</v>
      </c>
      <c r="D61" s="330">
        <v>46447.939340163546</v>
      </c>
      <c r="E61" s="330">
        <v>18.125747115791896</v>
      </c>
      <c r="F61" s="330">
        <v>16.131950880864302</v>
      </c>
      <c r="G61" s="330">
        <v>13.80636872330151</v>
      </c>
      <c r="H61" s="330">
        <v>31.868600682593861</v>
      </c>
      <c r="I61" s="330">
        <v>28.428984624752626</v>
      </c>
      <c r="J61" s="330">
        <v>23.408122336425169</v>
      </c>
      <c r="K61" s="330">
        <v>38.776033978197873</v>
      </c>
      <c r="L61" s="330">
        <v>1.07095046854083</v>
      </c>
      <c r="M61" s="352"/>
      <c r="N61" s="352"/>
      <c r="O61" s="352"/>
    </row>
    <row r="62" spans="1:15">
      <c r="A62" s="352" t="s">
        <v>474</v>
      </c>
      <c r="B62" s="352" t="s">
        <v>475</v>
      </c>
      <c r="C62" s="330">
        <v>25723.155157149999</v>
      </c>
      <c r="D62" s="330">
        <v>28337.12815715</v>
      </c>
      <c r="E62" s="330">
        <v>15.003493487670367</v>
      </c>
      <c r="F62" s="330">
        <v>14.84600977355707</v>
      </c>
      <c r="G62" s="330">
        <v>13.988193319812675</v>
      </c>
      <c r="H62" s="330">
        <v>22.367987276130535</v>
      </c>
      <c r="I62" s="330">
        <v>21.914822266934941</v>
      </c>
      <c r="J62" s="330">
        <v>19.374444115031128</v>
      </c>
      <c r="K62" s="330">
        <v>20.831287280549713</v>
      </c>
      <c r="L62" s="330">
        <v>2.5703793567134525</v>
      </c>
      <c r="M62" s="352"/>
      <c r="N62" s="352"/>
      <c r="O62" s="352"/>
    </row>
    <row r="63" spans="1:15">
      <c r="A63" s="352" t="s">
        <v>476</v>
      </c>
      <c r="B63" s="352" t="s">
        <v>477</v>
      </c>
      <c r="C63" s="330">
        <v>8135.1073244100007</v>
      </c>
      <c r="D63" s="330">
        <v>7413.8953244100012</v>
      </c>
      <c r="E63" s="330">
        <v>14.289394830400186</v>
      </c>
      <c r="F63" s="330">
        <v>12.832780869314615</v>
      </c>
      <c r="G63" s="330">
        <v>11.802878205138004</v>
      </c>
      <c r="H63" s="330">
        <v>28.158480441401579</v>
      </c>
      <c r="I63" s="330">
        <v>24.657365613459174</v>
      </c>
      <c r="J63" s="330">
        <v>22.132596685082877</v>
      </c>
      <c r="K63" s="330">
        <v>31.753874885974746</v>
      </c>
      <c r="L63" s="330" t="s">
        <v>478</v>
      </c>
      <c r="M63" s="352"/>
      <c r="N63" s="352"/>
      <c r="O63" s="352"/>
    </row>
    <row r="64" spans="1:15">
      <c r="A64" s="352" t="s">
        <v>479</v>
      </c>
      <c r="B64" s="352" t="s">
        <v>480</v>
      </c>
      <c r="C64" s="330">
        <v>6912.75495778</v>
      </c>
      <c r="D64" s="330">
        <v>7701.7869577800002</v>
      </c>
      <c r="E64" s="330">
        <v>14.581387783972904</v>
      </c>
      <c r="F64" s="330">
        <v>17.321399239339691</v>
      </c>
      <c r="G64" s="330">
        <v>14.862346698198408</v>
      </c>
      <c r="H64" s="330">
        <v>34.060088127501608</v>
      </c>
      <c r="I64" s="330">
        <v>44.339622641509429</v>
      </c>
      <c r="J64" s="330">
        <v>37.643020594965677</v>
      </c>
      <c r="K64" s="330">
        <v>78.740724044978109</v>
      </c>
      <c r="L64" s="330" t="s">
        <v>478</v>
      </c>
      <c r="M64" s="352"/>
      <c r="N64" s="352"/>
      <c r="O64" s="352"/>
    </row>
    <row r="65" spans="1:15">
      <c r="A65" s="352" t="s">
        <v>481</v>
      </c>
      <c r="B65" s="352" t="s">
        <v>482</v>
      </c>
      <c r="C65" s="330">
        <v>6175.993218626445</v>
      </c>
      <c r="D65" s="330">
        <v>5921.2551239673685</v>
      </c>
      <c r="E65" s="330" t="s">
        <v>478</v>
      </c>
      <c r="F65" s="330">
        <v>16.888461139580738</v>
      </c>
      <c r="G65" s="330">
        <v>13.411341257219947</v>
      </c>
      <c r="H65" s="330">
        <v>48.80295550940577</v>
      </c>
      <c r="I65" s="330">
        <v>39.466446769790714</v>
      </c>
      <c r="J65" s="330">
        <v>29.146493070138597</v>
      </c>
      <c r="K65" s="330" t="s">
        <v>478</v>
      </c>
      <c r="L65" s="330">
        <v>0.21614518039476757</v>
      </c>
      <c r="M65" s="352"/>
      <c r="N65" s="352"/>
      <c r="O65" s="352"/>
    </row>
    <row r="66" spans="1:15">
      <c r="A66" s="352" t="s">
        <v>483</v>
      </c>
      <c r="B66" s="352" t="s">
        <v>484</v>
      </c>
      <c r="C66" s="330">
        <v>4240.6149855999993</v>
      </c>
      <c r="D66" s="330">
        <v>3643.7749855999991</v>
      </c>
      <c r="E66" s="330">
        <v>11.351606848768814</v>
      </c>
      <c r="F66" s="330">
        <v>11.234672344781441</v>
      </c>
      <c r="G66" s="330">
        <v>10.394955640695738</v>
      </c>
      <c r="H66" s="330">
        <v>21.93089216423661</v>
      </c>
      <c r="I66" s="330">
        <v>21.667854597291516</v>
      </c>
      <c r="J66" s="330">
        <v>19.934426229508194</v>
      </c>
      <c r="K66" s="330">
        <v>15.254336190928463</v>
      </c>
      <c r="L66" s="330">
        <v>1.1844053768880236</v>
      </c>
      <c r="M66" s="352"/>
      <c r="N66" s="352"/>
      <c r="O66" s="352"/>
    </row>
    <row r="67" spans="1:15">
      <c r="A67" s="352" t="s">
        <v>485</v>
      </c>
      <c r="B67" s="352" t="s">
        <v>486</v>
      </c>
      <c r="C67" s="330">
        <v>3807.0976989599999</v>
      </c>
      <c r="D67" s="330">
        <v>3204.8746989599999</v>
      </c>
      <c r="E67" s="330" t="s">
        <v>478</v>
      </c>
      <c r="F67" s="330">
        <v>7.4034560798726687</v>
      </c>
      <c r="G67" s="330">
        <v>5.9681093090502788</v>
      </c>
      <c r="H67" s="330">
        <v>14.919276155387399</v>
      </c>
      <c r="I67" s="330">
        <v>15.065830721003136</v>
      </c>
      <c r="J67" s="330">
        <v>11.907829534192269</v>
      </c>
      <c r="K67" s="330">
        <v>25.262942080945734</v>
      </c>
      <c r="L67" s="330" t="s">
        <v>478</v>
      </c>
      <c r="M67" s="352"/>
      <c r="N67" s="352"/>
      <c r="O67" s="352"/>
    </row>
    <row r="68" spans="1:15">
      <c r="A68" s="352" t="s">
        <v>487</v>
      </c>
      <c r="B68" s="352" t="s">
        <v>488</v>
      </c>
      <c r="C68" s="330">
        <v>3042.9534265874559</v>
      </c>
      <c r="D68" s="330">
        <v>3029.7892322197795</v>
      </c>
      <c r="E68" s="330">
        <v>10.638026357702914</v>
      </c>
      <c r="F68" s="330">
        <v>10.578490180901484</v>
      </c>
      <c r="G68" s="330">
        <v>9.5237581635971136</v>
      </c>
      <c r="H68" s="330">
        <v>21.243299858295853</v>
      </c>
      <c r="I68" s="330">
        <v>21.401792586339599</v>
      </c>
      <c r="J68" s="330">
        <v>18.916783707865168</v>
      </c>
      <c r="K68" s="330" t="s">
        <v>478</v>
      </c>
      <c r="L68" s="330">
        <v>1.3631090487238979</v>
      </c>
      <c r="M68" s="352"/>
      <c r="N68" s="352"/>
      <c r="O68" s="352"/>
    </row>
    <row r="69" spans="1:15">
      <c r="A69" s="352" t="s">
        <v>489</v>
      </c>
      <c r="B69" s="352" t="s">
        <v>490</v>
      </c>
      <c r="C69" s="330">
        <v>1080.4053572358609</v>
      </c>
      <c r="D69" s="330">
        <v>1117.8491390663598</v>
      </c>
      <c r="E69" s="330">
        <v>13.183676021798362</v>
      </c>
      <c r="F69" s="330">
        <v>13.049609659974402</v>
      </c>
      <c r="G69" s="330">
        <v>9.9034867800787385</v>
      </c>
      <c r="H69" s="330">
        <v>93.821390449180626</v>
      </c>
      <c r="I69" s="330">
        <v>40.13636363636364</v>
      </c>
      <c r="J69" s="330">
        <v>24.527777777777775</v>
      </c>
      <c r="K69" s="330">
        <v>91.809096460244461</v>
      </c>
      <c r="L69" s="330">
        <v>0.56401577983545303</v>
      </c>
      <c r="M69" s="352"/>
      <c r="N69" s="352"/>
      <c r="O69" s="352"/>
    </row>
    <row r="70" spans="1:15">
      <c r="A70" s="352" t="s">
        <v>428</v>
      </c>
      <c r="B70" s="352" t="s">
        <v>428</v>
      </c>
      <c r="C70" s="330">
        <v>6544.3740882032225</v>
      </c>
      <c r="D70" s="330">
        <v>6667.5752241886848</v>
      </c>
      <c r="E70" s="330">
        <v>14.435391307186546</v>
      </c>
      <c r="F70" s="330">
        <v>13.947809716765736</v>
      </c>
      <c r="G70" s="330">
        <v>12.607109731178976</v>
      </c>
      <c r="H70" s="330">
        <v>25.28987822638355</v>
      </c>
      <c r="I70" s="330">
        <v>23.596860736584162</v>
      </c>
      <c r="J70" s="330">
        <v>21.033511457295536</v>
      </c>
      <c r="K70" s="330">
        <v>34.037677944043409</v>
      </c>
      <c r="L70" s="330">
        <v>1.1844053768880236</v>
      </c>
      <c r="M70" s="352"/>
      <c r="N70" s="352"/>
      <c r="O70" s="352"/>
    </row>
    <row r="71" spans="1:15">
      <c r="A71" s="352"/>
      <c r="B71" s="352"/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</row>
    <row r="72" spans="1:15">
      <c r="A72" s="352"/>
      <c r="B72" s="352"/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52"/>
      <c r="O72" s="352"/>
    </row>
    <row r="73" spans="1:15">
      <c r="A73" s="531" t="s">
        <v>455</v>
      </c>
      <c r="B73" s="531" t="s">
        <v>456</v>
      </c>
      <c r="C73" s="531" t="s">
        <v>455</v>
      </c>
      <c r="D73" s="531" t="s">
        <v>492</v>
      </c>
      <c r="E73" s="531" t="s">
        <v>520</v>
      </c>
      <c r="F73" s="352"/>
      <c r="G73" s="352"/>
      <c r="H73" s="352"/>
      <c r="I73" s="352"/>
      <c r="J73" s="352"/>
      <c r="K73" s="352"/>
      <c r="L73" s="352"/>
      <c r="M73" s="352"/>
      <c r="N73" s="352"/>
      <c r="O73" s="352"/>
    </row>
    <row r="74" spans="1:15">
      <c r="A74" s="352" t="s">
        <v>466</v>
      </c>
      <c r="B74" s="352" t="s">
        <v>467</v>
      </c>
      <c r="C74" s="352" t="s">
        <v>468</v>
      </c>
      <c r="D74" s="353"/>
      <c r="E74" s="353"/>
      <c r="F74" s="352"/>
      <c r="G74" s="352"/>
      <c r="H74" s="352"/>
      <c r="I74" s="352"/>
      <c r="J74" s="352"/>
      <c r="K74" s="352"/>
      <c r="L74" s="352"/>
      <c r="M74" s="352"/>
      <c r="N74" s="352"/>
      <c r="O74" s="352"/>
    </row>
    <row r="75" spans="1:15">
      <c r="A75" s="352" t="s">
        <v>8</v>
      </c>
      <c r="B75" s="352"/>
      <c r="C75" s="352" t="s">
        <v>469</v>
      </c>
      <c r="D75" s="353"/>
      <c r="E75" s="353"/>
      <c r="F75" s="352"/>
      <c r="G75" s="352"/>
      <c r="H75" s="352"/>
      <c r="I75" s="352"/>
      <c r="J75" s="352"/>
      <c r="K75" s="352"/>
      <c r="L75" s="352"/>
      <c r="M75" s="352"/>
      <c r="N75" s="352"/>
      <c r="O75" s="352"/>
    </row>
    <row r="76" spans="1:15">
      <c r="A76" s="352" t="s">
        <v>470</v>
      </c>
      <c r="B76" s="352" t="s">
        <v>471</v>
      </c>
      <c r="C76" s="352" t="s">
        <v>499</v>
      </c>
      <c r="D76" s="355">
        <v>1302.2729999999999</v>
      </c>
      <c r="E76" s="355">
        <f>1636999936/1000000</f>
        <v>1636.9999359999999</v>
      </c>
      <c r="F76" s="352"/>
      <c r="G76" s="352"/>
      <c r="H76" s="352"/>
      <c r="I76" s="352"/>
      <c r="J76" s="352"/>
      <c r="K76" s="352"/>
      <c r="L76" s="352"/>
      <c r="M76" s="352"/>
      <c r="N76" s="352"/>
      <c r="O76" s="352"/>
    </row>
    <row r="77" spans="1:15">
      <c r="A77" s="352" t="s">
        <v>472</v>
      </c>
      <c r="B77" s="352" t="s">
        <v>473</v>
      </c>
      <c r="C77" s="352" t="s">
        <v>501</v>
      </c>
      <c r="D77" s="355">
        <v>209.21619999999999</v>
      </c>
      <c r="E77" s="355">
        <f>202657344/1000000</f>
        <v>202.65734399999999</v>
      </c>
      <c r="F77" s="352"/>
      <c r="G77" s="352"/>
      <c r="H77" s="352"/>
      <c r="I77" s="352"/>
      <c r="J77" s="352"/>
      <c r="K77" s="352"/>
      <c r="L77" s="352"/>
      <c r="M77" s="352"/>
      <c r="N77" s="352"/>
      <c r="O77" s="352"/>
    </row>
    <row r="78" spans="1:15">
      <c r="A78" s="352" t="s">
        <v>474</v>
      </c>
      <c r="B78" s="352" t="s">
        <v>475</v>
      </c>
      <c r="C78" s="352" t="s">
        <v>502</v>
      </c>
      <c r="D78" s="355">
        <v>393.62129999999996</v>
      </c>
      <c r="E78" s="355">
        <f>393308672/1000000</f>
        <v>393.308672</v>
      </c>
      <c r="F78" s="352"/>
      <c r="G78" s="352"/>
      <c r="H78" s="352"/>
      <c r="I78" s="352"/>
      <c r="J78" s="352"/>
      <c r="K78" s="352"/>
      <c r="L78" s="352"/>
      <c r="M78" s="352"/>
      <c r="N78" s="352"/>
      <c r="O78" s="352"/>
    </row>
    <row r="79" spans="1:15">
      <c r="A79" s="352" t="s">
        <v>476</v>
      </c>
      <c r="B79" s="352" t="s">
        <v>477</v>
      </c>
      <c r="C79" s="352" t="s">
        <v>503</v>
      </c>
      <c r="D79" s="355">
        <v>125.60109999999999</v>
      </c>
      <c r="E79" s="355">
        <f>135478000/1000000</f>
        <v>135.47800000000001</v>
      </c>
      <c r="F79" s="352"/>
      <c r="G79" s="352"/>
      <c r="H79" s="352"/>
      <c r="I79" s="352"/>
      <c r="J79" s="352"/>
      <c r="K79" s="352"/>
      <c r="L79" s="352"/>
      <c r="M79" s="352"/>
      <c r="N79" s="352"/>
      <c r="O79" s="352"/>
    </row>
    <row r="80" spans="1:15">
      <c r="A80" s="352" t="s">
        <v>479</v>
      </c>
      <c r="B80" s="352" t="s">
        <v>480</v>
      </c>
      <c r="C80" s="352" t="s">
        <v>504</v>
      </c>
      <c r="D80" s="355">
        <v>184.95050000000001</v>
      </c>
      <c r="E80" s="355">
        <f>440922592/1000000</f>
        <v>440.92259200000001</v>
      </c>
      <c r="F80" s="352"/>
      <c r="G80" s="352"/>
      <c r="H80" s="352"/>
      <c r="I80" s="352"/>
      <c r="J80" s="352"/>
      <c r="K80" s="352"/>
      <c r="L80" s="352"/>
      <c r="M80" s="352"/>
      <c r="N80" s="352"/>
      <c r="O80" s="352"/>
    </row>
    <row r="81" spans="1:15">
      <c r="A81" s="352" t="s">
        <v>481</v>
      </c>
      <c r="B81" s="352" t="s">
        <v>482</v>
      </c>
      <c r="C81" s="352" t="s">
        <v>505</v>
      </c>
      <c r="D81" s="355">
        <v>15.082459999999999</v>
      </c>
      <c r="E81" s="355">
        <f>15082464/1000000</f>
        <v>15.082464</v>
      </c>
      <c r="F81" s="352"/>
      <c r="G81" s="352"/>
      <c r="H81" s="352"/>
      <c r="I81" s="352"/>
      <c r="J81" s="352"/>
      <c r="K81" s="352"/>
      <c r="L81" s="352"/>
      <c r="M81" s="352"/>
      <c r="N81" s="352"/>
      <c r="O81" s="352"/>
    </row>
    <row r="82" spans="1:15">
      <c r="A82" s="352" t="s">
        <v>483</v>
      </c>
      <c r="B82" s="352" t="s">
        <v>484</v>
      </c>
      <c r="C82" s="352" t="s">
        <v>506</v>
      </c>
      <c r="D82" s="355">
        <v>69.746960000000001</v>
      </c>
      <c r="E82" s="355">
        <f>69686000/1000000</f>
        <v>69.686000000000007</v>
      </c>
      <c r="F82" s="352"/>
      <c r="G82" s="352"/>
      <c r="H82" s="352"/>
      <c r="I82" s="352"/>
      <c r="J82" s="352"/>
      <c r="K82" s="352"/>
      <c r="L82" s="352"/>
      <c r="M82" s="352"/>
      <c r="N82" s="352"/>
      <c r="O82" s="352"/>
    </row>
    <row r="83" spans="1:15">
      <c r="A83" s="352" t="s">
        <v>485</v>
      </c>
      <c r="B83" s="352" t="s">
        <v>486</v>
      </c>
      <c r="C83" s="352" t="s">
        <v>507</v>
      </c>
      <c r="D83" s="355">
        <v>133.88579999999999</v>
      </c>
      <c r="E83" s="355">
        <f>158431040/1000000</f>
        <v>158.43104</v>
      </c>
      <c r="F83" s="352"/>
      <c r="G83" s="352"/>
      <c r="H83" s="352"/>
      <c r="I83" s="352"/>
      <c r="J83" s="352"/>
      <c r="K83" s="352"/>
      <c r="L83" s="352"/>
      <c r="M83" s="352"/>
      <c r="N83" s="352"/>
      <c r="O83" s="352"/>
    </row>
    <row r="84" spans="1:15">
      <c r="A84" s="352" t="s">
        <v>487</v>
      </c>
      <c r="B84" s="352" t="s">
        <v>488</v>
      </c>
      <c r="C84" s="352" t="s">
        <v>508</v>
      </c>
      <c r="D84" s="355">
        <v>199.96299999999999</v>
      </c>
      <c r="E84" s="355">
        <f>189822640/1000000</f>
        <v>189.82264000000001</v>
      </c>
      <c r="F84" s="352"/>
      <c r="G84" s="352"/>
      <c r="H84" s="352"/>
      <c r="I84" s="352"/>
      <c r="J84" s="352"/>
      <c r="K84" s="352"/>
      <c r="L84" s="352"/>
      <c r="M84" s="352"/>
      <c r="N84" s="352"/>
      <c r="O84" s="352"/>
    </row>
    <row r="85" spans="1:15">
      <c r="A85" s="352" t="s">
        <v>489</v>
      </c>
      <c r="B85" s="352" t="s">
        <v>490</v>
      </c>
      <c r="C85" s="352" t="s">
        <v>509</v>
      </c>
      <c r="D85" s="355">
        <v>259.20729999999998</v>
      </c>
      <c r="E85" s="355">
        <f>259207328/1000000</f>
        <v>259.20732800000002</v>
      </c>
      <c r="F85" s="352"/>
      <c r="G85" s="352"/>
      <c r="H85" s="352"/>
      <c r="I85" s="352"/>
      <c r="J85" s="352"/>
      <c r="K85" s="352"/>
      <c r="L85" s="352"/>
      <c r="M85" s="352"/>
      <c r="N85" s="352"/>
      <c r="O85" s="352"/>
    </row>
    <row r="86" spans="1:15">
      <c r="A86" s="352" t="s">
        <v>428</v>
      </c>
      <c r="B86" s="352" t="s">
        <v>428</v>
      </c>
      <c r="C86" s="352"/>
      <c r="D86" s="355">
        <v>192.45675</v>
      </c>
      <c r="E86" s="355">
        <f>196239992/1000000</f>
        <v>196.239992</v>
      </c>
      <c r="F86" s="352"/>
      <c r="G86" s="352"/>
      <c r="H86" s="352"/>
      <c r="I86" s="352"/>
      <c r="J86" s="352"/>
      <c r="K86" s="352"/>
      <c r="L86" s="352"/>
      <c r="M86" s="352"/>
      <c r="N86" s="352"/>
      <c r="O86" s="352"/>
    </row>
    <row r="87" spans="1:15">
      <c r="A87" s="352"/>
      <c r="B87" s="352"/>
      <c r="C87" s="352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</row>
    <row r="88" spans="1:15">
      <c r="A88" s="352"/>
      <c r="B88" s="352"/>
      <c r="C88" s="352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</row>
    <row r="89" spans="1:15">
      <c r="A89" s="352"/>
      <c r="B89" s="352"/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</row>
    <row r="90" spans="1:15">
      <c r="A90" s="352"/>
      <c r="B90" s="352"/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</row>
    <row r="91" spans="1:15">
      <c r="A91" s="352"/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</row>
    <row r="92" spans="1:15">
      <c r="A92" s="352"/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</row>
    <row r="93" spans="1:15">
      <c r="A93" s="352"/>
      <c r="B93" s="352"/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</row>
    <row r="94" spans="1:15">
      <c r="A94" s="352"/>
      <c r="B94" s="352"/>
      <c r="C94" s="352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</row>
    <row r="95" spans="1:15">
      <c r="A95" s="352"/>
      <c r="B95" s="352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</row>
    <row r="96" spans="1:15">
      <c r="A96" s="352"/>
      <c r="B96" s="352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</row>
    <row r="97" spans="1:15">
      <c r="A97" s="352"/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</row>
    <row r="98" spans="1:15">
      <c r="A98" s="352"/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</row>
    <row r="99" spans="1:15">
      <c r="A99" s="352"/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</row>
    <row r="100" spans="1:15">
      <c r="A100" s="352"/>
      <c r="B100" s="352"/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</row>
    <row r="101" spans="1:15">
      <c r="A101" s="352"/>
      <c r="B101" s="352"/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</row>
    <row r="102" spans="1:15">
      <c r="A102" s="352"/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</row>
    <row r="103" spans="1:15">
      <c r="A103" s="352"/>
      <c r="B103" s="352"/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</row>
    <row r="104" spans="1:15">
      <c r="A104" s="352"/>
      <c r="B104" s="352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</row>
    <row r="105" spans="1:15">
      <c r="A105" s="352"/>
      <c r="B105" s="352"/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352"/>
      <c r="N105" s="352"/>
      <c r="O105" s="352"/>
    </row>
    <row r="106" spans="1:15">
      <c r="A106" s="352"/>
      <c r="B106" s="352"/>
      <c r="C106" s="352"/>
      <c r="D106" s="352"/>
      <c r="E106" s="352"/>
      <c r="F106" s="352"/>
      <c r="G106" s="352"/>
      <c r="H106" s="352"/>
      <c r="I106" s="352"/>
      <c r="J106" s="352"/>
      <c r="K106" s="352"/>
      <c r="L106" s="352"/>
      <c r="M106" s="352"/>
      <c r="N106" s="352"/>
      <c r="O106" s="352"/>
    </row>
    <row r="107" spans="1:15">
      <c r="A107" s="352"/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</row>
    <row r="108" spans="1:15">
      <c r="A108" s="352"/>
      <c r="B108" s="352"/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</row>
    <row r="109" spans="1:15">
      <c r="A109" s="352"/>
      <c r="B109" s="352"/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</row>
    <row r="110" spans="1:15">
      <c r="A110" s="352"/>
      <c r="B110" s="352"/>
      <c r="C110" s="352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</row>
    <row r="111" spans="1:15">
      <c r="A111" s="352"/>
      <c r="B111" s="352"/>
      <c r="C111" s="352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</row>
    <row r="112" spans="1:15">
      <c r="A112" s="352"/>
      <c r="B112" s="352"/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</row>
    <row r="113" spans="1:15">
      <c r="A113" s="352"/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</row>
    <row r="114" spans="1:15">
      <c r="A114" s="352"/>
      <c r="B114" s="352"/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</row>
    <row r="115" spans="1:15">
      <c r="A115" s="352"/>
      <c r="B115" s="352"/>
      <c r="C115" s="352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</row>
    <row r="116" spans="1:15">
      <c r="A116" s="352"/>
      <c r="B116" s="352"/>
      <c r="C116" s="352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</row>
    <row r="117" spans="1:15">
      <c r="A117" s="352"/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</row>
    <row r="118" spans="1:15">
      <c r="A118" s="352"/>
      <c r="B118" s="352"/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</row>
    <row r="119" spans="1:15">
      <c r="A119" s="352"/>
      <c r="B119" s="352"/>
      <c r="C119" s="352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</row>
    <row r="120" spans="1:15">
      <c r="A120" s="352"/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</row>
    <row r="121" spans="1:15">
      <c r="A121" s="352"/>
      <c r="B121" s="352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</row>
    <row r="122" spans="1:15">
      <c r="A122" s="352"/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</row>
    <row r="123" spans="1:15">
      <c r="A123" s="352"/>
      <c r="B123" s="352"/>
      <c r="C123" s="352"/>
      <c r="D123" s="352"/>
      <c r="E123" s="352"/>
      <c r="F123" s="352"/>
      <c r="G123" s="352"/>
      <c r="H123" s="352"/>
      <c r="I123" s="352"/>
      <c r="J123" s="352"/>
      <c r="K123" s="352"/>
      <c r="L123" s="352"/>
      <c r="M123" s="352"/>
      <c r="N123" s="352"/>
      <c r="O123" s="352"/>
    </row>
    <row r="124" spans="1:15">
      <c r="A124" s="352"/>
      <c r="B124" s="352"/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</row>
    <row r="125" spans="1:15">
      <c r="A125" s="352"/>
      <c r="B125" s="352"/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52"/>
    </row>
    <row r="126" spans="1:15">
      <c r="A126" s="352"/>
      <c r="B126" s="352"/>
      <c r="C126" s="352"/>
      <c r="D126" s="352"/>
      <c r="E126" s="352"/>
      <c r="F126" s="352"/>
      <c r="G126" s="352"/>
      <c r="H126" s="352"/>
      <c r="I126" s="352"/>
      <c r="J126" s="352"/>
      <c r="K126" s="352"/>
      <c r="L126" s="352"/>
      <c r="M126" s="352"/>
      <c r="N126" s="352"/>
      <c r="O126" s="352"/>
    </row>
    <row r="127" spans="1:15">
      <c r="A127" s="352"/>
      <c r="B127" s="352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</row>
    <row r="128" spans="1:15">
      <c r="A128" s="352"/>
      <c r="B128" s="352"/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</row>
    <row r="129" spans="1:15">
      <c r="A129" s="352"/>
      <c r="B129" s="352"/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</row>
    <row r="130" spans="1:15">
      <c r="A130" s="352"/>
      <c r="B130" s="352"/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</row>
    <row r="131" spans="1:15">
      <c r="A131" s="352"/>
      <c r="B131" s="352"/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</row>
    <row r="132" spans="1:15">
      <c r="A132" s="352"/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</row>
    <row r="133" spans="1:15">
      <c r="A133" s="352"/>
      <c r="B133" s="352"/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</row>
    <row r="134" spans="1:15">
      <c r="A134" s="352"/>
      <c r="B134" s="352"/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</row>
    <row r="135" spans="1:15">
      <c r="A135" s="352"/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</row>
    <row r="136" spans="1:15">
      <c r="A136" s="352"/>
      <c r="B136" s="352"/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</row>
    <row r="137" spans="1:15">
      <c r="A137" s="352"/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</row>
    <row r="138" spans="1:15">
      <c r="A138" s="352"/>
      <c r="B138" s="352"/>
      <c r="C138" s="352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</row>
    <row r="139" spans="1:15">
      <c r="A139" s="352"/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</row>
    <row r="140" spans="1:15">
      <c r="A140" s="352"/>
      <c r="B140" s="352"/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2"/>
    </row>
    <row r="141" spans="1:15">
      <c r="A141" s="352"/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</row>
    <row r="142" spans="1:15">
      <c r="A142" s="352"/>
      <c r="B142" s="352"/>
      <c r="C142" s="352"/>
      <c r="D142" s="352"/>
      <c r="E142" s="352"/>
      <c r="F142" s="352"/>
      <c r="G142" s="352"/>
      <c r="H142" s="352"/>
      <c r="I142" s="352"/>
      <c r="J142" s="352"/>
      <c r="K142" s="352"/>
      <c r="L142" s="352"/>
      <c r="M142" s="352"/>
      <c r="N142" s="352"/>
      <c r="O142" s="352"/>
    </row>
    <row r="143" spans="1:15">
      <c r="A143" s="352"/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</row>
    <row r="144" spans="1:15">
      <c r="A144" s="352"/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</row>
    <row r="145" spans="1:15">
      <c r="A145" s="352"/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</row>
    <row r="146" spans="1:15">
      <c r="A146" s="352"/>
      <c r="B146" s="352"/>
      <c r="C146" s="352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</row>
    <row r="147" spans="1:15">
      <c r="A147" s="352"/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</row>
    <row r="148" spans="1:15">
      <c r="A148" s="352"/>
      <c r="B148" s="352"/>
      <c r="C148" s="352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</row>
    <row r="149" spans="1:15">
      <c r="A149" s="352"/>
      <c r="B149" s="352"/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</row>
    <row r="150" spans="1:15">
      <c r="A150" s="352"/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</row>
    <row r="151" spans="1:15">
      <c r="A151" s="352"/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</row>
    <row r="152" spans="1:15">
      <c r="A152" s="352"/>
      <c r="B152" s="352"/>
      <c r="C152" s="352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</row>
    <row r="153" spans="1:15">
      <c r="A153" s="352"/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</row>
    <row r="154" spans="1:15">
      <c r="A154" s="352"/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</row>
    <row r="155" spans="1:15">
      <c r="A155" s="352"/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</row>
    <row r="156" spans="1:15">
      <c r="A156" s="352"/>
      <c r="B156" s="352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</row>
    <row r="157" spans="1:15">
      <c r="A157" s="352"/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</row>
    <row r="158" spans="1:15">
      <c r="A158" s="352"/>
      <c r="B158" s="352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</row>
    <row r="159" spans="1:15">
      <c r="A159" s="352"/>
      <c r="B159" s="352"/>
      <c r="C159" s="352"/>
      <c r="D159" s="352"/>
      <c r="E159" s="352"/>
      <c r="F159" s="352"/>
      <c r="G159" s="352"/>
      <c r="H159" s="352"/>
      <c r="I159" s="352"/>
      <c r="J159" s="352"/>
      <c r="K159" s="352"/>
      <c r="L159" s="352"/>
      <c r="M159" s="352"/>
      <c r="N159" s="352"/>
      <c r="O159" s="352"/>
    </row>
    <row r="160" spans="1:15">
      <c r="A160" s="352"/>
      <c r="B160" s="352"/>
      <c r="C160" s="352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</row>
    <row r="161" spans="1:15">
      <c r="A161" s="352"/>
      <c r="B161" s="352"/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</row>
    <row r="162" spans="1:15">
      <c r="A162" s="352"/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</row>
    <row r="163" spans="1:15">
      <c r="A163" s="352"/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</row>
    <row r="164" spans="1:15">
      <c r="A164" s="352"/>
      <c r="B164" s="352"/>
      <c r="C164" s="352"/>
      <c r="D164" s="352"/>
      <c r="E164" s="352"/>
      <c r="F164" s="352"/>
      <c r="G164" s="352"/>
      <c r="H164" s="352"/>
      <c r="I164" s="352"/>
      <c r="J164" s="352"/>
      <c r="K164" s="352"/>
      <c r="L164" s="352"/>
      <c r="M164" s="352"/>
      <c r="N164" s="352"/>
      <c r="O164" s="352"/>
    </row>
    <row r="165" spans="1:15">
      <c r="A165" s="352"/>
      <c r="B165" s="352"/>
      <c r="C165" s="352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</row>
    <row r="166" spans="1:15">
      <c r="A166" s="352"/>
      <c r="B166" s="352"/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</row>
    <row r="167" spans="1:15">
      <c r="A167" s="352"/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</row>
    <row r="168" spans="1:15">
      <c r="A168" s="352"/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</row>
    <row r="169" spans="1:15">
      <c r="A169" s="352"/>
      <c r="B169" s="352"/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</row>
    <row r="170" spans="1:15">
      <c r="A170" s="352"/>
      <c r="B170" s="352"/>
      <c r="C170" s="352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</row>
    <row r="171" spans="1:15">
      <c r="A171" s="352"/>
      <c r="B171" s="352"/>
      <c r="C171" s="352"/>
      <c r="D171" s="352"/>
      <c r="E171" s="352"/>
      <c r="F171" s="352"/>
      <c r="G171" s="352"/>
      <c r="H171" s="352"/>
      <c r="I171" s="352"/>
      <c r="J171" s="352"/>
      <c r="K171" s="352"/>
      <c r="L171" s="352"/>
      <c r="M171" s="352"/>
      <c r="N171" s="352"/>
      <c r="O171" s="352"/>
    </row>
    <row r="172" spans="1:15">
      <c r="A172" s="352"/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</row>
    <row r="173" spans="1:15">
      <c r="A173" s="352"/>
      <c r="B173" s="352"/>
      <c r="C173" s="352"/>
      <c r="D173" s="352"/>
      <c r="E173" s="352"/>
      <c r="F173" s="352"/>
      <c r="G173" s="352"/>
      <c r="H173" s="352"/>
      <c r="I173" s="352"/>
      <c r="J173" s="352"/>
      <c r="K173" s="352"/>
      <c r="L173" s="352"/>
      <c r="M173" s="352"/>
      <c r="N173" s="352"/>
      <c r="O173" s="352"/>
    </row>
    <row r="174" spans="1:15">
      <c r="A174" s="352"/>
      <c r="B174" s="352"/>
      <c r="C174" s="352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</row>
    <row r="175" spans="1:15">
      <c r="A175" s="352"/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</row>
    <row r="176" spans="1:15">
      <c r="A176" s="352"/>
      <c r="B176" s="352"/>
      <c r="C176" s="352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</row>
    <row r="177" spans="1:15">
      <c r="A177" s="352"/>
      <c r="B177" s="352"/>
      <c r="C177" s="352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</row>
    <row r="178" spans="1:15">
      <c r="A178" s="352"/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</row>
    <row r="179" spans="1:15">
      <c r="A179" s="352"/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</row>
    <row r="180" spans="1:15">
      <c r="A180" s="352"/>
      <c r="B180" s="352"/>
      <c r="C180" s="352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</row>
    <row r="181" spans="1:15">
      <c r="A181" s="352"/>
      <c r="B181" s="352"/>
      <c r="C181" s="352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</row>
    <row r="182" spans="1:15">
      <c r="A182" s="352"/>
      <c r="B182" s="352"/>
      <c r="C182" s="352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</row>
    <row r="183" spans="1:15">
      <c r="A183" s="352"/>
      <c r="B183" s="352"/>
      <c r="C183" s="352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</row>
    <row r="184" spans="1:15">
      <c r="A184" s="352"/>
      <c r="B184" s="352"/>
      <c r="C184" s="352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</row>
    <row r="185" spans="1:15">
      <c r="A185" s="352"/>
      <c r="B185" s="352"/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</row>
    <row r="186" spans="1:15">
      <c r="A186" s="352"/>
      <c r="B186" s="352"/>
      <c r="C186" s="352"/>
      <c r="D186" s="352"/>
      <c r="E186" s="352"/>
      <c r="F186" s="352"/>
      <c r="G186" s="352"/>
      <c r="H186" s="352"/>
      <c r="I186" s="352"/>
      <c r="J186" s="352"/>
      <c r="K186" s="352"/>
      <c r="L186" s="352"/>
      <c r="M186" s="352"/>
      <c r="N186" s="352"/>
      <c r="O186" s="352"/>
    </row>
    <row r="187" spans="1:15">
      <c r="A187" s="352"/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</row>
    <row r="188" spans="1:15">
      <c r="A188" s="352"/>
      <c r="B188" s="352"/>
      <c r="C188" s="352"/>
      <c r="D188" s="352"/>
      <c r="E188" s="352"/>
      <c r="F188" s="352"/>
      <c r="G188" s="352"/>
      <c r="H188" s="352"/>
      <c r="I188" s="352"/>
      <c r="J188" s="352"/>
      <c r="K188" s="352"/>
      <c r="L188" s="352"/>
      <c r="M188" s="352"/>
      <c r="N188" s="352"/>
      <c r="O188" s="352"/>
    </row>
    <row r="189" spans="1:15">
      <c r="A189" s="352"/>
      <c r="B189" s="352"/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  <c r="N189" s="352"/>
      <c r="O189" s="352"/>
    </row>
    <row r="190" spans="1:15">
      <c r="A190" s="352"/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</row>
    <row r="191" spans="1:15">
      <c r="A191" s="352"/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</row>
    <row r="192" spans="1:15">
      <c r="A192" s="352"/>
      <c r="B192" s="352"/>
      <c r="C192" s="352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</row>
    <row r="193" spans="1:15">
      <c r="A193" s="352"/>
      <c r="B193" s="352"/>
      <c r="C193" s="352"/>
      <c r="D193" s="352"/>
      <c r="E193" s="352"/>
      <c r="F193" s="352"/>
      <c r="G193" s="352"/>
      <c r="H193" s="352"/>
      <c r="I193" s="352"/>
      <c r="J193" s="352"/>
      <c r="K193" s="352"/>
      <c r="L193" s="352"/>
      <c r="M193" s="352"/>
      <c r="N193" s="352"/>
      <c r="O193" s="352"/>
    </row>
    <row r="194" spans="1:15">
      <c r="A194" s="352"/>
      <c r="B194" s="352"/>
      <c r="C194" s="352"/>
      <c r="D194" s="352"/>
      <c r="E194" s="352"/>
      <c r="F194" s="352"/>
      <c r="G194" s="352"/>
      <c r="H194" s="352"/>
      <c r="I194" s="352"/>
      <c r="J194" s="352"/>
      <c r="K194" s="352"/>
      <c r="L194" s="352"/>
      <c r="M194" s="352"/>
      <c r="N194" s="352"/>
      <c r="O194" s="352"/>
    </row>
    <row r="195" spans="1:15">
      <c r="A195" s="352"/>
      <c r="B195" s="352"/>
      <c r="C195" s="352"/>
      <c r="D195" s="352"/>
      <c r="E195" s="352"/>
      <c r="F195" s="352"/>
      <c r="G195" s="352"/>
      <c r="H195" s="352"/>
      <c r="I195" s="352"/>
      <c r="J195" s="352"/>
      <c r="K195" s="352"/>
      <c r="L195" s="352"/>
      <c r="M195" s="352"/>
      <c r="N195" s="352"/>
      <c r="O195" s="352"/>
    </row>
    <row r="196" spans="1:15">
      <c r="A196" s="352"/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</row>
    <row r="197" spans="1:15">
      <c r="A197" s="352"/>
      <c r="B197" s="352"/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</row>
    <row r="198" spans="1:15">
      <c r="A198" s="352"/>
      <c r="B198" s="352"/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</row>
    <row r="199" spans="1:15">
      <c r="A199" s="352"/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</row>
    <row r="200" spans="1:15">
      <c r="A200" s="352"/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</row>
    <row r="201" spans="1:15">
      <c r="A201" s="352"/>
      <c r="B201" s="352"/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</row>
    <row r="202" spans="1:15">
      <c r="A202" s="352"/>
      <c r="B202" s="352"/>
      <c r="C202" s="352"/>
      <c r="D202" s="352"/>
      <c r="E202" s="352"/>
      <c r="F202" s="352"/>
      <c r="G202" s="352"/>
      <c r="H202" s="352"/>
      <c r="I202" s="352"/>
      <c r="J202" s="352"/>
      <c r="K202" s="352"/>
      <c r="L202" s="352"/>
      <c r="M202" s="352"/>
      <c r="N202" s="352"/>
      <c r="O202" s="352"/>
    </row>
    <row r="203" spans="1:15">
      <c r="A203" s="352"/>
      <c r="B203" s="352"/>
      <c r="C203" s="352"/>
      <c r="D203" s="352"/>
      <c r="E203" s="352"/>
      <c r="F203" s="352"/>
      <c r="G203" s="352"/>
      <c r="H203" s="352"/>
      <c r="I203" s="352"/>
      <c r="J203" s="352"/>
      <c r="K203" s="352"/>
      <c r="L203" s="352"/>
      <c r="M203" s="352"/>
      <c r="N203" s="352"/>
      <c r="O203" s="352"/>
    </row>
    <row r="204" spans="1:15">
      <c r="A204" s="352"/>
      <c r="B204" s="352"/>
      <c r="C204" s="352"/>
      <c r="D204" s="352"/>
      <c r="E204" s="352"/>
      <c r="F204" s="352"/>
      <c r="G204" s="352"/>
      <c r="H204" s="352"/>
      <c r="I204" s="352"/>
      <c r="J204" s="352"/>
      <c r="K204" s="352"/>
      <c r="L204" s="352"/>
      <c r="M204" s="352"/>
      <c r="N204" s="352"/>
      <c r="O204" s="352"/>
    </row>
    <row r="205" spans="1:15">
      <c r="A205" s="352"/>
      <c r="B205" s="352"/>
      <c r="C205" s="352"/>
      <c r="D205" s="352"/>
      <c r="E205" s="352"/>
      <c r="F205" s="352"/>
      <c r="G205" s="352"/>
      <c r="H205" s="352"/>
      <c r="I205" s="352"/>
      <c r="J205" s="352"/>
      <c r="K205" s="352"/>
      <c r="L205" s="352"/>
      <c r="M205" s="352"/>
      <c r="N205" s="352"/>
      <c r="O205" s="352"/>
    </row>
    <row r="206" spans="1:15">
      <c r="A206" s="352"/>
      <c r="B206" s="352"/>
      <c r="C206" s="352"/>
      <c r="D206" s="352"/>
      <c r="E206" s="352"/>
      <c r="F206" s="352"/>
      <c r="G206" s="352"/>
      <c r="H206" s="352"/>
      <c r="I206" s="352"/>
      <c r="J206" s="352"/>
      <c r="K206" s="352"/>
      <c r="L206" s="352"/>
      <c r="M206" s="352"/>
      <c r="N206" s="352"/>
      <c r="O206" s="352"/>
    </row>
    <row r="207" spans="1:15">
      <c r="A207" s="352"/>
      <c r="B207" s="352"/>
      <c r="C207" s="352"/>
      <c r="D207" s="352"/>
      <c r="E207" s="352"/>
      <c r="F207" s="352"/>
      <c r="G207" s="352"/>
      <c r="H207" s="352"/>
      <c r="I207" s="352"/>
      <c r="J207" s="352"/>
      <c r="K207" s="352"/>
      <c r="L207" s="352"/>
      <c r="M207" s="352"/>
      <c r="N207" s="352"/>
      <c r="O207" s="352"/>
    </row>
    <row r="208" spans="1:15">
      <c r="A208" s="352"/>
      <c r="B208" s="352"/>
      <c r="C208" s="352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</row>
    <row r="209" spans="1:15">
      <c r="A209" s="352"/>
      <c r="B209" s="352"/>
      <c r="C209" s="352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</row>
    <row r="210" spans="1:15">
      <c r="A210" s="352"/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</row>
    <row r="211" spans="1:15">
      <c r="A211" s="352"/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</row>
    <row r="212" spans="1:15">
      <c r="A212" s="352"/>
      <c r="B212" s="352"/>
      <c r="C212" s="352"/>
      <c r="D212" s="352"/>
      <c r="E212" s="352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</row>
    <row r="213" spans="1:15">
      <c r="A213" s="352"/>
      <c r="B213" s="352"/>
      <c r="C213" s="352"/>
      <c r="D213" s="352"/>
      <c r="E213" s="352"/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</row>
    <row r="214" spans="1:15">
      <c r="A214" s="352"/>
      <c r="B214" s="352"/>
      <c r="C214" s="352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</row>
    <row r="215" spans="1:15">
      <c r="A215" s="352"/>
      <c r="B215" s="352"/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</row>
    <row r="216" spans="1:15">
      <c r="A216" s="352"/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</row>
    <row r="217" spans="1:15">
      <c r="A217" s="352"/>
      <c r="B217" s="352"/>
      <c r="C217" s="352"/>
      <c r="D217" s="352"/>
      <c r="E217" s="352"/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</row>
    <row r="218" spans="1:15">
      <c r="A218" s="352"/>
      <c r="B218" s="352"/>
      <c r="C218" s="352"/>
      <c r="D218" s="352"/>
      <c r="E218" s="352"/>
      <c r="F218" s="352"/>
      <c r="G218" s="352"/>
      <c r="H218" s="352"/>
      <c r="I218" s="352"/>
      <c r="J218" s="352"/>
      <c r="K218" s="352"/>
      <c r="L218" s="352"/>
      <c r="M218" s="352"/>
      <c r="N218" s="352"/>
      <c r="O218" s="352"/>
    </row>
    <row r="219" spans="1:15">
      <c r="A219" s="352"/>
      <c r="B219" s="352"/>
      <c r="C219" s="352"/>
      <c r="D219" s="352"/>
      <c r="E219" s="352"/>
      <c r="F219" s="352"/>
      <c r="G219" s="352"/>
      <c r="H219" s="352"/>
      <c r="I219" s="352"/>
      <c r="J219" s="352"/>
      <c r="K219" s="352"/>
      <c r="L219" s="352"/>
      <c r="M219" s="352"/>
      <c r="N219" s="352"/>
      <c r="O219" s="352"/>
    </row>
    <row r="220" spans="1:15">
      <c r="A220" s="352"/>
      <c r="B220" s="352"/>
      <c r="C220" s="352"/>
      <c r="D220" s="352"/>
      <c r="E220" s="352"/>
      <c r="F220" s="352"/>
      <c r="G220" s="352"/>
      <c r="H220" s="352"/>
      <c r="I220" s="352"/>
      <c r="J220" s="352"/>
      <c r="K220" s="352"/>
      <c r="L220" s="352"/>
      <c r="M220" s="352"/>
      <c r="N220" s="352"/>
      <c r="O220" s="352"/>
    </row>
    <row r="221" spans="1:15">
      <c r="A221" s="352"/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</row>
    <row r="222" spans="1:15">
      <c r="A222" s="352"/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</row>
    <row r="223" spans="1:15">
      <c r="A223" s="352"/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</row>
    <row r="224" spans="1:15">
      <c r="A224" s="352"/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</row>
    <row r="225" spans="1:15">
      <c r="A225" s="352"/>
      <c r="B225" s="352"/>
      <c r="C225" s="352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</row>
    <row r="226" spans="1:15">
      <c r="A226" s="352"/>
      <c r="B226" s="352"/>
      <c r="C226" s="352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</row>
    <row r="227" spans="1:15">
      <c r="A227" s="352"/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</row>
    <row r="228" spans="1:15">
      <c r="A228" s="352"/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</row>
    <row r="229" spans="1:15">
      <c r="A229" s="352"/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</row>
    <row r="230" spans="1:15">
      <c r="A230" s="352"/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24</vt:i4>
      </vt:variant>
      <vt:variant>
        <vt:lpstr>Benannte Bereiche</vt:lpstr>
      </vt:variant>
      <vt:variant>
        <vt:i4>1</vt:i4>
      </vt:variant>
    </vt:vector>
  </HeadingPairs>
  <TitlesOfParts>
    <vt:vector size="25" baseType="lpstr">
      <vt:lpstr>Table of Contents</vt:lpstr>
      <vt:lpstr>Summary</vt:lpstr>
      <vt:lpstr>Business Opportunity</vt:lpstr>
      <vt:lpstr>Free Cash Flows</vt:lpstr>
      <vt:lpstr>Beta Calculation</vt:lpstr>
      <vt:lpstr>Cost of Equity</vt:lpstr>
      <vt:lpstr>Cost of Debt</vt:lpstr>
      <vt:lpstr>WACC</vt:lpstr>
      <vt:lpstr>DCF</vt:lpstr>
      <vt:lpstr>Share Prices</vt:lpstr>
      <vt:lpstr>APV</vt:lpstr>
      <vt:lpstr>Trading Multiples</vt:lpstr>
      <vt:lpstr>Growth Scenarios</vt:lpstr>
      <vt:lpstr>Marginal Tax Rate</vt:lpstr>
      <vt:lpstr>Corporate Bond 1</vt:lpstr>
      <vt:lpstr>Corporate Bond 2</vt:lpstr>
      <vt:lpstr>Corporate Bond 3</vt:lpstr>
      <vt:lpstr>Corporate Bond 4</vt:lpstr>
      <vt:lpstr>Corporate Bond 5</vt:lpstr>
      <vt:lpstr>Balance Sheet</vt:lpstr>
      <vt:lpstr>Income Statement</vt:lpstr>
      <vt:lpstr>Cash Flow Statement </vt:lpstr>
      <vt:lpstr>SPX</vt:lpstr>
      <vt:lpstr>Trading Multiples Bloomberg</vt:lpstr>
      <vt:lpstr>ScenarioSelection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Schwarz,Marc</dc:creator>
  <cp:keywords/>
  <dc:description/>
  <cp:lastModifiedBy>Microsoft Office User</cp:lastModifiedBy>
  <dcterms:created xsi:type="dcterms:W3CDTF">2013-04-03T15:49:21Z</dcterms:created>
  <dcterms:modified xsi:type="dcterms:W3CDTF">2020-11-01T14:44:14Z</dcterms:modified>
  <cp:category/>
</cp:coreProperties>
</file>